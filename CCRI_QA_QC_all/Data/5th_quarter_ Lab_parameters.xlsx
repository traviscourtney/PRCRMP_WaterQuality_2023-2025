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sistemaupr-my.sharepoint.com/personal/travis_courtney_upr_edu/Documents/Documents/R/CCRI_Site_Analyses/Data/"/>
    </mc:Choice>
  </mc:AlternateContent>
  <xr:revisionPtr revIDLastSave="0" documentId="11_0FEAF5E0F7C5A4504263A22FB89FE9AFBBE9E2AF" xr6:coauthVersionLast="47" xr6:coauthVersionMax="47" xr10:uidLastSave="{00000000-0000-0000-0000-000000000000}"/>
  <bookViews>
    <workbookView xWindow="-120" yWindow="-120" windowWidth="29040" windowHeight="15720" activeTab="6" xr2:uid="{00000000-000D-0000-FFFF-FFFF00000000}"/>
  </bookViews>
  <sheets>
    <sheet name="SS" sheetId="1" r:id="rId1"/>
    <sheet name="Ent" sheetId="2" r:id="rId2"/>
    <sheet name="BOD" sheetId="3" r:id="rId3"/>
    <sheet name="TSS" sheetId="4" r:id="rId4"/>
    <sheet name="Chlor.a" sheetId="5" r:id="rId5"/>
    <sheet name="Turbidity" sheetId="6" r:id="rId6"/>
    <sheet name="All DIC raw data" sheetId="7" r:id="rId7"/>
    <sheet name="DIC Temperatures" sheetId="8" r:id="rId8"/>
    <sheet name="All TA raw data" sheetId="9" r:id="rId9"/>
    <sheet name="TKN" sheetId="10" r:id="rId10"/>
    <sheet name="NOx_PO4" sheetId="11" r:id="rId11"/>
  </sheets>
  <definedNames>
    <definedName name="_xlnm._FilterDatabase" localSheetId="2" hidden="1">BOD!$A$1:$O$69</definedName>
    <definedName name="_xlnm._FilterDatabase" localSheetId="0" hidden="1">SS!$A$1:$J$48</definedName>
    <definedName name="_xlnm._FilterDatabase" localSheetId="3" hidden="1">TSS!$A$1:$Q$60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5" roundtripDataChecksum="qEufKy0JVNhZlCbNEiutYHRJQwOv8rdzjLBpEybtkzk="/>
    </ext>
  </extLst>
</workbook>
</file>

<file path=xl/calcChain.xml><?xml version="1.0" encoding="utf-8"?>
<calcChain xmlns="http://schemas.openxmlformats.org/spreadsheetml/2006/main">
  <c r="P138" i="11" l="1"/>
  <c r="O138" i="11"/>
  <c r="Q137" i="11"/>
  <c r="P137" i="11"/>
  <c r="R137" i="11" s="1"/>
  <c r="O137" i="11"/>
  <c r="P136" i="11"/>
  <c r="O136" i="11"/>
  <c r="P135" i="11"/>
  <c r="R135" i="11" s="1"/>
  <c r="O135" i="11"/>
  <c r="Q135" i="11" s="1"/>
  <c r="Q134" i="11"/>
  <c r="P134" i="11"/>
  <c r="R134" i="11" s="1"/>
  <c r="O134" i="11"/>
  <c r="P133" i="11"/>
  <c r="R133" i="11" s="1"/>
  <c r="O133" i="11"/>
  <c r="Q133" i="11" s="1"/>
  <c r="P132" i="11"/>
  <c r="O132" i="11"/>
  <c r="R131" i="11"/>
  <c r="Q131" i="11"/>
  <c r="P131" i="11"/>
  <c r="O131" i="11"/>
  <c r="Q130" i="11"/>
  <c r="P130" i="11"/>
  <c r="R130" i="11" s="1"/>
  <c r="O130" i="11"/>
  <c r="R129" i="11"/>
  <c r="Q129" i="11"/>
  <c r="P129" i="11"/>
  <c r="O129" i="11"/>
  <c r="P128" i="11"/>
  <c r="O128" i="11"/>
  <c r="P127" i="11"/>
  <c r="O127" i="11"/>
  <c r="P126" i="11"/>
  <c r="O126" i="11"/>
  <c r="P125" i="11"/>
  <c r="O125" i="11"/>
  <c r="P124" i="11"/>
  <c r="O124" i="11"/>
  <c r="P123" i="11"/>
  <c r="O123" i="11"/>
  <c r="P122" i="11"/>
  <c r="O122" i="11"/>
  <c r="P121" i="11"/>
  <c r="O121" i="11"/>
  <c r="P120" i="11"/>
  <c r="O120" i="11"/>
  <c r="P119" i="11"/>
  <c r="O119" i="11"/>
  <c r="P118" i="11"/>
  <c r="O118" i="11"/>
  <c r="P117" i="11"/>
  <c r="R117" i="11" s="1"/>
  <c r="O117" i="11"/>
  <c r="Q117" i="11" s="1"/>
  <c r="Q116" i="11"/>
  <c r="P116" i="11"/>
  <c r="R116" i="11" s="1"/>
  <c r="O116" i="11"/>
  <c r="P115" i="11"/>
  <c r="R115" i="11" s="1"/>
  <c r="O115" i="11"/>
  <c r="Q115" i="11" s="1"/>
  <c r="Q114" i="11"/>
  <c r="P114" i="11"/>
  <c r="R114" i="11" s="1"/>
  <c r="O114" i="11"/>
  <c r="P113" i="11"/>
  <c r="R113" i="11" s="1"/>
  <c r="O113" i="11"/>
  <c r="Q113" i="11" s="1"/>
  <c r="Q112" i="11"/>
  <c r="P112" i="11"/>
  <c r="R112" i="11" s="1"/>
  <c r="O112" i="11"/>
  <c r="P111" i="11"/>
  <c r="R111" i="11" s="1"/>
  <c r="O111" i="11"/>
  <c r="Q111" i="11" s="1"/>
  <c r="P110" i="11"/>
  <c r="O110" i="11"/>
  <c r="Q110" i="11" s="1"/>
  <c r="R109" i="11"/>
  <c r="P109" i="11"/>
  <c r="O109" i="11"/>
  <c r="Q109" i="11" s="1"/>
  <c r="R108" i="11"/>
  <c r="P108" i="11"/>
  <c r="O108" i="11"/>
  <c r="Q108" i="11" s="1"/>
  <c r="Q107" i="11"/>
  <c r="P107" i="11"/>
  <c r="O107" i="11"/>
  <c r="Q106" i="11"/>
  <c r="P106" i="11"/>
  <c r="R106" i="11" s="1"/>
  <c r="O106" i="11"/>
  <c r="R105" i="11"/>
  <c r="Q105" i="11"/>
  <c r="P105" i="11"/>
  <c r="O105" i="11"/>
  <c r="Q104" i="11"/>
  <c r="P104" i="11"/>
  <c r="R104" i="11" s="1"/>
  <c r="O104" i="11"/>
  <c r="R103" i="11"/>
  <c r="Q103" i="11"/>
  <c r="P103" i="11"/>
  <c r="O103" i="11"/>
  <c r="P102" i="11"/>
  <c r="O102" i="11"/>
  <c r="Q101" i="11"/>
  <c r="P101" i="11"/>
  <c r="R101" i="11" s="1"/>
  <c r="O101" i="11"/>
  <c r="P100" i="11"/>
  <c r="R100" i="11" s="1"/>
  <c r="O100" i="11"/>
  <c r="Q100" i="11" s="1"/>
  <c r="Q99" i="11"/>
  <c r="P99" i="11"/>
  <c r="R99" i="11" s="1"/>
  <c r="O99" i="11"/>
  <c r="P98" i="11"/>
  <c r="O98" i="11"/>
  <c r="Q98" i="11" s="1"/>
  <c r="R97" i="11"/>
  <c r="P97" i="11"/>
  <c r="O97" i="11"/>
  <c r="Q97" i="11" s="1"/>
  <c r="P96" i="11"/>
  <c r="O96" i="11"/>
  <c r="P95" i="11"/>
  <c r="R95" i="11" s="1"/>
  <c r="O95" i="11"/>
  <c r="Q95" i="11" s="1"/>
  <c r="Q94" i="11"/>
  <c r="P94" i="11"/>
  <c r="O94" i="11"/>
  <c r="P93" i="11"/>
  <c r="O93" i="11"/>
  <c r="Q93" i="11" s="1"/>
  <c r="R92" i="11"/>
  <c r="P92" i="11"/>
  <c r="O92" i="11"/>
  <c r="Q92" i="11" s="1"/>
  <c r="R91" i="11"/>
  <c r="P91" i="11"/>
  <c r="O91" i="11"/>
  <c r="Q91" i="11" s="1"/>
  <c r="R90" i="11"/>
  <c r="P90" i="11"/>
  <c r="O90" i="11"/>
  <c r="Q90" i="11" s="1"/>
  <c r="Q89" i="11"/>
  <c r="P89" i="11"/>
  <c r="O89" i="11"/>
  <c r="Q88" i="11"/>
  <c r="P88" i="11"/>
  <c r="R88" i="11" s="1"/>
  <c r="O88" i="11"/>
  <c r="R87" i="11"/>
  <c r="Q87" i="11"/>
  <c r="P87" i="11"/>
  <c r="O87" i="11"/>
  <c r="Q86" i="11"/>
  <c r="P86" i="11"/>
  <c r="R86" i="11" s="1"/>
  <c r="O86" i="11"/>
  <c r="P85" i="11"/>
  <c r="O85" i="11"/>
  <c r="P84" i="11"/>
  <c r="O84" i="11"/>
  <c r="Q84" i="11" s="1"/>
  <c r="Q83" i="11"/>
  <c r="P83" i="11"/>
  <c r="O83" i="11"/>
  <c r="R82" i="11"/>
  <c r="Q82" i="11"/>
  <c r="P82" i="11"/>
  <c r="O82" i="11"/>
  <c r="P81" i="11"/>
  <c r="O81" i="11"/>
  <c r="P80" i="11"/>
  <c r="O80" i="11"/>
  <c r="R79" i="11"/>
  <c r="Q79" i="11"/>
  <c r="P79" i="11"/>
  <c r="O79" i="11"/>
  <c r="Q78" i="11"/>
  <c r="P78" i="11"/>
  <c r="R78" i="11" s="1"/>
  <c r="O78" i="11"/>
  <c r="R77" i="11"/>
  <c r="Q77" i="11"/>
  <c r="P77" i="11"/>
  <c r="O77" i="11"/>
  <c r="Q76" i="11"/>
  <c r="P76" i="11"/>
  <c r="R76" i="11" s="1"/>
  <c r="O76" i="11"/>
  <c r="R75" i="11"/>
  <c r="Q75" i="11"/>
  <c r="P75" i="11"/>
  <c r="O75" i="11"/>
  <c r="Q74" i="11"/>
  <c r="P74" i="11"/>
  <c r="R74" i="11" s="1"/>
  <c r="O74" i="11"/>
  <c r="R73" i="11"/>
  <c r="Q73" i="11"/>
  <c r="P73" i="11"/>
  <c r="O73" i="11"/>
  <c r="Q72" i="11"/>
  <c r="P72" i="11"/>
  <c r="R72" i="11" s="1"/>
  <c r="O72" i="11"/>
  <c r="P71" i="11"/>
  <c r="O71" i="11"/>
  <c r="P70" i="11"/>
  <c r="R70" i="11" s="1"/>
  <c r="O70" i="11"/>
  <c r="Q70" i="11" s="1"/>
  <c r="P69" i="11"/>
  <c r="O69" i="11"/>
  <c r="R68" i="11"/>
  <c r="Q68" i="11"/>
  <c r="P68" i="11"/>
  <c r="O68" i="11"/>
  <c r="Q67" i="11"/>
  <c r="P67" i="11"/>
  <c r="R67" i="11" s="1"/>
  <c r="O67" i="11"/>
  <c r="P66" i="11"/>
  <c r="O66" i="11"/>
  <c r="P65" i="11"/>
  <c r="O65" i="11"/>
  <c r="P64" i="11"/>
  <c r="O64" i="11"/>
  <c r="P63" i="11"/>
  <c r="O63" i="11"/>
  <c r="P62" i="11"/>
  <c r="O62" i="11"/>
  <c r="P61" i="11"/>
  <c r="O61" i="11"/>
  <c r="P60" i="11"/>
  <c r="O60" i="11"/>
  <c r="P59" i="11"/>
  <c r="O59" i="11"/>
  <c r="P58" i="11"/>
  <c r="O58" i="11"/>
  <c r="P57" i="11"/>
  <c r="O57" i="11"/>
  <c r="P56" i="11"/>
  <c r="O56" i="11"/>
  <c r="Q55" i="11"/>
  <c r="P55" i="11"/>
  <c r="R55" i="11" s="1"/>
  <c r="O55" i="11"/>
  <c r="P54" i="11"/>
  <c r="R54" i="11" s="1"/>
  <c r="O54" i="11"/>
  <c r="Q54" i="11" s="1"/>
  <c r="Q53" i="11"/>
  <c r="P53" i="11"/>
  <c r="R53" i="11" s="1"/>
  <c r="O53" i="11"/>
  <c r="P52" i="11"/>
  <c r="O52" i="11"/>
  <c r="Q52" i="11" s="1"/>
  <c r="Q51" i="11"/>
  <c r="P51" i="11"/>
  <c r="O51" i="11"/>
  <c r="Q50" i="11"/>
  <c r="P50" i="11"/>
  <c r="O50" i="11"/>
  <c r="P49" i="11"/>
  <c r="O49" i="11"/>
  <c r="Q49" i="11" s="1"/>
  <c r="P48" i="11"/>
  <c r="O48" i="11"/>
  <c r="Q48" i="11" s="1"/>
  <c r="R47" i="11"/>
  <c r="P47" i="11"/>
  <c r="O47" i="11"/>
  <c r="Q47" i="11" s="1"/>
  <c r="P46" i="11"/>
  <c r="O46" i="11"/>
  <c r="R45" i="11"/>
  <c r="Q45" i="11"/>
  <c r="P45" i="11"/>
  <c r="O45" i="11"/>
  <c r="P44" i="11"/>
  <c r="R44" i="11" s="1"/>
  <c r="O44" i="11"/>
  <c r="Q44" i="11" s="1"/>
  <c r="R43" i="11"/>
  <c r="Q43" i="11"/>
  <c r="P43" i="11"/>
  <c r="O43" i="11"/>
  <c r="P42" i="11"/>
  <c r="O42" i="11"/>
  <c r="Q42" i="11" s="1"/>
  <c r="P41" i="11"/>
  <c r="O41" i="11"/>
  <c r="Q41" i="11" s="1"/>
  <c r="Q40" i="11"/>
  <c r="P40" i="11"/>
  <c r="O40" i="11"/>
  <c r="P39" i="11"/>
  <c r="O39" i="11"/>
  <c r="Q39" i="11" s="1"/>
  <c r="Q38" i="11"/>
  <c r="P38" i="11"/>
  <c r="O38" i="11"/>
  <c r="P37" i="11"/>
  <c r="O37" i="11"/>
  <c r="Q37" i="11" s="1"/>
  <c r="Q36" i="11"/>
  <c r="P36" i="11"/>
  <c r="O36" i="11"/>
  <c r="Q35" i="11"/>
  <c r="P35" i="11"/>
  <c r="O35" i="11"/>
  <c r="P34" i="11"/>
  <c r="R34" i="11" s="1"/>
  <c r="O34" i="11"/>
  <c r="Q34" i="11" s="1"/>
  <c r="Q33" i="11"/>
  <c r="P33" i="11"/>
  <c r="O33" i="11"/>
  <c r="P32" i="11"/>
  <c r="O32" i="11"/>
  <c r="Q31" i="11"/>
  <c r="P31" i="11"/>
  <c r="R31" i="11" s="1"/>
  <c r="O31" i="11"/>
  <c r="R30" i="11"/>
  <c r="Q30" i="11"/>
  <c r="P30" i="11"/>
  <c r="O30" i="11"/>
  <c r="Q29" i="11"/>
  <c r="P29" i="11"/>
  <c r="R29" i="11" s="1"/>
  <c r="O29" i="11"/>
  <c r="Q28" i="11"/>
  <c r="P28" i="11"/>
  <c r="O28" i="11"/>
  <c r="P27" i="11"/>
  <c r="R27" i="11" s="1"/>
  <c r="O27" i="11"/>
  <c r="Q27" i="11" s="1"/>
  <c r="Q26" i="11"/>
  <c r="P26" i="11"/>
  <c r="O26" i="11"/>
  <c r="P25" i="11"/>
  <c r="O25" i="11"/>
  <c r="Q25" i="11" s="1"/>
  <c r="R24" i="11"/>
  <c r="P24" i="11"/>
  <c r="O24" i="11"/>
  <c r="Q24" i="11" s="1"/>
  <c r="P23" i="11"/>
  <c r="O23" i="11"/>
  <c r="Q23" i="11" s="1"/>
  <c r="P22" i="11"/>
  <c r="O22" i="11"/>
  <c r="Q22" i="11" s="1"/>
  <c r="P21" i="11"/>
  <c r="O21" i="11"/>
  <c r="Q21" i="11" s="1"/>
  <c r="P20" i="11"/>
  <c r="R20" i="11" s="1"/>
  <c r="O20" i="11"/>
  <c r="Q20" i="11" s="1"/>
  <c r="P19" i="11"/>
  <c r="O19" i="11"/>
  <c r="Q19" i="11" s="1"/>
  <c r="R18" i="11"/>
  <c r="P18" i="11"/>
  <c r="O18" i="11"/>
  <c r="Q18" i="11" s="1"/>
  <c r="R17" i="11"/>
  <c r="P17" i="11"/>
  <c r="O17" i="11"/>
  <c r="Q17" i="11" s="1"/>
  <c r="R16" i="11"/>
  <c r="P16" i="11"/>
  <c r="O16" i="11"/>
  <c r="Q16" i="11" s="1"/>
  <c r="P15" i="11"/>
  <c r="O15" i="11"/>
  <c r="R14" i="11"/>
  <c r="Q14" i="11"/>
  <c r="P14" i="11"/>
  <c r="O14" i="11"/>
  <c r="P13" i="11"/>
  <c r="R13" i="11" s="1"/>
  <c r="O13" i="11"/>
  <c r="Q13" i="11" s="1"/>
  <c r="R12" i="11"/>
  <c r="Q12" i="11"/>
  <c r="P12" i="11"/>
  <c r="O12" i="11"/>
  <c r="P11" i="11"/>
  <c r="O11" i="11"/>
  <c r="P10" i="11"/>
  <c r="O10" i="11"/>
  <c r="R9" i="11"/>
  <c r="Q9" i="11"/>
  <c r="P9" i="11"/>
  <c r="O9" i="11"/>
  <c r="P8" i="11"/>
  <c r="R8" i="11" s="1"/>
  <c r="O8" i="11"/>
  <c r="Q8" i="11" s="1"/>
  <c r="R7" i="11"/>
  <c r="Q7" i="11"/>
  <c r="P7" i="11"/>
  <c r="O7" i="11"/>
  <c r="P6" i="11"/>
  <c r="R6" i="11" s="1"/>
  <c r="O6" i="11"/>
  <c r="Q6" i="11" s="1"/>
  <c r="R5" i="11"/>
  <c r="Q5" i="11"/>
  <c r="P5" i="11"/>
  <c r="O5" i="11"/>
  <c r="P4" i="11"/>
  <c r="R4" i="11" s="1"/>
  <c r="O4" i="11"/>
  <c r="Q4" i="11" s="1"/>
  <c r="R3" i="11"/>
  <c r="Q3" i="11"/>
  <c r="P3" i="11"/>
  <c r="O3" i="11"/>
  <c r="P2" i="11"/>
  <c r="R2" i="11" s="1"/>
  <c r="O2" i="11"/>
  <c r="Q2" i="11" s="1"/>
  <c r="M102" i="10"/>
  <c r="N101" i="10"/>
  <c r="M101" i="10"/>
  <c r="M100" i="10"/>
  <c r="M99" i="10"/>
  <c r="N99" i="10" s="1"/>
  <c r="N98" i="10"/>
  <c r="M98" i="10"/>
  <c r="M97" i="10"/>
  <c r="M96" i="10"/>
  <c r="M95" i="10"/>
  <c r="M94" i="10"/>
  <c r="M93" i="10"/>
  <c r="M92" i="10"/>
  <c r="M91" i="10"/>
  <c r="M90" i="10"/>
  <c r="M89" i="10"/>
  <c r="M88" i="10"/>
  <c r="M87" i="10"/>
  <c r="N86" i="10"/>
  <c r="M86" i="10"/>
  <c r="M85" i="10"/>
  <c r="N85" i="10" s="1"/>
  <c r="N84" i="10"/>
  <c r="M84" i="10"/>
  <c r="N83" i="10"/>
  <c r="M83" i="10"/>
  <c r="M82" i="10"/>
  <c r="M81" i="10"/>
  <c r="N81" i="10" s="1"/>
  <c r="N80" i="10"/>
  <c r="M80" i="10"/>
  <c r="M79" i="10"/>
  <c r="N78" i="10"/>
  <c r="M78" i="10"/>
  <c r="M77" i="10"/>
  <c r="N77" i="10" s="1"/>
  <c r="M76" i="10"/>
  <c r="N76" i="10" s="1"/>
  <c r="N75" i="10"/>
  <c r="M75" i="10"/>
  <c r="M74" i="10"/>
  <c r="M73" i="10"/>
  <c r="M72" i="10"/>
  <c r="N72" i="10" s="1"/>
  <c r="M71" i="10"/>
  <c r="N71" i="10" s="1"/>
  <c r="N70" i="10"/>
  <c r="M70" i="10"/>
  <c r="M69" i="10"/>
  <c r="M68" i="10"/>
  <c r="N68" i="10" s="1"/>
  <c r="M67" i="10"/>
  <c r="M66" i="10"/>
  <c r="N66" i="10" s="1"/>
  <c r="N65" i="10"/>
  <c r="M65" i="10"/>
  <c r="N64" i="10"/>
  <c r="M64" i="10"/>
  <c r="M63" i="10"/>
  <c r="M62" i="10"/>
  <c r="M61" i="10"/>
  <c r="N60" i="10"/>
  <c r="M60" i="10"/>
  <c r="M59" i="10"/>
  <c r="N58" i="10"/>
  <c r="M58" i="10"/>
  <c r="N57" i="10"/>
  <c r="M57" i="10"/>
  <c r="M56" i="10"/>
  <c r="N55" i="10"/>
  <c r="M55" i="10"/>
  <c r="M54" i="10"/>
  <c r="N53" i="10"/>
  <c r="M53" i="10"/>
  <c r="N52" i="10"/>
  <c r="M52" i="10"/>
  <c r="M51" i="10"/>
  <c r="N50" i="10"/>
  <c r="M50" i="10"/>
  <c r="M49" i="10"/>
  <c r="N49" i="10" s="1"/>
  <c r="N48" i="10"/>
  <c r="M48" i="10"/>
  <c r="M47" i="10"/>
  <c r="N47" i="10" s="1"/>
  <c r="N46" i="10"/>
  <c r="M46" i="10"/>
  <c r="M45" i="10"/>
  <c r="N44" i="10"/>
  <c r="M44" i="10"/>
  <c r="N43" i="10"/>
  <c r="M43" i="10"/>
  <c r="M42" i="10"/>
  <c r="N41" i="10"/>
  <c r="M41" i="10"/>
  <c r="M40" i="10"/>
  <c r="N40" i="10" s="1"/>
  <c r="M39" i="10"/>
  <c r="N39" i="10" s="1"/>
  <c r="M38" i="10"/>
  <c r="N38" i="10" s="1"/>
  <c r="N37" i="10"/>
  <c r="M37" i="10"/>
  <c r="M36" i="10"/>
  <c r="N36" i="10" s="1"/>
  <c r="M35" i="10"/>
  <c r="N35" i="10" s="1"/>
  <c r="M34" i="10"/>
  <c r="N34" i="10" s="1"/>
  <c r="N33" i="10"/>
  <c r="M33" i="10"/>
  <c r="M32" i="10"/>
  <c r="N32" i="10" s="1"/>
  <c r="M31" i="10"/>
  <c r="N31" i="10" s="1"/>
  <c r="M30" i="10"/>
  <c r="N30" i="10" s="1"/>
  <c r="M29" i="10"/>
  <c r="N28" i="10"/>
  <c r="M28" i="10"/>
  <c r="N27" i="10"/>
  <c r="M27" i="10"/>
  <c r="M26" i="10"/>
  <c r="N26" i="10" s="1"/>
  <c r="M25" i="10"/>
  <c r="N25" i="10" s="1"/>
  <c r="N24" i="10"/>
  <c r="M24" i="10"/>
  <c r="N23" i="10"/>
  <c r="M23" i="10"/>
  <c r="N22" i="10"/>
  <c r="M22" i="10"/>
  <c r="M21" i="10"/>
  <c r="N21" i="10" s="1"/>
  <c r="N20" i="10"/>
  <c r="M20" i="10"/>
  <c r="N19" i="10"/>
  <c r="M19" i="10"/>
  <c r="M18" i="10"/>
  <c r="N18" i="10" s="1"/>
  <c r="M17" i="10"/>
  <c r="N17" i="10" s="1"/>
  <c r="N16" i="10"/>
  <c r="M16" i="10"/>
  <c r="N15" i="10"/>
  <c r="M15" i="10"/>
  <c r="M14" i="10"/>
  <c r="M13" i="10"/>
  <c r="N13" i="10" s="1"/>
  <c r="N12" i="10"/>
  <c r="M12" i="10"/>
  <c r="M11" i="10"/>
  <c r="N11" i="10" s="1"/>
  <c r="M10" i="10"/>
  <c r="M9" i="10"/>
  <c r="M8" i="10"/>
  <c r="N8" i="10" s="1"/>
  <c r="N7" i="10"/>
  <c r="M7" i="10"/>
  <c r="M6" i="10"/>
  <c r="N6" i="10" s="1"/>
  <c r="N5" i="10"/>
  <c r="M5" i="10"/>
  <c r="M4" i="10"/>
  <c r="N4" i="10" s="1"/>
  <c r="N3" i="10"/>
  <c r="M3" i="10"/>
  <c r="M2" i="10"/>
  <c r="N2" i="10" s="1"/>
  <c r="M150" i="9"/>
  <c r="N150" i="9" s="1"/>
  <c r="O150" i="9" s="1"/>
  <c r="N149" i="9"/>
  <c r="O149" i="9" s="1"/>
  <c r="M149" i="9"/>
  <c r="N148" i="9"/>
  <c r="O148" i="9" s="1"/>
  <c r="M148" i="9"/>
  <c r="N147" i="9"/>
  <c r="O147" i="9" s="1"/>
  <c r="M147" i="9"/>
  <c r="N146" i="9"/>
  <c r="M146" i="9"/>
  <c r="M145" i="9"/>
  <c r="N145" i="9" s="1"/>
  <c r="O145" i="9" s="1"/>
  <c r="M144" i="9"/>
  <c r="N144" i="9" s="1"/>
  <c r="M143" i="9"/>
  <c r="N143" i="9" s="1"/>
  <c r="O143" i="9" s="1"/>
  <c r="M142" i="9"/>
  <c r="N142" i="9" s="1"/>
  <c r="O142" i="9" s="1"/>
  <c r="N141" i="9"/>
  <c r="O141" i="9" s="1"/>
  <c r="M141" i="9"/>
  <c r="N140" i="9"/>
  <c r="O140" i="9" s="1"/>
  <c r="M140" i="9"/>
  <c r="N139" i="9"/>
  <c r="O139" i="9" s="1"/>
  <c r="M139" i="9"/>
  <c r="O138" i="9"/>
  <c r="N138" i="9"/>
  <c r="M138" i="9"/>
  <c r="M137" i="9"/>
  <c r="N137" i="9" s="1"/>
  <c r="O137" i="9" s="1"/>
  <c r="M136" i="9"/>
  <c r="N136" i="9" s="1"/>
  <c r="O136" i="9" s="1"/>
  <c r="M135" i="9"/>
  <c r="N135" i="9" s="1"/>
  <c r="O135" i="9" s="1"/>
  <c r="M134" i="9"/>
  <c r="N134" i="9" s="1"/>
  <c r="O134" i="9" s="1"/>
  <c r="N133" i="9"/>
  <c r="O133" i="9" s="1"/>
  <c r="M133" i="9"/>
  <c r="N132" i="9"/>
  <c r="O132" i="9" s="1"/>
  <c r="M132" i="9"/>
  <c r="N131" i="9"/>
  <c r="O131" i="9" s="1"/>
  <c r="M131" i="9"/>
  <c r="O130" i="9"/>
  <c r="N130" i="9"/>
  <c r="M130" i="9"/>
  <c r="M129" i="9"/>
  <c r="N129" i="9" s="1"/>
  <c r="O129" i="9" s="1"/>
  <c r="M128" i="9"/>
  <c r="N128" i="9" s="1"/>
  <c r="O128" i="9" s="1"/>
  <c r="M127" i="9"/>
  <c r="N127" i="9" s="1"/>
  <c r="O127" i="9" s="1"/>
  <c r="M126" i="9"/>
  <c r="N126" i="9" s="1"/>
  <c r="O126" i="9" s="1"/>
  <c r="N125" i="9"/>
  <c r="O125" i="9" s="1"/>
  <c r="M125" i="9"/>
  <c r="N124" i="9"/>
  <c r="O124" i="9" s="1"/>
  <c r="M124" i="9"/>
  <c r="M123" i="9"/>
  <c r="N123" i="9" s="1"/>
  <c r="O123" i="9" s="1"/>
  <c r="O122" i="9"/>
  <c r="N122" i="9"/>
  <c r="M122" i="9"/>
  <c r="M121" i="9"/>
  <c r="N121" i="9" s="1"/>
  <c r="O121" i="9" s="1"/>
  <c r="M120" i="9"/>
  <c r="N120" i="9" s="1"/>
  <c r="O120" i="9" s="1"/>
  <c r="M119" i="9"/>
  <c r="N119" i="9" s="1"/>
  <c r="O119" i="9" s="1"/>
  <c r="M118" i="9"/>
  <c r="N118" i="9" s="1"/>
  <c r="O118" i="9" s="1"/>
  <c r="N117" i="9"/>
  <c r="O117" i="9" s="1"/>
  <c r="M117" i="9"/>
  <c r="N116" i="9"/>
  <c r="O116" i="9" s="1"/>
  <c r="M116" i="9"/>
  <c r="M115" i="9"/>
  <c r="N115" i="9" s="1"/>
  <c r="O115" i="9" s="1"/>
  <c r="M114" i="9"/>
  <c r="N114" i="9" s="1"/>
  <c r="O114" i="9" s="1"/>
  <c r="M113" i="9"/>
  <c r="N113" i="9" s="1"/>
  <c r="O113" i="9" s="1"/>
  <c r="M112" i="9"/>
  <c r="N112" i="9" s="1"/>
  <c r="O112" i="9" s="1"/>
  <c r="N111" i="9"/>
  <c r="O111" i="9" s="1"/>
  <c r="M111" i="9"/>
  <c r="N110" i="9"/>
  <c r="O110" i="9" s="1"/>
  <c r="M110" i="9"/>
  <c r="N109" i="9"/>
  <c r="O109" i="9" s="1"/>
  <c r="M109" i="9"/>
  <c r="O108" i="9"/>
  <c r="N108" i="9"/>
  <c r="M108" i="9"/>
  <c r="O107" i="9"/>
  <c r="N107" i="9"/>
  <c r="M107" i="9"/>
  <c r="M106" i="9"/>
  <c r="N106" i="9" s="1"/>
  <c r="O106" i="9" s="1"/>
  <c r="M105" i="9"/>
  <c r="N105" i="9" s="1"/>
  <c r="O105" i="9" s="1"/>
  <c r="M104" i="9"/>
  <c r="N104" i="9" s="1"/>
  <c r="O104" i="9" s="1"/>
  <c r="N103" i="9"/>
  <c r="O103" i="9" s="1"/>
  <c r="M103" i="9"/>
  <c r="N102" i="9"/>
  <c r="O102" i="9" s="1"/>
  <c r="M102" i="9"/>
  <c r="N101" i="9"/>
  <c r="O101" i="9" s="1"/>
  <c r="M101" i="9"/>
  <c r="O100" i="9"/>
  <c r="N100" i="9"/>
  <c r="M100" i="9"/>
  <c r="O99" i="9"/>
  <c r="N99" i="9"/>
  <c r="M99" i="9"/>
  <c r="M98" i="9"/>
  <c r="N98" i="9" s="1"/>
  <c r="O98" i="9" s="1"/>
  <c r="M97" i="9"/>
  <c r="N97" i="9" s="1"/>
  <c r="O97" i="9" s="1"/>
  <c r="M96" i="9"/>
  <c r="N96" i="9" s="1"/>
  <c r="O96" i="9" s="1"/>
  <c r="M95" i="9"/>
  <c r="N95" i="9" s="1"/>
  <c r="O95" i="9" s="1"/>
  <c r="N94" i="9"/>
  <c r="O94" i="9" s="1"/>
  <c r="M94" i="9"/>
  <c r="N93" i="9"/>
  <c r="O93" i="9" s="1"/>
  <c r="M93" i="9"/>
  <c r="N92" i="9"/>
  <c r="O92" i="9" s="1"/>
  <c r="M92" i="9"/>
  <c r="O91" i="9"/>
  <c r="N91" i="9"/>
  <c r="M91" i="9"/>
  <c r="M90" i="9"/>
  <c r="N90" i="9" s="1"/>
  <c r="O90" i="9" s="1"/>
  <c r="M89" i="9"/>
  <c r="N89" i="9" s="1"/>
  <c r="O89" i="9" s="1"/>
  <c r="M88" i="9"/>
  <c r="N88" i="9" s="1"/>
  <c r="O88" i="9" s="1"/>
  <c r="M87" i="9"/>
  <c r="N87" i="9" s="1"/>
  <c r="O87" i="9" s="1"/>
  <c r="N86" i="9"/>
  <c r="O86" i="9" s="1"/>
  <c r="M86" i="9"/>
  <c r="N85" i="9"/>
  <c r="O85" i="9" s="1"/>
  <c r="M85" i="9"/>
  <c r="N84" i="9"/>
  <c r="O84" i="9" s="1"/>
  <c r="M84" i="9"/>
  <c r="O83" i="9"/>
  <c r="N83" i="9"/>
  <c r="M83" i="9"/>
  <c r="M82" i="9"/>
  <c r="N82" i="9" s="1"/>
  <c r="O82" i="9" s="1"/>
  <c r="M81" i="9"/>
  <c r="N81" i="9" s="1"/>
  <c r="O81" i="9" s="1"/>
  <c r="M80" i="9"/>
  <c r="N80" i="9" s="1"/>
  <c r="O80" i="9" s="1"/>
  <c r="M79" i="9"/>
  <c r="N79" i="9" s="1"/>
  <c r="O79" i="9" s="1"/>
  <c r="N78" i="9"/>
  <c r="O78" i="9" s="1"/>
  <c r="M78" i="9"/>
  <c r="N77" i="9"/>
  <c r="O77" i="9" s="1"/>
  <c r="M77" i="9"/>
  <c r="N76" i="9"/>
  <c r="O76" i="9" s="1"/>
  <c r="M76" i="9"/>
  <c r="O75" i="9"/>
  <c r="N75" i="9"/>
  <c r="M75" i="9"/>
  <c r="M74" i="9"/>
  <c r="N74" i="9" s="1"/>
  <c r="O74" i="9" s="1"/>
  <c r="M73" i="9"/>
  <c r="N73" i="9" s="1"/>
  <c r="O73" i="9" s="1"/>
  <c r="M72" i="9"/>
  <c r="N72" i="9" s="1"/>
  <c r="O72" i="9" s="1"/>
  <c r="M71" i="9"/>
  <c r="N71" i="9" s="1"/>
  <c r="O71" i="9" s="1"/>
  <c r="M70" i="9"/>
  <c r="N70" i="9" s="1"/>
  <c r="O70" i="9" s="1"/>
  <c r="N69" i="9"/>
  <c r="O69" i="9" s="1"/>
  <c r="M69" i="9"/>
  <c r="N68" i="9"/>
  <c r="O68" i="9" s="1"/>
  <c r="M68" i="9"/>
  <c r="N67" i="9"/>
  <c r="O67" i="9" s="1"/>
  <c r="M67" i="9"/>
  <c r="M66" i="9"/>
  <c r="N66" i="9" s="1"/>
  <c r="O66" i="9" s="1"/>
  <c r="M65" i="9"/>
  <c r="N65" i="9" s="1"/>
  <c r="O65" i="9" s="1"/>
  <c r="M64" i="9"/>
  <c r="N64" i="9" s="1"/>
  <c r="O64" i="9" s="1"/>
  <c r="N63" i="9"/>
  <c r="O63" i="9" s="1"/>
  <c r="M63" i="9"/>
  <c r="M62" i="9"/>
  <c r="N62" i="9" s="1"/>
  <c r="O62" i="9" s="1"/>
  <c r="N61" i="9"/>
  <c r="O61" i="9" s="1"/>
  <c r="M61" i="9"/>
  <c r="O60" i="9"/>
  <c r="N60" i="9"/>
  <c r="M60" i="9"/>
  <c r="N59" i="9"/>
  <c r="O59" i="9" s="1"/>
  <c r="M59" i="9"/>
  <c r="M58" i="9"/>
  <c r="N58" i="9" s="1"/>
  <c r="O58" i="9" s="1"/>
  <c r="M57" i="9"/>
  <c r="N57" i="9" s="1"/>
  <c r="O57" i="9" s="1"/>
  <c r="M56" i="9"/>
  <c r="N56" i="9" s="1"/>
  <c r="O56" i="9" s="1"/>
  <c r="N55" i="9"/>
  <c r="O55" i="9" s="1"/>
  <c r="M55" i="9"/>
  <c r="M54" i="9"/>
  <c r="N54" i="9" s="1"/>
  <c r="O54" i="9" s="1"/>
  <c r="N53" i="9"/>
  <c r="O53" i="9" s="1"/>
  <c r="M53" i="9"/>
  <c r="O52" i="9"/>
  <c r="N52" i="9"/>
  <c r="M52" i="9"/>
  <c r="N51" i="9"/>
  <c r="O51" i="9" s="1"/>
  <c r="M51" i="9"/>
  <c r="M50" i="9"/>
  <c r="N50" i="9" s="1"/>
  <c r="O50" i="9" s="1"/>
  <c r="M49" i="9"/>
  <c r="N49" i="9" s="1"/>
  <c r="O49" i="9" s="1"/>
  <c r="M48" i="9"/>
  <c r="N48" i="9" s="1"/>
  <c r="O48" i="9" s="1"/>
  <c r="N47" i="9"/>
  <c r="O47" i="9" s="1"/>
  <c r="M47" i="9"/>
  <c r="M46" i="9"/>
  <c r="N46" i="9" s="1"/>
  <c r="O46" i="9" s="1"/>
  <c r="N45" i="9"/>
  <c r="O45" i="9" s="1"/>
  <c r="M45" i="9"/>
  <c r="O44" i="9"/>
  <c r="N44" i="9"/>
  <c r="M44" i="9"/>
  <c r="N43" i="9"/>
  <c r="O43" i="9" s="1"/>
  <c r="M43" i="9"/>
  <c r="M42" i="9"/>
  <c r="N42" i="9" s="1"/>
  <c r="O42" i="9" s="1"/>
  <c r="M41" i="9"/>
  <c r="N41" i="9" s="1"/>
  <c r="O41" i="9" s="1"/>
  <c r="M40" i="9"/>
  <c r="N40" i="9" s="1"/>
  <c r="O40" i="9" s="1"/>
  <c r="N39" i="9"/>
  <c r="O39" i="9" s="1"/>
  <c r="M39" i="9"/>
  <c r="M38" i="9"/>
  <c r="N38" i="9" s="1"/>
  <c r="O38" i="9" s="1"/>
  <c r="N37" i="9"/>
  <c r="O37" i="9" s="1"/>
  <c r="M37" i="9"/>
  <c r="O36" i="9"/>
  <c r="N36" i="9"/>
  <c r="M36" i="9"/>
  <c r="N35" i="9"/>
  <c r="O35" i="9" s="1"/>
  <c r="M35" i="9"/>
  <c r="M34" i="9"/>
  <c r="N34" i="9" s="1"/>
  <c r="O34" i="9" s="1"/>
  <c r="M33" i="9"/>
  <c r="N33" i="9" s="1"/>
  <c r="O33" i="9" s="1"/>
  <c r="M32" i="9"/>
  <c r="N32" i="9" s="1"/>
  <c r="O32" i="9" s="1"/>
  <c r="N31" i="9"/>
  <c r="O31" i="9" s="1"/>
  <c r="M31" i="9"/>
  <c r="N30" i="9"/>
  <c r="O30" i="9" s="1"/>
  <c r="M30" i="9"/>
  <c r="N29" i="9"/>
  <c r="O29" i="9" s="1"/>
  <c r="M29" i="9"/>
  <c r="O28" i="9"/>
  <c r="N28" i="9"/>
  <c r="M28" i="9"/>
  <c r="O27" i="9"/>
  <c r="N27" i="9"/>
  <c r="M27" i="9"/>
  <c r="M26" i="9"/>
  <c r="N26" i="9" s="1"/>
  <c r="O26" i="9" s="1"/>
  <c r="M25" i="9"/>
  <c r="N25" i="9" s="1"/>
  <c r="O25" i="9" s="1"/>
  <c r="M24" i="9"/>
  <c r="N24" i="9" s="1"/>
  <c r="O24" i="9" s="1"/>
  <c r="N23" i="9"/>
  <c r="O23" i="9" s="1"/>
  <c r="M23" i="9"/>
  <c r="N22" i="9"/>
  <c r="O22" i="9" s="1"/>
  <c r="M22" i="9"/>
  <c r="N21" i="9"/>
  <c r="O21" i="9" s="1"/>
  <c r="M21" i="9"/>
  <c r="O20" i="9"/>
  <c r="N20" i="9"/>
  <c r="M20" i="9"/>
  <c r="O19" i="9"/>
  <c r="N19" i="9"/>
  <c r="M19" i="9"/>
  <c r="O18" i="9"/>
  <c r="N18" i="9"/>
  <c r="M18" i="9"/>
  <c r="M17" i="9"/>
  <c r="N17" i="9" s="1"/>
  <c r="O17" i="9" s="1"/>
  <c r="M16" i="9"/>
  <c r="N16" i="9" s="1"/>
  <c r="O16" i="9" s="1"/>
  <c r="O15" i="9"/>
  <c r="N15" i="9"/>
  <c r="M15" i="9"/>
  <c r="N14" i="9"/>
  <c r="O14" i="9" s="1"/>
  <c r="M14" i="9"/>
  <c r="N13" i="9"/>
  <c r="O13" i="9" s="1"/>
  <c r="M13" i="9"/>
  <c r="O12" i="9"/>
  <c r="N12" i="9"/>
  <c r="M12" i="9"/>
  <c r="O11" i="9"/>
  <c r="N11" i="9"/>
  <c r="M11" i="9"/>
  <c r="O10" i="9"/>
  <c r="N10" i="9"/>
  <c r="M10" i="9"/>
  <c r="M9" i="9"/>
  <c r="N9" i="9" s="1"/>
  <c r="O9" i="9" s="1"/>
  <c r="M8" i="9"/>
  <c r="N8" i="9" s="1"/>
  <c r="O8" i="9" s="1"/>
  <c r="O7" i="9"/>
  <c r="N7" i="9"/>
  <c r="M7" i="9"/>
  <c r="N6" i="9"/>
  <c r="O6" i="9" s="1"/>
  <c r="M6" i="9"/>
  <c r="N5" i="9"/>
  <c r="O5" i="9" s="1"/>
  <c r="M5" i="9"/>
  <c r="O4" i="9"/>
  <c r="N4" i="9"/>
  <c r="M4" i="9"/>
  <c r="O3" i="9"/>
  <c r="N3" i="9"/>
  <c r="M3" i="9"/>
  <c r="O2" i="9"/>
  <c r="N2" i="9"/>
  <c r="M2" i="9"/>
  <c r="Q52" i="5"/>
  <c r="Q51" i="5"/>
  <c r="Q50" i="5"/>
  <c r="Q49" i="5"/>
  <c r="Q48" i="5"/>
  <c r="Q47" i="5"/>
  <c r="Q46" i="5"/>
  <c r="Q45" i="5"/>
  <c r="M45" i="5"/>
  <c r="Q44" i="5"/>
  <c r="Q43" i="5"/>
  <c r="Q42" i="5"/>
  <c r="Q41" i="5"/>
  <c r="Q40" i="5"/>
  <c r="Q39" i="5"/>
  <c r="Q38" i="5"/>
  <c r="Q37" i="5"/>
  <c r="Q36" i="5"/>
  <c r="Q35" i="5"/>
  <c r="Q34" i="5"/>
  <c r="Q33" i="5"/>
  <c r="Q32" i="5"/>
  <c r="Q31" i="5"/>
  <c r="Q30" i="5"/>
  <c r="Q29" i="5"/>
  <c r="Q28" i="5"/>
  <c r="Q27" i="5"/>
  <c r="Q26" i="5"/>
  <c r="Q25" i="5"/>
  <c r="Q24" i="5"/>
  <c r="Q23" i="5"/>
  <c r="Q22" i="5"/>
  <c r="Q21" i="5"/>
  <c r="Q20" i="5"/>
  <c r="Q19" i="5"/>
  <c r="Q18" i="5"/>
  <c r="Q17" i="5"/>
  <c r="Q16" i="5"/>
  <c r="Q15" i="5"/>
  <c r="Q14" i="5"/>
  <c r="Q13" i="5"/>
  <c r="Q12" i="5"/>
  <c r="Q11" i="5"/>
  <c r="Q10" i="5"/>
  <c r="Q9" i="5"/>
  <c r="Q8" i="5"/>
  <c r="Q7" i="5"/>
  <c r="Q6" i="5"/>
  <c r="Q5" i="5"/>
  <c r="Q4" i="5"/>
  <c r="Q3" i="5"/>
  <c r="Q2" i="5"/>
  <c r="N56" i="4"/>
  <c r="N55" i="4"/>
  <c r="N54" i="4"/>
  <c r="N53" i="4"/>
  <c r="N52" i="4"/>
  <c r="N51" i="4"/>
  <c r="N50" i="4"/>
  <c r="R49" i="4"/>
  <c r="N49" i="4"/>
  <c r="N48" i="4"/>
  <c r="N47" i="4"/>
  <c r="N46" i="4"/>
  <c r="N45" i="4"/>
  <c r="N44" i="4"/>
  <c r="N43" i="4"/>
  <c r="N42" i="4"/>
  <c r="N41" i="4"/>
  <c r="N40" i="4"/>
  <c r="N39" i="4"/>
  <c r="N38" i="4"/>
  <c r="N37" i="4"/>
  <c r="N36" i="4"/>
  <c r="N35" i="4"/>
  <c r="N34" i="4"/>
  <c r="N33" i="4"/>
  <c r="N32" i="4"/>
  <c r="N31" i="4"/>
  <c r="N30" i="4"/>
  <c r="N29" i="4"/>
  <c r="N28" i="4"/>
  <c r="N27" i="4"/>
  <c r="R27" i="4" s="1"/>
  <c r="N26" i="4"/>
  <c r="N25" i="4"/>
  <c r="N24" i="4"/>
  <c r="N23" i="4"/>
  <c r="N22" i="4"/>
  <c r="N21" i="4"/>
  <c r="N20" i="4"/>
  <c r="N19" i="4"/>
  <c r="S18" i="4"/>
  <c r="N18" i="4"/>
  <c r="S17" i="4"/>
  <c r="N17" i="4"/>
  <c r="N16" i="4"/>
  <c r="N15" i="4"/>
  <c r="R15" i="4" s="1"/>
  <c r="N14" i="4"/>
  <c r="N13" i="4"/>
  <c r="N12" i="4"/>
  <c r="N11" i="4"/>
  <c r="N10" i="4"/>
  <c r="N9" i="4"/>
  <c r="N8" i="4"/>
  <c r="N7" i="4"/>
  <c r="N6" i="4"/>
  <c r="N5" i="4"/>
  <c r="N4" i="4"/>
  <c r="R3" i="4"/>
  <c r="N3" i="4"/>
  <c r="N2" i="4"/>
  <c r="L126" i="3"/>
  <c r="L125" i="3"/>
  <c r="L124" i="3"/>
  <c r="L123" i="3"/>
  <c r="L122" i="3"/>
  <c r="L121" i="3"/>
  <c r="L120" i="3"/>
  <c r="L119" i="3"/>
  <c r="L118" i="3"/>
  <c r="L117" i="3"/>
  <c r="L116" i="3"/>
  <c r="L115" i="3"/>
  <c r="L114" i="3"/>
  <c r="L113" i="3"/>
  <c r="L112" i="3"/>
  <c r="L111" i="3"/>
  <c r="L110" i="3"/>
  <c r="L109" i="3"/>
  <c r="L108" i="3"/>
  <c r="L107" i="3"/>
  <c r="L106" i="3"/>
  <c r="L105" i="3"/>
  <c r="L104" i="3"/>
  <c r="L103" i="3"/>
  <c r="L102" i="3"/>
  <c r="L101" i="3"/>
  <c r="L99" i="3"/>
  <c r="L98" i="3"/>
  <c r="L97" i="3"/>
  <c r="L96" i="3"/>
  <c r="L94" i="3"/>
  <c r="L93" i="3"/>
  <c r="L92" i="3"/>
  <c r="L91" i="3"/>
  <c r="L90" i="3"/>
  <c r="L89" i="3"/>
  <c r="L88" i="3"/>
  <c r="L87" i="3"/>
  <c r="L86" i="3"/>
  <c r="L85" i="3"/>
  <c r="L84" i="3"/>
  <c r="L83" i="3"/>
  <c r="L82" i="3"/>
  <c r="L81" i="3"/>
  <c r="L80" i="3"/>
  <c r="L79" i="3"/>
  <c r="L78" i="3"/>
  <c r="L77" i="3"/>
  <c r="L76" i="3"/>
  <c r="L75" i="3"/>
  <c r="L74" i="3"/>
  <c r="L73" i="3"/>
  <c r="L72" i="3"/>
  <c r="L71" i="3"/>
  <c r="L69" i="3"/>
  <c r="L68" i="3"/>
  <c r="L67" i="3"/>
  <c r="L66" i="3"/>
  <c r="L65" i="3"/>
  <c r="L64" i="3"/>
  <c r="L63" i="3"/>
  <c r="L62" i="3"/>
  <c r="L61" i="3"/>
  <c r="L60" i="3"/>
  <c r="L59" i="3"/>
  <c r="L58" i="3"/>
  <c r="L56" i="3"/>
  <c r="L55" i="3"/>
  <c r="L54" i="3"/>
  <c r="L53" i="3"/>
  <c r="L52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5" i="3"/>
  <c r="L34" i="3"/>
  <c r="L33" i="3"/>
  <c r="L32" i="3"/>
  <c r="L31" i="3"/>
  <c r="L30" i="3"/>
  <c r="L29" i="3"/>
  <c r="L28" i="3"/>
  <c r="L27" i="3"/>
  <c r="L26" i="3"/>
  <c r="L25" i="3"/>
  <c r="L24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6" i="3"/>
  <c r="L5" i="3"/>
  <c r="L4" i="3"/>
  <c r="L3" i="3"/>
  <c r="M52" i="2"/>
  <c r="M51" i="2"/>
  <c r="M50" i="2"/>
  <c r="M49" i="2"/>
  <c r="M48" i="2"/>
  <c r="M47" i="2"/>
  <c r="M46" i="2"/>
  <c r="M45" i="2"/>
  <c r="M44" i="2"/>
  <c r="M43" i="2"/>
  <c r="M42" i="2"/>
  <c r="M41" i="2"/>
  <c r="M40" i="2"/>
  <c r="M39" i="2"/>
  <c r="M38" i="2"/>
  <c r="M37" i="2"/>
  <c r="M36" i="2"/>
  <c r="M35" i="2"/>
  <c r="M34" i="2"/>
  <c r="M33" i="2"/>
  <c r="M32" i="2"/>
  <c r="M31" i="2"/>
  <c r="M30" i="2"/>
  <c r="M29" i="2"/>
  <c r="M28" i="2"/>
  <c r="M27" i="2"/>
  <c r="M26" i="2"/>
  <c r="M25" i="2"/>
  <c r="M24" i="2"/>
  <c r="M23" i="2"/>
  <c r="M22" i="2"/>
  <c r="M21" i="2"/>
  <c r="M20" i="2"/>
  <c r="M19" i="2"/>
  <c r="M18" i="2"/>
  <c r="M17" i="2"/>
  <c r="M16" i="2"/>
  <c r="M15" i="2"/>
  <c r="M14" i="2"/>
  <c r="M13" i="2"/>
  <c r="M12" i="2"/>
  <c r="M11" i="2"/>
  <c r="M10" i="2"/>
  <c r="M9" i="2"/>
  <c r="M8" i="2"/>
  <c r="M7" i="2"/>
  <c r="M6" i="2"/>
  <c r="M5" i="2"/>
  <c r="M4" i="2"/>
  <c r="M3" i="2"/>
  <c r="M2" i="2"/>
  <c r="O144" i="9" l="1"/>
  <c r="O146" i="9"/>
  <c r="R57" i="4"/>
  <c r="R58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246" authorId="0" shapeId="0" xr:uid="{00000000-0006-0000-0600-000001000000}">
      <text>
        <r>
          <rPr>
            <sz val="12"/>
            <color theme="1"/>
            <rFont val="Calibri"/>
            <scheme val="minor"/>
          </rPr>
          <t>This samples was wrong (187). The real one is 197. 
======</t>
        </r>
      </text>
    </comment>
  </commentList>
</comments>
</file>

<file path=xl/sharedStrings.xml><?xml version="1.0" encoding="utf-8"?>
<sst xmlns="http://schemas.openxmlformats.org/spreadsheetml/2006/main" count="7920" uniqueCount="980">
  <si>
    <t>Sample ID</t>
  </si>
  <si>
    <t>Date collected</t>
  </si>
  <si>
    <t>Time collected</t>
  </si>
  <si>
    <t>Date analysis</t>
  </si>
  <si>
    <t>Start time</t>
  </si>
  <si>
    <t>End time</t>
  </si>
  <si>
    <t>Results ml/L</t>
  </si>
  <si>
    <t>QA Flag</t>
  </si>
  <si>
    <t>Analyst</t>
  </si>
  <si>
    <t>Notes</t>
  </si>
  <si>
    <t>SS_7</t>
  </si>
  <si>
    <t>&lt; 0.1</t>
  </si>
  <si>
    <t>A</t>
  </si>
  <si>
    <t>MR</t>
  </si>
  <si>
    <t>SS_124</t>
  </si>
  <si>
    <t>SS_111</t>
  </si>
  <si>
    <t>SS_20</t>
  </si>
  <si>
    <t>SS_85</t>
  </si>
  <si>
    <t>SS_72</t>
  </si>
  <si>
    <t>SS_98</t>
  </si>
  <si>
    <t>SS_59</t>
  </si>
  <si>
    <t>SS_150</t>
  </si>
  <si>
    <t>SS_33</t>
  </si>
  <si>
    <t>SS_163</t>
  </si>
  <si>
    <t>SS_46</t>
  </si>
  <si>
    <t>SS_137</t>
  </si>
  <si>
    <t>SS_176</t>
  </si>
  <si>
    <t>SS_293</t>
  </si>
  <si>
    <t>SS_215</t>
  </si>
  <si>
    <t>SS_189</t>
  </si>
  <si>
    <t>SS_280</t>
  </si>
  <si>
    <t>SS_241</t>
  </si>
  <si>
    <t>SS_228</t>
  </si>
  <si>
    <t>SS_267</t>
  </si>
  <si>
    <t>SS_306</t>
  </si>
  <si>
    <t>SS_202</t>
  </si>
  <si>
    <t>SS_345</t>
  </si>
  <si>
    <t>SS_254</t>
  </si>
  <si>
    <t>SS_319</t>
  </si>
  <si>
    <t>SS_332</t>
  </si>
  <si>
    <t>The holding time was exceeded by 1 hour. The sample took time to reach room temperature.</t>
  </si>
  <si>
    <t>SS_397</t>
  </si>
  <si>
    <t>The holding time was exceeded by 5 minutes. The sample took time to reach room temperature.</t>
  </si>
  <si>
    <t>SS_358</t>
  </si>
  <si>
    <t>SS_371</t>
  </si>
  <si>
    <t>SS_449</t>
  </si>
  <si>
    <t>98:32:00 AM</t>
  </si>
  <si>
    <t>SS_423</t>
  </si>
  <si>
    <t>SS_410</t>
  </si>
  <si>
    <t>SS_462</t>
  </si>
  <si>
    <t>SS_488</t>
  </si>
  <si>
    <t>SS_384</t>
  </si>
  <si>
    <t>SS_436</t>
  </si>
  <si>
    <t>SS_540</t>
  </si>
  <si>
    <t>SS_514</t>
  </si>
  <si>
    <t>SS_475</t>
  </si>
  <si>
    <t>SS_527</t>
  </si>
  <si>
    <t>SS_501</t>
  </si>
  <si>
    <t>SS_566</t>
  </si>
  <si>
    <t>SS_579</t>
  </si>
  <si>
    <t>SS_618</t>
  </si>
  <si>
    <t>SS_605</t>
  </si>
  <si>
    <t>SS_553</t>
  </si>
  <si>
    <t>Date Start</t>
  </si>
  <si>
    <t>Time start</t>
  </si>
  <si>
    <t>Temp.start (°C)</t>
  </si>
  <si>
    <t>Date End</t>
  </si>
  <si>
    <t>Time End</t>
  </si>
  <si>
    <t>Temp. end °C</t>
  </si>
  <si>
    <t>Large Positive Wells</t>
  </si>
  <si>
    <t>Small Positive Wells</t>
  </si>
  <si>
    <t>MPN</t>
  </si>
  <si>
    <t>MPN by 10 (Dilution factor)</t>
  </si>
  <si>
    <t>Serratia marcenses</t>
  </si>
  <si>
    <t>N/A</t>
  </si>
  <si>
    <t>&lt; 1</t>
  </si>
  <si>
    <t>Lot Verified</t>
  </si>
  <si>
    <t>Aerococcus viridans</t>
  </si>
  <si>
    <t>Enterococcus faecium</t>
  </si>
  <si>
    <t>Blank</t>
  </si>
  <si>
    <t>Ent_11</t>
  </si>
  <si>
    <t>CH/MR</t>
  </si>
  <si>
    <t>Ent_128</t>
  </si>
  <si>
    <t>Ent_115</t>
  </si>
  <si>
    <t>Ent_24</t>
  </si>
  <si>
    <t>Ent_89</t>
  </si>
  <si>
    <t>Ent_76</t>
  </si>
  <si>
    <t>Ent_102</t>
  </si>
  <si>
    <t>Ent_63</t>
  </si>
  <si>
    <t>Ent_50</t>
  </si>
  <si>
    <t>MR/MG</t>
  </si>
  <si>
    <t>Ent_154</t>
  </si>
  <si>
    <t>Ent_167</t>
  </si>
  <si>
    <t>Ent_141</t>
  </si>
  <si>
    <t>Ent_37</t>
  </si>
  <si>
    <t>Ent_180</t>
  </si>
  <si>
    <t>Ent_297</t>
  </si>
  <si>
    <t>Ent_219</t>
  </si>
  <si>
    <t>Ent_193</t>
  </si>
  <si>
    <t>Ent_284</t>
  </si>
  <si>
    <t>Ent_245</t>
  </si>
  <si>
    <t>Ent_232</t>
  </si>
  <si>
    <t>Ent_271</t>
  </si>
  <si>
    <t>Ent_316</t>
  </si>
  <si>
    <t>MH/MG</t>
  </si>
  <si>
    <t>Ent_206</t>
  </si>
  <si>
    <t>Ent_349</t>
  </si>
  <si>
    <t>Ent_258</t>
  </si>
  <si>
    <t>Ent_323</t>
  </si>
  <si>
    <t>Ent_336</t>
  </si>
  <si>
    <t>MG</t>
  </si>
  <si>
    <t>Ent_401</t>
  </si>
  <si>
    <t>Ent_362</t>
  </si>
  <si>
    <t>Samples incubated on the small oven at 41 Celsius</t>
  </si>
  <si>
    <t>Ent_375</t>
  </si>
  <si>
    <t>Ent_453</t>
  </si>
  <si>
    <t>MO</t>
  </si>
  <si>
    <t>Ent_427</t>
  </si>
  <si>
    <t>Ent_414</t>
  </si>
  <si>
    <t>Ent_466</t>
  </si>
  <si>
    <t>Ent_492</t>
  </si>
  <si>
    <t>Ent_388</t>
  </si>
  <si>
    <t>Ent_440</t>
  </si>
  <si>
    <t>Ent_544</t>
  </si>
  <si>
    <t>Ent_518</t>
  </si>
  <si>
    <t>Ent_479</t>
  </si>
  <si>
    <t>Ent_531</t>
  </si>
  <si>
    <t>Ent_505</t>
  </si>
  <si>
    <t>Ent_570</t>
  </si>
  <si>
    <t>Ent_583</t>
  </si>
  <si>
    <t>Ent_622</t>
  </si>
  <si>
    <t>Ent_609</t>
  </si>
  <si>
    <t>Ent_557</t>
  </si>
  <si>
    <t>Date/Initial DO</t>
  </si>
  <si>
    <t>Time Initial DO measure</t>
  </si>
  <si>
    <t>Initial DO  mg/L</t>
  </si>
  <si>
    <t>Initial Temperature</t>
  </si>
  <si>
    <t>Time Final DO</t>
  </si>
  <si>
    <t>Final DOr mg/L</t>
  </si>
  <si>
    <t>Final Temperature</t>
  </si>
  <si>
    <t>BOD in mg/L</t>
  </si>
  <si>
    <t>CALIBRATION</t>
  </si>
  <si>
    <t>MG/MR</t>
  </si>
  <si>
    <t>BOD_3+GGAn_surface</t>
  </si>
  <si>
    <t>BOD_3n_surface</t>
  </si>
  <si>
    <t>BOD_3_surface</t>
  </si>
  <si>
    <t>BOD_4_bottom</t>
  </si>
  <si>
    <t>BOD_120_surface</t>
  </si>
  <si>
    <t>BOD_121_bottom</t>
  </si>
  <si>
    <t>BOD_107_surface</t>
  </si>
  <si>
    <t>BOD_108_bottom</t>
  </si>
  <si>
    <t>BOD_16_surface</t>
  </si>
  <si>
    <t>BOD_17_bottom</t>
  </si>
  <si>
    <t>BOD_81_surface</t>
  </si>
  <si>
    <t>BOD_82_bottom</t>
  </si>
  <si>
    <t>BOD_68+GGAn_surface</t>
  </si>
  <si>
    <t>BOD_68n_surface</t>
  </si>
  <si>
    <t>BOD_68_surface</t>
  </si>
  <si>
    <t>BOD_69_bottom</t>
  </si>
  <si>
    <t>BOD_94_surface</t>
  </si>
  <si>
    <t>BOD_95_bottom</t>
  </si>
  <si>
    <t>BOD_55_surface</t>
  </si>
  <si>
    <t>BOD_56_bottom</t>
  </si>
  <si>
    <t>BOD_42_surface</t>
  </si>
  <si>
    <t>BOD_43_bottom</t>
  </si>
  <si>
    <t>BOD_146_surface</t>
  </si>
  <si>
    <t>BOD_147_bottom</t>
  </si>
  <si>
    <t>BOD_159+GGAn_surface</t>
  </si>
  <si>
    <t>BOD_159n_surface</t>
  </si>
  <si>
    <t>BOD_159_surface</t>
  </si>
  <si>
    <t>BOD_160_bottom</t>
  </si>
  <si>
    <t>BOD_133_surface</t>
  </si>
  <si>
    <t>BOD_134_bottom</t>
  </si>
  <si>
    <t>BOD_29_surface</t>
  </si>
  <si>
    <t>BOD_30__bottom</t>
  </si>
  <si>
    <t>BOD_172_surface</t>
  </si>
  <si>
    <t>BOD_173_bottom</t>
  </si>
  <si>
    <t>BOD_289_surface</t>
  </si>
  <si>
    <t>BOD_290_bottom</t>
  </si>
  <si>
    <t>BOD_212+GGAn_bottom</t>
  </si>
  <si>
    <t>BOD_212n_bottom</t>
  </si>
  <si>
    <t>BOD_212_bottom</t>
  </si>
  <si>
    <t>BOD_211_surface</t>
  </si>
  <si>
    <t>BOD_185_surface</t>
  </si>
  <si>
    <t>BOD_186_bottom</t>
  </si>
  <si>
    <t>BOD_276_surface</t>
  </si>
  <si>
    <t>BOD_277_bottom</t>
  </si>
  <si>
    <t>BOD_237_surface</t>
  </si>
  <si>
    <t>BOD_238_bottom</t>
  </si>
  <si>
    <t>BOD_224_surface</t>
  </si>
  <si>
    <t>BOD_225_bottom</t>
  </si>
  <si>
    <t>BOD_264+GGAn_bottom</t>
  </si>
  <si>
    <t>BOD_264n_bottom</t>
  </si>
  <si>
    <t>BOD_263_surface</t>
  </si>
  <si>
    <t>BOD_264_bottom</t>
  </si>
  <si>
    <t>BOD_302_surface</t>
  </si>
  <si>
    <t>BOD_303_bottom</t>
  </si>
  <si>
    <t>BOD_198_surface</t>
  </si>
  <si>
    <t>BOD_199_bottom</t>
  </si>
  <si>
    <t>BOD_341_surface</t>
  </si>
  <si>
    <t>BOD_342_bottom</t>
  </si>
  <si>
    <t>BOD_250_surface</t>
  </si>
  <si>
    <t>BOD_251_bottom</t>
  </si>
  <si>
    <t>BOD_315+GGAn_surface</t>
  </si>
  <si>
    <t>BOD_315n_surface</t>
  </si>
  <si>
    <t>BOD_315_surface</t>
  </si>
  <si>
    <t>BOD_316_bottom</t>
  </si>
  <si>
    <t>BOD_328_surface</t>
  </si>
  <si>
    <t>The holding time was exceeded by 3 hrs and 18 min. The sample took time to reach room temperature. Probems with the BOD</t>
  </si>
  <si>
    <t>BOD_329_bottom</t>
  </si>
  <si>
    <t>BOD_393_surface</t>
  </si>
  <si>
    <t>The holding time was exceeded by 2 hrs and 14 min. The sample took time to reach room temperature.</t>
  </si>
  <si>
    <t>BOD_394_bottom</t>
  </si>
  <si>
    <t>BOD_354_surface</t>
  </si>
  <si>
    <t>BOD_355_bottom</t>
  </si>
  <si>
    <t>BOD_367_surface</t>
  </si>
  <si>
    <t>BOD_368_bottom</t>
  </si>
  <si>
    <t>BOD_445+GGAn_surface</t>
  </si>
  <si>
    <t>Paddle in the probe dont' move. The Stirrer mixed the sample in the BOD bottle</t>
  </si>
  <si>
    <t>BOD_445n_surface</t>
  </si>
  <si>
    <t>BOD_445_surface</t>
  </si>
  <si>
    <t>BOD_446_bottom</t>
  </si>
  <si>
    <t>BOD_419_surface</t>
  </si>
  <si>
    <t>BOD_420_bottom</t>
  </si>
  <si>
    <t>BOD_406_surface</t>
  </si>
  <si>
    <t>BOD_407_bottom</t>
  </si>
  <si>
    <t>BOD_458_surface</t>
  </si>
  <si>
    <t>BOD_459_bottom</t>
  </si>
  <si>
    <t>BOD_484_surface</t>
  </si>
  <si>
    <t>BOD_485_bottom</t>
  </si>
  <si>
    <t>BOD_380+GGAn_surface</t>
  </si>
  <si>
    <t>BOD_380n_surface</t>
  </si>
  <si>
    <t>BOD_380_surface</t>
  </si>
  <si>
    <t>BOD_381_bottom</t>
  </si>
  <si>
    <t>BOD_432_surface</t>
  </si>
  <si>
    <t>MR/JC</t>
  </si>
  <si>
    <t>BOD_433_bottom</t>
  </si>
  <si>
    <t>BOD_536_surface</t>
  </si>
  <si>
    <t>BOD_537_bottom</t>
  </si>
  <si>
    <t>Hydrolab calibration</t>
  </si>
  <si>
    <t>The calibration with the hydrolab was only for the final DO</t>
  </si>
  <si>
    <t>BOD_510_surface</t>
  </si>
  <si>
    <t>BOD_511_bottom</t>
  </si>
  <si>
    <t>BOD_471_surface</t>
  </si>
  <si>
    <t>BOD_472_bottom</t>
  </si>
  <si>
    <t>BOD_523+GGAn_surface</t>
  </si>
  <si>
    <t>BOD_523n_surface</t>
  </si>
  <si>
    <t>BOD_523_surface</t>
  </si>
  <si>
    <t>BOD_524_bottom</t>
  </si>
  <si>
    <t>BOD_497_surface</t>
  </si>
  <si>
    <t>BOD_498_bottom</t>
  </si>
  <si>
    <t>BOD_562_surface</t>
  </si>
  <si>
    <t>BOD_563_bottom</t>
  </si>
  <si>
    <t>BOD_575_surface</t>
  </si>
  <si>
    <t>BOD_576_bottom</t>
  </si>
  <si>
    <t>BOD_614_surface</t>
  </si>
  <si>
    <t>BOD_615_bottom</t>
  </si>
  <si>
    <t>The Hydrolab was used for initial and final DO</t>
  </si>
  <si>
    <t>Start MT, End TAC, JM</t>
  </si>
  <si>
    <t>BOD_601+GGAn_surface</t>
  </si>
  <si>
    <t>BOD_601n_surface</t>
  </si>
  <si>
    <t>BOD_601_surface</t>
  </si>
  <si>
    <t>BOD_602_bottom</t>
  </si>
  <si>
    <t>BOD_549+GGAn_surface</t>
  </si>
  <si>
    <t>BOD_549n_surface</t>
  </si>
  <si>
    <t>BOD_549_surface</t>
  </si>
  <si>
    <t>BOD_550_bottom</t>
  </si>
  <si>
    <t>Cellulose weight (mg)</t>
  </si>
  <si>
    <t>Date  collected</t>
  </si>
  <si>
    <t>Date analyzed</t>
  </si>
  <si>
    <t>Oven time</t>
  </si>
  <si>
    <t>RTU initial weight (mg)</t>
  </si>
  <si>
    <t>Volume sample (L)</t>
  </si>
  <si>
    <t>Filter weight 1 (mg)</t>
  </si>
  <si>
    <t>Filter weight 2 (mg)</t>
  </si>
  <si>
    <t>Filter weight 3 (mg)</t>
  </si>
  <si>
    <t>Filter ID</t>
  </si>
  <si>
    <t>Result (mg/L)</t>
  </si>
  <si>
    <t>Note</t>
  </si>
  <si>
    <t>F0021145</t>
  </si>
  <si>
    <t>R</t>
  </si>
  <si>
    <t xml:space="preserve">Cellulose </t>
  </si>
  <si>
    <t>F0021265</t>
  </si>
  <si>
    <t>TSS_8</t>
  </si>
  <si>
    <t>F0021263</t>
  </si>
  <si>
    <t>TSS_125</t>
  </si>
  <si>
    <t>F0021160</t>
  </si>
  <si>
    <t>TSS_112</t>
  </si>
  <si>
    <t>F0021147</t>
  </si>
  <si>
    <t>TSS_21</t>
  </si>
  <si>
    <t>F0021268</t>
  </si>
  <si>
    <t>TSS_86</t>
  </si>
  <si>
    <t>F0021153</t>
  </si>
  <si>
    <t>TSS_73</t>
  </si>
  <si>
    <t>F0021158</t>
  </si>
  <si>
    <t>TSS_99</t>
  </si>
  <si>
    <t>F0021159</t>
  </si>
  <si>
    <t>TSS_60</t>
  </si>
  <si>
    <t>F0021155</t>
  </si>
  <si>
    <t>TSS_47</t>
  </si>
  <si>
    <t>F0021254</t>
  </si>
  <si>
    <t>TSS_151</t>
  </si>
  <si>
    <t>F0021255</t>
  </si>
  <si>
    <t>F0021260</t>
  </si>
  <si>
    <t>F0021469</t>
  </si>
  <si>
    <t>TSS_164</t>
  </si>
  <si>
    <t>TSS_138</t>
  </si>
  <si>
    <t>F0021264</t>
  </si>
  <si>
    <t>TSS_34</t>
  </si>
  <si>
    <t>F0021259</t>
  </si>
  <si>
    <t>TSS_177</t>
  </si>
  <si>
    <t>F0021415</t>
  </si>
  <si>
    <t>TSS_294</t>
  </si>
  <si>
    <t>F0021470</t>
  </si>
  <si>
    <t>TSS_216</t>
  </si>
  <si>
    <t>20:02 pm</t>
  </si>
  <si>
    <t>F0021410</t>
  </si>
  <si>
    <t>TSS_190</t>
  </si>
  <si>
    <t>F0021465</t>
  </si>
  <si>
    <t>TSS_281</t>
  </si>
  <si>
    <t>F0021408</t>
  </si>
  <si>
    <t>TSS_242</t>
  </si>
  <si>
    <t>F0021405</t>
  </si>
  <si>
    <t>TSS_229</t>
  </si>
  <si>
    <t>F0021414</t>
  </si>
  <si>
    <t>F0021416</t>
  </si>
  <si>
    <t>F0021411</t>
  </si>
  <si>
    <t>TSS_268</t>
  </si>
  <si>
    <t>F0021409</t>
  </si>
  <si>
    <t>TSS_307</t>
  </si>
  <si>
    <t>F0021247</t>
  </si>
  <si>
    <t>TSS_203</t>
  </si>
  <si>
    <t>F0021420</t>
  </si>
  <si>
    <t>TSS_346</t>
  </si>
  <si>
    <t>F0021250</t>
  </si>
  <si>
    <t>TSS_255</t>
  </si>
  <si>
    <t>F0021417</t>
  </si>
  <si>
    <t>TSS_320</t>
  </si>
  <si>
    <t>F0021423</t>
  </si>
  <si>
    <t>TSS_333</t>
  </si>
  <si>
    <t>F0021406</t>
  </si>
  <si>
    <t>The holding time was exceeded by 2 hrs. 20 min. The sample took time to reach room temperature.</t>
  </si>
  <si>
    <t>TSS_398</t>
  </si>
  <si>
    <t>F0021471</t>
  </si>
  <si>
    <t>The holding time was exceeded by 1 hrs. 25 min. The sample took time to reach room temperature.</t>
  </si>
  <si>
    <t>TSS_359</t>
  </si>
  <si>
    <t>F0021245</t>
  </si>
  <si>
    <t>TSS_372</t>
  </si>
  <si>
    <t>F0021249</t>
  </si>
  <si>
    <t>TSS_450</t>
  </si>
  <si>
    <t>F0021466</t>
  </si>
  <si>
    <t>TSS_424</t>
  </si>
  <si>
    <t>F0021246</t>
  </si>
  <si>
    <t>TSS_411</t>
  </si>
  <si>
    <t>H0015140</t>
  </si>
  <si>
    <t>TSS_463</t>
  </si>
  <si>
    <t>H0015095</t>
  </si>
  <si>
    <t>TSS_489</t>
  </si>
  <si>
    <t>H0015141</t>
  </si>
  <si>
    <t>TSS_385</t>
  </si>
  <si>
    <t>H0015094</t>
  </si>
  <si>
    <t>TSS_437</t>
  </si>
  <si>
    <t>H0015260</t>
  </si>
  <si>
    <t>TSS_541</t>
  </si>
  <si>
    <t>H0015211</t>
  </si>
  <si>
    <t>TSS_515</t>
  </si>
  <si>
    <t>H0015160</t>
  </si>
  <si>
    <t>TSS_476</t>
  </si>
  <si>
    <t>H0015155</t>
  </si>
  <si>
    <t>F0021418</t>
  </si>
  <si>
    <t>F0021412</t>
  </si>
  <si>
    <t>TSS_528</t>
  </si>
  <si>
    <t>H0015153</t>
  </si>
  <si>
    <t>TSS_502</t>
  </si>
  <si>
    <t>H0015148</t>
  </si>
  <si>
    <t>TSS_567</t>
  </si>
  <si>
    <t>H0015154</t>
  </si>
  <si>
    <t>TSS_619</t>
  </si>
  <si>
    <t>H0015143</t>
  </si>
  <si>
    <t>TSS_580</t>
  </si>
  <si>
    <t>H0015159</t>
  </si>
  <si>
    <t>TSS_606</t>
  </si>
  <si>
    <t>H0015138</t>
  </si>
  <si>
    <t>TSS_554</t>
  </si>
  <si>
    <t>H0015142</t>
  </si>
  <si>
    <t>Date Collected</t>
  </si>
  <si>
    <t>Time Collected</t>
  </si>
  <si>
    <t>Date Filtered</t>
  </si>
  <si>
    <t>Time Filtered</t>
  </si>
  <si>
    <t>Volume Filtered (mL)</t>
  </si>
  <si>
    <t>Date Extract</t>
  </si>
  <si>
    <t>Time Extract</t>
  </si>
  <si>
    <t>Volume Extract (mL)</t>
  </si>
  <si>
    <t>Cuvette Width (cm)</t>
  </si>
  <si>
    <t>664nm_b</t>
  </si>
  <si>
    <t>665nm_b</t>
  </si>
  <si>
    <t>750nm_b</t>
  </si>
  <si>
    <t>664nm_a</t>
  </si>
  <si>
    <t>665nm_a</t>
  </si>
  <si>
    <t>750nm_a</t>
  </si>
  <si>
    <t>Chl-a (µg/L)</t>
  </si>
  <si>
    <t>Chl_standard (243ug/L)</t>
  </si>
  <si>
    <t>Chl_a_5</t>
  </si>
  <si>
    <t>310 pm</t>
  </si>
  <si>
    <t>Chl_a_122</t>
  </si>
  <si>
    <t>Chl_a_109</t>
  </si>
  <si>
    <t>Chl_a_18</t>
  </si>
  <si>
    <t>Chl_a_83</t>
  </si>
  <si>
    <t>Chl_a_70</t>
  </si>
  <si>
    <t>Chl_a_96</t>
  </si>
  <si>
    <t>Chl_a_57</t>
  </si>
  <si>
    <t>Chl_a_44</t>
  </si>
  <si>
    <t>Chl_a_148</t>
  </si>
  <si>
    <t>Chl_a_161</t>
  </si>
  <si>
    <t>Chl_a_135</t>
  </si>
  <si>
    <t>Chl_a_31</t>
  </si>
  <si>
    <t>duplicado del 135</t>
  </si>
  <si>
    <t>Chl_a_174</t>
  </si>
  <si>
    <t>Chl_a_291</t>
  </si>
  <si>
    <t>Chl_a_213</t>
  </si>
  <si>
    <t>Chl_a_187</t>
  </si>
  <si>
    <t>Chl_a_278</t>
  </si>
  <si>
    <t>Chl_a_239</t>
  </si>
  <si>
    <t>Chl_a_226</t>
  </si>
  <si>
    <t>duplicado del 239</t>
  </si>
  <si>
    <t>Chl_a_265</t>
  </si>
  <si>
    <t>Chl_a_304</t>
  </si>
  <si>
    <t>Chl_a_200</t>
  </si>
  <si>
    <t>Chl_a_343</t>
  </si>
  <si>
    <t>Chl_a_252</t>
  </si>
  <si>
    <t>Chl_a_317</t>
  </si>
  <si>
    <t>Chl_standard (243 ug/L)</t>
  </si>
  <si>
    <t>Chl_a_330</t>
  </si>
  <si>
    <t>Chl_a_395</t>
  </si>
  <si>
    <t>Chl_a_356</t>
  </si>
  <si>
    <t>Chl_a_369</t>
  </si>
  <si>
    <t>Chl_a_447</t>
  </si>
  <si>
    <t>Chl_a_421</t>
  </si>
  <si>
    <t>Chl_a_408</t>
  </si>
  <si>
    <t>Chl_a_460</t>
  </si>
  <si>
    <t>Chl_a_486</t>
  </si>
  <si>
    <t>Chl_a_382</t>
  </si>
  <si>
    <t>Chl_a_434</t>
  </si>
  <si>
    <t>Chl_a_538</t>
  </si>
  <si>
    <t>Chl_standard (201 ug/L)</t>
  </si>
  <si>
    <t>Chl_a_512</t>
  </si>
  <si>
    <t>Chl_a_473</t>
  </si>
  <si>
    <t>Chl_a_525</t>
  </si>
  <si>
    <t>Chl_a_499</t>
  </si>
  <si>
    <t>Chl_a_564</t>
  </si>
  <si>
    <t>Chl_a_577</t>
  </si>
  <si>
    <t>Chl_a_616</t>
  </si>
  <si>
    <t>Chl_standard(22.6ug/L)</t>
  </si>
  <si>
    <t>Chl_a_603</t>
  </si>
  <si>
    <t>Chl_a_551</t>
  </si>
  <si>
    <t xml:space="preserve">Date Collected </t>
  </si>
  <si>
    <t xml:space="preserve">Time Collected </t>
  </si>
  <si>
    <t>Date Analyzed</t>
  </si>
  <si>
    <t>Time Analyzed</t>
  </si>
  <si>
    <t>NTU</t>
  </si>
  <si>
    <t>Turb_6</t>
  </si>
  <si>
    <t>Turb_123</t>
  </si>
  <si>
    <t>Turb_110</t>
  </si>
  <si>
    <t>Turb_19</t>
  </si>
  <si>
    <t>Turb_84</t>
  </si>
  <si>
    <t>Turb_71</t>
  </si>
  <si>
    <t>Turb_97</t>
  </si>
  <si>
    <t>Turb_58</t>
  </si>
  <si>
    <t>Turb_45</t>
  </si>
  <si>
    <t>Turb_149</t>
  </si>
  <si>
    <t>Turb_162</t>
  </si>
  <si>
    <t>Turb_136</t>
  </si>
  <si>
    <t>Turb_32</t>
  </si>
  <si>
    <t>Turb_175</t>
  </si>
  <si>
    <t>CH</t>
  </si>
  <si>
    <t>Turb_292</t>
  </si>
  <si>
    <t>Turb_214</t>
  </si>
  <si>
    <t>Turb_188</t>
  </si>
  <si>
    <t>Turb_279</t>
  </si>
  <si>
    <t>Turb_240</t>
  </si>
  <si>
    <t>Turb_227</t>
  </si>
  <si>
    <t>Turb_266</t>
  </si>
  <si>
    <t>Turb_305</t>
  </si>
  <si>
    <t>Turb_201</t>
  </si>
  <si>
    <t>Turb_344</t>
  </si>
  <si>
    <t>Turb_253</t>
  </si>
  <si>
    <t>Turb_318</t>
  </si>
  <si>
    <t>Turb_331</t>
  </si>
  <si>
    <t>Turb_396</t>
  </si>
  <si>
    <t>Turb_357</t>
  </si>
  <si>
    <t>Turb_370</t>
  </si>
  <si>
    <t>Turb_448</t>
  </si>
  <si>
    <t>Turb_422</t>
  </si>
  <si>
    <t>Turb_409</t>
  </si>
  <si>
    <t>Turb_461</t>
  </si>
  <si>
    <t>Turb_4350</t>
  </si>
  <si>
    <t>Turb_383</t>
  </si>
  <si>
    <t>Turb_4351</t>
  </si>
  <si>
    <t>Turb_539</t>
  </si>
  <si>
    <t>Turb_513</t>
  </si>
  <si>
    <t>Turb_474</t>
  </si>
  <si>
    <t>Turb_526</t>
  </si>
  <si>
    <t>Turb_500</t>
  </si>
  <si>
    <t>Turb_565</t>
  </si>
  <si>
    <t>Turb_578</t>
  </si>
  <si>
    <t>Turb_617</t>
  </si>
  <si>
    <t>Turb_604</t>
  </si>
  <si>
    <t>Turb_552</t>
  </si>
  <si>
    <t>Sample # In Batch</t>
  </si>
  <si>
    <t>Sample Name</t>
  </si>
  <si>
    <t>Port</t>
  </si>
  <si>
    <t>Volume (ml)</t>
  </si>
  <si>
    <t>Start Time</t>
  </si>
  <si>
    <t>Attempt #</t>
  </si>
  <si>
    <t>Cell Temp (C)</t>
  </si>
  <si>
    <t>H2O (‰)</t>
  </si>
  <si>
    <t>Initial Baseline (ppm)</t>
  </si>
  <si>
    <t>Final Baseline (ppm)</t>
  </si>
  <si>
    <t>Peak (ppm)</t>
  </si>
  <si>
    <t>Integration Time (sec)</t>
  </si>
  <si>
    <t>Area (net)</t>
  </si>
  <si>
    <t>Area (net avg)</t>
  </si>
  <si>
    <t>DIC (uM)</t>
  </si>
  <si>
    <t>QA</t>
  </si>
  <si>
    <t>Status</t>
  </si>
  <si>
    <t>Wait Btwn Repeat (s)</t>
  </si>
  <si>
    <t>Wait Btwn Sample (s)</t>
  </si>
  <si>
    <t>Flush Volume (ml)</t>
  </si>
  <si>
    <t>Pre-Acid Volume (ml)</t>
  </si>
  <si>
    <t>Acid Volume (ml)</t>
  </si>
  <si>
    <t>Injection Speed (sps)</t>
  </si>
  <si>
    <t>End Analysis - Criteria</t>
  </si>
  <si>
    <t>End Analysis - Value</t>
  </si>
  <si>
    <t>Precision</t>
  </si>
  <si>
    <t>Standard Curve</t>
  </si>
  <si>
    <t>Gas Flowrate</t>
  </si>
  <si>
    <t>0001S-1-1</t>
  </si>
  <si>
    <t>Single</t>
  </si>
  <si>
    <t>C (STD)</t>
  </si>
  <si>
    <t>Valid</t>
  </si>
  <si>
    <t>Deviation</t>
  </si>
  <si>
    <t>0.00100+0.00000</t>
  </si>
  <si>
    <t>Linear Fit</t>
  </si>
  <si>
    <t>0002S-1-1</t>
  </si>
  <si>
    <t>0003S-1-1</t>
  </si>
  <si>
    <t>0004S-1-1</t>
  </si>
  <si>
    <t>0005S-1-1</t>
  </si>
  <si>
    <t>0006S-1-1</t>
  </si>
  <si>
    <t>0007S-1-1</t>
  </si>
  <si>
    <t>0008S-1-1</t>
  </si>
  <si>
    <t>0009A-1-1</t>
  </si>
  <si>
    <t>1A</t>
  </si>
  <si>
    <t>CRM_213_0553</t>
  </si>
  <si>
    <t>Excluded</t>
  </si>
  <si>
    <t>0009A-1-2</t>
  </si>
  <si>
    <t>0009A-1-3</t>
  </si>
  <si>
    <t>0009A-1-4</t>
  </si>
  <si>
    <t>0009B-1-1</t>
  </si>
  <si>
    <t>1B</t>
  </si>
  <si>
    <t>0009B-1-2</t>
  </si>
  <si>
    <t>0009C-1-1</t>
  </si>
  <si>
    <t>1C</t>
  </si>
  <si>
    <t>0009C-1-2</t>
  </si>
  <si>
    <t>0010S-1-1</t>
  </si>
  <si>
    <t>D</t>
  </si>
  <si>
    <t>0010S-1-2</t>
  </si>
  <si>
    <t>0010S-1-3</t>
  </si>
  <si>
    <t>0011S-1-1</t>
  </si>
  <si>
    <t>E</t>
  </si>
  <si>
    <t>0011S-1-2</t>
  </si>
  <si>
    <t>0012S-1-1</t>
  </si>
  <si>
    <t>F</t>
  </si>
  <si>
    <t>0012S-1-2</t>
  </si>
  <si>
    <t>0012S-1-3</t>
  </si>
  <si>
    <t>0013S-1-1</t>
  </si>
  <si>
    <t>G</t>
  </si>
  <si>
    <t>0013S-1-2</t>
  </si>
  <si>
    <t>0013S-1-3</t>
  </si>
  <si>
    <t>0014S-1-1</t>
  </si>
  <si>
    <t>H</t>
  </si>
  <si>
    <t>0014S-1-2</t>
  </si>
  <si>
    <t>0015S-1-1</t>
  </si>
  <si>
    <t>I</t>
  </si>
  <si>
    <t>0015S-1-2</t>
  </si>
  <si>
    <t>0016S-1-1</t>
  </si>
  <si>
    <t>J</t>
  </si>
  <si>
    <t>0016S-1-2</t>
  </si>
  <si>
    <t>0016S-1-3</t>
  </si>
  <si>
    <t>0017S-1-1</t>
  </si>
  <si>
    <t>K</t>
  </si>
  <si>
    <t>0017S-1-2</t>
  </si>
  <si>
    <t>0018A-1-1</t>
  </si>
  <si>
    <t>0018A-1-2</t>
  </si>
  <si>
    <t>0018B-1-1</t>
  </si>
  <si>
    <t>0018B-1-2</t>
  </si>
  <si>
    <t>0018C-1-1</t>
  </si>
  <si>
    <t>0018C-1-2</t>
  </si>
  <si>
    <t>0019S-1-1</t>
  </si>
  <si>
    <t>0019S-1-2</t>
  </si>
  <si>
    <t>0020S-1-1</t>
  </si>
  <si>
    <t>0020S-1-2</t>
  </si>
  <si>
    <t>0021S-1-1</t>
  </si>
  <si>
    <t>0021S-1-2</t>
  </si>
  <si>
    <t>NO VALID, the samples were repeated in the same port</t>
  </si>
  <si>
    <t>0021S-1-3</t>
  </si>
  <si>
    <t>0021S-1-4</t>
  </si>
  <si>
    <t>0022S-1-1</t>
  </si>
  <si>
    <t>Failed</t>
  </si>
  <si>
    <t>0022S-1-2</t>
  </si>
  <si>
    <t>0022S-1-3</t>
  </si>
  <si>
    <t>0022S-1-4</t>
  </si>
  <si>
    <t>0022S-1-5</t>
  </si>
  <si>
    <t>BL Diff</t>
  </si>
  <si>
    <t>0022S-2-1</t>
  </si>
  <si>
    <t>0022S-2-2</t>
  </si>
  <si>
    <t>0022S-2-3</t>
  </si>
  <si>
    <t>0022S-2-4</t>
  </si>
  <si>
    <t>0022S-2-5</t>
  </si>
  <si>
    <t>0023S-1-1</t>
  </si>
  <si>
    <t>Not Used</t>
  </si>
  <si>
    <t>0023S-1-2</t>
  </si>
  <si>
    <t>0023S-1-3</t>
  </si>
  <si>
    <t>0023S-1-4</t>
  </si>
  <si>
    <t>Halted</t>
  </si>
  <si>
    <t>0023S-1-5</t>
  </si>
  <si>
    <t>0023S-1-6</t>
  </si>
  <si>
    <t>0023S-1-7</t>
  </si>
  <si>
    <t>0024S-1-1</t>
  </si>
  <si>
    <t>0024S-1-2</t>
  </si>
  <si>
    <t>0025S-1-1</t>
  </si>
  <si>
    <t>0025S-1-2</t>
  </si>
  <si>
    <t>0025S-1-3</t>
  </si>
  <si>
    <t>0026S-1-1</t>
  </si>
  <si>
    <t>0026S-1-2</t>
  </si>
  <si>
    <t>0027A-1-1</t>
  </si>
  <si>
    <t>0027A-1-2</t>
  </si>
  <si>
    <t>0027B-1-1</t>
  </si>
  <si>
    <t>0027B-1-2</t>
  </si>
  <si>
    <t>0027C-1-1</t>
  </si>
  <si>
    <t>0027C-1-2</t>
  </si>
  <si>
    <t>0028S-1-1</t>
  </si>
  <si>
    <t>0028S-1-2</t>
  </si>
  <si>
    <t>0028S-1-3</t>
  </si>
  <si>
    <t>0029S-1-1</t>
  </si>
  <si>
    <t>0029S-1-2</t>
  </si>
  <si>
    <t>0029S-1-3</t>
  </si>
  <si>
    <t>0029S-1-4</t>
  </si>
  <si>
    <t>0029S-1-5</t>
  </si>
  <si>
    <t>0030S-1-1</t>
  </si>
  <si>
    <t>Samples repetead because failed before. Valid samples.</t>
  </si>
  <si>
    <t>0030S-1-2</t>
  </si>
  <si>
    <t>0031S-1-1</t>
  </si>
  <si>
    <t>0031S-1-2</t>
  </si>
  <si>
    <t>0031S-1-3</t>
  </si>
  <si>
    <t>0032S-1-1</t>
  </si>
  <si>
    <t>0032S-1-2</t>
  </si>
  <si>
    <t>0032S-1-3</t>
  </si>
  <si>
    <t>0033S-1-1</t>
  </si>
  <si>
    <t>0033S-1-2</t>
  </si>
  <si>
    <t>0034S-1-1</t>
  </si>
  <si>
    <t>0034S-1-2</t>
  </si>
  <si>
    <t>0034S-1-3</t>
  </si>
  <si>
    <t>0034S-1-4</t>
  </si>
  <si>
    <t>0034S-1-5</t>
  </si>
  <si>
    <t>0035S-1-1</t>
  </si>
  <si>
    <t>0035S-1-2</t>
  </si>
  <si>
    <t>0036A-1-1</t>
  </si>
  <si>
    <t>0036A-1-2</t>
  </si>
  <si>
    <t>0036A-1-3</t>
  </si>
  <si>
    <t>0036A-1-4</t>
  </si>
  <si>
    <t>0036B-1-1</t>
  </si>
  <si>
    <t>0036B-1-2</t>
  </si>
  <si>
    <t>0036C-1-1</t>
  </si>
  <si>
    <t>0036C-1-2</t>
  </si>
  <si>
    <t>0036C-1-3</t>
  </si>
  <si>
    <t>NaHCO3</t>
  </si>
  <si>
    <t>0009S-1-1</t>
  </si>
  <si>
    <t>0012A-1-1</t>
  </si>
  <si>
    <t>CRM_213_0776</t>
  </si>
  <si>
    <t>0012A-1-2</t>
  </si>
  <si>
    <t>0012A-1-3</t>
  </si>
  <si>
    <t>0012B-1-1</t>
  </si>
  <si>
    <t>0012B-1-2</t>
  </si>
  <si>
    <t>0012C-1-1</t>
  </si>
  <si>
    <t>0012C-1-2</t>
  </si>
  <si>
    <t>0017S-1-3</t>
  </si>
  <si>
    <t>0017S-1-4</t>
  </si>
  <si>
    <t>0017S-1-5</t>
  </si>
  <si>
    <t>0018S-1-1</t>
  </si>
  <si>
    <t>0018S-1-2</t>
  </si>
  <si>
    <t>0018S-1-3</t>
  </si>
  <si>
    <t>0020S-1-3</t>
  </si>
  <si>
    <t>0021A-1-1</t>
  </si>
  <si>
    <t>0021A-1-2</t>
  </si>
  <si>
    <t>0021B-1-1</t>
  </si>
  <si>
    <t>0021B-1-2</t>
  </si>
  <si>
    <t>0021B-1-3</t>
  </si>
  <si>
    <t>0021B-1-4</t>
  </si>
  <si>
    <t>0021C-1-1</t>
  </si>
  <si>
    <t>0021C-1-2</t>
  </si>
  <si>
    <t>0025S-1-4</t>
  </si>
  <si>
    <t>0025S-1-5</t>
  </si>
  <si>
    <t>0025S-2-1</t>
  </si>
  <si>
    <t>0025S-2-2</t>
  </si>
  <si>
    <t>0027S-1-1</t>
  </si>
  <si>
    <t>0027S-1-2</t>
  </si>
  <si>
    <t>0027S-1-3</t>
  </si>
  <si>
    <t>0030A-1-1</t>
  </si>
  <si>
    <t>0030A-1-2</t>
  </si>
  <si>
    <t>0030B-1-1</t>
  </si>
  <si>
    <t>0030B-1-2</t>
  </si>
  <si>
    <t>0030C-1-1</t>
  </si>
  <si>
    <t>0030C-1-2</t>
  </si>
  <si>
    <t>0030C-1-3</t>
  </si>
  <si>
    <t>0030C-1-4</t>
  </si>
  <si>
    <t>0033S-1-3</t>
  </si>
  <si>
    <t>0035S-1-3</t>
  </si>
  <si>
    <t>0035S-1-4</t>
  </si>
  <si>
    <t>0035S-1-5</t>
  </si>
  <si>
    <t>0035S-2-1</t>
  </si>
  <si>
    <t>0035S-2-2</t>
  </si>
  <si>
    <t>0035S-2-3</t>
  </si>
  <si>
    <t>0036S-1-1</t>
  </si>
  <si>
    <t>0037S-1-1</t>
  </si>
  <si>
    <t>0038S-1-1</t>
  </si>
  <si>
    <t>0011A-1-1</t>
  </si>
  <si>
    <t>CRM_213_0842</t>
  </si>
  <si>
    <t>0011A-1-2</t>
  </si>
  <si>
    <t>0011A-1-3</t>
  </si>
  <si>
    <t>0011A-1-4</t>
  </si>
  <si>
    <t>0011A-1-5</t>
  </si>
  <si>
    <t>0011B-1-1</t>
  </si>
  <si>
    <t>0011B-1-2</t>
  </si>
  <si>
    <t>0011C-1-1</t>
  </si>
  <si>
    <t>0011C-1-2</t>
  </si>
  <si>
    <t>0016S-1-4</t>
  </si>
  <si>
    <t>0016S-1-5</t>
  </si>
  <si>
    <t>0016S-2-1</t>
  </si>
  <si>
    <t>0016S-2-2</t>
  </si>
  <si>
    <t>0019S-1-3</t>
  </si>
  <si>
    <t>0019S-1-4</t>
  </si>
  <si>
    <t>0020A-1-1</t>
  </si>
  <si>
    <t>0020A-1-2</t>
  </si>
  <si>
    <t>0020B-1-1</t>
  </si>
  <si>
    <t>0020B-1-2</t>
  </si>
  <si>
    <t>0020C-1-1</t>
  </si>
  <si>
    <t>0020C-1-2</t>
  </si>
  <si>
    <t>0028S-1-4</t>
  </si>
  <si>
    <t>0028S-1-5</t>
  </si>
  <si>
    <t>0029A-1-1</t>
  </si>
  <si>
    <t>0029A-1-2</t>
  </si>
  <si>
    <t>0029A-1-3</t>
  </si>
  <si>
    <t>0029A-1-4</t>
  </si>
  <si>
    <t>0029A-1-5</t>
  </si>
  <si>
    <t>0029B-1-1</t>
  </si>
  <si>
    <t>0029B-1-2</t>
  </si>
  <si>
    <t>0029B-1-3</t>
  </si>
  <si>
    <t>0029B-1-4</t>
  </si>
  <si>
    <t>0029B-1-5</t>
  </si>
  <si>
    <t>0029C-1-1</t>
  </si>
  <si>
    <t>0029C-1-2</t>
  </si>
  <si>
    <t>0032S-1-4</t>
  </si>
  <si>
    <t>0033S-1-4</t>
  </si>
  <si>
    <t>0033S-1-5</t>
  </si>
  <si>
    <t>0034S-2-1</t>
  </si>
  <si>
    <t>0034S-2-2</t>
  </si>
  <si>
    <t>0036S-1-2</t>
  </si>
  <si>
    <t>0037S-1-2</t>
  </si>
  <si>
    <t>0037S-1-3</t>
  </si>
  <si>
    <t>0037S-1-4</t>
  </si>
  <si>
    <t>0037S-1-5</t>
  </si>
  <si>
    <t>0039S-1-1</t>
  </si>
  <si>
    <t>0040S-1-1</t>
  </si>
  <si>
    <t>0041S-1-1</t>
  </si>
  <si>
    <t>0042S-1-1</t>
  </si>
  <si>
    <t>0005A-1-1</t>
  </si>
  <si>
    <t>CRM_213_0903</t>
  </si>
  <si>
    <t>0005A-1-2</t>
  </si>
  <si>
    <t>0005A-1-3</t>
  </si>
  <si>
    <t>0005B-1-1</t>
  </si>
  <si>
    <t>0005B-1-2</t>
  </si>
  <si>
    <t>0005C-1-1</t>
  </si>
  <si>
    <t>0005C-1-2</t>
  </si>
  <si>
    <t>0006S-1-2</t>
  </si>
  <si>
    <t>0006S-1-3</t>
  </si>
  <si>
    <t>0006S-1-4</t>
  </si>
  <si>
    <t>0007S-1-2</t>
  </si>
  <si>
    <t>0008S-1-2</t>
  </si>
  <si>
    <t>0009S-1-2</t>
  </si>
  <si>
    <t>0011S-1-3</t>
  </si>
  <si>
    <t>0011S-1-4</t>
  </si>
  <si>
    <t>0011S-1-5</t>
  </si>
  <si>
    <t>0011S-2-1</t>
  </si>
  <si>
    <t>0011S-2-2</t>
  </si>
  <si>
    <t>0011S-2-3</t>
  </si>
  <si>
    <t>0013S-1-4</t>
  </si>
  <si>
    <t>0014A-1-1</t>
  </si>
  <si>
    <t>0014A-1-2</t>
  </si>
  <si>
    <t>0014B-1-1</t>
  </si>
  <si>
    <t>0014B-1-2</t>
  </si>
  <si>
    <t>0014B-1-3</t>
  </si>
  <si>
    <t>0014C-1-1</t>
  </si>
  <si>
    <t>0014C-1-2</t>
  </si>
  <si>
    <t>0014C-1-3</t>
  </si>
  <si>
    <t>0018S-1-4</t>
  </si>
  <si>
    <t>0019S-1-5</t>
  </si>
  <si>
    <t>0020S-1-4</t>
  </si>
  <si>
    <t>0020S-1-5</t>
  </si>
  <si>
    <t>0020S-2-1</t>
  </si>
  <si>
    <t>0020S-2-2</t>
  </si>
  <si>
    <t>0023A-1-1</t>
  </si>
  <si>
    <t>0023A-1-2</t>
  </si>
  <si>
    <t>0023A-1-3</t>
  </si>
  <si>
    <t>0023B-1-1</t>
  </si>
  <si>
    <t>0023B-1-2</t>
  </si>
  <si>
    <t>0023B-1-3</t>
  </si>
  <si>
    <t>0023C-1-1</t>
  </si>
  <si>
    <t>0023C-1-2</t>
  </si>
  <si>
    <t>0023C-1-3</t>
  </si>
  <si>
    <t>0023C-1-4</t>
  </si>
  <si>
    <t>0030S-1-3</t>
  </si>
  <si>
    <t>CRM_213_0965</t>
  </si>
  <si>
    <t>0010S-1-4</t>
  </si>
  <si>
    <t>0010S-1-5</t>
  </si>
  <si>
    <t>0012S-1-4</t>
  </si>
  <si>
    <t>0014S-1-3</t>
  </si>
  <si>
    <t>0014S-1-4</t>
  </si>
  <si>
    <t>0014S-1-5</t>
  </si>
  <si>
    <t>0014S-2-1</t>
  </si>
  <si>
    <t>0014S-2-2</t>
  </si>
  <si>
    <t>0014S-2-3</t>
  </si>
  <si>
    <t>0014S-2-4</t>
  </si>
  <si>
    <t>0014S-2-5</t>
  </si>
  <si>
    <t>0015A-1-1</t>
  </si>
  <si>
    <t>0015A-1-2</t>
  </si>
  <si>
    <t>0015A-1-3</t>
  </si>
  <si>
    <t>0015B-1-1</t>
  </si>
  <si>
    <t>0015B-1-2</t>
  </si>
  <si>
    <t>0015B-1-3</t>
  </si>
  <si>
    <t>0015B-1-4</t>
  </si>
  <si>
    <t>0015B-1-5</t>
  </si>
  <si>
    <t>0015B-2-1</t>
  </si>
  <si>
    <t>0015B-2-2</t>
  </si>
  <si>
    <t>0015C-1-1</t>
  </si>
  <si>
    <t>0015C-1-2</t>
  </si>
  <si>
    <t>Date</t>
  </si>
  <si>
    <t>Sample</t>
  </si>
  <si>
    <t>Temperature (C)</t>
  </si>
  <si>
    <t>not done</t>
  </si>
  <si>
    <t>Time</t>
  </si>
  <si>
    <t>Sample Volume (ml)</t>
  </si>
  <si>
    <t>HCl Concentration (M)</t>
  </si>
  <si>
    <t>Salinity</t>
  </si>
  <si>
    <t>Slope</t>
  </si>
  <si>
    <t>R^2</t>
  </si>
  <si>
    <t>End Volume (ml)</t>
  </si>
  <si>
    <t>Total Alkalinity (uM)</t>
  </si>
  <si>
    <t>Standard Deviation</t>
  </si>
  <si>
    <t>Density_kgL</t>
  </si>
  <si>
    <t>TA_umolkg</t>
  </si>
  <si>
    <t>TA_umolkg_corr</t>
  </si>
  <si>
    <t>User</t>
  </si>
  <si>
    <t>0001S-1</t>
  </si>
  <si>
    <t>Na2CO3</t>
  </si>
  <si>
    <t>&gt;30</t>
  </si>
  <si>
    <t>CPHR</t>
  </si>
  <si>
    <t>0001S-2</t>
  </si>
  <si>
    <t>0001S-3</t>
  </si>
  <si>
    <t>0002C-1</t>
  </si>
  <si>
    <t>HCl Calibration</t>
  </si>
  <si>
    <t>0002C-2</t>
  </si>
  <si>
    <t>0002C-3</t>
  </si>
  <si>
    <t>0003S-1</t>
  </si>
  <si>
    <t>0004S-1</t>
  </si>
  <si>
    <t>0005S-1</t>
  </si>
  <si>
    <t>0006S-1</t>
  </si>
  <si>
    <t>0007S-1</t>
  </si>
  <si>
    <t>0008S-1</t>
  </si>
  <si>
    <t>0009S-1</t>
  </si>
  <si>
    <t>0010S-1</t>
  </si>
  <si>
    <t>0011S-1</t>
  </si>
  <si>
    <t>0012S-1</t>
  </si>
  <si>
    <t>0013S-1</t>
  </si>
  <si>
    <t>0014S-1</t>
  </si>
  <si>
    <t>0015S-1</t>
  </si>
  <si>
    <t>0016S-1</t>
  </si>
  <si>
    <t>0017S-1</t>
  </si>
  <si>
    <t>0018S-1</t>
  </si>
  <si>
    <t>0019S-1</t>
  </si>
  <si>
    <t>0020S-1</t>
  </si>
  <si>
    <t>0021S-1</t>
  </si>
  <si>
    <t>0022S-1</t>
  </si>
  <si>
    <t>0023S-1</t>
  </si>
  <si>
    <t>0024S-1</t>
  </si>
  <si>
    <t>0025S-1</t>
  </si>
  <si>
    <t>CRM_2130553</t>
  </si>
  <si>
    <t>0002S-1</t>
  </si>
  <si>
    <t>0002S-2</t>
  </si>
  <si>
    <t>0002S-3</t>
  </si>
  <si>
    <t>0003S-2</t>
  </si>
  <si>
    <t>0026S-1</t>
  </si>
  <si>
    <t>0027S-1</t>
  </si>
  <si>
    <t>0028S-1</t>
  </si>
  <si>
    <t>excluded</t>
  </si>
  <si>
    <t>It was repeated without reason</t>
  </si>
  <si>
    <t>0029S-1</t>
  </si>
  <si>
    <t>0029S-2</t>
  </si>
  <si>
    <t>0029S-3</t>
  </si>
  <si>
    <t>0001S-4</t>
  </si>
  <si>
    <t>0001S-5</t>
  </si>
  <si>
    <t>0001S-6</t>
  </si>
  <si>
    <t>CRM_213-0776</t>
  </si>
  <si>
    <t>CRM_213_0370</t>
  </si>
  <si>
    <t>CRM_2130370</t>
  </si>
  <si>
    <t>Canceled</t>
  </si>
  <si>
    <t>CRM_213_0615</t>
  </si>
  <si>
    <t>CRM_213_0718</t>
  </si>
  <si>
    <t>0010S-2</t>
  </si>
  <si>
    <t>Peak Number</t>
  </si>
  <si>
    <t>Cup Number</t>
  </si>
  <si>
    <t>Cup Type</t>
  </si>
  <si>
    <t>Cup Group</t>
  </si>
  <si>
    <t>Date Time Stamp</t>
  </si>
  <si>
    <t>Results 1</t>
  </si>
  <si>
    <t>Absorbance</t>
  </si>
  <si>
    <t>Results 2</t>
  </si>
  <si>
    <t>TKN_mg/L</t>
  </si>
  <si>
    <t>TKN_LOD</t>
  </si>
  <si>
    <t>Primer</t>
  </si>
  <si>
    <t>PRIM</t>
  </si>
  <si>
    <t>Drift</t>
  </si>
  <si>
    <t>DRIF</t>
  </si>
  <si>
    <t>CALB</t>
  </si>
  <si>
    <t>NULLCALB</t>
  </si>
  <si>
    <t>&lt;0.011</t>
  </si>
  <si>
    <t>Baseline</t>
  </si>
  <si>
    <t>BASL</t>
  </si>
  <si>
    <t>High</t>
  </si>
  <si>
    <t>HIGH</t>
  </si>
  <si>
    <t>Low</t>
  </si>
  <si>
    <t>LOW</t>
  </si>
  <si>
    <t>SAMP</t>
  </si>
  <si>
    <t>Blank Spike</t>
  </si>
  <si>
    <t>SPIK</t>
  </si>
  <si>
    <t>CRM [1.5 mg/L]</t>
  </si>
  <si>
    <t>QUAL</t>
  </si>
  <si>
    <t>439 spiked</t>
  </si>
  <si>
    <t>569 spiked</t>
  </si>
  <si>
    <t>582 spiked</t>
  </si>
  <si>
    <t>361 spiked</t>
  </si>
  <si>
    <r>
      <rPr>
        <sz val="11"/>
        <color theme="1"/>
        <rFont val="Arial"/>
      </rPr>
      <t xml:space="preserve">335 </t>
    </r>
    <r>
      <rPr>
        <sz val="11"/>
        <color theme="1"/>
        <rFont val="Arial"/>
      </rPr>
      <t>spiked</t>
    </r>
  </si>
  <si>
    <t>465 spiked</t>
  </si>
  <si>
    <t>348 spiked IW</t>
  </si>
  <si>
    <t>23 spiked IW</t>
  </si>
  <si>
    <t>270 spiked IW</t>
  </si>
  <si>
    <t>296 spiked CW</t>
  </si>
  <si>
    <t>244 spiked CW</t>
  </si>
  <si>
    <t>49 spiked CW</t>
  </si>
  <si>
    <t>Blank spiked</t>
  </si>
  <si>
    <t>End</t>
  </si>
  <si>
    <t>END</t>
  </si>
  <si>
    <t>Results 3</t>
  </si>
  <si>
    <t>NOx_mg/L</t>
  </si>
  <si>
    <t>PO4_mg/L</t>
  </si>
  <si>
    <t>NOx_LOD</t>
  </si>
  <si>
    <t>PO4_LOD</t>
  </si>
  <si>
    <t>Null-Cal.</t>
  </si>
  <si>
    <t>&lt;0.002</t>
  </si>
  <si>
    <t>CRM [0.15/0.03]</t>
  </si>
  <si>
    <t>CRM 4/30</t>
  </si>
  <si>
    <t>165 spiked</t>
  </si>
  <si>
    <t>178 spiked</t>
  </si>
  <si>
    <t>256 spiked</t>
  </si>
  <si>
    <t>&lt;0.003</t>
  </si>
  <si>
    <t>CRM 7/15 [0.15/0.03]</t>
  </si>
  <si>
    <t>425 spiked</t>
  </si>
  <si>
    <t>503 spiked</t>
  </si>
  <si>
    <t>438 spiked</t>
  </si>
  <si>
    <t>607 spiked</t>
  </si>
  <si>
    <t>620 spiked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</si>
</sst>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164" formatCode="m&quot;/&quot;d&quot;/&quot;yy"/>
    <numFmt numFmtId="165" formatCode="h&quot;:&quot;mm&quot; &quot;AM/PM"/>
    <numFmt numFmtId="166" formatCode="00000"/>
    <numFmt numFmtId="167" formatCode="m/d/yy"/>
    <numFmt numFmtId="168" formatCode="#,##0.0"/>
    <numFmt numFmtId="169" formatCode="0.0"/>
    <numFmt numFmtId="170" formatCode="#,##0.0000"/>
    <numFmt numFmtId="171" formatCode="00000.0"/>
    <numFmt numFmtId="172" formatCode="00000.00"/>
    <numFmt numFmtId="173" formatCode="0.0000"/>
    <numFmt numFmtId="174" formatCode="0.000"/>
    <numFmt numFmtId="175" formatCode="m/d/yyyy\ h:mm"/>
    <numFmt numFmtId="176" formatCode="m/d/yyyy\ h:mm:ss"/>
    <numFmt numFmtId="177" formatCode="m/d/yy\ h:mm"/>
    <numFmt numFmtId="178" formatCode="0.000000"/>
    <numFmt numFmtId="179" formatCode="m/d/yyyy\ h:mm:ss\ AM/PM"/>
  </numFmts>
  <fonts count="30">
    <font>
      <sz val="12"/>
      <color theme="1"/>
      <name val="Calibri"/>
      <scheme val="minor"/>
    </font>
    <font>
      <sz val="12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  <font>
      <sz val="11"/>
      <color rgb="FF000000"/>
      <name val="Calibri"/>
    </font>
    <font>
      <sz val="12"/>
      <color theme="1"/>
      <name val="Calibri"/>
    </font>
    <font>
      <sz val="11"/>
      <color theme="1"/>
      <name val="Calibri"/>
      <scheme val="minor"/>
    </font>
    <font>
      <sz val="12"/>
      <color theme="1"/>
      <name val="Calibri"/>
    </font>
    <font>
      <b/>
      <sz val="12"/>
      <color theme="1"/>
      <name val="Calibri"/>
    </font>
    <font>
      <i/>
      <sz val="12"/>
      <color theme="1"/>
      <name val="Calibri"/>
    </font>
    <font>
      <sz val="12"/>
      <name val="Calibri"/>
    </font>
    <font>
      <sz val="12"/>
      <color rgb="FF000000"/>
      <name val="Calibri"/>
    </font>
    <font>
      <b/>
      <sz val="10"/>
      <color theme="1"/>
      <name val="Calibri"/>
    </font>
    <font>
      <b/>
      <sz val="10"/>
      <color rgb="FF000000"/>
      <name val="Calibri"/>
    </font>
    <font>
      <sz val="10"/>
      <color theme="1"/>
      <name val="Calibri"/>
    </font>
    <font>
      <sz val="10"/>
      <color rgb="FF000000"/>
      <name val="Calibri"/>
    </font>
    <font>
      <sz val="10"/>
      <color rgb="FF1F1F1F"/>
      <name val="Calibri"/>
    </font>
    <font>
      <sz val="9"/>
      <color theme="1"/>
      <name val="Calibri"/>
    </font>
    <font>
      <sz val="9"/>
      <color theme="1"/>
      <name val="Calibri"/>
      <scheme val="minor"/>
    </font>
    <font>
      <sz val="9"/>
      <color rgb="FF4285F4"/>
      <name val="Calibri"/>
    </font>
    <font>
      <sz val="9"/>
      <color rgb="FF000000"/>
      <name val="Times New Roman"/>
    </font>
    <font>
      <b/>
      <sz val="12"/>
      <color rgb="FF000000"/>
      <name val="Calibri"/>
    </font>
    <font>
      <sz val="9"/>
      <color rgb="FF1F1F1F"/>
      <name val="Arial"/>
    </font>
    <font>
      <b/>
      <sz val="11"/>
      <color rgb="FF000000"/>
      <name val="Calibri"/>
    </font>
    <font>
      <sz val="10"/>
      <color rgb="FF000000"/>
      <name val="&quot;Aptos Narrow&quot;"/>
    </font>
    <font>
      <sz val="10"/>
      <color rgb="FF000000"/>
      <name val="Arial"/>
    </font>
    <font>
      <sz val="12"/>
      <color theme="1"/>
      <name val="Arial"/>
    </font>
    <font>
      <sz val="11"/>
      <color theme="1"/>
      <name val="Aptos narrow"/>
    </font>
    <font>
      <sz val="11"/>
      <color theme="1"/>
      <name val="Aptos Narrow"/>
    </font>
    <font>
      <sz val="11"/>
      <color theme="1"/>
      <name val="Arial"/>
    </font>
  </fonts>
  <fills count="11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E599"/>
        <bgColor rgb="FFFFE599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theme="0"/>
        <bgColor theme="0"/>
      </patternFill>
    </fill>
    <fill>
      <patternFill patternType="solid">
        <fgColor rgb="FFFFD966"/>
        <bgColor rgb="FFFFD966"/>
      </patternFill>
    </fill>
    <fill>
      <patternFill patternType="solid">
        <fgColor rgb="FFFFFF00"/>
        <bgColor rgb="FFFFFF00"/>
      </patternFill>
    </fill>
    <fill>
      <patternFill patternType="solid">
        <fgColor rgb="FFEA9999"/>
        <bgColor rgb="FFEA9999"/>
      </patternFill>
    </fill>
    <fill>
      <patternFill patternType="solid">
        <fgColor rgb="FFB7E1CD"/>
        <bgColor rgb="FFB7E1CD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417">
    <xf numFmtId="0" fontId="0" fillId="0" borderId="0" xfId="0"/>
    <xf numFmtId="0" fontId="1" fillId="0" borderId="0" xfId="0" applyFont="1" applyAlignment="1">
      <alignment horizontal="center"/>
    </xf>
    <xf numFmtId="164" fontId="2" fillId="0" borderId="1" xfId="0" applyNumberFormat="1" applyFont="1" applyBorder="1" applyAlignment="1">
      <alignment horizontal="center" vertical="center" wrapText="1"/>
    </xf>
    <xf numFmtId="19" fontId="2" fillId="0" borderId="1" xfId="0" applyNumberFormat="1" applyFont="1" applyBorder="1" applyAlignment="1">
      <alignment horizontal="center" vertical="center" wrapText="1"/>
    </xf>
    <xf numFmtId="165" fontId="2" fillId="0" borderId="1" xfId="0" applyNumberFormat="1" applyFont="1" applyBorder="1" applyAlignment="1">
      <alignment horizontal="center" vertical="center" wrapText="1"/>
    </xf>
    <xf numFmtId="166" fontId="2" fillId="0" borderId="2" xfId="0" applyNumberFormat="1" applyFont="1" applyBorder="1" applyAlignment="1">
      <alignment horizontal="center" vertical="center" wrapText="1"/>
    </xf>
    <xf numFmtId="166" fontId="2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 vertical="center" wrapText="1"/>
    </xf>
    <xf numFmtId="19" fontId="3" fillId="0" borderId="1" xfId="0" applyNumberFormat="1" applyFont="1" applyBorder="1" applyAlignment="1">
      <alignment horizontal="center" vertical="center" wrapText="1"/>
    </xf>
    <xf numFmtId="166" fontId="4" fillId="2" borderId="1" xfId="0" applyNumberFormat="1" applyFont="1" applyFill="1" applyBorder="1" applyAlignment="1">
      <alignment horizontal="center" vertical="center"/>
    </xf>
    <xf numFmtId="166" fontId="3" fillId="0" borderId="1" xfId="0" applyNumberFormat="1" applyFont="1" applyBorder="1" applyAlignment="1">
      <alignment horizontal="center" vertical="center" wrapText="1"/>
    </xf>
    <xf numFmtId="166" fontId="3" fillId="0" borderId="1" xfId="0" applyNumberFormat="1" applyFont="1" applyBorder="1" applyAlignment="1">
      <alignment vertical="center" wrapText="1"/>
    </xf>
    <xf numFmtId="166" fontId="5" fillId="0" borderId="0" xfId="0" applyNumberFormat="1" applyFont="1" applyAlignment="1">
      <alignment wrapText="1"/>
    </xf>
    <xf numFmtId="0" fontId="4" fillId="2" borderId="1" xfId="0" applyFont="1" applyFill="1" applyBorder="1" applyAlignment="1">
      <alignment horizontal="center" vertical="center"/>
    </xf>
    <xf numFmtId="19" fontId="3" fillId="0" borderId="0" xfId="0" applyNumberFormat="1" applyFont="1" applyAlignment="1">
      <alignment horizontal="center" vertical="center"/>
    </xf>
    <xf numFmtId="19" fontId="3" fillId="0" borderId="1" xfId="0" applyNumberFormat="1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19" fontId="6" fillId="0" borderId="0" xfId="0" applyNumberFormat="1" applyFont="1" applyAlignment="1">
      <alignment horizontal="center" vertical="center"/>
    </xf>
    <xf numFmtId="167" fontId="3" fillId="0" borderId="1" xfId="0" applyNumberFormat="1" applyFont="1" applyBorder="1" applyAlignment="1">
      <alignment horizontal="center" vertical="center" wrapText="1"/>
    </xf>
    <xf numFmtId="19" fontId="3" fillId="2" borderId="1" xfId="0" applyNumberFormat="1" applyFont="1" applyFill="1" applyBorder="1" applyAlignment="1">
      <alignment horizontal="center" vertical="center"/>
    </xf>
    <xf numFmtId="19" fontId="4" fillId="2" borderId="1" xfId="0" applyNumberFormat="1" applyFont="1" applyFill="1" applyBorder="1" applyAlignment="1">
      <alignment horizontal="center" vertical="center" wrapText="1"/>
    </xf>
    <xf numFmtId="166" fontId="3" fillId="2" borderId="1" xfId="0" applyNumberFormat="1" applyFont="1" applyFill="1" applyBorder="1" applyAlignment="1">
      <alignment vertical="center" wrapText="1"/>
    </xf>
    <xf numFmtId="0" fontId="5" fillId="2" borderId="3" xfId="0" applyFont="1" applyFill="1" applyBorder="1"/>
    <xf numFmtId="0" fontId="4" fillId="2" borderId="1" xfId="0" applyFont="1" applyFill="1" applyBorder="1" applyAlignment="1">
      <alignment horizontal="center"/>
    </xf>
    <xf numFmtId="19" fontId="3" fillId="0" borderId="1" xfId="0" applyNumberFormat="1" applyFont="1" applyBorder="1" applyAlignment="1">
      <alignment horizontal="center" wrapText="1"/>
    </xf>
    <xf numFmtId="166" fontId="5" fillId="0" borderId="1" xfId="0" applyNumberFormat="1" applyFont="1" applyBorder="1" applyAlignment="1">
      <alignment vertical="center" wrapText="1"/>
    </xf>
    <xf numFmtId="19" fontId="4" fillId="0" borderId="1" xfId="0" applyNumberFormat="1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 vertical="center" wrapText="1"/>
    </xf>
    <xf numFmtId="164" fontId="5" fillId="0" borderId="0" xfId="0" applyNumberFormat="1" applyFont="1" applyAlignment="1">
      <alignment wrapText="1"/>
    </xf>
    <xf numFmtId="19" fontId="7" fillId="0" borderId="0" xfId="0" applyNumberFormat="1" applyFont="1" applyAlignment="1">
      <alignment horizontal="center"/>
    </xf>
    <xf numFmtId="164" fontId="5" fillId="0" borderId="0" xfId="0" applyNumberFormat="1" applyFont="1" applyAlignment="1">
      <alignment horizontal="center" wrapText="1"/>
    </xf>
    <xf numFmtId="19" fontId="5" fillId="0" borderId="0" xfId="0" applyNumberFormat="1" applyFont="1" applyAlignment="1">
      <alignment horizontal="center" wrapText="1"/>
    </xf>
    <xf numFmtId="165" fontId="5" fillId="0" borderId="0" xfId="0" applyNumberFormat="1" applyFont="1" applyAlignment="1">
      <alignment horizontal="center" wrapText="1"/>
    </xf>
    <xf numFmtId="166" fontId="5" fillId="0" borderId="0" xfId="0" applyNumberFormat="1" applyFont="1" applyAlignment="1">
      <alignment horizontal="center" wrapText="1"/>
    </xf>
    <xf numFmtId="166" fontId="5" fillId="0" borderId="0" xfId="0" applyNumberFormat="1" applyFont="1" applyAlignment="1">
      <alignment vertical="center" wrapText="1"/>
    </xf>
    <xf numFmtId="0" fontId="8" fillId="0" borderId="2" xfId="0" applyFont="1" applyBorder="1" applyAlignment="1">
      <alignment horizontal="center" vertical="center" wrapText="1"/>
    </xf>
    <xf numFmtId="164" fontId="8" fillId="0" borderId="2" xfId="0" applyNumberFormat="1" applyFont="1" applyBorder="1" applyAlignment="1">
      <alignment horizontal="center" vertical="center" wrapText="1"/>
    </xf>
    <xf numFmtId="19" fontId="8" fillId="0" borderId="2" xfId="0" applyNumberFormat="1" applyFont="1" applyBorder="1" applyAlignment="1">
      <alignment horizontal="center" vertical="center" wrapText="1"/>
    </xf>
    <xf numFmtId="4" fontId="8" fillId="0" borderId="2" xfId="0" applyNumberFormat="1" applyFont="1" applyBorder="1" applyAlignment="1">
      <alignment horizontal="center" vertical="center" wrapText="1"/>
    </xf>
    <xf numFmtId="166" fontId="8" fillId="0" borderId="2" xfId="0" applyNumberFormat="1" applyFont="1" applyBorder="1" applyAlignment="1">
      <alignment horizontal="center" vertical="center" wrapText="1"/>
    </xf>
    <xf numFmtId="2" fontId="8" fillId="0" borderId="2" xfId="0" applyNumberFormat="1" applyFont="1" applyBorder="1" applyAlignment="1">
      <alignment horizontal="center" vertical="center" wrapText="1"/>
    </xf>
    <xf numFmtId="166" fontId="8" fillId="0" borderId="1" xfId="0" applyNumberFormat="1" applyFont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center" vertical="center" wrapText="1"/>
    </xf>
    <xf numFmtId="19" fontId="5" fillId="2" borderId="1" xfId="0" applyNumberFormat="1" applyFont="1" applyFill="1" applyBorder="1" applyAlignment="1">
      <alignment horizontal="center" vertical="center" wrapText="1"/>
    </xf>
    <xf numFmtId="4" fontId="5" fillId="2" borderId="1" xfId="0" applyNumberFormat="1" applyFont="1" applyFill="1" applyBorder="1" applyAlignment="1">
      <alignment horizontal="center" vertical="center" wrapText="1"/>
    </xf>
    <xf numFmtId="168" fontId="5" fillId="2" borderId="1" xfId="0" applyNumberFormat="1" applyFont="1" applyFill="1" applyBorder="1" applyAlignment="1">
      <alignment horizontal="center" vertical="center" wrapText="1"/>
    </xf>
    <xf numFmtId="3" fontId="5" fillId="2" borderId="1" xfId="0" applyNumberFormat="1" applyFont="1" applyFill="1" applyBorder="1" applyAlignment="1">
      <alignment horizontal="center" vertical="center" wrapText="1"/>
    </xf>
    <xf numFmtId="2" fontId="5" fillId="2" borderId="1" xfId="0" applyNumberFormat="1" applyFont="1" applyFill="1" applyBorder="1" applyAlignment="1">
      <alignment horizontal="center" vertical="center" wrapText="1"/>
    </xf>
    <xf numFmtId="166" fontId="5" fillId="2" borderId="1" xfId="0" applyNumberFormat="1" applyFont="1" applyFill="1" applyBorder="1" applyAlignment="1">
      <alignment horizontal="center" vertical="center" wrapText="1"/>
    </xf>
    <xf numFmtId="0" fontId="7" fillId="2" borderId="0" xfId="0" applyFont="1" applyFill="1"/>
    <xf numFmtId="0" fontId="9" fillId="2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11" fillId="2" borderId="0" xfId="0" applyFont="1" applyFill="1" applyAlignment="1">
      <alignment horizontal="center"/>
    </xf>
    <xf numFmtId="0" fontId="11" fillId="2" borderId="1" xfId="0" applyFont="1" applyFill="1" applyBorder="1" applyAlignment="1">
      <alignment horizontal="center"/>
    </xf>
    <xf numFmtId="0" fontId="11" fillId="3" borderId="1" xfId="0" applyFont="1" applyFill="1" applyBorder="1" applyAlignment="1">
      <alignment horizontal="center"/>
    </xf>
    <xf numFmtId="164" fontId="5" fillId="0" borderId="1" xfId="0" applyNumberFormat="1" applyFont="1" applyBorder="1" applyAlignment="1">
      <alignment horizontal="center" vertical="center" wrapText="1"/>
    </xf>
    <xf numFmtId="19" fontId="5" fillId="0" borderId="1" xfId="0" applyNumberFormat="1" applyFont="1" applyBorder="1" applyAlignment="1">
      <alignment horizontal="center" vertical="center" wrapText="1"/>
    </xf>
    <xf numFmtId="19" fontId="5" fillId="0" borderId="0" xfId="0" applyNumberFormat="1" applyFont="1"/>
    <xf numFmtId="19" fontId="5" fillId="2" borderId="0" xfId="0" applyNumberFormat="1" applyFont="1" applyFill="1"/>
    <xf numFmtId="19" fontId="5" fillId="2" borderId="1" xfId="0" applyNumberFormat="1" applyFont="1" applyFill="1" applyBorder="1"/>
    <xf numFmtId="19" fontId="5" fillId="2" borderId="6" xfId="0" applyNumberFormat="1" applyFont="1" applyFill="1" applyBorder="1" applyAlignment="1">
      <alignment horizontal="center" wrapText="1"/>
    </xf>
    <xf numFmtId="19" fontId="5" fillId="2" borderId="7" xfId="0" applyNumberFormat="1" applyFont="1" applyFill="1" applyBorder="1" applyAlignment="1">
      <alignment horizontal="center" wrapText="1"/>
    </xf>
    <xf numFmtId="19" fontId="1" fillId="0" borderId="0" xfId="0" applyNumberFormat="1" applyFont="1" applyAlignment="1">
      <alignment horizontal="center"/>
    </xf>
    <xf numFmtId="19" fontId="5" fillId="0" borderId="1" xfId="0" applyNumberFormat="1" applyFont="1" applyBorder="1" applyAlignment="1">
      <alignment horizontal="center"/>
    </xf>
    <xf numFmtId="19" fontId="5" fillId="2" borderId="8" xfId="0" applyNumberFormat="1" applyFont="1" applyFill="1" applyBorder="1" applyAlignment="1">
      <alignment horizontal="center" wrapText="1"/>
    </xf>
    <xf numFmtId="0" fontId="5" fillId="2" borderId="9" xfId="0" applyFont="1" applyFill="1" applyBorder="1"/>
    <xf numFmtId="19" fontId="5" fillId="2" borderId="1" xfId="0" applyNumberFormat="1" applyFont="1" applyFill="1" applyBorder="1" applyAlignment="1">
      <alignment horizontal="center"/>
    </xf>
    <xf numFmtId="19" fontId="5" fillId="2" borderId="1" xfId="0" applyNumberFormat="1" applyFont="1" applyFill="1" applyBorder="1" applyAlignment="1">
      <alignment horizontal="center" wrapText="1"/>
    </xf>
    <xf numFmtId="0" fontId="5" fillId="2" borderId="0" xfId="0" applyFont="1" applyFill="1"/>
    <xf numFmtId="0" fontId="5" fillId="0" borderId="0" xfId="0" applyFont="1"/>
    <xf numFmtId="0" fontId="1" fillId="0" borderId="1" xfId="0" applyFont="1" applyBorder="1" applyAlignment="1">
      <alignment horizontal="center"/>
    </xf>
    <xf numFmtId="164" fontId="11" fillId="2" borderId="1" xfId="0" applyNumberFormat="1" applyFont="1" applyFill="1" applyBorder="1" applyAlignment="1">
      <alignment horizontal="center"/>
    </xf>
    <xf numFmtId="19" fontId="11" fillId="2" borderId="1" xfId="0" applyNumberFormat="1" applyFont="1" applyFill="1" applyBorder="1" applyAlignment="1">
      <alignment horizontal="center"/>
    </xf>
    <xf numFmtId="164" fontId="5" fillId="2" borderId="1" xfId="0" applyNumberFormat="1" applyFont="1" applyFill="1" applyBorder="1" applyAlignment="1">
      <alignment horizontal="center" wrapText="1"/>
    </xf>
    <xf numFmtId="166" fontId="5" fillId="2" borderId="1" xfId="0" applyNumberFormat="1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 wrapText="1"/>
    </xf>
    <xf numFmtId="18" fontId="11" fillId="2" borderId="1" xfId="0" applyNumberFormat="1" applyFont="1" applyFill="1" applyBorder="1" applyAlignment="1">
      <alignment horizontal="center"/>
    </xf>
    <xf numFmtId="19" fontId="11" fillId="2" borderId="1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164" fontId="5" fillId="0" borderId="0" xfId="0" applyNumberFormat="1" applyFont="1" applyAlignment="1">
      <alignment horizontal="center" vertical="center" wrapText="1"/>
    </xf>
    <xf numFmtId="19" fontId="5" fillId="0" borderId="0" xfId="0" applyNumberFormat="1" applyFont="1" applyAlignment="1">
      <alignment horizontal="center" vertical="center" wrapText="1"/>
    </xf>
    <xf numFmtId="4" fontId="5" fillId="0" borderId="0" xfId="0" applyNumberFormat="1" applyFont="1" applyAlignment="1">
      <alignment horizontal="center" vertical="center" wrapText="1"/>
    </xf>
    <xf numFmtId="166" fontId="5" fillId="0" borderId="0" xfId="0" applyNumberFormat="1" applyFont="1" applyAlignment="1">
      <alignment horizontal="center" vertical="center" wrapText="1"/>
    </xf>
    <xf numFmtId="2" fontId="5" fillId="0" borderId="0" xfId="0" applyNumberFormat="1" applyFont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164" fontId="12" fillId="0" borderId="1" xfId="0" applyNumberFormat="1" applyFont="1" applyBorder="1" applyAlignment="1">
      <alignment horizontal="center" vertical="center" wrapText="1"/>
    </xf>
    <xf numFmtId="19" fontId="12" fillId="0" borderId="1" xfId="0" applyNumberFormat="1" applyFont="1" applyBorder="1" applyAlignment="1">
      <alignment horizontal="center" vertical="center" wrapText="1"/>
    </xf>
    <xf numFmtId="4" fontId="12" fillId="0" borderId="1" xfId="0" applyNumberFormat="1" applyFont="1" applyBorder="1" applyAlignment="1">
      <alignment horizontal="center" vertical="center" wrapText="1"/>
    </xf>
    <xf numFmtId="4" fontId="12" fillId="0" borderId="10" xfId="0" applyNumberFormat="1" applyFont="1" applyBorder="1" applyAlignment="1">
      <alignment horizontal="center" vertical="center" wrapText="1"/>
    </xf>
    <xf numFmtId="4" fontId="13" fillId="0" borderId="0" xfId="0" applyNumberFormat="1" applyFont="1" applyAlignment="1">
      <alignment horizontal="center" vertical="center" wrapText="1"/>
    </xf>
    <xf numFmtId="4" fontId="13" fillId="0" borderId="6" xfId="0" applyNumberFormat="1" applyFont="1" applyBorder="1" applyAlignment="1">
      <alignment horizontal="center" vertical="center" wrapText="1"/>
    </xf>
    <xf numFmtId="4" fontId="13" fillId="0" borderId="1" xfId="0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166" fontId="14" fillId="0" borderId="0" xfId="0" applyNumberFormat="1" applyFont="1" applyAlignment="1">
      <alignment vertical="center" wrapText="1"/>
    </xf>
    <xf numFmtId="0" fontId="14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 wrapText="1"/>
    </xf>
    <xf numFmtId="19" fontId="14" fillId="0" borderId="1" xfId="0" applyNumberFormat="1" applyFont="1" applyBorder="1" applyAlignment="1">
      <alignment horizontal="center" vertical="center" wrapText="1"/>
    </xf>
    <xf numFmtId="164" fontId="14" fillId="0" borderId="1" xfId="0" applyNumberFormat="1" applyFont="1" applyBorder="1" applyAlignment="1">
      <alignment horizontal="center" vertical="center" wrapText="1"/>
    </xf>
    <xf numFmtId="4" fontId="14" fillId="0" borderId="1" xfId="0" applyNumberFormat="1" applyFont="1" applyBorder="1" applyAlignment="1">
      <alignment horizontal="center" vertical="center" wrapText="1"/>
    </xf>
    <xf numFmtId="167" fontId="14" fillId="0" borderId="1" xfId="0" applyNumberFormat="1" applyFont="1" applyBorder="1" applyAlignment="1">
      <alignment horizontal="center" vertical="center" wrapText="1"/>
    </xf>
    <xf numFmtId="4" fontId="14" fillId="0" borderId="10" xfId="0" applyNumberFormat="1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166" fontId="14" fillId="0" borderId="10" xfId="0" applyNumberFormat="1" applyFont="1" applyBorder="1" applyAlignment="1">
      <alignment horizontal="center" vertical="center" wrapText="1"/>
    </xf>
    <xf numFmtId="166" fontId="14" fillId="0" borderId="1" xfId="0" applyNumberFormat="1" applyFont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/>
    </xf>
    <xf numFmtId="164" fontId="14" fillId="4" borderId="1" xfId="0" applyNumberFormat="1" applyFont="1" applyFill="1" applyBorder="1" applyAlignment="1">
      <alignment horizontal="center" vertical="center" wrapText="1"/>
    </xf>
    <xf numFmtId="19" fontId="14" fillId="4" borderId="1" xfId="0" applyNumberFormat="1" applyFont="1" applyFill="1" applyBorder="1" applyAlignment="1">
      <alignment horizontal="center" vertical="center" wrapText="1"/>
    </xf>
    <xf numFmtId="4" fontId="14" fillId="4" borderId="1" xfId="0" applyNumberFormat="1" applyFont="1" applyFill="1" applyBorder="1" applyAlignment="1">
      <alignment horizontal="center" vertical="center" wrapText="1"/>
    </xf>
    <xf numFmtId="167" fontId="14" fillId="4" borderId="1" xfId="0" applyNumberFormat="1" applyFont="1" applyFill="1" applyBorder="1" applyAlignment="1">
      <alignment horizontal="center" vertical="center" wrapText="1"/>
    </xf>
    <xf numFmtId="4" fontId="14" fillId="4" borderId="10" xfId="0" applyNumberFormat="1" applyFont="1" applyFill="1" applyBorder="1" applyAlignment="1">
      <alignment horizontal="center" vertical="center" wrapText="1"/>
    </xf>
    <xf numFmtId="4" fontId="15" fillId="4" borderId="1" xfId="0" applyNumberFormat="1" applyFont="1" applyFill="1" applyBorder="1" applyAlignment="1">
      <alignment horizontal="center" vertical="center"/>
    </xf>
    <xf numFmtId="4" fontId="15" fillId="4" borderId="6" xfId="0" applyNumberFormat="1" applyFont="1" applyFill="1" applyBorder="1" applyAlignment="1">
      <alignment horizontal="center" vertical="center"/>
    </xf>
    <xf numFmtId="164" fontId="14" fillId="2" borderId="1" xfId="0" applyNumberFormat="1" applyFont="1" applyFill="1" applyBorder="1" applyAlignment="1">
      <alignment horizontal="center" vertical="center" wrapText="1"/>
    </xf>
    <xf numFmtId="4" fontId="15" fillId="0" borderId="1" xfId="0" applyNumberFormat="1" applyFont="1" applyBorder="1" applyAlignment="1">
      <alignment horizontal="center" vertical="center"/>
    </xf>
    <xf numFmtId="4" fontId="14" fillId="2" borderId="1" xfId="0" applyNumberFormat="1" applyFont="1" applyFill="1" applyBorder="1" applyAlignment="1">
      <alignment horizontal="center"/>
    </xf>
    <xf numFmtId="4" fontId="14" fillId="0" borderId="1" xfId="0" applyNumberFormat="1" applyFont="1" applyBorder="1" applyAlignment="1">
      <alignment horizontal="center" vertical="center"/>
    </xf>
    <xf numFmtId="19" fontId="14" fillId="0" borderId="0" xfId="0" applyNumberFormat="1" applyFont="1"/>
    <xf numFmtId="19" fontId="14" fillId="0" borderId="1" xfId="0" applyNumberFormat="1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/>
    </xf>
    <xf numFmtId="19" fontId="14" fillId="2" borderId="1" xfId="0" applyNumberFormat="1" applyFont="1" applyFill="1" applyBorder="1" applyAlignment="1">
      <alignment horizontal="center" vertical="center" wrapText="1"/>
    </xf>
    <xf numFmtId="4" fontId="14" fillId="2" borderId="1" xfId="0" applyNumberFormat="1" applyFont="1" applyFill="1" applyBorder="1" applyAlignment="1">
      <alignment horizontal="center" vertical="center" wrapText="1"/>
    </xf>
    <xf numFmtId="4" fontId="14" fillId="2" borderId="10" xfId="0" applyNumberFormat="1" applyFont="1" applyFill="1" applyBorder="1" applyAlignment="1">
      <alignment horizontal="center" vertical="center" wrapText="1"/>
    </xf>
    <xf numFmtId="4" fontId="15" fillId="2" borderId="1" xfId="0" applyNumberFormat="1" applyFont="1" applyFill="1" applyBorder="1" applyAlignment="1">
      <alignment horizontal="center" vertical="center"/>
    </xf>
    <xf numFmtId="4" fontId="14" fillId="4" borderId="1" xfId="0" applyNumberFormat="1" applyFont="1" applyFill="1" applyBorder="1" applyAlignment="1">
      <alignment horizontal="center"/>
    </xf>
    <xf numFmtId="166" fontId="14" fillId="2" borderId="10" xfId="0" applyNumberFormat="1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1" fillId="2" borderId="0" xfId="0" applyFont="1" applyFill="1"/>
    <xf numFmtId="18" fontId="14" fillId="0" borderId="1" xfId="0" applyNumberFormat="1" applyFont="1" applyBorder="1" applyAlignment="1">
      <alignment horizontal="center" vertical="center" wrapText="1"/>
    </xf>
    <xf numFmtId="19" fontId="14" fillId="4" borderId="1" xfId="0" applyNumberFormat="1" applyFont="1" applyFill="1" applyBorder="1" applyAlignment="1">
      <alignment horizontal="center" vertical="center"/>
    </xf>
    <xf numFmtId="167" fontId="17" fillId="0" borderId="1" xfId="0" applyNumberFormat="1" applyFont="1" applyBorder="1" applyAlignment="1">
      <alignment horizontal="center" vertical="center" wrapText="1"/>
    </xf>
    <xf numFmtId="19" fontId="18" fillId="0" borderId="1" xfId="0" applyNumberFormat="1" applyFont="1" applyBorder="1" applyAlignment="1">
      <alignment horizontal="center"/>
    </xf>
    <xf numFmtId="4" fontId="18" fillId="0" borderId="1" xfId="0" applyNumberFormat="1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4" fontId="17" fillId="2" borderId="1" xfId="0" applyNumberFormat="1" applyFont="1" applyFill="1" applyBorder="1" applyAlignment="1">
      <alignment horizontal="center"/>
    </xf>
    <xf numFmtId="0" fontId="14" fillId="0" borderId="1" xfId="0" applyFont="1" applyBorder="1" applyAlignment="1">
      <alignment horizontal="center"/>
    </xf>
    <xf numFmtId="4" fontId="14" fillId="0" borderId="1" xfId="0" applyNumberFormat="1" applyFont="1" applyBorder="1" applyAlignment="1">
      <alignment horizontal="center"/>
    </xf>
    <xf numFmtId="19" fontId="14" fillId="0" borderId="1" xfId="0" applyNumberFormat="1" applyFont="1" applyBorder="1" applyAlignment="1">
      <alignment horizontal="center"/>
    </xf>
    <xf numFmtId="0" fontId="14" fillId="0" borderId="0" xfId="0" applyFont="1" applyAlignment="1">
      <alignment horizontal="center"/>
    </xf>
    <xf numFmtId="0" fontId="14" fillId="0" borderId="6" xfId="0" applyFont="1" applyBorder="1" applyAlignment="1">
      <alignment horizontal="center"/>
    </xf>
    <xf numFmtId="0" fontId="14" fillId="2" borderId="1" xfId="0" applyFont="1" applyFill="1" applyBorder="1" applyAlignment="1">
      <alignment horizontal="center"/>
    </xf>
    <xf numFmtId="0" fontId="14" fillId="2" borderId="6" xfId="0" applyFont="1" applyFill="1" applyBorder="1" applyAlignment="1">
      <alignment horizontal="center"/>
    </xf>
    <xf numFmtId="167" fontId="14" fillId="0" borderId="1" xfId="0" applyNumberFormat="1" applyFont="1" applyBorder="1" applyAlignment="1">
      <alignment horizontal="center"/>
    </xf>
    <xf numFmtId="0" fontId="14" fillId="0" borderId="10" xfId="0" applyFont="1" applyBorder="1" applyAlignment="1">
      <alignment horizontal="center"/>
    </xf>
    <xf numFmtId="167" fontId="14" fillId="4" borderId="1" xfId="0" applyNumberFormat="1" applyFont="1" applyFill="1" applyBorder="1" applyAlignment="1">
      <alignment horizontal="center"/>
    </xf>
    <xf numFmtId="164" fontId="15" fillId="2" borderId="1" xfId="0" applyNumberFormat="1" applyFont="1" applyFill="1" applyBorder="1" applyAlignment="1">
      <alignment horizontal="center" vertical="center" wrapText="1"/>
    </xf>
    <xf numFmtId="164" fontId="15" fillId="4" borderId="1" xfId="0" applyNumberFormat="1" applyFont="1" applyFill="1" applyBorder="1" applyAlignment="1">
      <alignment horizontal="center" vertical="center" wrapText="1"/>
    </xf>
    <xf numFmtId="19" fontId="15" fillId="0" borderId="1" xfId="0" applyNumberFormat="1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4" fontId="14" fillId="0" borderId="0" xfId="0" applyNumberFormat="1" applyFont="1" applyAlignment="1">
      <alignment horizontal="center" vertical="center" wrapText="1"/>
    </xf>
    <xf numFmtId="19" fontId="14" fillId="0" borderId="0" xfId="0" applyNumberFormat="1" applyFont="1" applyAlignment="1">
      <alignment horizontal="center" vertical="center" wrapText="1"/>
    </xf>
    <xf numFmtId="4" fontId="15" fillId="0" borderId="0" xfId="0" applyNumberFormat="1" applyFont="1" applyAlignment="1">
      <alignment horizontal="center" vertical="center" wrapText="1"/>
    </xf>
    <xf numFmtId="166" fontId="14" fillId="0" borderId="0" xfId="0" applyNumberFormat="1" applyFont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4" fillId="0" borderId="0" xfId="0" applyFont="1" applyAlignment="1">
      <alignment vertical="center"/>
    </xf>
    <xf numFmtId="0" fontId="15" fillId="0" borderId="0" xfId="0" applyFont="1" applyAlignment="1">
      <alignment horizontal="center" vertical="center"/>
    </xf>
    <xf numFmtId="0" fontId="16" fillId="2" borderId="0" xfId="0" applyFont="1" applyFill="1" applyAlignment="1">
      <alignment horizontal="center" vertical="center" wrapText="1"/>
    </xf>
    <xf numFmtId="0" fontId="16" fillId="2" borderId="9" xfId="0" applyFont="1" applyFill="1" applyBorder="1" applyAlignment="1">
      <alignment vertical="center"/>
    </xf>
    <xf numFmtId="0" fontId="13" fillId="0" borderId="0" xfId="0" applyFont="1" applyAlignment="1">
      <alignment horizontal="center" vertical="center" wrapText="1"/>
    </xf>
    <xf numFmtId="164" fontId="14" fillId="0" borderId="0" xfId="0" applyNumberFormat="1" applyFont="1" applyAlignment="1">
      <alignment horizontal="center" vertical="center" wrapText="1"/>
    </xf>
    <xf numFmtId="19" fontId="14" fillId="2" borderId="3" xfId="0" applyNumberFormat="1" applyFont="1" applyFill="1" applyBorder="1" applyAlignment="1">
      <alignment horizontal="center" vertical="center" wrapText="1"/>
    </xf>
    <xf numFmtId="164" fontId="14" fillId="2" borderId="3" xfId="0" applyNumberFormat="1" applyFont="1" applyFill="1" applyBorder="1" applyAlignment="1">
      <alignment horizontal="center" vertical="center" wrapText="1"/>
    </xf>
    <xf numFmtId="4" fontId="14" fillId="2" borderId="3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4" fontId="2" fillId="5" borderId="2" xfId="0" applyNumberFormat="1" applyFont="1" applyFill="1" applyBorder="1" applyAlignment="1">
      <alignment horizontal="center" vertical="center" wrapText="1"/>
    </xf>
    <xf numFmtId="164" fontId="2" fillId="0" borderId="2" xfId="0" applyNumberFormat="1" applyFont="1" applyBorder="1" applyAlignment="1">
      <alignment horizontal="center" vertical="center" wrapText="1"/>
    </xf>
    <xf numFmtId="19" fontId="2" fillId="0" borderId="2" xfId="0" applyNumberFormat="1" applyFont="1" applyBorder="1" applyAlignment="1">
      <alignment horizontal="center" vertical="center" wrapText="1"/>
    </xf>
    <xf numFmtId="4" fontId="2" fillId="0" borderId="2" xfId="0" applyNumberFormat="1" applyFont="1" applyBorder="1" applyAlignment="1">
      <alignment horizontal="center" vertical="center" wrapText="1"/>
    </xf>
    <xf numFmtId="169" fontId="2" fillId="0" borderId="2" xfId="0" applyNumberFormat="1" applyFont="1" applyBorder="1" applyAlignment="1">
      <alignment horizontal="center" vertical="center" wrapText="1"/>
    </xf>
    <xf numFmtId="170" fontId="2" fillId="0" borderId="2" xfId="0" applyNumberFormat="1" applyFont="1" applyBorder="1" applyAlignment="1">
      <alignment horizontal="center" vertical="center" wrapText="1"/>
    </xf>
    <xf numFmtId="170" fontId="2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3" fillId="6" borderId="1" xfId="0" applyFont="1" applyFill="1" applyBorder="1" applyAlignment="1">
      <alignment horizontal="center" vertical="center" wrapText="1"/>
    </xf>
    <xf numFmtId="4" fontId="3" fillId="0" borderId="1" xfId="0" applyNumberFormat="1" applyFont="1" applyBorder="1" applyAlignment="1">
      <alignment horizontal="center" vertical="center" wrapText="1"/>
    </xf>
    <xf numFmtId="169" fontId="3" fillId="0" borderId="1" xfId="0" applyNumberFormat="1" applyFont="1" applyBorder="1" applyAlignment="1">
      <alignment horizontal="center" vertical="center" wrapText="1"/>
    </xf>
    <xf numFmtId="4" fontId="4" fillId="2" borderId="1" xfId="0" applyNumberFormat="1" applyFont="1" applyFill="1" applyBorder="1" applyAlignment="1">
      <alignment horizontal="center" vertical="center"/>
    </xf>
    <xf numFmtId="170" fontId="3" fillId="0" borderId="1" xfId="0" applyNumberFormat="1" applyFont="1" applyBorder="1" applyAlignment="1">
      <alignment horizontal="center" vertical="center" wrapText="1"/>
    </xf>
    <xf numFmtId="4" fontId="5" fillId="0" borderId="0" xfId="0" applyNumberFormat="1" applyFont="1" applyAlignment="1">
      <alignment vertical="center" wrapText="1"/>
    </xf>
    <xf numFmtId="0" fontId="19" fillId="0" borderId="0" xfId="0" applyFont="1" applyAlignment="1">
      <alignment vertical="center"/>
    </xf>
    <xf numFmtId="171" fontId="5" fillId="0" borderId="0" xfId="0" applyNumberFormat="1" applyFont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172" fontId="5" fillId="0" borderId="0" xfId="0" applyNumberFormat="1" applyFont="1" applyAlignment="1">
      <alignment vertical="center" wrapText="1"/>
    </xf>
    <xf numFmtId="0" fontId="3" fillId="0" borderId="1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173" fontId="3" fillId="0" borderId="1" xfId="0" applyNumberFormat="1" applyFont="1" applyBorder="1" applyAlignment="1">
      <alignment horizontal="center" vertical="center" wrapText="1"/>
    </xf>
    <xf numFmtId="4" fontId="3" fillId="6" borderId="1" xfId="0" applyNumberFormat="1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vertical="center"/>
    </xf>
    <xf numFmtId="0" fontId="5" fillId="6" borderId="3" xfId="0" applyFont="1" applyFill="1" applyBorder="1" applyAlignment="1">
      <alignment vertical="center"/>
    </xf>
    <xf numFmtId="4" fontId="3" fillId="0" borderId="0" xfId="0" applyNumberFormat="1" applyFont="1" applyAlignment="1">
      <alignment horizontal="center" vertical="center"/>
    </xf>
    <xf numFmtId="4" fontId="3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3" fillId="0" borderId="10" xfId="0" applyFont="1" applyBorder="1" applyAlignment="1">
      <alignment vertical="center"/>
    </xf>
    <xf numFmtId="166" fontId="3" fillId="0" borderId="10" xfId="0" applyNumberFormat="1" applyFont="1" applyBorder="1" applyAlignment="1">
      <alignment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6" borderId="10" xfId="0" applyFont="1" applyFill="1" applyBorder="1" applyAlignment="1">
      <alignment vertical="center"/>
    </xf>
    <xf numFmtId="0" fontId="5" fillId="6" borderId="0" xfId="0" applyFont="1" applyFill="1" applyAlignment="1">
      <alignment vertical="center"/>
    </xf>
    <xf numFmtId="4" fontId="3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73" fontId="3" fillId="2" borderId="1" xfId="0" applyNumberFormat="1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vertical="center"/>
    </xf>
    <xf numFmtId="0" fontId="5" fillId="2" borderId="0" xfId="0" applyFont="1" applyFill="1" applyAlignment="1">
      <alignment vertical="center"/>
    </xf>
    <xf numFmtId="0" fontId="3" fillId="0" borderId="1" xfId="0" applyFont="1" applyBorder="1" applyAlignment="1">
      <alignment horizontal="center" vertical="center"/>
    </xf>
    <xf numFmtId="166" fontId="5" fillId="2" borderId="1" xfId="0" applyNumberFormat="1" applyFont="1" applyFill="1" applyBorder="1" applyAlignment="1">
      <alignment vertical="center" wrapText="1"/>
    </xf>
    <xf numFmtId="166" fontId="5" fillId="2" borderId="1" xfId="0" applyNumberFormat="1" applyFont="1" applyFill="1" applyBorder="1" applyAlignment="1">
      <alignment wrapText="1"/>
    </xf>
    <xf numFmtId="4" fontId="4" fillId="0" borderId="1" xfId="0" applyNumberFormat="1" applyFont="1" applyBorder="1" applyAlignment="1">
      <alignment horizontal="center" vertical="center" wrapText="1"/>
    </xf>
    <xf numFmtId="19" fontId="4" fillId="6" borderId="1" xfId="0" applyNumberFormat="1" applyFont="1" applyFill="1" applyBorder="1" applyAlignment="1">
      <alignment horizontal="center" vertical="center" wrapText="1"/>
    </xf>
    <xf numFmtId="4" fontId="4" fillId="6" borderId="1" xfId="0" applyNumberFormat="1" applyFont="1" applyFill="1" applyBorder="1" applyAlignment="1">
      <alignment horizontal="center" vertical="center" wrapText="1"/>
    </xf>
    <xf numFmtId="19" fontId="3" fillId="6" borderId="1" xfId="0" applyNumberFormat="1" applyFont="1" applyFill="1" applyBorder="1" applyAlignment="1">
      <alignment horizontal="center" vertical="center" wrapText="1"/>
    </xf>
    <xf numFmtId="173" fontId="4" fillId="2" borderId="0" xfId="0" applyNumberFormat="1" applyFont="1" applyFill="1" applyAlignment="1">
      <alignment horizontal="center"/>
    </xf>
    <xf numFmtId="18" fontId="3" fillId="0" borderId="1" xfId="0" applyNumberFormat="1" applyFont="1" applyBorder="1" applyAlignment="1">
      <alignment horizontal="center" vertical="center" wrapText="1"/>
    </xf>
    <xf numFmtId="4" fontId="4" fillId="0" borderId="1" xfId="0" applyNumberFormat="1" applyFont="1" applyBorder="1" applyAlignment="1">
      <alignment horizontal="center" vertical="center"/>
    </xf>
    <xf numFmtId="173" fontId="4" fillId="2" borderId="1" xfId="0" applyNumberFormat="1" applyFont="1" applyFill="1" applyBorder="1" applyAlignment="1">
      <alignment horizontal="center"/>
    </xf>
    <xf numFmtId="19" fontId="4" fillId="0" borderId="1" xfId="0" applyNumberFormat="1" applyFont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 wrapText="1"/>
    </xf>
    <xf numFmtId="164" fontId="5" fillId="0" borderId="0" xfId="0" applyNumberFormat="1" applyFont="1" applyAlignment="1">
      <alignment vertical="center"/>
    </xf>
    <xf numFmtId="169" fontId="5" fillId="0" borderId="0" xfId="0" applyNumberFormat="1" applyFont="1" applyAlignment="1">
      <alignment horizontal="center" vertical="center" wrapText="1"/>
    </xf>
    <xf numFmtId="170" fontId="5" fillId="0" borderId="0" xfId="0" applyNumberFormat="1" applyFont="1" applyAlignment="1">
      <alignment horizontal="center" vertical="center" wrapText="1"/>
    </xf>
    <xf numFmtId="14" fontId="20" fillId="0" borderId="0" xfId="0" applyNumberFormat="1" applyFont="1" applyAlignment="1">
      <alignment horizontal="center" vertical="center"/>
    </xf>
    <xf numFmtId="164" fontId="17" fillId="2" borderId="3" xfId="0" applyNumberFormat="1" applyFont="1" applyFill="1" applyBorder="1" applyAlignment="1">
      <alignment horizontal="center" vertical="center" wrapText="1"/>
    </xf>
    <xf numFmtId="164" fontId="20" fillId="2" borderId="3" xfId="0" applyNumberFormat="1" applyFont="1" applyFill="1" applyBorder="1" applyAlignment="1">
      <alignment horizontal="center" vertical="center"/>
    </xf>
    <xf numFmtId="164" fontId="20" fillId="0" borderId="0" xfId="0" applyNumberFormat="1" applyFont="1" applyAlignment="1">
      <alignment horizontal="center" vertical="center"/>
    </xf>
    <xf numFmtId="0" fontId="21" fillId="0" borderId="1" xfId="0" applyFont="1" applyBorder="1" applyAlignment="1">
      <alignment horizontal="center" vertical="center" wrapText="1"/>
    </xf>
    <xf numFmtId="164" fontId="21" fillId="0" borderId="1" xfId="0" applyNumberFormat="1" applyFont="1" applyBorder="1" applyAlignment="1">
      <alignment horizontal="center" vertical="center" wrapText="1"/>
    </xf>
    <xf numFmtId="19" fontId="21" fillId="0" borderId="1" xfId="0" applyNumberFormat="1" applyFont="1" applyBorder="1" applyAlignment="1">
      <alignment horizontal="center" vertical="center" wrapText="1"/>
    </xf>
    <xf numFmtId="4" fontId="21" fillId="0" borderId="1" xfId="0" applyNumberFormat="1" applyFont="1" applyBorder="1" applyAlignment="1">
      <alignment horizontal="center" vertical="center" wrapText="1"/>
    </xf>
    <xf numFmtId="174" fontId="21" fillId="0" borderId="1" xfId="0" applyNumberFormat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4" fontId="5" fillId="0" borderId="6" xfId="0" applyNumberFormat="1" applyFont="1" applyBorder="1" applyAlignment="1">
      <alignment horizontal="center" vertical="center" wrapText="1"/>
    </xf>
    <xf numFmtId="19" fontId="5" fillId="0" borderId="6" xfId="0" applyNumberFormat="1" applyFont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174" fontId="11" fillId="0" borderId="1" xfId="0" applyNumberFormat="1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/>
    </xf>
    <xf numFmtId="19" fontId="11" fillId="0" borderId="1" xfId="0" applyNumberFormat="1" applyFont="1" applyBorder="1" applyAlignment="1">
      <alignment horizontal="center" vertical="center"/>
    </xf>
    <xf numFmtId="4" fontId="11" fillId="0" borderId="1" xfId="0" applyNumberFormat="1" applyFont="1" applyBorder="1" applyAlignment="1">
      <alignment horizontal="center" vertical="center"/>
    </xf>
    <xf numFmtId="174" fontId="11" fillId="0" borderId="1" xfId="0" applyNumberFormat="1" applyFont="1" applyBorder="1" applyAlignment="1">
      <alignment horizontal="center" vertical="center"/>
    </xf>
    <xf numFmtId="4" fontId="5" fillId="2" borderId="5" xfId="0" applyNumberFormat="1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11" fillId="2" borderId="1" xfId="0" applyFont="1" applyFill="1" applyBorder="1" applyAlignment="1">
      <alignment horizontal="left" vertical="center" wrapText="1"/>
    </xf>
    <xf numFmtId="0" fontId="22" fillId="2" borderId="1" xfId="0" applyFont="1" applyFill="1" applyBorder="1"/>
    <xf numFmtId="4" fontId="5" fillId="0" borderId="1" xfId="0" applyNumberFormat="1" applyFont="1" applyBorder="1" applyAlignment="1">
      <alignment horizontal="center" vertical="center"/>
    </xf>
    <xf numFmtId="19" fontId="5" fillId="0" borderId="0" xfId="0" applyNumberFormat="1" applyFont="1" applyAlignment="1">
      <alignment horizontal="center"/>
    </xf>
    <xf numFmtId="19" fontId="5" fillId="0" borderId="6" xfId="0" applyNumberFormat="1" applyFont="1" applyBorder="1" applyAlignment="1">
      <alignment horizontal="center" vertical="center"/>
    </xf>
    <xf numFmtId="4" fontId="5" fillId="0" borderId="6" xfId="0" applyNumberFormat="1" applyFont="1" applyBorder="1" applyAlignment="1">
      <alignment horizontal="center" vertical="center"/>
    </xf>
    <xf numFmtId="174" fontId="5" fillId="0" borderId="1" xfId="0" applyNumberFormat="1" applyFont="1" applyBorder="1" applyAlignment="1">
      <alignment horizontal="center" vertical="center"/>
    </xf>
    <xf numFmtId="19" fontId="5" fillId="0" borderId="1" xfId="0" applyNumberFormat="1" applyFont="1" applyBorder="1" applyAlignment="1">
      <alignment horizontal="center" vertical="center"/>
    </xf>
    <xf numFmtId="18" fontId="11" fillId="0" borderId="1" xfId="0" applyNumberFormat="1" applyFont="1" applyBorder="1" applyAlignment="1">
      <alignment horizontal="center" vertical="center"/>
    </xf>
    <xf numFmtId="167" fontId="5" fillId="0" borderId="1" xfId="0" applyNumberFormat="1" applyFont="1" applyBorder="1" applyAlignment="1">
      <alignment horizontal="center" vertical="center" wrapText="1"/>
    </xf>
    <xf numFmtId="19" fontId="5" fillId="2" borderId="1" xfId="0" applyNumberFormat="1" applyFont="1" applyFill="1" applyBorder="1" applyAlignment="1">
      <alignment horizontal="center" vertical="center"/>
    </xf>
    <xf numFmtId="4" fontId="0" fillId="0" borderId="0" xfId="0" applyNumberFormat="1" applyAlignment="1">
      <alignment horizontal="center"/>
    </xf>
    <xf numFmtId="4" fontId="5" fillId="2" borderId="1" xfId="0" applyNumberFormat="1" applyFont="1" applyFill="1" applyBorder="1" applyAlignment="1">
      <alignment horizontal="center" vertical="center"/>
    </xf>
    <xf numFmtId="174" fontId="11" fillId="2" borderId="1" xfId="0" applyNumberFormat="1" applyFont="1" applyFill="1" applyBorder="1" applyAlignment="1">
      <alignment horizontal="center" vertical="center"/>
    </xf>
    <xf numFmtId="174" fontId="5" fillId="2" borderId="1" xfId="0" applyNumberFormat="1" applyFont="1" applyFill="1" applyBorder="1" applyAlignment="1">
      <alignment horizontal="center" vertical="center"/>
    </xf>
    <xf numFmtId="19" fontId="11" fillId="0" borderId="1" xfId="0" applyNumberFormat="1" applyFont="1" applyBorder="1" applyAlignment="1">
      <alignment horizontal="center" vertical="center" wrapText="1"/>
    </xf>
    <xf numFmtId="19" fontId="5" fillId="0" borderId="0" xfId="0" applyNumberFormat="1" applyFont="1" applyAlignment="1">
      <alignment vertical="center"/>
    </xf>
    <xf numFmtId="164" fontId="11" fillId="0" borderId="1" xfId="0" applyNumberFormat="1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19" fontId="5" fillId="0" borderId="0" xfId="0" applyNumberFormat="1" applyFont="1" applyAlignment="1">
      <alignment horizontal="center" vertical="center"/>
    </xf>
    <xf numFmtId="4" fontId="5" fillId="0" borderId="0" xfId="0" applyNumberFormat="1" applyFont="1" applyAlignment="1">
      <alignment horizontal="center" vertical="center"/>
    </xf>
    <xf numFmtId="174" fontId="5" fillId="0" borderId="0" xfId="0" applyNumberFormat="1" applyFont="1" applyAlignment="1">
      <alignment horizontal="center" vertical="center"/>
    </xf>
    <xf numFmtId="4" fontId="11" fillId="0" borderId="0" xfId="0" applyNumberFormat="1" applyFont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9" fontId="8" fillId="0" borderId="1" xfId="0" applyNumberFormat="1" applyFont="1" applyBorder="1" applyAlignment="1">
      <alignment horizontal="center" vertical="center"/>
    </xf>
    <xf numFmtId="4" fontId="8" fillId="0" borderId="1" xfId="0" applyNumberFormat="1" applyFont="1" applyBorder="1" applyAlignment="1">
      <alignment horizontal="center" vertical="center"/>
    </xf>
    <xf numFmtId="0" fontId="21" fillId="0" borderId="1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14" fillId="0" borderId="1" xfId="0" applyFont="1" applyBorder="1" applyAlignment="1">
      <alignment horizontal="left" vertical="center" wrapText="1"/>
    </xf>
    <xf numFmtId="4" fontId="5" fillId="2" borderId="1" xfId="0" applyNumberFormat="1" applyFont="1" applyFill="1" applyBorder="1" applyAlignment="1">
      <alignment horizontal="center"/>
    </xf>
    <xf numFmtId="4" fontId="5" fillId="0" borderId="1" xfId="0" applyNumberFormat="1" applyFont="1" applyBorder="1" applyAlignment="1">
      <alignment horizontal="center"/>
    </xf>
    <xf numFmtId="19" fontId="11" fillId="2" borderId="1" xfId="0" applyNumberFormat="1" applyFont="1" applyFill="1" applyBorder="1" applyAlignment="1">
      <alignment horizontal="center" vertical="center" wrapText="1"/>
    </xf>
    <xf numFmtId="19" fontId="11" fillId="2" borderId="1" xfId="0" applyNumberFormat="1" applyFont="1" applyFill="1" applyBorder="1" applyAlignment="1">
      <alignment horizontal="center" wrapText="1"/>
    </xf>
    <xf numFmtId="4" fontId="11" fillId="2" borderId="1" xfId="0" applyNumberFormat="1" applyFont="1" applyFill="1" applyBorder="1" applyAlignment="1">
      <alignment horizontal="center"/>
    </xf>
    <xf numFmtId="0" fontId="15" fillId="0" borderId="1" xfId="0" applyFont="1" applyBorder="1" applyAlignment="1">
      <alignment horizontal="left" vertical="center" wrapText="1"/>
    </xf>
    <xf numFmtId="0" fontId="11" fillId="0" borderId="0" xfId="0" applyFont="1"/>
    <xf numFmtId="0" fontId="11" fillId="0" borderId="1" xfId="0" applyFont="1" applyBorder="1"/>
    <xf numFmtId="0" fontId="5" fillId="0" borderId="1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5" fillId="0" borderId="0" xfId="0" applyFont="1" applyAlignment="1">
      <alignment horizontal="center"/>
    </xf>
    <xf numFmtId="19" fontId="7" fillId="0" borderId="0" xfId="0" applyNumberFormat="1" applyFont="1"/>
    <xf numFmtId="19" fontId="1" fillId="0" borderId="0" xfId="0" applyNumberFormat="1" applyFont="1"/>
    <xf numFmtId="4" fontId="5" fillId="0" borderId="0" xfId="0" applyNumberFormat="1" applyFont="1"/>
    <xf numFmtId="0" fontId="14" fillId="0" borderId="0" xfId="0" applyFont="1"/>
    <xf numFmtId="1" fontId="13" fillId="0" borderId="0" xfId="0" applyNumberFormat="1" applyFont="1" applyAlignment="1">
      <alignment horizontal="center" vertical="center" wrapText="1"/>
    </xf>
    <xf numFmtId="0" fontId="23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22" fontId="4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0" fontId="4" fillId="8" borderId="0" xfId="0" applyFont="1" applyFill="1" applyAlignment="1">
      <alignment horizontal="center"/>
    </xf>
    <xf numFmtId="22" fontId="4" fillId="8" borderId="0" xfId="0" applyNumberFormat="1" applyFont="1" applyFill="1" applyAlignment="1">
      <alignment horizontal="center"/>
    </xf>
    <xf numFmtId="1" fontId="4" fillId="8" borderId="0" xfId="0" applyNumberFormat="1" applyFont="1" applyFill="1" applyAlignment="1">
      <alignment horizontal="center"/>
    </xf>
    <xf numFmtId="169" fontId="4" fillId="0" borderId="0" xfId="0" applyNumberFormat="1" applyFont="1" applyAlignment="1">
      <alignment horizontal="center"/>
    </xf>
    <xf numFmtId="169" fontId="4" fillId="8" borderId="0" xfId="0" applyNumberFormat="1" applyFont="1" applyFill="1" applyAlignment="1">
      <alignment horizontal="center"/>
    </xf>
    <xf numFmtId="1" fontId="4" fillId="2" borderId="0" xfId="0" applyNumberFormat="1" applyFont="1" applyFill="1" applyAlignment="1">
      <alignment horizontal="center"/>
    </xf>
    <xf numFmtId="169" fontId="4" fillId="2" borderId="0" xfId="0" applyNumberFormat="1" applyFont="1" applyFill="1" applyAlignment="1">
      <alignment horizontal="center"/>
    </xf>
    <xf numFmtId="0" fontId="4" fillId="2" borderId="0" xfId="0" applyFont="1" applyFill="1" applyAlignment="1">
      <alignment horizontal="center"/>
    </xf>
    <xf numFmtId="175" fontId="4" fillId="0" borderId="0" xfId="0" applyNumberFormat="1" applyFont="1" applyAlignment="1">
      <alignment horizontal="center"/>
    </xf>
    <xf numFmtId="175" fontId="4" fillId="8" borderId="0" xfId="0" applyNumberFormat="1" applyFont="1" applyFill="1" applyAlignment="1">
      <alignment horizontal="center"/>
    </xf>
    <xf numFmtId="0" fontId="24" fillId="0" borderId="0" xfId="0" applyFont="1" applyAlignment="1">
      <alignment horizontal="center"/>
    </xf>
    <xf numFmtId="22" fontId="24" fillId="0" borderId="0" xfId="0" applyNumberFormat="1" applyFont="1" applyAlignment="1">
      <alignment horizontal="center"/>
    </xf>
    <xf numFmtId="1" fontId="24" fillId="0" borderId="0" xfId="0" applyNumberFormat="1" applyFont="1" applyAlignment="1">
      <alignment horizontal="center"/>
    </xf>
    <xf numFmtId="0" fontId="24" fillId="8" borderId="0" xfId="0" applyFont="1" applyFill="1" applyAlignment="1">
      <alignment horizontal="center"/>
    </xf>
    <xf numFmtId="22" fontId="24" fillId="8" borderId="0" xfId="0" applyNumberFormat="1" applyFont="1" applyFill="1" applyAlignment="1">
      <alignment horizontal="center"/>
    </xf>
    <xf numFmtId="1" fontId="24" fillId="8" borderId="0" xfId="0" applyNumberFormat="1" applyFont="1" applyFill="1" applyAlignment="1">
      <alignment horizontal="center"/>
    </xf>
    <xf numFmtId="0" fontId="25" fillId="8" borderId="0" xfId="0" applyFont="1" applyFill="1" applyAlignment="1">
      <alignment horizontal="center"/>
    </xf>
    <xf numFmtId="1" fontId="25" fillId="0" borderId="0" xfId="0" applyNumberFormat="1" applyFont="1" applyAlignment="1">
      <alignment horizontal="center"/>
    </xf>
    <xf numFmtId="0" fontId="25" fillId="9" borderId="0" xfId="0" applyFont="1" applyFill="1" applyAlignment="1">
      <alignment horizontal="center"/>
    </xf>
    <xf numFmtId="176" fontId="24" fillId="0" borderId="0" xfId="0" applyNumberFormat="1" applyFont="1" applyAlignment="1">
      <alignment horizontal="center"/>
    </xf>
    <xf numFmtId="176" fontId="24" fillId="8" borderId="0" xfId="0" applyNumberFormat="1" applyFont="1" applyFill="1" applyAlignment="1">
      <alignment horizontal="center"/>
    </xf>
    <xf numFmtId="177" fontId="24" fillId="0" borderId="0" xfId="0" applyNumberFormat="1" applyFont="1" applyAlignment="1">
      <alignment horizontal="center"/>
    </xf>
    <xf numFmtId="0" fontId="15" fillId="8" borderId="0" xfId="0" applyFont="1" applyFill="1" applyAlignment="1">
      <alignment horizontal="center"/>
    </xf>
    <xf numFmtId="0" fontId="14" fillId="8" borderId="0" xfId="0" applyFont="1" applyFill="1" applyAlignment="1">
      <alignment horizontal="center" vertical="center"/>
    </xf>
    <xf numFmtId="0" fontId="5" fillId="8" borderId="0" xfId="0" applyFont="1" applyFill="1" applyAlignment="1">
      <alignment vertical="center"/>
    </xf>
    <xf numFmtId="0" fontId="15" fillId="0" borderId="0" xfId="0" applyFont="1" applyAlignment="1">
      <alignment horizontal="center"/>
    </xf>
    <xf numFmtId="0" fontId="15" fillId="2" borderId="0" xfId="0" applyFont="1" applyFill="1" applyAlignment="1">
      <alignment horizontal="center"/>
    </xf>
    <xf numFmtId="22" fontId="15" fillId="2" borderId="0" xfId="0" applyNumberFormat="1" applyFont="1" applyFill="1" applyAlignment="1">
      <alignment horizontal="center"/>
    </xf>
    <xf numFmtId="1" fontId="15" fillId="2" borderId="0" xfId="0" applyNumberFormat="1" applyFont="1" applyFill="1" applyAlignment="1">
      <alignment horizontal="center"/>
    </xf>
    <xf numFmtId="1" fontId="7" fillId="2" borderId="0" xfId="0" applyNumberFormat="1" applyFont="1" applyFill="1" applyAlignment="1">
      <alignment horizontal="center"/>
    </xf>
    <xf numFmtId="1" fontId="15" fillId="0" borderId="0" xfId="0" applyNumberFormat="1" applyFont="1" applyAlignment="1">
      <alignment horizontal="center"/>
    </xf>
    <xf numFmtId="0" fontId="5" fillId="2" borderId="0" xfId="0" applyFont="1" applyFill="1" applyAlignment="1">
      <alignment vertical="center" wrapText="1"/>
    </xf>
    <xf numFmtId="0" fontId="7" fillId="2" borderId="0" xfId="0" applyFont="1" applyFill="1" applyAlignment="1">
      <alignment horizontal="center"/>
    </xf>
    <xf numFmtId="4" fontId="5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167" fontId="5" fillId="0" borderId="0" xfId="0" applyNumberFormat="1" applyFont="1" applyAlignment="1">
      <alignment horizontal="center"/>
    </xf>
    <xf numFmtId="4" fontId="7" fillId="0" borderId="0" xfId="0" applyNumberFormat="1" applyFont="1" applyAlignment="1">
      <alignment horizontal="center"/>
    </xf>
    <xf numFmtId="0" fontId="21" fillId="0" borderId="0" xfId="0" applyFont="1" applyAlignment="1">
      <alignment horizontal="center" vertical="center" wrapText="1"/>
    </xf>
    <xf numFmtId="173" fontId="21" fillId="0" borderId="0" xfId="0" applyNumberFormat="1" applyFont="1" applyAlignment="1">
      <alignment horizontal="center" vertical="center" wrapText="1"/>
    </xf>
    <xf numFmtId="1" fontId="21" fillId="0" borderId="0" xfId="0" applyNumberFormat="1" applyFont="1" applyAlignment="1">
      <alignment horizontal="center" vertical="center" wrapText="1"/>
    </xf>
    <xf numFmtId="0" fontId="11" fillId="0" borderId="0" xfId="0" applyFont="1" applyAlignment="1">
      <alignment wrapText="1"/>
    </xf>
    <xf numFmtId="0" fontId="11" fillId="2" borderId="0" xfId="0" applyFont="1" applyFill="1" applyAlignment="1">
      <alignment wrapText="1"/>
    </xf>
    <xf numFmtId="0" fontId="5" fillId="2" borderId="0" xfId="0" applyFont="1" applyFill="1" applyAlignment="1">
      <alignment wrapText="1"/>
    </xf>
    <xf numFmtId="0" fontId="11" fillId="0" borderId="0" xfId="0" applyFont="1" applyAlignment="1">
      <alignment horizontal="center"/>
    </xf>
    <xf numFmtId="175" fontId="11" fillId="0" borderId="0" xfId="0" applyNumberFormat="1" applyFont="1" applyAlignment="1">
      <alignment horizontal="center"/>
    </xf>
    <xf numFmtId="173" fontId="5" fillId="0" borderId="0" xfId="0" applyNumberFormat="1" applyFont="1"/>
    <xf numFmtId="1" fontId="5" fillId="0" borderId="0" xfId="0" applyNumberFormat="1" applyFont="1"/>
    <xf numFmtId="1" fontId="11" fillId="0" borderId="0" xfId="0" applyNumberFormat="1" applyFont="1" applyAlignment="1">
      <alignment horizontal="center"/>
    </xf>
    <xf numFmtId="173" fontId="11" fillId="0" borderId="0" xfId="0" applyNumberFormat="1" applyFont="1" applyAlignment="1">
      <alignment horizontal="center"/>
    </xf>
    <xf numFmtId="0" fontId="11" fillId="2" borderId="0" xfId="0" applyFont="1" applyFill="1"/>
    <xf numFmtId="10" fontId="11" fillId="0" borderId="0" xfId="0" applyNumberFormat="1" applyFont="1" applyAlignment="1">
      <alignment horizontal="center"/>
    </xf>
    <xf numFmtId="0" fontId="11" fillId="8" borderId="0" xfId="0" applyFont="1" applyFill="1" applyAlignment="1">
      <alignment horizontal="center"/>
    </xf>
    <xf numFmtId="175" fontId="11" fillId="8" borderId="0" xfId="0" applyNumberFormat="1" applyFont="1" applyFill="1" applyAlignment="1">
      <alignment horizontal="center"/>
    </xf>
    <xf numFmtId="173" fontId="11" fillId="8" borderId="0" xfId="0" applyNumberFormat="1" applyFont="1" applyFill="1" applyAlignment="1">
      <alignment horizontal="center"/>
    </xf>
    <xf numFmtId="1" fontId="11" fillId="8" borderId="0" xfId="0" applyNumberFormat="1" applyFont="1" applyFill="1" applyAlignment="1">
      <alignment horizontal="center"/>
    </xf>
    <xf numFmtId="1" fontId="11" fillId="0" borderId="0" xfId="0" applyNumberFormat="1" applyFont="1"/>
    <xf numFmtId="1" fontId="11" fillId="2" borderId="0" xfId="0" applyNumberFormat="1" applyFont="1" applyFill="1" applyAlignment="1">
      <alignment horizontal="center"/>
    </xf>
    <xf numFmtId="173" fontId="11" fillId="2" borderId="0" xfId="0" applyNumberFormat="1" applyFont="1" applyFill="1" applyAlignment="1">
      <alignment horizontal="center"/>
    </xf>
    <xf numFmtId="10" fontId="11" fillId="8" borderId="0" xfId="0" applyNumberFormat="1" applyFont="1" applyFill="1" applyAlignment="1">
      <alignment horizontal="center"/>
    </xf>
    <xf numFmtId="177" fontId="11" fillId="0" borderId="0" xfId="0" applyNumberFormat="1" applyFont="1" applyAlignment="1">
      <alignment horizontal="center"/>
    </xf>
    <xf numFmtId="1" fontId="11" fillId="2" borderId="0" xfId="0" applyNumberFormat="1" applyFont="1" applyFill="1" applyAlignment="1">
      <alignment horizontal="center" vertical="center"/>
    </xf>
    <xf numFmtId="177" fontId="11" fillId="8" borderId="0" xfId="0" applyNumberFormat="1" applyFont="1" applyFill="1" applyAlignment="1">
      <alignment horizontal="center"/>
    </xf>
    <xf numFmtId="177" fontId="11" fillId="2" borderId="0" xfId="0" applyNumberFormat="1" applyFont="1" applyFill="1" applyAlignment="1">
      <alignment horizontal="center"/>
    </xf>
    <xf numFmtId="0" fontId="11" fillId="2" borderId="0" xfId="0" applyFont="1" applyFill="1" applyAlignment="1">
      <alignment horizontal="center" vertical="center"/>
    </xf>
    <xf numFmtId="173" fontId="11" fillId="2" borderId="0" xfId="0" applyNumberFormat="1" applyFont="1" applyFill="1" applyAlignment="1">
      <alignment horizontal="center" vertical="center"/>
    </xf>
    <xf numFmtId="10" fontId="11" fillId="2" borderId="0" xfId="0" applyNumberFormat="1" applyFont="1" applyFill="1" applyAlignment="1">
      <alignment horizontal="center"/>
    </xf>
    <xf numFmtId="22" fontId="11" fillId="2" borderId="0" xfId="0" applyNumberFormat="1" applyFont="1" applyFill="1" applyAlignment="1">
      <alignment horizontal="center"/>
    </xf>
    <xf numFmtId="178" fontId="11" fillId="2" borderId="0" xfId="0" applyNumberFormat="1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5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 wrapText="1"/>
    </xf>
    <xf numFmtId="173" fontId="5" fillId="2" borderId="0" xfId="0" applyNumberFormat="1" applyFont="1" applyFill="1" applyAlignment="1">
      <alignment horizontal="center" vertical="center" wrapText="1"/>
    </xf>
    <xf numFmtId="1" fontId="5" fillId="2" borderId="0" xfId="0" applyNumberFormat="1" applyFont="1" applyFill="1" applyAlignment="1">
      <alignment horizontal="center" vertical="center" wrapText="1"/>
    </xf>
    <xf numFmtId="173" fontId="5" fillId="0" borderId="0" xfId="0" applyNumberFormat="1" applyFont="1" applyAlignment="1">
      <alignment horizontal="center" vertical="center" wrapText="1"/>
    </xf>
    <xf numFmtId="1" fontId="5" fillId="0" borderId="0" xfId="0" applyNumberFormat="1" applyFont="1" applyAlignment="1">
      <alignment horizontal="center" vertical="center" wrapText="1"/>
    </xf>
    <xf numFmtId="0" fontId="26" fillId="0" borderId="0" xfId="0" applyFont="1" applyAlignment="1">
      <alignment horizontal="center"/>
    </xf>
    <xf numFmtId="0" fontId="27" fillId="8" borderId="0" xfId="0" applyFont="1" applyFill="1" applyAlignment="1">
      <alignment horizontal="center"/>
    </xf>
    <xf numFmtId="0" fontId="27" fillId="0" borderId="0" xfId="0" applyFont="1" applyAlignment="1">
      <alignment horizontal="center"/>
    </xf>
    <xf numFmtId="0" fontId="26" fillId="0" borderId="0" xfId="0" applyFont="1"/>
    <xf numFmtId="174" fontId="27" fillId="8" borderId="0" xfId="0" applyNumberFormat="1" applyFont="1" applyFill="1" applyAlignment="1">
      <alignment horizontal="center"/>
    </xf>
    <xf numFmtId="174" fontId="27" fillId="0" borderId="0" xfId="0" applyNumberFormat="1" applyFont="1" applyAlignment="1">
      <alignment horizontal="center"/>
    </xf>
    <xf numFmtId="14" fontId="28" fillId="0" borderId="0" xfId="0" applyNumberFormat="1" applyFont="1" applyAlignment="1">
      <alignment horizontal="center"/>
    </xf>
    <xf numFmtId="0" fontId="28" fillId="8" borderId="0" xfId="0" applyFont="1" applyFill="1" applyAlignment="1">
      <alignment horizontal="center"/>
    </xf>
    <xf numFmtId="0" fontId="28" fillId="0" borderId="0" xfId="0" applyFont="1" applyAlignment="1">
      <alignment horizontal="center"/>
    </xf>
    <xf numFmtId="22" fontId="28" fillId="0" borderId="0" xfId="0" applyNumberFormat="1" applyFont="1" applyAlignment="1">
      <alignment horizontal="center"/>
    </xf>
    <xf numFmtId="179" fontId="28" fillId="0" borderId="0" xfId="0" applyNumberFormat="1" applyFont="1" applyAlignment="1">
      <alignment horizontal="center"/>
    </xf>
    <xf numFmtId="2" fontId="28" fillId="8" borderId="0" xfId="0" applyNumberFormat="1" applyFont="1" applyFill="1" applyAlignment="1">
      <alignment horizontal="center"/>
    </xf>
    <xf numFmtId="2" fontId="26" fillId="0" borderId="0" xfId="0" applyNumberFormat="1" applyFont="1" applyAlignment="1">
      <alignment horizontal="center"/>
    </xf>
    <xf numFmtId="0" fontId="26" fillId="8" borderId="0" xfId="0" applyFont="1" applyFill="1"/>
    <xf numFmtId="0" fontId="29" fillId="8" borderId="0" xfId="0" applyFont="1" applyFill="1" applyAlignment="1">
      <alignment horizontal="center"/>
    </xf>
    <xf numFmtId="0" fontId="7" fillId="0" borderId="0" xfId="0" applyFont="1"/>
    <xf numFmtId="0" fontId="7" fillId="8" borderId="0" xfId="0" applyFont="1" applyFill="1"/>
    <xf numFmtId="22" fontId="7" fillId="0" borderId="0" xfId="0" applyNumberFormat="1" applyFont="1"/>
    <xf numFmtId="2" fontId="7" fillId="8" borderId="0" xfId="0" applyNumberFormat="1" applyFont="1" applyFill="1"/>
    <xf numFmtId="0" fontId="1" fillId="8" borderId="0" xfId="0" applyFont="1" applyFill="1"/>
    <xf numFmtId="0" fontId="29" fillId="0" borderId="0" xfId="0" applyFont="1" applyAlignment="1">
      <alignment horizontal="center"/>
    </xf>
    <xf numFmtId="174" fontId="29" fillId="0" borderId="0" xfId="0" applyNumberFormat="1" applyFont="1" applyAlignment="1">
      <alignment horizontal="center"/>
    </xf>
    <xf numFmtId="174" fontId="26" fillId="0" borderId="0" xfId="0" applyNumberFormat="1" applyFont="1" applyAlignment="1">
      <alignment horizontal="center"/>
    </xf>
    <xf numFmtId="0" fontId="28" fillId="10" borderId="0" xfId="0" applyFont="1" applyFill="1" applyAlignment="1">
      <alignment horizontal="center"/>
    </xf>
    <xf numFmtId="174" fontId="26" fillId="10" borderId="0" xfId="0" applyNumberFormat="1" applyFont="1" applyFill="1" applyAlignment="1">
      <alignment horizontal="center"/>
    </xf>
    <xf numFmtId="0" fontId="26" fillId="10" borderId="0" xfId="0" applyFont="1" applyFill="1" applyAlignment="1">
      <alignment horizontal="center"/>
    </xf>
    <xf numFmtId="166" fontId="5" fillId="2" borderId="2" xfId="0" applyNumberFormat="1" applyFont="1" applyFill="1" applyBorder="1" applyAlignment="1">
      <alignment horizontal="center" vertical="center" wrapText="1"/>
    </xf>
    <xf numFmtId="0" fontId="10" fillId="0" borderId="4" xfId="0" applyFont="1" applyBorder="1"/>
    <xf numFmtId="0" fontId="10" fillId="0" borderId="5" xfId="0" applyFont="1" applyBorder="1"/>
    <xf numFmtId="166" fontId="5" fillId="2" borderId="2" xfId="0" applyNumberFormat="1" applyFont="1" applyFill="1" applyBorder="1" applyAlignment="1">
      <alignment horizontal="left" vertical="center" wrapText="1"/>
    </xf>
    <xf numFmtId="166" fontId="3" fillId="2" borderId="2" xfId="0" applyNumberFormat="1" applyFont="1" applyFill="1" applyBorder="1" applyAlignment="1">
      <alignment vertical="center" wrapText="1"/>
    </xf>
    <xf numFmtId="0" fontId="15" fillId="0" borderId="2" xfId="0" applyFont="1" applyBorder="1" applyAlignment="1">
      <alignment horizontal="left" vertical="center" wrapText="1"/>
    </xf>
    <xf numFmtId="0" fontId="14" fillId="0" borderId="2" xfId="0" applyFont="1" applyBorder="1" applyAlignment="1">
      <alignment horizontal="left" vertical="center" wrapText="1"/>
    </xf>
    <xf numFmtId="166" fontId="5" fillId="0" borderId="2" xfId="0" applyNumberFormat="1" applyFont="1" applyBorder="1" applyAlignment="1">
      <alignment vertical="center" wrapText="1"/>
    </xf>
    <xf numFmtId="0" fontId="15" fillId="0" borderId="0" xfId="0" applyFont="1" applyAlignment="1">
      <alignment horizontal="left" vertical="center"/>
    </xf>
    <xf numFmtId="0" fontId="0" fillId="0" borderId="0" xfId="0"/>
    <xf numFmtId="0" fontId="15" fillId="0" borderId="0" xfId="0" applyFont="1" applyAlignment="1">
      <alignment horizontal="center" vertical="center"/>
    </xf>
    <xf numFmtId="0" fontId="11" fillId="2" borderId="0" xfId="0" applyFont="1" applyFill="1" applyAlignment="1">
      <alignment horizontal="left"/>
    </xf>
    <xf numFmtId="0" fontId="1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customschemas.google.com/relationships/workbookmetadata" Target="metadata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993"/>
  <sheetViews>
    <sheetView workbookViewId="0"/>
  </sheetViews>
  <sheetFormatPr defaultColWidth="11.25" defaultRowHeight="15" customHeight="1"/>
  <cols>
    <col min="1" max="1" width="12.75" customWidth="1"/>
    <col min="2" max="5" width="10.75" customWidth="1"/>
    <col min="6" max="6" width="11.125" customWidth="1"/>
    <col min="7" max="9" width="10.75" customWidth="1"/>
    <col min="10" max="10" width="42.375" customWidth="1"/>
    <col min="11" max="27" width="10.5" customWidth="1"/>
  </cols>
  <sheetData>
    <row r="1" spans="1:27" ht="15.75" customHeight="1">
      <c r="A1" s="1" t="s">
        <v>0</v>
      </c>
      <c r="B1" s="2" t="s">
        <v>1</v>
      </c>
      <c r="C1" s="3" t="s">
        <v>2</v>
      </c>
      <c r="D1" s="2" t="s">
        <v>3</v>
      </c>
      <c r="E1" s="3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6" t="s">
        <v>9</v>
      </c>
    </row>
    <row r="2" spans="1:27" ht="15.75" customHeight="1">
      <c r="A2" s="7" t="s">
        <v>10</v>
      </c>
      <c r="B2" s="8">
        <v>45461</v>
      </c>
      <c r="C2" s="9">
        <v>0.32291666666666669</v>
      </c>
      <c r="D2" s="8">
        <v>45461</v>
      </c>
      <c r="E2" s="9">
        <v>0.60416666666666663</v>
      </c>
      <c r="F2" s="9">
        <v>0.64583333333333337</v>
      </c>
      <c r="G2" s="10" t="s">
        <v>11</v>
      </c>
      <c r="H2" s="11" t="s">
        <v>12</v>
      </c>
      <c r="I2" s="11" t="s">
        <v>13</v>
      </c>
      <c r="J2" s="12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</row>
    <row r="3" spans="1:27" ht="15.75" customHeight="1">
      <c r="A3" s="7" t="s">
        <v>14</v>
      </c>
      <c r="B3" s="8">
        <v>45461</v>
      </c>
      <c r="C3" s="9">
        <v>0.34027777777777779</v>
      </c>
      <c r="D3" s="8">
        <v>45461</v>
      </c>
      <c r="E3" s="9">
        <v>0.60486111111111107</v>
      </c>
      <c r="F3" s="9">
        <v>0.64652777777777781</v>
      </c>
      <c r="G3" s="10" t="s">
        <v>11</v>
      </c>
      <c r="H3" s="11" t="s">
        <v>12</v>
      </c>
      <c r="I3" s="11" t="s">
        <v>13</v>
      </c>
      <c r="J3" s="12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</row>
    <row r="4" spans="1:27" ht="15.75" customHeight="1">
      <c r="A4" s="14" t="s">
        <v>15</v>
      </c>
      <c r="B4" s="8">
        <v>45461</v>
      </c>
      <c r="C4" s="9">
        <v>0.36805555555555558</v>
      </c>
      <c r="D4" s="8">
        <v>45461</v>
      </c>
      <c r="E4" s="9">
        <v>0.60555555555555551</v>
      </c>
      <c r="F4" s="9">
        <v>0.64722222222222225</v>
      </c>
      <c r="G4" s="10" t="s">
        <v>11</v>
      </c>
      <c r="H4" s="11" t="s">
        <v>12</v>
      </c>
      <c r="I4" s="11" t="s">
        <v>13</v>
      </c>
      <c r="J4" s="12"/>
    </row>
    <row r="5" spans="1:27" ht="15.75" customHeight="1">
      <c r="A5" s="14" t="s">
        <v>16</v>
      </c>
      <c r="B5" s="8">
        <v>45461</v>
      </c>
      <c r="C5" s="9">
        <v>0.40902777777777777</v>
      </c>
      <c r="D5" s="8">
        <v>45461</v>
      </c>
      <c r="E5" s="9">
        <v>0.60763888888888884</v>
      </c>
      <c r="F5" s="9">
        <v>0.64930555555555558</v>
      </c>
      <c r="G5" s="10" t="s">
        <v>11</v>
      </c>
      <c r="H5" s="11" t="s">
        <v>12</v>
      </c>
      <c r="I5" s="11" t="s">
        <v>13</v>
      </c>
      <c r="J5" s="12"/>
    </row>
    <row r="6" spans="1:27" ht="15.75" customHeight="1">
      <c r="A6" s="14" t="s">
        <v>17</v>
      </c>
      <c r="B6" s="8">
        <v>45461</v>
      </c>
      <c r="C6" s="9">
        <v>0.42708333333333331</v>
      </c>
      <c r="D6" s="8">
        <v>45461</v>
      </c>
      <c r="E6" s="9">
        <v>0.60972222222222228</v>
      </c>
      <c r="F6" s="9">
        <v>0.69305555555555554</v>
      </c>
      <c r="G6" s="10" t="s">
        <v>11</v>
      </c>
      <c r="H6" s="11" t="s">
        <v>12</v>
      </c>
      <c r="I6" s="11" t="s">
        <v>13</v>
      </c>
      <c r="J6" s="12"/>
    </row>
    <row r="7" spans="1:27" ht="15.75" customHeight="1">
      <c r="A7" s="14" t="s">
        <v>18</v>
      </c>
      <c r="B7" s="8">
        <v>45461</v>
      </c>
      <c r="C7" s="9">
        <v>0.44305555555555554</v>
      </c>
      <c r="D7" s="8">
        <v>45461</v>
      </c>
      <c r="E7" s="9">
        <v>0.65</v>
      </c>
      <c r="F7" s="9">
        <v>0.69166666666666665</v>
      </c>
      <c r="G7" s="10" t="s">
        <v>11</v>
      </c>
      <c r="H7" s="11" t="s">
        <v>12</v>
      </c>
      <c r="I7" s="11" t="s">
        <v>13</v>
      </c>
      <c r="J7" s="12"/>
    </row>
    <row r="8" spans="1:27" ht="15.75" customHeight="1">
      <c r="A8" s="14" t="s">
        <v>19</v>
      </c>
      <c r="B8" s="8">
        <v>45461</v>
      </c>
      <c r="C8" s="9">
        <v>0.47222222222222221</v>
      </c>
      <c r="D8" s="8">
        <v>45461</v>
      </c>
      <c r="E8" s="9">
        <v>0.65069444444444446</v>
      </c>
      <c r="F8" s="9">
        <v>0.69236111111111109</v>
      </c>
      <c r="G8" s="10" t="s">
        <v>11</v>
      </c>
      <c r="H8" s="11" t="s">
        <v>12</v>
      </c>
      <c r="I8" s="11" t="s">
        <v>13</v>
      </c>
      <c r="J8" s="12"/>
    </row>
    <row r="9" spans="1:27" ht="15.75" customHeight="1">
      <c r="A9" s="14" t="s">
        <v>20</v>
      </c>
      <c r="B9" s="8">
        <v>45461</v>
      </c>
      <c r="C9" s="9">
        <v>0.48819444444444443</v>
      </c>
      <c r="D9" s="8">
        <v>45461</v>
      </c>
      <c r="E9" s="9">
        <v>0.65138888888888891</v>
      </c>
      <c r="F9" s="9">
        <v>0.69305555555555554</v>
      </c>
      <c r="G9" s="10" t="s">
        <v>11</v>
      </c>
      <c r="H9" s="11" t="s">
        <v>12</v>
      </c>
      <c r="I9" s="11" t="s">
        <v>13</v>
      </c>
      <c r="J9" s="12"/>
    </row>
    <row r="10" spans="1:27" ht="15.75" customHeight="1">
      <c r="A10" s="7" t="s">
        <v>21</v>
      </c>
      <c r="B10" s="8">
        <v>45464</v>
      </c>
      <c r="C10" s="9">
        <v>0.30555555555555558</v>
      </c>
      <c r="D10" s="8">
        <v>45464</v>
      </c>
      <c r="E10" s="9">
        <v>0.57291666666666663</v>
      </c>
      <c r="F10" s="9">
        <v>0.61458333333333337</v>
      </c>
      <c r="G10" s="10" t="s">
        <v>11</v>
      </c>
      <c r="H10" s="11" t="s">
        <v>12</v>
      </c>
      <c r="I10" s="11" t="s">
        <v>13</v>
      </c>
      <c r="J10" s="12"/>
    </row>
    <row r="11" spans="1:27" ht="15.75" customHeight="1">
      <c r="A11" s="7" t="s">
        <v>22</v>
      </c>
      <c r="B11" s="8">
        <v>45464</v>
      </c>
      <c r="C11" s="9">
        <v>0.34652777777777777</v>
      </c>
      <c r="D11" s="8">
        <v>45464</v>
      </c>
      <c r="E11" s="9">
        <v>0.57291666666666663</v>
      </c>
      <c r="F11" s="9">
        <v>0.61458333333333337</v>
      </c>
      <c r="G11" s="10" t="s">
        <v>11</v>
      </c>
      <c r="H11" s="11" t="s">
        <v>12</v>
      </c>
      <c r="I11" s="11" t="s">
        <v>13</v>
      </c>
      <c r="J11" s="12"/>
    </row>
    <row r="12" spans="1:27" ht="15.75" customHeight="1">
      <c r="A12" s="7" t="s">
        <v>23</v>
      </c>
      <c r="B12" s="8">
        <v>45464</v>
      </c>
      <c r="C12" s="9">
        <v>0.36388888888888887</v>
      </c>
      <c r="D12" s="8">
        <v>45464</v>
      </c>
      <c r="E12" s="9">
        <v>0.57222222222222219</v>
      </c>
      <c r="F12" s="9">
        <v>0.61388888888888893</v>
      </c>
      <c r="G12" s="10" t="s">
        <v>11</v>
      </c>
      <c r="H12" s="11" t="s">
        <v>12</v>
      </c>
      <c r="I12" s="11" t="s">
        <v>13</v>
      </c>
      <c r="J12" s="12"/>
    </row>
    <row r="13" spans="1:27" ht="15.75" customHeight="1">
      <c r="A13" s="7" t="s">
        <v>24</v>
      </c>
      <c r="B13" s="8">
        <v>45464</v>
      </c>
      <c r="C13" s="15">
        <v>0.41944444444444445</v>
      </c>
      <c r="D13" s="8">
        <v>45464</v>
      </c>
      <c r="E13" s="9">
        <v>0.57152777777777775</v>
      </c>
      <c r="F13" s="9">
        <v>0.61319444444444449</v>
      </c>
      <c r="G13" s="10" t="s">
        <v>11</v>
      </c>
      <c r="H13" s="11" t="s">
        <v>12</v>
      </c>
      <c r="I13" s="11" t="s">
        <v>13</v>
      </c>
      <c r="J13" s="12"/>
    </row>
    <row r="14" spans="1:27" ht="15.75" customHeight="1">
      <c r="A14" s="14" t="s">
        <v>25</v>
      </c>
      <c r="B14" s="8">
        <v>45464</v>
      </c>
      <c r="C14" s="9">
        <v>0.43611111111111112</v>
      </c>
      <c r="D14" s="8">
        <v>45464</v>
      </c>
      <c r="E14" s="9">
        <v>0.57013888888888886</v>
      </c>
      <c r="F14" s="9">
        <v>0.6118055555555556</v>
      </c>
      <c r="G14" s="10" t="s">
        <v>11</v>
      </c>
      <c r="H14" s="11" t="s">
        <v>12</v>
      </c>
      <c r="I14" s="11" t="s">
        <v>13</v>
      </c>
      <c r="J14" s="12"/>
    </row>
    <row r="15" spans="1:27" ht="15.75" customHeight="1">
      <c r="A15" s="14" t="s">
        <v>26</v>
      </c>
      <c r="B15" s="8">
        <v>45468</v>
      </c>
      <c r="C15" s="15">
        <v>0.28333333333333333</v>
      </c>
      <c r="D15" s="8">
        <v>45468</v>
      </c>
      <c r="E15" s="9">
        <v>0.59375</v>
      </c>
      <c r="F15" s="9">
        <v>0.63541666666666663</v>
      </c>
      <c r="G15" s="10" t="s">
        <v>11</v>
      </c>
      <c r="H15" s="11" t="s">
        <v>12</v>
      </c>
      <c r="I15" s="11" t="s">
        <v>13</v>
      </c>
      <c r="J15" s="12"/>
    </row>
    <row r="16" spans="1:27" ht="15.75" customHeight="1">
      <c r="A16" s="14" t="s">
        <v>27</v>
      </c>
      <c r="B16" s="8">
        <v>45468</v>
      </c>
      <c r="C16" s="9">
        <v>0.30833333333333335</v>
      </c>
      <c r="D16" s="8">
        <v>45468</v>
      </c>
      <c r="E16" s="9">
        <v>0.59444444444444444</v>
      </c>
      <c r="F16" s="9">
        <v>0.63611111111111107</v>
      </c>
      <c r="G16" s="10" t="s">
        <v>11</v>
      </c>
      <c r="H16" s="11" t="s">
        <v>12</v>
      </c>
      <c r="I16" s="11" t="s">
        <v>13</v>
      </c>
      <c r="J16" s="12"/>
    </row>
    <row r="17" spans="1:27" ht="15.75" customHeight="1">
      <c r="A17" s="14" t="s">
        <v>28</v>
      </c>
      <c r="B17" s="8">
        <v>45468</v>
      </c>
      <c r="C17" s="9">
        <v>0.32291666666666669</v>
      </c>
      <c r="D17" s="8">
        <v>45468</v>
      </c>
      <c r="E17" s="9">
        <v>0.59444444444444444</v>
      </c>
      <c r="F17" s="9">
        <v>0.63611111111111107</v>
      </c>
      <c r="G17" s="10" t="s">
        <v>11</v>
      </c>
      <c r="H17" s="11" t="s">
        <v>12</v>
      </c>
      <c r="I17" s="11" t="s">
        <v>13</v>
      </c>
      <c r="J17" s="12"/>
    </row>
    <row r="18" spans="1:27" ht="15.75" customHeight="1">
      <c r="A18" s="14" t="s">
        <v>29</v>
      </c>
      <c r="B18" s="8">
        <v>45468</v>
      </c>
      <c r="C18" s="9">
        <v>0.34375</v>
      </c>
      <c r="D18" s="8">
        <v>45468</v>
      </c>
      <c r="E18" s="9">
        <v>0.59652777777777777</v>
      </c>
      <c r="F18" s="9">
        <v>0.6381944444444444</v>
      </c>
      <c r="G18" s="10" t="s">
        <v>11</v>
      </c>
      <c r="H18" s="11" t="s">
        <v>12</v>
      </c>
      <c r="I18" s="11" t="s">
        <v>13</v>
      </c>
      <c r="J18" s="12"/>
    </row>
    <row r="19" spans="1:27" ht="15.75" customHeight="1">
      <c r="A19" s="14" t="s">
        <v>30</v>
      </c>
      <c r="B19" s="8">
        <v>45468</v>
      </c>
      <c r="C19" s="16">
        <v>0.36736111111111114</v>
      </c>
      <c r="D19" s="8">
        <v>45468</v>
      </c>
      <c r="E19" s="9">
        <v>0.59791666666666665</v>
      </c>
      <c r="F19" s="9">
        <v>0.63958333333333328</v>
      </c>
      <c r="G19" s="10" t="s">
        <v>11</v>
      </c>
      <c r="H19" s="11" t="s">
        <v>12</v>
      </c>
      <c r="I19" s="11" t="s">
        <v>13</v>
      </c>
      <c r="J19" s="12"/>
    </row>
    <row r="20" spans="1:27" ht="15.75" customHeight="1">
      <c r="A20" s="14" t="s">
        <v>31</v>
      </c>
      <c r="B20" s="8">
        <v>45468</v>
      </c>
      <c r="C20" s="16">
        <v>0.38611111111111113</v>
      </c>
      <c r="D20" s="8">
        <v>45468</v>
      </c>
      <c r="E20" s="9">
        <v>0.64236111111111116</v>
      </c>
      <c r="F20" s="9">
        <v>0.68402777777777779</v>
      </c>
      <c r="G20" s="10" t="s">
        <v>11</v>
      </c>
      <c r="H20" s="11" t="s">
        <v>12</v>
      </c>
      <c r="I20" s="11" t="s">
        <v>13</v>
      </c>
      <c r="J20" s="12"/>
    </row>
    <row r="21" spans="1:27" ht="15.75" customHeight="1">
      <c r="A21" s="14" t="s">
        <v>32</v>
      </c>
      <c r="B21" s="8">
        <v>45468</v>
      </c>
      <c r="C21" s="16">
        <v>0.40138888888888891</v>
      </c>
      <c r="D21" s="8">
        <v>45468</v>
      </c>
      <c r="E21" s="9">
        <v>0.6430555555555556</v>
      </c>
      <c r="F21" s="9">
        <v>0.68472222222222223</v>
      </c>
      <c r="G21" s="10" t="s">
        <v>11</v>
      </c>
      <c r="H21" s="11" t="s">
        <v>12</v>
      </c>
      <c r="I21" s="11" t="s">
        <v>13</v>
      </c>
      <c r="J21" s="12"/>
    </row>
    <row r="22" spans="1:27" ht="15.75" customHeight="1">
      <c r="A22" s="14" t="s">
        <v>33</v>
      </c>
      <c r="B22" s="8">
        <v>45468</v>
      </c>
      <c r="C22" s="9">
        <v>0.4236111111111111</v>
      </c>
      <c r="D22" s="8">
        <v>45468</v>
      </c>
      <c r="E22" s="9">
        <v>0.64513888888888893</v>
      </c>
      <c r="F22" s="9">
        <v>0.68680555555555556</v>
      </c>
      <c r="G22" s="10" t="s">
        <v>11</v>
      </c>
      <c r="H22" s="11" t="s">
        <v>12</v>
      </c>
      <c r="I22" s="11" t="s">
        <v>13</v>
      </c>
      <c r="J22" s="12"/>
    </row>
    <row r="23" spans="1:27" ht="15.75" customHeight="1">
      <c r="A23" s="14" t="s">
        <v>34</v>
      </c>
      <c r="B23" s="8">
        <v>45471</v>
      </c>
      <c r="C23" s="9">
        <v>0.26805555555555555</v>
      </c>
      <c r="D23" s="8">
        <v>45471</v>
      </c>
      <c r="E23" s="9">
        <v>0.59375</v>
      </c>
      <c r="F23" s="9">
        <v>0.63541666666666663</v>
      </c>
      <c r="G23" s="10" t="s">
        <v>11</v>
      </c>
      <c r="H23" s="11" t="s">
        <v>12</v>
      </c>
      <c r="I23" s="11" t="s">
        <v>13</v>
      </c>
      <c r="J23" s="12"/>
    </row>
    <row r="24" spans="1:27" ht="15.75">
      <c r="A24" s="17" t="s">
        <v>35</v>
      </c>
      <c r="B24" s="8">
        <v>45471</v>
      </c>
      <c r="C24" s="18">
        <v>0.29375000000000001</v>
      </c>
      <c r="D24" s="8">
        <v>45471</v>
      </c>
      <c r="E24" s="9">
        <v>0.59444444444444444</v>
      </c>
      <c r="F24" s="9">
        <v>0.63611111111111107</v>
      </c>
      <c r="G24" s="10" t="s">
        <v>11</v>
      </c>
      <c r="H24" s="11" t="s">
        <v>12</v>
      </c>
      <c r="I24" s="11" t="s">
        <v>13</v>
      </c>
      <c r="J24" s="12"/>
    </row>
    <row r="25" spans="1:27" ht="15.75" customHeight="1">
      <c r="A25" s="14" t="s">
        <v>36</v>
      </c>
      <c r="B25" s="8">
        <v>45471</v>
      </c>
      <c r="C25" s="9">
        <v>0.33750000000000002</v>
      </c>
      <c r="D25" s="8">
        <v>45471</v>
      </c>
      <c r="E25" s="9">
        <v>0.59652777777777777</v>
      </c>
      <c r="F25" s="9">
        <v>0.6381944444444444</v>
      </c>
      <c r="G25" s="10" t="s">
        <v>11</v>
      </c>
      <c r="H25" s="11" t="s">
        <v>12</v>
      </c>
      <c r="I25" s="11" t="s">
        <v>13</v>
      </c>
      <c r="J25" s="12"/>
    </row>
    <row r="26" spans="1:27" ht="15.75" customHeight="1">
      <c r="A26" s="14" t="s">
        <v>37</v>
      </c>
      <c r="B26" s="8">
        <v>45471</v>
      </c>
      <c r="C26" s="16">
        <v>0.36180555555555555</v>
      </c>
      <c r="D26" s="8">
        <v>45471</v>
      </c>
      <c r="E26" s="9">
        <v>0.59791666666666665</v>
      </c>
      <c r="F26" s="9">
        <v>0.63958333333333328</v>
      </c>
      <c r="G26" s="10" t="s">
        <v>11</v>
      </c>
      <c r="H26" s="11" t="s">
        <v>12</v>
      </c>
      <c r="I26" s="11" t="s">
        <v>13</v>
      </c>
      <c r="J26" s="12"/>
    </row>
    <row r="27" spans="1:27" ht="15.75" customHeight="1">
      <c r="A27" s="14" t="s">
        <v>38</v>
      </c>
      <c r="B27" s="8">
        <v>45471</v>
      </c>
      <c r="C27" s="16">
        <v>0.38819444444444445</v>
      </c>
      <c r="D27" s="8">
        <v>45471</v>
      </c>
      <c r="E27" s="9">
        <v>0.59861111111111109</v>
      </c>
      <c r="F27" s="9">
        <v>0.64027777777777772</v>
      </c>
      <c r="G27" s="10" t="s">
        <v>11</v>
      </c>
      <c r="H27" s="11" t="s">
        <v>12</v>
      </c>
      <c r="I27" s="11" t="s">
        <v>13</v>
      </c>
      <c r="J27" s="12"/>
    </row>
    <row r="28" spans="1:27" ht="30">
      <c r="A28" s="14" t="s">
        <v>39</v>
      </c>
      <c r="B28" s="19">
        <v>45483</v>
      </c>
      <c r="C28" s="20">
        <v>0.3125</v>
      </c>
      <c r="D28" s="19">
        <v>45485</v>
      </c>
      <c r="E28" s="21">
        <v>0.35416666666666669</v>
      </c>
      <c r="F28" s="21">
        <v>0.39583333333333331</v>
      </c>
      <c r="G28" s="10" t="s">
        <v>11</v>
      </c>
      <c r="H28" s="11" t="s">
        <v>12</v>
      </c>
      <c r="I28" s="11" t="s">
        <v>13</v>
      </c>
      <c r="J28" s="22" t="s">
        <v>40</v>
      </c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</row>
    <row r="29" spans="1:27" ht="30">
      <c r="A29" s="14" t="s">
        <v>41</v>
      </c>
      <c r="B29" s="19">
        <v>45483</v>
      </c>
      <c r="C29" s="20">
        <v>0.35138888888888886</v>
      </c>
      <c r="D29" s="19">
        <v>45485</v>
      </c>
      <c r="E29" s="21">
        <v>0.35486111111111113</v>
      </c>
      <c r="F29" s="21">
        <v>0.39652777777777776</v>
      </c>
      <c r="G29" s="10" t="s">
        <v>11</v>
      </c>
      <c r="H29" s="11" t="s">
        <v>12</v>
      </c>
      <c r="I29" s="11" t="s">
        <v>13</v>
      </c>
      <c r="J29" s="22" t="s">
        <v>42</v>
      </c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</row>
    <row r="30" spans="1:27" ht="15.75" customHeight="1">
      <c r="A30" s="14" t="s">
        <v>43</v>
      </c>
      <c r="B30" s="19">
        <v>45483</v>
      </c>
      <c r="C30" s="20">
        <v>0.47847222222222224</v>
      </c>
      <c r="D30" s="19">
        <v>45485</v>
      </c>
      <c r="E30" s="21">
        <v>0.35486111111111113</v>
      </c>
      <c r="F30" s="21">
        <v>0.39652777777777776</v>
      </c>
      <c r="G30" s="10" t="s">
        <v>11</v>
      </c>
      <c r="H30" s="11" t="s">
        <v>12</v>
      </c>
      <c r="I30" s="11" t="s">
        <v>13</v>
      </c>
      <c r="J30" s="22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</row>
    <row r="31" spans="1:27" ht="15.75" customHeight="1">
      <c r="A31" s="14" t="s">
        <v>44</v>
      </c>
      <c r="B31" s="19">
        <v>45483</v>
      </c>
      <c r="C31" s="20">
        <v>0.5708333333333333</v>
      </c>
      <c r="D31" s="19">
        <v>45485</v>
      </c>
      <c r="E31" s="21">
        <v>0.35555555555555557</v>
      </c>
      <c r="F31" s="21">
        <v>0.3972222222222222</v>
      </c>
      <c r="G31" s="10" t="s">
        <v>11</v>
      </c>
      <c r="H31" s="11" t="s">
        <v>12</v>
      </c>
      <c r="I31" s="11" t="s">
        <v>13</v>
      </c>
      <c r="J31" s="22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</row>
    <row r="32" spans="1:27" ht="15.75" customHeight="1">
      <c r="A32" s="14" t="s">
        <v>45</v>
      </c>
      <c r="B32" s="19">
        <v>45484</v>
      </c>
      <c r="C32" s="9">
        <v>0.2951388888888889</v>
      </c>
      <c r="D32" s="19">
        <v>45485</v>
      </c>
      <c r="E32" s="9">
        <v>0.35555555555555557</v>
      </c>
      <c r="F32" s="7" t="s">
        <v>46</v>
      </c>
      <c r="G32" s="10" t="s">
        <v>11</v>
      </c>
      <c r="H32" s="11" t="s">
        <v>12</v>
      </c>
      <c r="I32" s="11" t="s">
        <v>13</v>
      </c>
      <c r="J32" s="12"/>
    </row>
    <row r="33" spans="1:10" ht="15.75" customHeight="1">
      <c r="A33" s="14" t="s">
        <v>47</v>
      </c>
      <c r="B33" s="19">
        <v>45484</v>
      </c>
      <c r="C33" s="9">
        <v>0.32708333333333334</v>
      </c>
      <c r="D33" s="19">
        <v>45485</v>
      </c>
      <c r="E33" s="9">
        <v>0.3972222222222222</v>
      </c>
      <c r="F33" s="9">
        <v>0.43888888888888888</v>
      </c>
      <c r="G33" s="10" t="s">
        <v>11</v>
      </c>
      <c r="H33" s="11" t="s">
        <v>12</v>
      </c>
      <c r="I33" s="11" t="s">
        <v>13</v>
      </c>
      <c r="J33" s="12"/>
    </row>
    <row r="34" spans="1:10" ht="15.75" customHeight="1">
      <c r="A34" s="14" t="s">
        <v>48</v>
      </c>
      <c r="B34" s="19">
        <v>45484</v>
      </c>
      <c r="C34" s="9">
        <v>0.34791666666666665</v>
      </c>
      <c r="D34" s="19">
        <v>45485</v>
      </c>
      <c r="E34" s="9">
        <v>0.3972222222222222</v>
      </c>
      <c r="F34" s="9">
        <v>0.43888888888888888</v>
      </c>
      <c r="G34" s="10" t="s">
        <v>11</v>
      </c>
      <c r="H34" s="11" t="s">
        <v>12</v>
      </c>
      <c r="I34" s="11" t="s">
        <v>13</v>
      </c>
      <c r="J34" s="12"/>
    </row>
    <row r="35" spans="1:10" ht="15.75" customHeight="1">
      <c r="A35" s="14" t="s">
        <v>49</v>
      </c>
      <c r="B35" s="19">
        <v>45484</v>
      </c>
      <c r="C35" s="9">
        <v>0.3923611111111111</v>
      </c>
      <c r="D35" s="19">
        <v>45485</v>
      </c>
      <c r="E35" s="9">
        <v>0.39791666666666664</v>
      </c>
      <c r="F35" s="9">
        <v>0.43958333333333333</v>
      </c>
      <c r="G35" s="10" t="s">
        <v>11</v>
      </c>
      <c r="H35" s="11" t="s">
        <v>12</v>
      </c>
      <c r="I35" s="11" t="s">
        <v>13</v>
      </c>
      <c r="J35" s="12"/>
    </row>
    <row r="36" spans="1:10" ht="15.75" customHeight="1">
      <c r="A36" s="14" t="s">
        <v>50</v>
      </c>
      <c r="B36" s="19">
        <v>45484</v>
      </c>
      <c r="C36" s="9">
        <v>0.41388888888888886</v>
      </c>
      <c r="D36" s="19">
        <v>45485</v>
      </c>
      <c r="E36" s="9">
        <v>0.39861111111111114</v>
      </c>
      <c r="F36" s="9">
        <v>0.44027777777777777</v>
      </c>
      <c r="G36" s="10" t="s">
        <v>11</v>
      </c>
      <c r="H36" s="11" t="s">
        <v>12</v>
      </c>
      <c r="I36" s="11" t="s">
        <v>13</v>
      </c>
      <c r="J36" s="12"/>
    </row>
    <row r="37" spans="1:10" ht="15.75" customHeight="1">
      <c r="A37" s="14" t="s">
        <v>51</v>
      </c>
      <c r="B37" s="19">
        <v>45484</v>
      </c>
      <c r="C37" s="9">
        <v>0.44930555555555557</v>
      </c>
      <c r="D37" s="19">
        <v>45485</v>
      </c>
      <c r="E37" s="9">
        <v>0.39930555555555558</v>
      </c>
      <c r="F37" s="9">
        <v>0.44097222222222221</v>
      </c>
      <c r="G37" s="10" t="s">
        <v>11</v>
      </c>
      <c r="H37" s="11" t="s">
        <v>12</v>
      </c>
      <c r="I37" s="11" t="s">
        <v>13</v>
      </c>
      <c r="J37" s="12"/>
    </row>
    <row r="38" spans="1:10" ht="15.75" customHeight="1">
      <c r="A38" s="24" t="s">
        <v>52</v>
      </c>
      <c r="B38" s="8">
        <v>45489</v>
      </c>
      <c r="C38" s="9">
        <v>0.34027777777777779</v>
      </c>
      <c r="D38" s="8">
        <v>45489</v>
      </c>
      <c r="E38" s="25">
        <v>0.63749999999999996</v>
      </c>
      <c r="F38" s="25">
        <v>0.6791666666666667</v>
      </c>
      <c r="G38" s="10" t="s">
        <v>11</v>
      </c>
      <c r="H38" s="11" t="s">
        <v>12</v>
      </c>
      <c r="I38" s="11" t="s">
        <v>13</v>
      </c>
      <c r="J38" s="12"/>
    </row>
    <row r="39" spans="1:10" ht="15.75" customHeight="1">
      <c r="A39" s="7" t="s">
        <v>53</v>
      </c>
      <c r="B39" s="8">
        <v>45489</v>
      </c>
      <c r="C39" s="9">
        <v>0.37708333333333333</v>
      </c>
      <c r="D39" s="8">
        <v>45489</v>
      </c>
      <c r="E39" s="25">
        <v>0.6381944444444444</v>
      </c>
      <c r="F39" s="25">
        <v>0.67986111111111114</v>
      </c>
      <c r="G39" s="10" t="s">
        <v>11</v>
      </c>
      <c r="H39" s="11" t="s">
        <v>12</v>
      </c>
      <c r="I39" s="11" t="s">
        <v>13</v>
      </c>
      <c r="J39" s="26"/>
    </row>
    <row r="40" spans="1:10" ht="15.75" customHeight="1">
      <c r="A40" s="7" t="s">
        <v>54</v>
      </c>
      <c r="B40" s="8">
        <v>45489</v>
      </c>
      <c r="C40" s="9">
        <v>0.41597222222222224</v>
      </c>
      <c r="D40" s="8">
        <v>45489</v>
      </c>
      <c r="E40" s="25">
        <v>0.63888888888888884</v>
      </c>
      <c r="F40" s="25">
        <v>0.68055555555555558</v>
      </c>
      <c r="G40" s="10" t="s">
        <v>11</v>
      </c>
      <c r="H40" s="11" t="s">
        <v>12</v>
      </c>
      <c r="I40" s="11" t="s">
        <v>13</v>
      </c>
      <c r="J40" s="26"/>
    </row>
    <row r="41" spans="1:10" ht="15.75" customHeight="1">
      <c r="A41" s="7" t="s">
        <v>55</v>
      </c>
      <c r="B41" s="8">
        <v>45489</v>
      </c>
      <c r="C41" s="9">
        <v>0.43958333333333333</v>
      </c>
      <c r="D41" s="8">
        <v>45489</v>
      </c>
      <c r="E41" s="25">
        <v>0.63958333333333328</v>
      </c>
      <c r="F41" s="25">
        <v>0.68125000000000002</v>
      </c>
      <c r="G41" s="10" t="s">
        <v>11</v>
      </c>
      <c r="H41" s="11" t="s">
        <v>12</v>
      </c>
      <c r="I41" s="11" t="s">
        <v>13</v>
      </c>
      <c r="J41" s="26"/>
    </row>
    <row r="42" spans="1:10" ht="15.75" customHeight="1">
      <c r="A42" s="7" t="s">
        <v>56</v>
      </c>
      <c r="B42" s="8">
        <v>45489</v>
      </c>
      <c r="C42" s="27">
        <v>0.47083333333333333</v>
      </c>
      <c r="D42" s="8">
        <v>45489</v>
      </c>
      <c r="E42" s="25">
        <v>0.64097222222222228</v>
      </c>
      <c r="F42" s="25">
        <v>0.68263888888888891</v>
      </c>
      <c r="G42" s="10" t="s">
        <v>11</v>
      </c>
      <c r="H42" s="11" t="s">
        <v>12</v>
      </c>
      <c r="I42" s="11" t="s">
        <v>13</v>
      </c>
      <c r="J42" s="26"/>
    </row>
    <row r="43" spans="1:10" ht="15.75" customHeight="1">
      <c r="A43" s="7" t="s">
        <v>57</v>
      </c>
      <c r="B43" s="8">
        <v>45489</v>
      </c>
      <c r="C43" s="9">
        <v>0.48472222222222222</v>
      </c>
      <c r="D43" s="8">
        <v>45489</v>
      </c>
      <c r="E43" s="25">
        <v>0.68055555555555558</v>
      </c>
      <c r="F43" s="25">
        <v>0.72222222222222221</v>
      </c>
      <c r="G43" s="10" t="s">
        <v>11</v>
      </c>
      <c r="H43" s="11" t="s">
        <v>12</v>
      </c>
      <c r="I43" s="11" t="s">
        <v>13</v>
      </c>
      <c r="J43" s="26"/>
    </row>
    <row r="44" spans="1:10" ht="15.75" customHeight="1">
      <c r="A44" s="7" t="s">
        <v>58</v>
      </c>
      <c r="B44" s="8">
        <v>45489</v>
      </c>
      <c r="C44" s="9">
        <v>0.5</v>
      </c>
      <c r="D44" s="8">
        <v>45489</v>
      </c>
      <c r="E44" s="25">
        <v>0.68125000000000002</v>
      </c>
      <c r="F44" s="25">
        <v>0.72291666666666665</v>
      </c>
      <c r="G44" s="10" t="s">
        <v>11</v>
      </c>
      <c r="H44" s="11" t="s">
        <v>12</v>
      </c>
      <c r="I44" s="11" t="s">
        <v>13</v>
      </c>
      <c r="J44" s="26"/>
    </row>
    <row r="45" spans="1:10" ht="15.75" customHeight="1">
      <c r="A45" s="7" t="s">
        <v>59</v>
      </c>
      <c r="B45" s="28">
        <v>45491</v>
      </c>
      <c r="C45" s="9">
        <v>0.31319444444444444</v>
      </c>
      <c r="D45" s="28">
        <v>45491</v>
      </c>
      <c r="E45" s="25">
        <v>0.57847222222222228</v>
      </c>
      <c r="F45" s="25">
        <v>0.62013888888888891</v>
      </c>
      <c r="G45" s="10" t="s">
        <v>11</v>
      </c>
      <c r="H45" s="11" t="s">
        <v>12</v>
      </c>
      <c r="I45" s="11" t="s">
        <v>13</v>
      </c>
      <c r="J45" s="26"/>
    </row>
    <row r="46" spans="1:10" ht="15.75" customHeight="1">
      <c r="A46" s="7" t="s">
        <v>60</v>
      </c>
      <c r="B46" s="28">
        <v>45491</v>
      </c>
      <c r="C46" s="9">
        <v>0.32777777777777778</v>
      </c>
      <c r="D46" s="28">
        <v>45491</v>
      </c>
      <c r="E46" s="25">
        <v>0.57777777777777772</v>
      </c>
      <c r="F46" s="25">
        <v>0.61944444444444446</v>
      </c>
      <c r="G46" s="10" t="s">
        <v>11</v>
      </c>
      <c r="H46" s="11" t="s">
        <v>12</v>
      </c>
      <c r="I46" s="11" t="s">
        <v>13</v>
      </c>
      <c r="J46" s="26"/>
    </row>
    <row r="47" spans="1:10" ht="15.75" customHeight="1">
      <c r="A47" s="7" t="s">
        <v>61</v>
      </c>
      <c r="B47" s="8">
        <v>45504</v>
      </c>
      <c r="C47" s="9">
        <v>0.2673611111111111</v>
      </c>
      <c r="D47" s="8">
        <v>45504</v>
      </c>
      <c r="E47" s="25">
        <v>0.58333333333333337</v>
      </c>
      <c r="F47" s="25">
        <v>0.625</v>
      </c>
      <c r="G47" s="10" t="s">
        <v>11</v>
      </c>
      <c r="H47" s="11" t="s">
        <v>12</v>
      </c>
      <c r="I47" s="11" t="s">
        <v>13</v>
      </c>
      <c r="J47" s="26"/>
    </row>
    <row r="48" spans="1:10" ht="15.75" customHeight="1">
      <c r="A48" s="7" t="s">
        <v>62</v>
      </c>
      <c r="B48" s="8">
        <v>45504</v>
      </c>
      <c r="C48" s="9">
        <v>0.28680555555555554</v>
      </c>
      <c r="D48" s="8">
        <v>45504</v>
      </c>
      <c r="E48" s="25">
        <v>0.5854166666666667</v>
      </c>
      <c r="F48" s="25">
        <v>0.62708333333333333</v>
      </c>
      <c r="G48" s="10" t="s">
        <v>11</v>
      </c>
      <c r="H48" s="11" t="s">
        <v>12</v>
      </c>
      <c r="I48" s="11" t="s">
        <v>13</v>
      </c>
      <c r="J48" s="26"/>
    </row>
    <row r="49" spans="1:10" ht="15.75" customHeight="1">
      <c r="A49" s="29"/>
      <c r="C49" s="30"/>
      <c r="D49" s="31"/>
      <c r="E49" s="32"/>
      <c r="F49" s="33"/>
      <c r="G49" s="34"/>
      <c r="H49" s="34"/>
      <c r="I49" s="34"/>
      <c r="J49" s="35"/>
    </row>
    <row r="50" spans="1:10" ht="15.75" customHeight="1">
      <c r="C50" s="30"/>
      <c r="D50" s="31"/>
      <c r="E50" s="32"/>
      <c r="F50" s="33"/>
      <c r="G50" s="34"/>
      <c r="H50" s="34"/>
      <c r="I50" s="34"/>
      <c r="J50" s="35"/>
    </row>
    <row r="51" spans="1:10" ht="15.75" customHeight="1">
      <c r="B51" s="29"/>
      <c r="C51" s="32"/>
      <c r="D51" s="31"/>
      <c r="E51" s="32"/>
      <c r="F51" s="33"/>
      <c r="G51" s="34"/>
      <c r="H51" s="34"/>
      <c r="I51" s="34"/>
      <c r="J51" s="35"/>
    </row>
    <row r="52" spans="1:10" ht="15.75" customHeight="1">
      <c r="B52" s="29"/>
      <c r="C52" s="32"/>
      <c r="D52" s="31"/>
      <c r="E52" s="32"/>
      <c r="F52" s="33"/>
      <c r="G52" s="34"/>
      <c r="H52" s="34"/>
      <c r="I52" s="34"/>
      <c r="J52" s="13"/>
    </row>
    <row r="53" spans="1:10" ht="15.75" customHeight="1">
      <c r="B53" s="29"/>
      <c r="C53" s="32"/>
      <c r="D53" s="31"/>
      <c r="E53" s="32"/>
      <c r="F53" s="33"/>
      <c r="G53" s="34"/>
      <c r="H53" s="34"/>
      <c r="I53" s="34"/>
      <c r="J53" s="13"/>
    </row>
    <row r="54" spans="1:10" ht="15.75" customHeight="1">
      <c r="B54" s="29"/>
      <c r="C54" s="32"/>
      <c r="D54" s="31"/>
      <c r="E54" s="32"/>
      <c r="F54" s="33"/>
      <c r="G54" s="34"/>
      <c r="H54" s="34"/>
      <c r="I54" s="34"/>
      <c r="J54" s="13"/>
    </row>
    <row r="55" spans="1:10" ht="15.75" customHeight="1">
      <c r="B55" s="29"/>
      <c r="C55" s="32"/>
      <c r="D55" s="31"/>
      <c r="E55" s="32"/>
      <c r="F55" s="33"/>
      <c r="G55" s="34"/>
      <c r="H55" s="34"/>
      <c r="I55" s="34"/>
      <c r="J55" s="13"/>
    </row>
    <row r="56" spans="1:10" ht="15.75" customHeight="1">
      <c r="B56" s="29"/>
      <c r="C56" s="32"/>
      <c r="D56" s="31"/>
      <c r="E56" s="32"/>
      <c r="F56" s="33"/>
      <c r="G56" s="34"/>
      <c r="H56" s="34"/>
      <c r="I56" s="34"/>
      <c r="J56" s="13"/>
    </row>
    <row r="57" spans="1:10" ht="15.75" customHeight="1">
      <c r="B57" s="29"/>
      <c r="C57" s="32"/>
      <c r="D57" s="31"/>
      <c r="E57" s="32"/>
      <c r="F57" s="33"/>
      <c r="G57" s="34"/>
      <c r="H57" s="34"/>
      <c r="I57" s="34"/>
      <c r="J57" s="13"/>
    </row>
    <row r="58" spans="1:10" ht="15.75" customHeight="1">
      <c r="B58" s="29"/>
      <c r="C58" s="32"/>
      <c r="D58" s="31"/>
      <c r="E58" s="32"/>
      <c r="F58" s="33"/>
      <c r="G58" s="34"/>
      <c r="H58" s="34"/>
      <c r="I58" s="34"/>
      <c r="J58" s="13"/>
    </row>
    <row r="59" spans="1:10" ht="15.75" customHeight="1">
      <c r="B59" s="29"/>
      <c r="C59" s="32"/>
      <c r="D59" s="31"/>
      <c r="E59" s="32"/>
      <c r="F59" s="33"/>
      <c r="G59" s="34"/>
      <c r="H59" s="34"/>
      <c r="I59" s="34"/>
      <c r="J59" s="13"/>
    </row>
    <row r="60" spans="1:10" ht="15.75" customHeight="1">
      <c r="B60" s="29"/>
      <c r="C60" s="32"/>
      <c r="D60" s="31"/>
      <c r="E60" s="32"/>
      <c r="F60" s="33"/>
      <c r="G60" s="34"/>
      <c r="H60" s="34"/>
      <c r="I60" s="34"/>
      <c r="J60" s="13"/>
    </row>
    <row r="61" spans="1:10" ht="15.75" customHeight="1">
      <c r="B61" s="29"/>
      <c r="C61" s="32"/>
      <c r="D61" s="31"/>
      <c r="E61" s="32"/>
      <c r="F61" s="33"/>
      <c r="G61" s="34"/>
      <c r="H61" s="34"/>
      <c r="I61" s="34"/>
      <c r="J61" s="13"/>
    </row>
    <row r="62" spans="1:10" ht="15.75" customHeight="1">
      <c r="B62" s="29"/>
      <c r="C62" s="32"/>
      <c r="D62" s="31"/>
      <c r="E62" s="32"/>
      <c r="F62" s="33"/>
      <c r="G62" s="34"/>
      <c r="H62" s="34"/>
      <c r="I62" s="34"/>
      <c r="J62" s="13"/>
    </row>
    <row r="63" spans="1:10" ht="15.75" customHeight="1">
      <c r="B63" s="29"/>
      <c r="C63" s="32"/>
      <c r="D63" s="31"/>
      <c r="E63" s="32"/>
      <c r="F63" s="33"/>
      <c r="G63" s="34"/>
      <c r="H63" s="34"/>
      <c r="I63" s="34"/>
      <c r="J63" s="13"/>
    </row>
    <row r="64" spans="1:10" ht="15.75" customHeight="1">
      <c r="B64" s="29"/>
      <c r="C64" s="32"/>
      <c r="D64" s="31"/>
      <c r="E64" s="32"/>
      <c r="F64" s="33"/>
      <c r="G64" s="34"/>
      <c r="H64" s="34"/>
      <c r="I64" s="34"/>
      <c r="J64" s="13"/>
    </row>
    <row r="65" spans="2:10" ht="15.75" customHeight="1">
      <c r="B65" s="29"/>
      <c r="C65" s="32"/>
      <c r="D65" s="31"/>
      <c r="E65" s="32"/>
      <c r="F65" s="33"/>
      <c r="G65" s="34"/>
      <c r="H65" s="34"/>
      <c r="I65" s="34"/>
      <c r="J65" s="13"/>
    </row>
    <row r="66" spans="2:10" ht="15.75" customHeight="1">
      <c r="B66" s="29"/>
      <c r="C66" s="32"/>
      <c r="D66" s="31"/>
      <c r="E66" s="32"/>
      <c r="F66" s="33"/>
      <c r="G66" s="34"/>
      <c r="H66" s="34"/>
      <c r="I66" s="34"/>
      <c r="J66" s="13"/>
    </row>
    <row r="67" spans="2:10" ht="15.75" customHeight="1">
      <c r="B67" s="29"/>
      <c r="C67" s="32"/>
      <c r="D67" s="31"/>
      <c r="E67" s="32"/>
      <c r="F67" s="33"/>
      <c r="G67" s="34"/>
      <c r="H67" s="34"/>
      <c r="I67" s="34"/>
      <c r="J67" s="13"/>
    </row>
    <row r="68" spans="2:10" ht="15.75" customHeight="1">
      <c r="B68" s="29"/>
      <c r="C68" s="32"/>
      <c r="D68" s="31"/>
      <c r="E68" s="32"/>
      <c r="F68" s="33"/>
      <c r="G68" s="34"/>
      <c r="H68" s="34"/>
      <c r="I68" s="34"/>
      <c r="J68" s="13"/>
    </row>
    <row r="69" spans="2:10" ht="15.75" customHeight="1">
      <c r="B69" s="29"/>
      <c r="C69" s="32"/>
      <c r="D69" s="31"/>
      <c r="E69" s="32"/>
      <c r="F69" s="33"/>
      <c r="G69" s="34"/>
      <c r="H69" s="34"/>
      <c r="I69" s="34"/>
      <c r="J69" s="13"/>
    </row>
    <row r="70" spans="2:10" ht="15.75" customHeight="1">
      <c r="B70" s="29"/>
      <c r="C70" s="32"/>
      <c r="D70" s="31"/>
      <c r="E70" s="32"/>
      <c r="F70" s="33"/>
      <c r="G70" s="34"/>
      <c r="H70" s="34"/>
      <c r="I70" s="34"/>
      <c r="J70" s="13"/>
    </row>
    <row r="71" spans="2:10" ht="15.75" customHeight="1">
      <c r="B71" s="29"/>
      <c r="C71" s="32"/>
      <c r="D71" s="31"/>
      <c r="E71" s="32"/>
      <c r="F71" s="33"/>
      <c r="G71" s="34"/>
      <c r="H71" s="34"/>
      <c r="I71" s="34"/>
      <c r="J71" s="13"/>
    </row>
    <row r="72" spans="2:10" ht="15.75" customHeight="1">
      <c r="B72" s="29"/>
      <c r="C72" s="32"/>
      <c r="D72" s="31"/>
      <c r="E72" s="32"/>
      <c r="F72" s="33"/>
      <c r="G72" s="34"/>
      <c r="H72" s="34"/>
      <c r="I72" s="34"/>
      <c r="J72" s="13"/>
    </row>
    <row r="73" spans="2:10" ht="15.75" customHeight="1">
      <c r="B73" s="29"/>
      <c r="C73" s="32"/>
      <c r="D73" s="31"/>
      <c r="E73" s="32"/>
      <c r="F73" s="33"/>
      <c r="G73" s="34"/>
      <c r="H73" s="34"/>
      <c r="I73" s="34"/>
      <c r="J73" s="13"/>
    </row>
    <row r="74" spans="2:10" ht="15.75" customHeight="1">
      <c r="B74" s="29"/>
      <c r="C74" s="32"/>
      <c r="D74" s="31"/>
      <c r="E74" s="32"/>
      <c r="F74" s="33"/>
      <c r="G74" s="34"/>
      <c r="H74" s="34"/>
      <c r="I74" s="34"/>
      <c r="J74" s="13"/>
    </row>
    <row r="75" spans="2:10" ht="15.75" customHeight="1">
      <c r="B75" s="29"/>
      <c r="C75" s="32"/>
      <c r="D75" s="31"/>
      <c r="E75" s="32"/>
      <c r="F75" s="33"/>
      <c r="G75" s="34"/>
      <c r="H75" s="34"/>
      <c r="I75" s="34"/>
      <c r="J75" s="13"/>
    </row>
    <row r="76" spans="2:10" ht="15.75" customHeight="1">
      <c r="B76" s="29"/>
      <c r="C76" s="32"/>
      <c r="D76" s="31"/>
      <c r="E76" s="32"/>
      <c r="F76" s="33"/>
      <c r="G76" s="34"/>
      <c r="H76" s="34"/>
      <c r="I76" s="34"/>
      <c r="J76" s="13"/>
    </row>
    <row r="77" spans="2:10" ht="15.75" customHeight="1">
      <c r="B77" s="29"/>
      <c r="C77" s="32"/>
      <c r="D77" s="31"/>
      <c r="E77" s="32"/>
      <c r="F77" s="33"/>
      <c r="G77" s="34"/>
      <c r="H77" s="34"/>
      <c r="I77" s="34"/>
      <c r="J77" s="13"/>
    </row>
    <row r="78" spans="2:10" ht="15.75" customHeight="1">
      <c r="B78" s="29"/>
      <c r="C78" s="32"/>
      <c r="D78" s="31"/>
      <c r="E78" s="32"/>
      <c r="F78" s="33"/>
      <c r="G78" s="34"/>
      <c r="H78" s="34"/>
      <c r="I78" s="34"/>
      <c r="J78" s="13"/>
    </row>
    <row r="79" spans="2:10" ht="15.75" customHeight="1">
      <c r="B79" s="29"/>
      <c r="C79" s="32"/>
      <c r="D79" s="31"/>
      <c r="E79" s="32"/>
      <c r="F79" s="33"/>
      <c r="G79" s="34"/>
      <c r="H79" s="34"/>
      <c r="I79" s="34"/>
      <c r="J79" s="13"/>
    </row>
    <row r="80" spans="2:10" ht="15.75" customHeight="1">
      <c r="B80" s="29"/>
      <c r="C80" s="32"/>
      <c r="D80" s="31"/>
      <c r="E80" s="32"/>
      <c r="F80" s="33"/>
      <c r="G80" s="34"/>
      <c r="H80" s="34"/>
      <c r="I80" s="34"/>
      <c r="J80" s="13"/>
    </row>
    <row r="81" spans="2:10" ht="15.75" customHeight="1">
      <c r="B81" s="29"/>
      <c r="C81" s="32"/>
      <c r="D81" s="31"/>
      <c r="E81" s="32"/>
      <c r="F81" s="33"/>
      <c r="G81" s="34"/>
      <c r="H81" s="34"/>
      <c r="I81" s="34"/>
      <c r="J81" s="13"/>
    </row>
    <row r="82" spans="2:10" ht="15.75" customHeight="1">
      <c r="B82" s="29"/>
      <c r="C82" s="32"/>
      <c r="D82" s="31"/>
      <c r="E82" s="32"/>
      <c r="F82" s="33"/>
      <c r="G82" s="34"/>
      <c r="H82" s="34"/>
      <c r="I82" s="34"/>
      <c r="J82" s="13"/>
    </row>
    <row r="83" spans="2:10" ht="15.75" customHeight="1">
      <c r="B83" s="29"/>
      <c r="C83" s="32"/>
      <c r="D83" s="31"/>
      <c r="E83" s="32"/>
      <c r="F83" s="33"/>
      <c r="G83" s="34"/>
      <c r="H83" s="34"/>
      <c r="I83" s="34"/>
      <c r="J83" s="13"/>
    </row>
    <row r="84" spans="2:10" ht="15.75" customHeight="1">
      <c r="B84" s="29"/>
      <c r="C84" s="32"/>
      <c r="D84" s="31"/>
      <c r="E84" s="32"/>
      <c r="F84" s="33"/>
      <c r="G84" s="34"/>
      <c r="H84" s="34"/>
      <c r="I84" s="34"/>
      <c r="J84" s="13"/>
    </row>
    <row r="85" spans="2:10" ht="15.75" customHeight="1">
      <c r="B85" s="29"/>
      <c r="C85" s="32"/>
      <c r="D85" s="31"/>
      <c r="E85" s="32"/>
      <c r="F85" s="33"/>
      <c r="G85" s="34"/>
      <c r="H85" s="34"/>
      <c r="I85" s="34"/>
      <c r="J85" s="13"/>
    </row>
    <row r="86" spans="2:10" ht="15.75" customHeight="1">
      <c r="B86" s="29"/>
      <c r="C86" s="32"/>
      <c r="D86" s="31"/>
      <c r="E86" s="32"/>
      <c r="F86" s="33"/>
      <c r="G86" s="34"/>
      <c r="H86" s="34"/>
      <c r="I86" s="34"/>
      <c r="J86" s="13"/>
    </row>
    <row r="87" spans="2:10" ht="15.75" customHeight="1">
      <c r="B87" s="29"/>
      <c r="C87" s="32"/>
      <c r="D87" s="31"/>
      <c r="E87" s="32"/>
      <c r="F87" s="33"/>
      <c r="G87" s="34"/>
      <c r="H87" s="34"/>
      <c r="I87" s="34"/>
      <c r="J87" s="13"/>
    </row>
    <row r="88" spans="2:10" ht="15.75" customHeight="1">
      <c r="B88" s="29"/>
      <c r="C88" s="32"/>
      <c r="D88" s="31"/>
      <c r="E88" s="32"/>
      <c r="F88" s="33"/>
      <c r="G88" s="34"/>
      <c r="H88" s="34"/>
      <c r="I88" s="34"/>
      <c r="J88" s="13"/>
    </row>
    <row r="89" spans="2:10" ht="15.75" customHeight="1">
      <c r="B89" s="29"/>
      <c r="C89" s="32"/>
      <c r="D89" s="31"/>
      <c r="E89" s="32"/>
      <c r="F89" s="33"/>
      <c r="G89" s="34"/>
      <c r="H89" s="34"/>
      <c r="I89" s="34"/>
      <c r="J89" s="13"/>
    </row>
    <row r="90" spans="2:10" ht="15.75" customHeight="1">
      <c r="B90" s="29"/>
      <c r="C90" s="32"/>
      <c r="D90" s="31"/>
      <c r="E90" s="32"/>
      <c r="F90" s="33"/>
      <c r="G90" s="34"/>
      <c r="H90" s="34"/>
      <c r="I90" s="34"/>
      <c r="J90" s="13"/>
    </row>
    <row r="91" spans="2:10" ht="15.75" customHeight="1">
      <c r="B91" s="29"/>
      <c r="C91" s="32"/>
      <c r="D91" s="31"/>
      <c r="E91" s="32"/>
      <c r="F91" s="33"/>
      <c r="G91" s="34"/>
      <c r="H91" s="34"/>
      <c r="I91" s="34"/>
      <c r="J91" s="13"/>
    </row>
    <row r="92" spans="2:10" ht="15.75" customHeight="1">
      <c r="B92" s="29"/>
      <c r="C92" s="32"/>
      <c r="D92" s="31"/>
      <c r="E92" s="32"/>
      <c r="F92" s="33"/>
      <c r="G92" s="34"/>
      <c r="H92" s="34"/>
      <c r="I92" s="34"/>
      <c r="J92" s="13"/>
    </row>
    <row r="93" spans="2:10" ht="15.75" customHeight="1">
      <c r="B93" s="29"/>
      <c r="C93" s="32"/>
      <c r="D93" s="31"/>
      <c r="E93" s="32"/>
      <c r="F93" s="33"/>
      <c r="G93" s="34"/>
      <c r="H93" s="34"/>
      <c r="I93" s="34"/>
      <c r="J93" s="13"/>
    </row>
    <row r="94" spans="2:10" ht="15.75" customHeight="1">
      <c r="B94" s="29"/>
      <c r="C94" s="32"/>
      <c r="D94" s="31"/>
      <c r="E94" s="32"/>
      <c r="F94" s="33"/>
      <c r="G94" s="34"/>
      <c r="H94" s="34"/>
      <c r="I94" s="34"/>
      <c r="J94" s="13"/>
    </row>
    <row r="95" spans="2:10" ht="15.75" customHeight="1">
      <c r="B95" s="29"/>
      <c r="C95" s="32"/>
      <c r="D95" s="31"/>
      <c r="E95" s="32"/>
      <c r="F95" s="33"/>
      <c r="G95" s="34"/>
      <c r="H95" s="34"/>
      <c r="I95" s="34"/>
      <c r="J95" s="13"/>
    </row>
    <row r="96" spans="2:10" ht="15.75" customHeight="1">
      <c r="B96" s="29"/>
      <c r="C96" s="32"/>
      <c r="D96" s="31"/>
      <c r="E96" s="32"/>
      <c r="F96" s="33"/>
      <c r="G96" s="34"/>
      <c r="H96" s="34"/>
      <c r="I96" s="34"/>
      <c r="J96" s="13"/>
    </row>
    <row r="97" spans="2:10" ht="15.75" customHeight="1">
      <c r="B97" s="29"/>
      <c r="C97" s="32"/>
      <c r="D97" s="31"/>
      <c r="E97" s="32"/>
      <c r="F97" s="33"/>
      <c r="G97" s="34"/>
      <c r="H97" s="34"/>
      <c r="I97" s="34"/>
      <c r="J97" s="13"/>
    </row>
    <row r="98" spans="2:10" ht="15.75" customHeight="1">
      <c r="B98" s="29"/>
      <c r="C98" s="32"/>
      <c r="D98" s="31"/>
      <c r="E98" s="32"/>
      <c r="F98" s="33"/>
      <c r="G98" s="34"/>
      <c r="H98" s="34"/>
      <c r="I98" s="34"/>
      <c r="J98" s="13"/>
    </row>
    <row r="99" spans="2:10" ht="15.75" customHeight="1">
      <c r="B99" s="29"/>
      <c r="C99" s="32"/>
      <c r="D99" s="31"/>
      <c r="E99" s="32"/>
      <c r="F99" s="33"/>
      <c r="G99" s="34"/>
      <c r="H99" s="34"/>
      <c r="I99" s="34"/>
      <c r="J99" s="13"/>
    </row>
    <row r="100" spans="2:10" ht="15.75" customHeight="1">
      <c r="B100" s="29"/>
      <c r="C100" s="32"/>
      <c r="D100" s="31"/>
      <c r="E100" s="32"/>
      <c r="F100" s="33"/>
      <c r="G100" s="34"/>
      <c r="H100" s="34"/>
      <c r="I100" s="34"/>
      <c r="J100" s="13"/>
    </row>
    <row r="101" spans="2:10" ht="15.75" customHeight="1">
      <c r="B101" s="29"/>
      <c r="C101" s="32"/>
      <c r="D101" s="31"/>
      <c r="E101" s="32"/>
      <c r="F101" s="33"/>
      <c r="G101" s="34"/>
      <c r="H101" s="34"/>
      <c r="I101" s="34"/>
      <c r="J101" s="13"/>
    </row>
    <row r="102" spans="2:10" ht="15.75" customHeight="1">
      <c r="B102" s="29"/>
      <c r="C102" s="32"/>
      <c r="D102" s="31"/>
      <c r="E102" s="32"/>
      <c r="F102" s="33"/>
      <c r="G102" s="34"/>
      <c r="H102" s="34"/>
      <c r="I102" s="34"/>
      <c r="J102" s="13"/>
    </row>
    <row r="103" spans="2:10" ht="15.75" customHeight="1">
      <c r="B103" s="29"/>
      <c r="C103" s="32"/>
      <c r="D103" s="31"/>
      <c r="E103" s="32"/>
      <c r="F103" s="33"/>
      <c r="G103" s="34"/>
      <c r="H103" s="34"/>
      <c r="I103" s="34"/>
      <c r="J103" s="13"/>
    </row>
    <row r="104" spans="2:10" ht="15.75" customHeight="1">
      <c r="B104" s="29"/>
      <c r="C104" s="32"/>
      <c r="D104" s="31"/>
      <c r="E104" s="32"/>
      <c r="F104" s="33"/>
      <c r="G104" s="34"/>
      <c r="H104" s="34"/>
      <c r="I104" s="34"/>
      <c r="J104" s="13"/>
    </row>
    <row r="105" spans="2:10" ht="15.75" customHeight="1">
      <c r="B105" s="29"/>
      <c r="C105" s="32"/>
      <c r="D105" s="31"/>
      <c r="E105" s="32"/>
      <c r="F105" s="33"/>
      <c r="G105" s="34"/>
      <c r="H105" s="34"/>
      <c r="I105" s="34"/>
      <c r="J105" s="13"/>
    </row>
    <row r="106" spans="2:10" ht="15.75" customHeight="1">
      <c r="B106" s="29"/>
      <c r="C106" s="32"/>
      <c r="D106" s="31"/>
      <c r="E106" s="32"/>
      <c r="F106" s="33"/>
      <c r="G106" s="34"/>
      <c r="H106" s="34"/>
      <c r="I106" s="34"/>
      <c r="J106" s="13"/>
    </row>
    <row r="107" spans="2:10" ht="15.75" customHeight="1">
      <c r="B107" s="29"/>
      <c r="C107" s="32"/>
      <c r="D107" s="31"/>
      <c r="E107" s="32"/>
      <c r="F107" s="33"/>
      <c r="G107" s="34"/>
      <c r="H107" s="34"/>
      <c r="I107" s="34"/>
      <c r="J107" s="13"/>
    </row>
    <row r="108" spans="2:10" ht="15.75" customHeight="1">
      <c r="B108" s="29"/>
      <c r="C108" s="32"/>
      <c r="D108" s="31"/>
      <c r="E108" s="32"/>
      <c r="F108" s="33"/>
      <c r="G108" s="34"/>
      <c r="H108" s="34"/>
      <c r="I108" s="34"/>
      <c r="J108" s="13"/>
    </row>
    <row r="109" spans="2:10" ht="15.75" customHeight="1">
      <c r="B109" s="29"/>
      <c r="C109" s="32"/>
      <c r="D109" s="31"/>
      <c r="E109" s="32"/>
      <c r="F109" s="33"/>
      <c r="G109" s="34"/>
      <c r="H109" s="34"/>
      <c r="I109" s="34"/>
      <c r="J109" s="13"/>
    </row>
    <row r="110" spans="2:10" ht="15.75" customHeight="1">
      <c r="B110" s="29"/>
      <c r="C110" s="32"/>
      <c r="D110" s="31"/>
      <c r="E110" s="32"/>
      <c r="F110" s="33"/>
      <c r="G110" s="34"/>
      <c r="H110" s="34"/>
      <c r="I110" s="34"/>
      <c r="J110" s="13"/>
    </row>
    <row r="111" spans="2:10" ht="15.75" customHeight="1">
      <c r="B111" s="29"/>
      <c r="C111" s="32"/>
      <c r="D111" s="31"/>
      <c r="E111" s="32"/>
      <c r="F111" s="33"/>
      <c r="G111" s="34"/>
      <c r="H111" s="34"/>
      <c r="I111" s="34"/>
      <c r="J111" s="13"/>
    </row>
    <row r="112" spans="2:10" ht="15.75" customHeight="1">
      <c r="B112" s="29"/>
      <c r="C112" s="32"/>
      <c r="D112" s="31"/>
      <c r="E112" s="32"/>
      <c r="F112" s="33"/>
      <c r="G112" s="34"/>
      <c r="H112" s="34"/>
      <c r="I112" s="34"/>
      <c r="J112" s="13"/>
    </row>
    <row r="113" spans="2:10" ht="15.75" customHeight="1">
      <c r="B113" s="29"/>
      <c r="C113" s="32"/>
      <c r="D113" s="31"/>
      <c r="E113" s="32"/>
      <c r="F113" s="33"/>
      <c r="G113" s="34"/>
      <c r="H113" s="34"/>
      <c r="I113" s="34"/>
      <c r="J113" s="13"/>
    </row>
    <row r="114" spans="2:10" ht="15.75" customHeight="1">
      <c r="B114" s="29"/>
      <c r="C114" s="32"/>
      <c r="D114" s="31"/>
      <c r="E114" s="32"/>
      <c r="F114" s="33"/>
      <c r="G114" s="34"/>
      <c r="H114" s="34"/>
      <c r="I114" s="34"/>
      <c r="J114" s="13"/>
    </row>
    <row r="115" spans="2:10" ht="15.75" customHeight="1">
      <c r="B115" s="29"/>
      <c r="C115" s="32"/>
      <c r="D115" s="31"/>
      <c r="E115" s="32"/>
      <c r="F115" s="33"/>
      <c r="G115" s="34"/>
      <c r="H115" s="34"/>
      <c r="I115" s="34"/>
      <c r="J115" s="13"/>
    </row>
    <row r="116" spans="2:10" ht="15.75" customHeight="1">
      <c r="B116" s="29"/>
      <c r="C116" s="32"/>
      <c r="D116" s="31"/>
      <c r="E116" s="32"/>
      <c r="F116" s="33"/>
      <c r="G116" s="34"/>
      <c r="H116" s="34"/>
      <c r="I116" s="34"/>
      <c r="J116" s="13"/>
    </row>
    <row r="117" spans="2:10" ht="15.75" customHeight="1">
      <c r="B117" s="29"/>
      <c r="C117" s="32"/>
      <c r="D117" s="31"/>
      <c r="E117" s="32"/>
      <c r="F117" s="33"/>
      <c r="G117" s="34"/>
      <c r="H117" s="34"/>
      <c r="I117" s="34"/>
      <c r="J117" s="13"/>
    </row>
    <row r="118" spans="2:10" ht="15.75" customHeight="1">
      <c r="B118" s="29"/>
      <c r="C118" s="32"/>
      <c r="D118" s="31"/>
      <c r="E118" s="32"/>
      <c r="F118" s="33"/>
      <c r="G118" s="34"/>
      <c r="H118" s="34"/>
      <c r="I118" s="34"/>
      <c r="J118" s="13"/>
    </row>
    <row r="119" spans="2:10" ht="15.75" customHeight="1">
      <c r="B119" s="29"/>
      <c r="C119" s="32"/>
      <c r="D119" s="31"/>
      <c r="E119" s="32"/>
      <c r="F119" s="33"/>
      <c r="G119" s="34"/>
      <c r="H119" s="34"/>
      <c r="I119" s="34"/>
      <c r="J119" s="13"/>
    </row>
    <row r="120" spans="2:10" ht="15.75" customHeight="1">
      <c r="B120" s="29"/>
      <c r="C120" s="32"/>
      <c r="D120" s="31"/>
      <c r="E120" s="32"/>
      <c r="F120" s="33"/>
      <c r="G120" s="34"/>
      <c r="H120" s="34"/>
      <c r="I120" s="34"/>
      <c r="J120" s="13"/>
    </row>
    <row r="121" spans="2:10" ht="15.75" customHeight="1">
      <c r="B121" s="29"/>
      <c r="C121" s="32"/>
      <c r="D121" s="31"/>
      <c r="E121" s="32"/>
      <c r="F121" s="33"/>
      <c r="G121" s="34"/>
      <c r="H121" s="34"/>
      <c r="I121" s="34"/>
      <c r="J121" s="13"/>
    </row>
    <row r="122" spans="2:10" ht="15.75" customHeight="1">
      <c r="B122" s="29"/>
      <c r="C122" s="32"/>
      <c r="D122" s="31"/>
      <c r="E122" s="32"/>
      <c r="F122" s="33"/>
      <c r="G122" s="34"/>
      <c r="H122" s="34"/>
      <c r="I122" s="34"/>
      <c r="J122" s="13"/>
    </row>
    <row r="123" spans="2:10" ht="15.75" customHeight="1">
      <c r="B123" s="29"/>
      <c r="C123" s="32"/>
      <c r="D123" s="31"/>
      <c r="E123" s="32"/>
      <c r="F123" s="33"/>
      <c r="G123" s="34"/>
      <c r="H123" s="34"/>
      <c r="I123" s="34"/>
      <c r="J123" s="13"/>
    </row>
    <row r="124" spans="2:10" ht="15.75" customHeight="1">
      <c r="B124" s="29"/>
      <c r="C124" s="32"/>
      <c r="D124" s="31"/>
      <c r="E124" s="32"/>
      <c r="F124" s="33"/>
      <c r="G124" s="34"/>
      <c r="H124" s="34"/>
      <c r="I124" s="34"/>
      <c r="J124" s="13"/>
    </row>
    <row r="125" spans="2:10" ht="15.75" customHeight="1">
      <c r="B125" s="29"/>
      <c r="C125" s="32"/>
      <c r="D125" s="31"/>
      <c r="E125" s="32"/>
      <c r="F125" s="33"/>
      <c r="G125" s="34"/>
      <c r="H125" s="34"/>
      <c r="I125" s="34"/>
      <c r="J125" s="13"/>
    </row>
    <row r="126" spans="2:10" ht="15.75" customHeight="1">
      <c r="B126" s="29"/>
      <c r="C126" s="32"/>
      <c r="D126" s="31"/>
      <c r="E126" s="32"/>
      <c r="F126" s="33"/>
      <c r="G126" s="34"/>
      <c r="H126" s="34"/>
      <c r="I126" s="34"/>
      <c r="J126" s="13"/>
    </row>
    <row r="127" spans="2:10" ht="15.75" customHeight="1">
      <c r="B127" s="29"/>
      <c r="C127" s="32"/>
      <c r="D127" s="31"/>
      <c r="E127" s="32"/>
      <c r="F127" s="33"/>
      <c r="G127" s="34"/>
      <c r="H127" s="34"/>
      <c r="I127" s="34"/>
      <c r="J127" s="13"/>
    </row>
    <row r="128" spans="2:10" ht="15.75" customHeight="1">
      <c r="B128" s="29"/>
      <c r="C128" s="32"/>
      <c r="D128" s="31"/>
      <c r="E128" s="32"/>
      <c r="F128" s="33"/>
      <c r="G128" s="34"/>
      <c r="H128" s="34"/>
      <c r="I128" s="34"/>
      <c r="J128" s="13"/>
    </row>
    <row r="129" spans="2:10" ht="15.75" customHeight="1">
      <c r="B129" s="29"/>
      <c r="C129" s="32"/>
      <c r="D129" s="31"/>
      <c r="E129" s="32"/>
      <c r="F129" s="33"/>
      <c r="G129" s="34"/>
      <c r="H129" s="34"/>
      <c r="I129" s="34"/>
      <c r="J129" s="13"/>
    </row>
    <row r="130" spans="2:10" ht="15.75" customHeight="1">
      <c r="B130" s="29"/>
      <c r="C130" s="32"/>
      <c r="D130" s="31"/>
      <c r="E130" s="32"/>
      <c r="F130" s="33"/>
      <c r="G130" s="34"/>
      <c r="H130" s="34"/>
      <c r="I130" s="34"/>
      <c r="J130" s="13"/>
    </row>
    <row r="131" spans="2:10" ht="15.75" customHeight="1">
      <c r="B131" s="29"/>
      <c r="C131" s="32"/>
      <c r="D131" s="31"/>
      <c r="E131" s="32"/>
      <c r="F131" s="33"/>
      <c r="G131" s="34"/>
      <c r="H131" s="34"/>
      <c r="I131" s="34"/>
      <c r="J131" s="13"/>
    </row>
    <row r="132" spans="2:10" ht="15.75" customHeight="1">
      <c r="B132" s="29"/>
      <c r="C132" s="32"/>
      <c r="D132" s="31"/>
      <c r="E132" s="32"/>
      <c r="F132" s="33"/>
      <c r="G132" s="34"/>
      <c r="H132" s="34"/>
      <c r="I132" s="34"/>
      <c r="J132" s="13"/>
    </row>
    <row r="133" spans="2:10" ht="15.75" customHeight="1">
      <c r="B133" s="29"/>
      <c r="C133" s="32"/>
      <c r="D133" s="31"/>
      <c r="E133" s="32"/>
      <c r="F133" s="33"/>
      <c r="G133" s="34"/>
      <c r="H133" s="34"/>
      <c r="I133" s="34"/>
      <c r="J133" s="13"/>
    </row>
    <row r="134" spans="2:10" ht="15.75" customHeight="1">
      <c r="B134" s="29"/>
      <c r="C134" s="32"/>
      <c r="D134" s="31"/>
      <c r="E134" s="32"/>
      <c r="F134" s="33"/>
      <c r="G134" s="34"/>
      <c r="H134" s="34"/>
      <c r="I134" s="34"/>
      <c r="J134" s="13"/>
    </row>
    <row r="135" spans="2:10" ht="15.75" customHeight="1">
      <c r="B135" s="29"/>
      <c r="C135" s="32"/>
      <c r="D135" s="31"/>
      <c r="E135" s="32"/>
      <c r="F135" s="33"/>
      <c r="G135" s="34"/>
      <c r="H135" s="34"/>
      <c r="I135" s="34"/>
      <c r="J135" s="13"/>
    </row>
    <row r="136" spans="2:10" ht="15.75" customHeight="1">
      <c r="B136" s="29"/>
      <c r="C136" s="32"/>
      <c r="D136" s="31"/>
      <c r="E136" s="32"/>
      <c r="F136" s="33"/>
      <c r="G136" s="34"/>
      <c r="H136" s="34"/>
      <c r="I136" s="34"/>
      <c r="J136" s="13"/>
    </row>
    <row r="137" spans="2:10" ht="15.75" customHeight="1">
      <c r="B137" s="29"/>
      <c r="C137" s="32"/>
      <c r="D137" s="31"/>
      <c r="E137" s="32"/>
      <c r="F137" s="33"/>
      <c r="G137" s="34"/>
      <c r="H137" s="34"/>
      <c r="I137" s="34"/>
      <c r="J137" s="13"/>
    </row>
    <row r="138" spans="2:10" ht="15.75" customHeight="1">
      <c r="B138" s="29"/>
      <c r="C138" s="32"/>
      <c r="D138" s="31"/>
      <c r="E138" s="32"/>
      <c r="F138" s="33"/>
      <c r="G138" s="34"/>
      <c r="H138" s="34"/>
      <c r="I138" s="34"/>
      <c r="J138" s="13"/>
    </row>
    <row r="139" spans="2:10" ht="15.75" customHeight="1">
      <c r="B139" s="29"/>
      <c r="C139" s="32"/>
      <c r="D139" s="31"/>
      <c r="E139" s="32"/>
      <c r="F139" s="33"/>
      <c r="G139" s="34"/>
      <c r="H139" s="34"/>
      <c r="I139" s="34"/>
      <c r="J139" s="13"/>
    </row>
    <row r="140" spans="2:10" ht="15.75" customHeight="1">
      <c r="B140" s="29"/>
      <c r="C140" s="32"/>
      <c r="D140" s="31"/>
      <c r="E140" s="32"/>
      <c r="F140" s="33"/>
      <c r="G140" s="34"/>
      <c r="H140" s="34"/>
      <c r="I140" s="34"/>
      <c r="J140" s="13"/>
    </row>
    <row r="141" spans="2:10" ht="15.75" customHeight="1">
      <c r="B141" s="29"/>
      <c r="C141" s="32"/>
      <c r="D141" s="31"/>
      <c r="E141" s="32"/>
      <c r="F141" s="33"/>
      <c r="G141" s="34"/>
      <c r="H141" s="34"/>
      <c r="I141" s="34"/>
      <c r="J141" s="13"/>
    </row>
    <row r="142" spans="2:10" ht="15.75" customHeight="1">
      <c r="B142" s="29"/>
      <c r="C142" s="32"/>
      <c r="D142" s="31"/>
      <c r="E142" s="32"/>
      <c r="F142" s="33"/>
      <c r="G142" s="34"/>
      <c r="H142" s="34"/>
      <c r="I142" s="34"/>
      <c r="J142" s="13"/>
    </row>
    <row r="143" spans="2:10" ht="15.75" customHeight="1">
      <c r="B143" s="29"/>
      <c r="C143" s="32"/>
      <c r="D143" s="31"/>
      <c r="E143" s="32"/>
      <c r="F143" s="33"/>
      <c r="G143" s="34"/>
      <c r="H143" s="34"/>
      <c r="I143" s="34"/>
      <c r="J143" s="13"/>
    </row>
    <row r="144" spans="2:10" ht="15.75" customHeight="1">
      <c r="B144" s="29"/>
      <c r="C144" s="32"/>
      <c r="D144" s="31"/>
      <c r="E144" s="32"/>
      <c r="F144" s="33"/>
      <c r="G144" s="34"/>
      <c r="H144" s="34"/>
      <c r="I144" s="34"/>
      <c r="J144" s="13"/>
    </row>
    <row r="145" spans="2:10" ht="15.75" customHeight="1">
      <c r="B145" s="29"/>
      <c r="C145" s="32"/>
      <c r="D145" s="31"/>
      <c r="E145" s="32"/>
      <c r="F145" s="33"/>
      <c r="G145" s="34"/>
      <c r="H145" s="34"/>
      <c r="I145" s="34"/>
      <c r="J145" s="13"/>
    </row>
    <row r="146" spans="2:10" ht="15.75" customHeight="1">
      <c r="B146" s="29"/>
      <c r="C146" s="32"/>
      <c r="D146" s="31"/>
      <c r="E146" s="32"/>
      <c r="F146" s="33"/>
      <c r="G146" s="34"/>
      <c r="H146" s="34"/>
      <c r="I146" s="34"/>
      <c r="J146" s="13"/>
    </row>
    <row r="147" spans="2:10" ht="15.75" customHeight="1">
      <c r="B147" s="29"/>
      <c r="C147" s="32"/>
      <c r="D147" s="31"/>
      <c r="E147" s="32"/>
      <c r="F147" s="33"/>
      <c r="G147" s="34"/>
      <c r="H147" s="34"/>
      <c r="I147" s="34"/>
      <c r="J147" s="13"/>
    </row>
    <row r="148" spans="2:10" ht="15.75" customHeight="1">
      <c r="B148" s="29"/>
      <c r="C148" s="32"/>
      <c r="D148" s="31"/>
      <c r="E148" s="32"/>
      <c r="F148" s="33"/>
      <c r="G148" s="34"/>
      <c r="H148" s="34"/>
      <c r="I148" s="34"/>
      <c r="J148" s="13"/>
    </row>
    <row r="149" spans="2:10" ht="15.75" customHeight="1">
      <c r="B149" s="29"/>
      <c r="C149" s="32"/>
      <c r="D149" s="31"/>
      <c r="E149" s="32"/>
      <c r="F149" s="33"/>
      <c r="G149" s="34"/>
      <c r="H149" s="34"/>
      <c r="I149" s="34"/>
      <c r="J149" s="13"/>
    </row>
    <row r="150" spans="2:10" ht="15.75" customHeight="1">
      <c r="B150" s="29"/>
      <c r="C150" s="32"/>
      <c r="D150" s="31"/>
      <c r="E150" s="32"/>
      <c r="F150" s="33"/>
      <c r="G150" s="34"/>
      <c r="H150" s="34"/>
      <c r="I150" s="34"/>
      <c r="J150" s="13"/>
    </row>
    <row r="151" spans="2:10" ht="15.75" customHeight="1">
      <c r="B151" s="29"/>
      <c r="C151" s="32"/>
      <c r="D151" s="31"/>
      <c r="E151" s="32"/>
      <c r="F151" s="33"/>
      <c r="G151" s="34"/>
      <c r="H151" s="34"/>
      <c r="I151" s="34"/>
      <c r="J151" s="13"/>
    </row>
    <row r="152" spans="2:10" ht="15.75" customHeight="1">
      <c r="B152" s="29"/>
      <c r="C152" s="32"/>
      <c r="D152" s="31"/>
      <c r="E152" s="32"/>
      <c r="F152" s="33"/>
      <c r="G152" s="34"/>
      <c r="H152" s="34"/>
      <c r="I152" s="34"/>
      <c r="J152" s="13"/>
    </row>
    <row r="153" spans="2:10" ht="15.75" customHeight="1">
      <c r="B153" s="29"/>
      <c r="C153" s="32"/>
      <c r="D153" s="31"/>
      <c r="E153" s="32"/>
      <c r="F153" s="33"/>
      <c r="G153" s="34"/>
      <c r="H153" s="34"/>
      <c r="I153" s="34"/>
      <c r="J153" s="13"/>
    </row>
    <row r="154" spans="2:10" ht="15.75" customHeight="1">
      <c r="B154" s="29"/>
      <c r="C154" s="32"/>
      <c r="D154" s="31"/>
      <c r="E154" s="32"/>
      <c r="F154" s="33"/>
      <c r="G154" s="34"/>
      <c r="H154" s="34"/>
      <c r="I154" s="34"/>
      <c r="J154" s="13"/>
    </row>
    <row r="155" spans="2:10" ht="15.75" customHeight="1">
      <c r="B155" s="29"/>
      <c r="C155" s="32"/>
      <c r="D155" s="31"/>
      <c r="E155" s="32"/>
      <c r="F155" s="33"/>
      <c r="G155" s="34"/>
      <c r="H155" s="34"/>
      <c r="I155" s="34"/>
      <c r="J155" s="13"/>
    </row>
    <row r="156" spans="2:10" ht="15.75" customHeight="1">
      <c r="B156" s="29"/>
      <c r="C156" s="32"/>
      <c r="D156" s="31"/>
      <c r="E156" s="32"/>
      <c r="F156" s="33"/>
      <c r="G156" s="34"/>
      <c r="H156" s="34"/>
      <c r="I156" s="34"/>
      <c r="J156" s="13"/>
    </row>
    <row r="157" spans="2:10" ht="15.75" customHeight="1">
      <c r="B157" s="29"/>
      <c r="C157" s="32"/>
      <c r="D157" s="31"/>
      <c r="E157" s="32"/>
      <c r="F157" s="33"/>
      <c r="G157" s="34"/>
      <c r="H157" s="34"/>
      <c r="I157" s="34"/>
      <c r="J157" s="13"/>
    </row>
    <row r="158" spans="2:10" ht="15.75" customHeight="1">
      <c r="B158" s="29"/>
      <c r="C158" s="32"/>
      <c r="D158" s="31"/>
      <c r="E158" s="32"/>
      <c r="F158" s="33"/>
      <c r="G158" s="34"/>
      <c r="H158" s="34"/>
      <c r="I158" s="34"/>
      <c r="J158" s="13"/>
    </row>
    <row r="159" spans="2:10" ht="15.75" customHeight="1">
      <c r="B159" s="29"/>
      <c r="C159" s="32"/>
      <c r="D159" s="31"/>
      <c r="E159" s="32"/>
      <c r="F159" s="33"/>
      <c r="G159" s="34"/>
      <c r="H159" s="34"/>
      <c r="I159" s="34"/>
      <c r="J159" s="13"/>
    </row>
    <row r="160" spans="2:10" ht="15.75" customHeight="1">
      <c r="B160" s="29"/>
      <c r="C160" s="32"/>
      <c r="D160" s="31"/>
      <c r="E160" s="32"/>
      <c r="F160" s="33"/>
      <c r="G160" s="34"/>
      <c r="H160" s="34"/>
      <c r="I160" s="34"/>
      <c r="J160" s="13"/>
    </row>
    <row r="161" spans="2:10" ht="15.75" customHeight="1">
      <c r="B161" s="29"/>
      <c r="C161" s="32"/>
      <c r="D161" s="31"/>
      <c r="E161" s="32"/>
      <c r="F161" s="33"/>
      <c r="G161" s="34"/>
      <c r="H161" s="34"/>
      <c r="I161" s="34"/>
      <c r="J161" s="13"/>
    </row>
    <row r="162" spans="2:10" ht="15.75" customHeight="1">
      <c r="B162" s="29"/>
      <c r="C162" s="32"/>
      <c r="D162" s="31"/>
      <c r="E162" s="32"/>
      <c r="F162" s="33"/>
      <c r="G162" s="34"/>
      <c r="H162" s="34"/>
      <c r="I162" s="34"/>
      <c r="J162" s="13"/>
    </row>
    <row r="163" spans="2:10" ht="15.75" customHeight="1">
      <c r="B163" s="29"/>
      <c r="C163" s="32"/>
      <c r="D163" s="31"/>
      <c r="E163" s="32"/>
      <c r="F163" s="33"/>
      <c r="G163" s="34"/>
      <c r="H163" s="34"/>
      <c r="I163" s="34"/>
      <c r="J163" s="13"/>
    </row>
    <row r="164" spans="2:10" ht="15.75" customHeight="1">
      <c r="B164" s="29"/>
      <c r="C164" s="32"/>
      <c r="D164" s="31"/>
      <c r="E164" s="32"/>
      <c r="F164" s="33"/>
      <c r="G164" s="34"/>
      <c r="H164" s="34"/>
      <c r="I164" s="34"/>
      <c r="J164" s="13"/>
    </row>
    <row r="165" spans="2:10" ht="15.75" customHeight="1">
      <c r="B165" s="29"/>
      <c r="C165" s="32"/>
      <c r="D165" s="31"/>
      <c r="E165" s="32"/>
      <c r="F165" s="33"/>
      <c r="G165" s="34"/>
      <c r="H165" s="34"/>
      <c r="I165" s="34"/>
      <c r="J165" s="13"/>
    </row>
    <row r="166" spans="2:10" ht="15.75" customHeight="1">
      <c r="B166" s="29"/>
      <c r="C166" s="32"/>
      <c r="D166" s="31"/>
      <c r="E166" s="32"/>
      <c r="F166" s="33"/>
      <c r="G166" s="34"/>
      <c r="H166" s="34"/>
      <c r="I166" s="34"/>
      <c r="J166" s="13"/>
    </row>
    <row r="167" spans="2:10" ht="15.75" customHeight="1">
      <c r="B167" s="29"/>
      <c r="C167" s="32"/>
      <c r="D167" s="31"/>
      <c r="E167" s="32"/>
      <c r="F167" s="33"/>
      <c r="G167" s="34"/>
      <c r="H167" s="34"/>
      <c r="I167" s="34"/>
      <c r="J167" s="13"/>
    </row>
    <row r="168" spans="2:10" ht="15.75" customHeight="1">
      <c r="B168" s="29"/>
      <c r="C168" s="32"/>
      <c r="D168" s="31"/>
      <c r="E168" s="32"/>
      <c r="F168" s="33"/>
      <c r="G168" s="34"/>
      <c r="H168" s="34"/>
      <c r="I168" s="34"/>
      <c r="J168" s="13"/>
    </row>
    <row r="169" spans="2:10" ht="15.75" customHeight="1">
      <c r="B169" s="29"/>
      <c r="C169" s="32"/>
      <c r="D169" s="31"/>
      <c r="E169" s="32"/>
      <c r="F169" s="33"/>
      <c r="G169" s="34"/>
      <c r="H169" s="34"/>
      <c r="I169" s="34"/>
      <c r="J169" s="13"/>
    </row>
    <row r="170" spans="2:10" ht="15.75" customHeight="1">
      <c r="B170" s="29"/>
      <c r="C170" s="32"/>
      <c r="D170" s="31"/>
      <c r="E170" s="32"/>
      <c r="F170" s="33"/>
      <c r="G170" s="34"/>
      <c r="H170" s="34"/>
      <c r="I170" s="34"/>
      <c r="J170" s="13"/>
    </row>
    <row r="171" spans="2:10" ht="15.75" customHeight="1">
      <c r="B171" s="29"/>
      <c r="C171" s="32"/>
      <c r="D171" s="31"/>
      <c r="E171" s="32"/>
      <c r="F171" s="33"/>
      <c r="G171" s="34"/>
      <c r="H171" s="34"/>
      <c r="I171" s="34"/>
      <c r="J171" s="13"/>
    </row>
    <row r="172" spans="2:10" ht="15.75" customHeight="1">
      <c r="B172" s="29"/>
      <c r="C172" s="32"/>
      <c r="D172" s="31"/>
      <c r="E172" s="32"/>
      <c r="F172" s="33"/>
      <c r="G172" s="34"/>
      <c r="H172" s="34"/>
      <c r="I172" s="34"/>
      <c r="J172" s="13"/>
    </row>
    <row r="173" spans="2:10" ht="15.75" customHeight="1">
      <c r="B173" s="29"/>
      <c r="C173" s="32"/>
      <c r="D173" s="31"/>
      <c r="E173" s="32"/>
      <c r="F173" s="33"/>
      <c r="G173" s="34"/>
      <c r="H173" s="34"/>
      <c r="I173" s="34"/>
      <c r="J173" s="13"/>
    </row>
    <row r="174" spans="2:10" ht="15.75" customHeight="1">
      <c r="B174" s="29"/>
      <c r="C174" s="32"/>
      <c r="D174" s="31"/>
      <c r="E174" s="32"/>
      <c r="F174" s="33"/>
      <c r="G174" s="34"/>
      <c r="H174" s="34"/>
      <c r="I174" s="34"/>
      <c r="J174" s="13"/>
    </row>
    <row r="175" spans="2:10" ht="15.75" customHeight="1">
      <c r="B175" s="29"/>
      <c r="C175" s="32"/>
      <c r="D175" s="31"/>
      <c r="E175" s="32"/>
      <c r="F175" s="33"/>
      <c r="G175" s="34"/>
      <c r="H175" s="34"/>
      <c r="I175" s="34"/>
      <c r="J175" s="13"/>
    </row>
    <row r="176" spans="2:10" ht="15.75" customHeight="1">
      <c r="B176" s="29"/>
      <c r="C176" s="32"/>
      <c r="D176" s="31"/>
      <c r="E176" s="32"/>
      <c r="F176" s="33"/>
      <c r="G176" s="34"/>
      <c r="H176" s="34"/>
      <c r="I176" s="34"/>
      <c r="J176" s="13"/>
    </row>
    <row r="177" spans="2:10" ht="15.75" customHeight="1">
      <c r="B177" s="29"/>
      <c r="C177" s="32"/>
      <c r="D177" s="31"/>
      <c r="E177" s="32"/>
      <c r="F177" s="33"/>
      <c r="G177" s="34"/>
      <c r="H177" s="34"/>
      <c r="I177" s="34"/>
      <c r="J177" s="13"/>
    </row>
    <row r="178" spans="2:10" ht="15.75" customHeight="1">
      <c r="B178" s="29"/>
      <c r="C178" s="32"/>
      <c r="D178" s="31"/>
      <c r="E178" s="32"/>
      <c r="F178" s="33"/>
      <c r="G178" s="34"/>
      <c r="H178" s="34"/>
      <c r="I178" s="34"/>
      <c r="J178" s="13"/>
    </row>
    <row r="179" spans="2:10" ht="15.75" customHeight="1">
      <c r="B179" s="29"/>
      <c r="C179" s="32"/>
      <c r="D179" s="31"/>
      <c r="E179" s="32"/>
      <c r="F179" s="33"/>
      <c r="G179" s="34"/>
      <c r="H179" s="34"/>
      <c r="I179" s="34"/>
      <c r="J179" s="13"/>
    </row>
    <row r="180" spans="2:10" ht="15.75" customHeight="1">
      <c r="B180" s="29"/>
      <c r="C180" s="32"/>
      <c r="D180" s="31"/>
      <c r="E180" s="32"/>
      <c r="F180" s="33"/>
      <c r="G180" s="34"/>
      <c r="H180" s="34"/>
      <c r="I180" s="34"/>
      <c r="J180" s="13"/>
    </row>
    <row r="181" spans="2:10" ht="15.75" customHeight="1">
      <c r="B181" s="29"/>
      <c r="C181" s="32"/>
      <c r="D181" s="31"/>
      <c r="E181" s="32"/>
      <c r="F181" s="33"/>
      <c r="G181" s="34"/>
      <c r="H181" s="34"/>
      <c r="I181" s="34"/>
      <c r="J181" s="13"/>
    </row>
    <row r="182" spans="2:10" ht="15.75" customHeight="1">
      <c r="B182" s="29"/>
      <c r="C182" s="32"/>
      <c r="D182" s="31"/>
      <c r="E182" s="32"/>
      <c r="F182" s="33"/>
      <c r="G182" s="34"/>
      <c r="H182" s="34"/>
      <c r="I182" s="34"/>
      <c r="J182" s="13"/>
    </row>
    <row r="183" spans="2:10" ht="15.75" customHeight="1">
      <c r="B183" s="29"/>
      <c r="C183" s="32"/>
      <c r="D183" s="31"/>
      <c r="E183" s="32"/>
      <c r="F183" s="33"/>
      <c r="G183" s="34"/>
      <c r="H183" s="34"/>
      <c r="I183" s="34"/>
      <c r="J183" s="13"/>
    </row>
    <row r="184" spans="2:10" ht="15.75" customHeight="1">
      <c r="B184" s="29"/>
      <c r="C184" s="32"/>
      <c r="D184" s="31"/>
      <c r="E184" s="32"/>
      <c r="F184" s="33"/>
      <c r="G184" s="34"/>
      <c r="H184" s="34"/>
      <c r="I184" s="34"/>
      <c r="J184" s="13"/>
    </row>
    <row r="185" spans="2:10" ht="15.75" customHeight="1">
      <c r="B185" s="29"/>
      <c r="C185" s="32"/>
      <c r="D185" s="31"/>
      <c r="E185" s="32"/>
      <c r="F185" s="33"/>
      <c r="G185" s="34"/>
      <c r="H185" s="34"/>
      <c r="I185" s="34"/>
      <c r="J185" s="13"/>
    </row>
    <row r="186" spans="2:10" ht="15.75" customHeight="1">
      <c r="B186" s="29"/>
      <c r="C186" s="32"/>
      <c r="D186" s="31"/>
      <c r="E186" s="32"/>
      <c r="F186" s="33"/>
      <c r="G186" s="34"/>
      <c r="H186" s="34"/>
      <c r="I186" s="34"/>
      <c r="J186" s="13"/>
    </row>
    <row r="187" spans="2:10" ht="15.75" customHeight="1">
      <c r="B187" s="29"/>
      <c r="C187" s="32"/>
      <c r="D187" s="31"/>
      <c r="E187" s="32"/>
      <c r="F187" s="33"/>
      <c r="G187" s="34"/>
      <c r="H187" s="34"/>
      <c r="I187" s="34"/>
      <c r="J187" s="13"/>
    </row>
    <row r="188" spans="2:10" ht="15.75" customHeight="1">
      <c r="B188" s="29"/>
      <c r="C188" s="32"/>
      <c r="D188" s="31"/>
      <c r="E188" s="32"/>
      <c r="F188" s="33"/>
      <c r="G188" s="34"/>
      <c r="H188" s="34"/>
      <c r="I188" s="34"/>
      <c r="J188" s="13"/>
    </row>
    <row r="189" spans="2:10" ht="15.75" customHeight="1">
      <c r="B189" s="29"/>
      <c r="C189" s="32"/>
      <c r="D189" s="31"/>
      <c r="E189" s="32"/>
      <c r="F189" s="33"/>
      <c r="G189" s="34"/>
      <c r="H189" s="34"/>
      <c r="I189" s="34"/>
      <c r="J189" s="13"/>
    </row>
    <row r="190" spans="2:10" ht="15.75" customHeight="1">
      <c r="B190" s="29"/>
      <c r="C190" s="32"/>
      <c r="D190" s="31"/>
      <c r="E190" s="32"/>
      <c r="F190" s="33"/>
      <c r="G190" s="34"/>
      <c r="H190" s="34"/>
      <c r="I190" s="34"/>
      <c r="J190" s="13"/>
    </row>
    <row r="191" spans="2:10" ht="15.75" customHeight="1">
      <c r="B191" s="29"/>
      <c r="C191" s="32"/>
      <c r="D191" s="31"/>
      <c r="E191" s="32"/>
      <c r="F191" s="33"/>
      <c r="G191" s="34"/>
      <c r="H191" s="34"/>
      <c r="I191" s="34"/>
      <c r="J191" s="13"/>
    </row>
    <row r="192" spans="2:10" ht="15.75" customHeight="1">
      <c r="B192" s="29"/>
      <c r="C192" s="32"/>
      <c r="D192" s="31"/>
      <c r="E192" s="32"/>
      <c r="F192" s="33"/>
      <c r="G192" s="34"/>
      <c r="H192" s="34"/>
      <c r="I192" s="34"/>
      <c r="J192" s="13"/>
    </row>
    <row r="193" spans="2:10" ht="15.75" customHeight="1">
      <c r="B193" s="29"/>
      <c r="C193" s="32"/>
      <c r="D193" s="31"/>
      <c r="E193" s="32"/>
      <c r="F193" s="33"/>
      <c r="G193" s="34"/>
      <c r="H193" s="34"/>
      <c r="I193" s="34"/>
      <c r="J193" s="13"/>
    </row>
    <row r="194" spans="2:10" ht="15.75" customHeight="1">
      <c r="B194" s="29"/>
      <c r="C194" s="32"/>
      <c r="D194" s="31"/>
      <c r="E194" s="32"/>
      <c r="F194" s="33"/>
      <c r="G194" s="34"/>
      <c r="H194" s="34"/>
      <c r="I194" s="34"/>
      <c r="J194" s="13"/>
    </row>
    <row r="195" spans="2:10" ht="15.75" customHeight="1">
      <c r="B195" s="29"/>
      <c r="C195" s="32"/>
      <c r="D195" s="31"/>
      <c r="E195" s="32"/>
      <c r="F195" s="33"/>
      <c r="G195" s="34"/>
      <c r="H195" s="34"/>
      <c r="I195" s="34"/>
      <c r="J195" s="13"/>
    </row>
    <row r="196" spans="2:10" ht="15.75" customHeight="1">
      <c r="B196" s="29"/>
      <c r="C196" s="32"/>
      <c r="D196" s="31"/>
      <c r="E196" s="32"/>
      <c r="F196" s="33"/>
      <c r="G196" s="34"/>
      <c r="H196" s="34"/>
      <c r="I196" s="34"/>
      <c r="J196" s="13"/>
    </row>
    <row r="197" spans="2:10" ht="15.75" customHeight="1">
      <c r="B197" s="29"/>
      <c r="C197" s="32"/>
      <c r="D197" s="31"/>
      <c r="E197" s="32"/>
      <c r="F197" s="33"/>
      <c r="G197" s="34"/>
      <c r="H197" s="34"/>
      <c r="I197" s="34"/>
      <c r="J197" s="13"/>
    </row>
    <row r="198" spans="2:10" ht="15.75" customHeight="1">
      <c r="B198" s="29"/>
      <c r="C198" s="32"/>
      <c r="D198" s="31"/>
      <c r="E198" s="32"/>
      <c r="F198" s="33"/>
      <c r="G198" s="34"/>
      <c r="H198" s="34"/>
      <c r="I198" s="34"/>
      <c r="J198" s="13"/>
    </row>
    <row r="199" spans="2:10" ht="15.75" customHeight="1">
      <c r="B199" s="29"/>
      <c r="C199" s="32"/>
      <c r="D199" s="31"/>
      <c r="E199" s="32"/>
      <c r="F199" s="33"/>
      <c r="G199" s="34"/>
      <c r="H199" s="34"/>
      <c r="I199" s="34"/>
      <c r="J199" s="13"/>
    </row>
    <row r="200" spans="2:10" ht="15.75" customHeight="1">
      <c r="B200" s="29"/>
      <c r="C200" s="32"/>
      <c r="D200" s="31"/>
      <c r="E200" s="32"/>
      <c r="F200" s="33"/>
      <c r="G200" s="34"/>
      <c r="H200" s="34"/>
      <c r="I200" s="34"/>
      <c r="J200" s="13"/>
    </row>
    <row r="201" spans="2:10" ht="15.75" customHeight="1">
      <c r="B201" s="29"/>
      <c r="C201" s="32"/>
      <c r="D201" s="31"/>
      <c r="E201" s="32"/>
      <c r="F201" s="33"/>
      <c r="G201" s="34"/>
      <c r="H201" s="34"/>
      <c r="I201" s="34"/>
      <c r="J201" s="13"/>
    </row>
    <row r="202" spans="2:10" ht="15.75" customHeight="1">
      <c r="B202" s="29"/>
      <c r="C202" s="32"/>
      <c r="D202" s="31"/>
      <c r="E202" s="32"/>
      <c r="F202" s="33"/>
      <c r="G202" s="34"/>
      <c r="H202" s="34"/>
      <c r="I202" s="34"/>
      <c r="J202" s="13"/>
    </row>
    <row r="203" spans="2:10" ht="15.75" customHeight="1">
      <c r="B203" s="29"/>
      <c r="C203" s="32"/>
      <c r="D203" s="31"/>
      <c r="E203" s="32"/>
      <c r="F203" s="33"/>
      <c r="G203" s="34"/>
      <c r="H203" s="34"/>
      <c r="I203" s="34"/>
      <c r="J203" s="13"/>
    </row>
    <row r="204" spans="2:10" ht="15.75" customHeight="1">
      <c r="B204" s="29"/>
      <c r="C204" s="32"/>
      <c r="D204" s="31"/>
      <c r="E204" s="32"/>
      <c r="F204" s="33"/>
      <c r="G204" s="34"/>
      <c r="H204" s="34"/>
      <c r="I204" s="34"/>
      <c r="J204" s="13"/>
    </row>
    <row r="205" spans="2:10" ht="15.75" customHeight="1">
      <c r="B205" s="29"/>
      <c r="C205" s="32"/>
      <c r="D205" s="31"/>
      <c r="E205" s="32"/>
      <c r="F205" s="33"/>
      <c r="G205" s="34"/>
      <c r="H205" s="34"/>
      <c r="I205" s="34"/>
      <c r="J205" s="13"/>
    </row>
    <row r="206" spans="2:10" ht="15.75" customHeight="1">
      <c r="B206" s="29"/>
      <c r="C206" s="32"/>
      <c r="D206" s="31"/>
      <c r="E206" s="32"/>
      <c r="F206" s="33"/>
      <c r="G206" s="34"/>
      <c r="H206" s="34"/>
      <c r="I206" s="34"/>
      <c r="J206" s="13"/>
    </row>
    <row r="207" spans="2:10" ht="15.75" customHeight="1">
      <c r="B207" s="29"/>
      <c r="C207" s="32"/>
      <c r="D207" s="31"/>
      <c r="E207" s="32"/>
      <c r="F207" s="33"/>
      <c r="G207" s="34"/>
      <c r="H207" s="34"/>
      <c r="I207" s="34"/>
      <c r="J207" s="13"/>
    </row>
    <row r="208" spans="2:10" ht="15.75" customHeight="1">
      <c r="B208" s="29"/>
      <c r="C208" s="32"/>
      <c r="D208" s="31"/>
      <c r="E208" s="32"/>
      <c r="F208" s="33"/>
      <c r="G208" s="34"/>
      <c r="H208" s="34"/>
      <c r="I208" s="34"/>
      <c r="J208" s="13"/>
    </row>
    <row r="209" spans="2:10" ht="15.75" customHeight="1">
      <c r="B209" s="29"/>
      <c r="C209" s="32"/>
      <c r="D209" s="31"/>
      <c r="E209" s="32"/>
      <c r="F209" s="33"/>
      <c r="G209" s="34"/>
      <c r="H209" s="34"/>
      <c r="I209" s="34"/>
      <c r="J209" s="13"/>
    </row>
    <row r="210" spans="2:10" ht="15.75" customHeight="1">
      <c r="B210" s="29"/>
      <c r="C210" s="32"/>
      <c r="D210" s="31"/>
      <c r="E210" s="32"/>
      <c r="F210" s="33"/>
      <c r="G210" s="34"/>
      <c r="H210" s="34"/>
      <c r="I210" s="34"/>
      <c r="J210" s="13"/>
    </row>
    <row r="211" spans="2:10" ht="15.75" customHeight="1">
      <c r="B211" s="29"/>
      <c r="C211" s="32"/>
      <c r="D211" s="31"/>
      <c r="E211" s="32"/>
      <c r="F211" s="33"/>
      <c r="G211" s="34"/>
      <c r="H211" s="34"/>
      <c r="I211" s="34"/>
      <c r="J211" s="13"/>
    </row>
    <row r="212" spans="2:10" ht="15.75" customHeight="1">
      <c r="B212" s="29"/>
      <c r="C212" s="32"/>
      <c r="D212" s="31"/>
      <c r="E212" s="32"/>
      <c r="F212" s="33"/>
      <c r="G212" s="34"/>
      <c r="H212" s="34"/>
      <c r="I212" s="34"/>
      <c r="J212" s="13"/>
    </row>
    <row r="213" spans="2:10" ht="15.75" customHeight="1">
      <c r="B213" s="29"/>
      <c r="C213" s="32"/>
      <c r="D213" s="31"/>
      <c r="E213" s="32"/>
      <c r="F213" s="33"/>
      <c r="G213" s="34"/>
      <c r="H213" s="34"/>
      <c r="I213" s="34"/>
      <c r="J213" s="13"/>
    </row>
    <row r="214" spans="2:10" ht="15.75" customHeight="1">
      <c r="B214" s="29"/>
      <c r="C214" s="32"/>
      <c r="D214" s="31"/>
      <c r="E214" s="32"/>
      <c r="F214" s="33"/>
      <c r="G214" s="34"/>
      <c r="H214" s="34"/>
      <c r="I214" s="34"/>
      <c r="J214" s="13"/>
    </row>
    <row r="215" spans="2:10" ht="15.75" customHeight="1">
      <c r="B215" s="29"/>
      <c r="C215" s="32"/>
      <c r="D215" s="31"/>
      <c r="E215" s="32"/>
      <c r="F215" s="33"/>
      <c r="G215" s="34"/>
      <c r="H215" s="34"/>
      <c r="I215" s="34"/>
      <c r="J215" s="13"/>
    </row>
    <row r="216" spans="2:10" ht="15.75" customHeight="1">
      <c r="B216" s="29"/>
      <c r="C216" s="32"/>
      <c r="D216" s="31"/>
      <c r="E216" s="32"/>
      <c r="F216" s="33"/>
      <c r="G216" s="34"/>
      <c r="H216" s="34"/>
      <c r="I216" s="34"/>
      <c r="J216" s="13"/>
    </row>
    <row r="217" spans="2:10" ht="15.75" customHeight="1">
      <c r="B217" s="29"/>
      <c r="C217" s="32"/>
      <c r="D217" s="31"/>
      <c r="E217" s="32"/>
      <c r="F217" s="33"/>
      <c r="G217" s="34"/>
      <c r="H217" s="34"/>
      <c r="I217" s="34"/>
      <c r="J217" s="13"/>
    </row>
    <row r="218" spans="2:10" ht="15.75" customHeight="1">
      <c r="B218" s="29"/>
      <c r="C218" s="32"/>
      <c r="D218" s="31"/>
      <c r="E218" s="32"/>
      <c r="F218" s="33"/>
      <c r="G218" s="34"/>
      <c r="H218" s="34"/>
      <c r="I218" s="34"/>
      <c r="J218" s="13"/>
    </row>
    <row r="219" spans="2:10" ht="15.75" customHeight="1">
      <c r="B219" s="29"/>
      <c r="C219" s="32"/>
      <c r="D219" s="31"/>
      <c r="E219" s="32"/>
      <c r="F219" s="33"/>
      <c r="G219" s="34"/>
      <c r="H219" s="34"/>
      <c r="I219" s="34"/>
      <c r="J219" s="13"/>
    </row>
    <row r="220" spans="2:10" ht="15.75" customHeight="1">
      <c r="B220" s="29"/>
      <c r="C220" s="32"/>
      <c r="D220" s="31"/>
      <c r="E220" s="32"/>
      <c r="F220" s="33"/>
      <c r="G220" s="34"/>
      <c r="H220" s="34"/>
      <c r="I220" s="34"/>
      <c r="J220" s="13"/>
    </row>
    <row r="221" spans="2:10" ht="15.75" customHeight="1">
      <c r="B221" s="29"/>
      <c r="C221" s="32"/>
      <c r="D221" s="31"/>
      <c r="E221" s="32"/>
      <c r="F221" s="33"/>
      <c r="G221" s="34"/>
      <c r="H221" s="34"/>
      <c r="I221" s="34"/>
      <c r="J221" s="13"/>
    </row>
    <row r="222" spans="2:10" ht="15.75" customHeight="1">
      <c r="B222" s="29"/>
      <c r="C222" s="32"/>
      <c r="D222" s="31"/>
      <c r="E222" s="32"/>
      <c r="F222" s="33"/>
      <c r="G222" s="34"/>
      <c r="H222" s="34"/>
      <c r="I222" s="34"/>
      <c r="J222" s="13"/>
    </row>
    <row r="223" spans="2:10" ht="15.75" customHeight="1">
      <c r="B223" s="29"/>
      <c r="C223" s="32"/>
      <c r="D223" s="31"/>
      <c r="E223" s="32"/>
      <c r="F223" s="33"/>
      <c r="G223" s="34"/>
      <c r="H223" s="34"/>
      <c r="I223" s="34"/>
      <c r="J223" s="13"/>
    </row>
    <row r="224" spans="2:10" ht="15.75" customHeight="1">
      <c r="B224" s="29"/>
      <c r="C224" s="32"/>
      <c r="D224" s="31"/>
      <c r="E224" s="32"/>
      <c r="F224" s="33"/>
      <c r="G224" s="34"/>
      <c r="H224" s="34"/>
      <c r="I224" s="34"/>
      <c r="J224" s="13"/>
    </row>
    <row r="225" spans="2:10" ht="15.75" customHeight="1">
      <c r="B225" s="29"/>
      <c r="C225" s="32"/>
      <c r="D225" s="31"/>
      <c r="E225" s="32"/>
      <c r="F225" s="33"/>
      <c r="G225" s="34"/>
      <c r="H225" s="34"/>
      <c r="I225" s="34"/>
      <c r="J225" s="13"/>
    </row>
    <row r="226" spans="2:10" ht="15.75" customHeight="1">
      <c r="B226" s="29"/>
      <c r="C226" s="32"/>
      <c r="D226" s="31"/>
      <c r="E226" s="32"/>
      <c r="F226" s="33"/>
      <c r="G226" s="34"/>
      <c r="H226" s="34"/>
      <c r="I226" s="34"/>
      <c r="J226" s="13"/>
    </row>
    <row r="227" spans="2:10" ht="15.75" customHeight="1">
      <c r="B227" s="29"/>
      <c r="C227" s="32"/>
      <c r="D227" s="31"/>
      <c r="E227" s="32"/>
      <c r="F227" s="33"/>
      <c r="G227" s="34"/>
      <c r="H227" s="34"/>
      <c r="I227" s="34"/>
      <c r="J227" s="13"/>
    </row>
    <row r="228" spans="2:10" ht="15.75" customHeight="1">
      <c r="B228" s="29"/>
      <c r="C228" s="32"/>
      <c r="D228" s="31"/>
      <c r="E228" s="32"/>
      <c r="F228" s="33"/>
      <c r="G228" s="34"/>
      <c r="H228" s="34"/>
      <c r="I228" s="34"/>
      <c r="J228" s="13"/>
    </row>
    <row r="229" spans="2:10" ht="15.75" customHeight="1">
      <c r="B229" s="29"/>
      <c r="C229" s="32"/>
      <c r="D229" s="31"/>
      <c r="E229" s="32"/>
      <c r="F229" s="33"/>
      <c r="G229" s="34"/>
      <c r="H229" s="34"/>
      <c r="I229" s="34"/>
      <c r="J229" s="13"/>
    </row>
    <row r="230" spans="2:10" ht="15.75" customHeight="1">
      <c r="B230" s="29"/>
      <c r="C230" s="32"/>
      <c r="D230" s="31"/>
      <c r="E230" s="32"/>
      <c r="F230" s="33"/>
      <c r="G230" s="34"/>
      <c r="H230" s="34"/>
      <c r="I230" s="34"/>
      <c r="J230" s="13"/>
    </row>
    <row r="231" spans="2:10" ht="15.75" customHeight="1">
      <c r="B231" s="29"/>
      <c r="C231" s="32"/>
      <c r="D231" s="31"/>
      <c r="E231" s="32"/>
      <c r="F231" s="33"/>
      <c r="G231" s="34"/>
      <c r="H231" s="34"/>
      <c r="I231" s="34"/>
      <c r="J231" s="13"/>
    </row>
    <row r="232" spans="2:10" ht="15.75" customHeight="1">
      <c r="B232" s="29"/>
      <c r="C232" s="32"/>
      <c r="D232" s="31"/>
      <c r="E232" s="32"/>
      <c r="F232" s="33"/>
      <c r="G232" s="34"/>
      <c r="H232" s="34"/>
      <c r="I232" s="34"/>
      <c r="J232" s="13"/>
    </row>
    <row r="233" spans="2:10" ht="15.75" customHeight="1">
      <c r="B233" s="29"/>
      <c r="C233" s="32"/>
      <c r="D233" s="31"/>
      <c r="E233" s="32"/>
      <c r="F233" s="33"/>
      <c r="G233" s="34"/>
      <c r="H233" s="34"/>
      <c r="I233" s="34"/>
      <c r="J233" s="13"/>
    </row>
    <row r="234" spans="2:10" ht="15.75" customHeight="1">
      <c r="B234" s="29"/>
      <c r="C234" s="32"/>
      <c r="D234" s="31"/>
      <c r="E234" s="32"/>
      <c r="F234" s="33"/>
      <c r="G234" s="34"/>
      <c r="H234" s="34"/>
      <c r="I234" s="34"/>
      <c r="J234" s="13"/>
    </row>
    <row r="235" spans="2:10" ht="15.75" customHeight="1">
      <c r="B235" s="29"/>
      <c r="C235" s="32"/>
      <c r="D235" s="31"/>
      <c r="E235" s="32"/>
      <c r="F235" s="33"/>
      <c r="G235" s="34"/>
      <c r="H235" s="34"/>
      <c r="I235" s="34"/>
      <c r="J235" s="13"/>
    </row>
    <row r="236" spans="2:10" ht="15.75" customHeight="1">
      <c r="B236" s="29"/>
      <c r="C236" s="32"/>
      <c r="D236" s="31"/>
      <c r="E236" s="32"/>
      <c r="F236" s="33"/>
      <c r="G236" s="34"/>
      <c r="H236" s="34"/>
      <c r="I236" s="34"/>
      <c r="J236" s="13"/>
    </row>
    <row r="237" spans="2:10" ht="15.75" customHeight="1">
      <c r="B237" s="29"/>
      <c r="C237" s="32"/>
      <c r="D237" s="31"/>
      <c r="E237" s="32"/>
      <c r="F237" s="33"/>
      <c r="G237" s="34"/>
      <c r="H237" s="34"/>
      <c r="I237" s="34"/>
      <c r="J237" s="13"/>
    </row>
    <row r="238" spans="2:10" ht="15.75" customHeight="1">
      <c r="B238" s="29"/>
      <c r="C238" s="32"/>
      <c r="D238" s="31"/>
      <c r="E238" s="32"/>
      <c r="F238" s="33"/>
      <c r="G238" s="34"/>
      <c r="H238" s="34"/>
      <c r="I238" s="34"/>
      <c r="J238" s="13"/>
    </row>
    <row r="239" spans="2:10" ht="15.75" customHeight="1">
      <c r="B239" s="29"/>
      <c r="C239" s="32"/>
      <c r="D239" s="31"/>
      <c r="E239" s="32"/>
      <c r="F239" s="33"/>
      <c r="G239" s="34"/>
      <c r="H239" s="34"/>
      <c r="I239" s="34"/>
      <c r="J239" s="13"/>
    </row>
    <row r="240" spans="2:10" ht="15.75" customHeight="1">
      <c r="B240" s="29"/>
      <c r="C240" s="32"/>
      <c r="D240" s="31"/>
      <c r="E240" s="32"/>
      <c r="F240" s="33"/>
      <c r="G240" s="34"/>
      <c r="H240" s="34"/>
      <c r="I240" s="34"/>
      <c r="J240" s="13"/>
    </row>
    <row r="241" spans="2:10" ht="15.75" customHeight="1">
      <c r="B241" s="29"/>
      <c r="C241" s="32"/>
      <c r="D241" s="31"/>
      <c r="E241" s="32"/>
      <c r="F241" s="33"/>
      <c r="G241" s="34"/>
      <c r="H241" s="34"/>
      <c r="I241" s="34"/>
      <c r="J241" s="13"/>
    </row>
    <row r="242" spans="2:10" ht="15.75" customHeight="1">
      <c r="B242" s="29"/>
      <c r="C242" s="32"/>
      <c r="D242" s="31"/>
      <c r="E242" s="32"/>
      <c r="F242" s="33"/>
      <c r="G242" s="34"/>
      <c r="H242" s="34"/>
      <c r="I242" s="34"/>
      <c r="J242" s="13"/>
    </row>
    <row r="243" spans="2:10" ht="15.75" customHeight="1">
      <c r="B243" s="29"/>
      <c r="C243" s="32"/>
      <c r="D243" s="31"/>
      <c r="E243" s="32"/>
      <c r="F243" s="33"/>
      <c r="G243" s="34"/>
      <c r="H243" s="34"/>
      <c r="I243" s="34"/>
      <c r="J243" s="13"/>
    </row>
    <row r="244" spans="2:10" ht="15.75" customHeight="1">
      <c r="B244" s="29"/>
      <c r="C244" s="32"/>
      <c r="D244" s="31"/>
      <c r="E244" s="32"/>
      <c r="F244" s="33"/>
      <c r="G244" s="34"/>
      <c r="H244" s="34"/>
      <c r="I244" s="34"/>
      <c r="J244" s="13"/>
    </row>
    <row r="245" spans="2:10" ht="15.75" customHeight="1">
      <c r="B245" s="29"/>
      <c r="C245" s="32"/>
      <c r="D245" s="31"/>
      <c r="E245" s="32"/>
      <c r="F245" s="33"/>
      <c r="G245" s="34"/>
      <c r="H245" s="34"/>
      <c r="I245" s="34"/>
      <c r="J245" s="13"/>
    </row>
    <row r="246" spans="2:10" ht="15.75" customHeight="1">
      <c r="B246" s="29"/>
      <c r="C246" s="32"/>
      <c r="D246" s="31"/>
      <c r="E246" s="32"/>
      <c r="F246" s="33"/>
      <c r="G246" s="34"/>
      <c r="H246" s="34"/>
      <c r="I246" s="34"/>
      <c r="J246" s="13"/>
    </row>
    <row r="247" spans="2:10" ht="15.75" customHeight="1">
      <c r="B247" s="29"/>
      <c r="C247" s="32"/>
      <c r="D247" s="31"/>
      <c r="E247" s="32"/>
      <c r="F247" s="33"/>
      <c r="G247" s="34"/>
      <c r="H247" s="34"/>
      <c r="I247" s="34"/>
      <c r="J247" s="13"/>
    </row>
    <row r="248" spans="2:10" ht="15.75" customHeight="1">
      <c r="B248" s="29"/>
      <c r="C248" s="32"/>
      <c r="D248" s="31"/>
      <c r="E248" s="32"/>
      <c r="F248" s="33"/>
      <c r="G248" s="34"/>
      <c r="H248" s="34"/>
      <c r="I248" s="34"/>
      <c r="J248" s="13"/>
    </row>
    <row r="249" spans="2:10" ht="15.75" customHeight="1">
      <c r="B249" s="29"/>
      <c r="C249" s="32"/>
      <c r="D249" s="31"/>
      <c r="E249" s="32"/>
      <c r="F249" s="33"/>
      <c r="G249" s="34"/>
      <c r="H249" s="34"/>
      <c r="I249" s="34"/>
      <c r="J249" s="13"/>
    </row>
    <row r="250" spans="2:10" ht="15.75" customHeight="1">
      <c r="B250" s="29"/>
      <c r="C250" s="32"/>
      <c r="D250" s="31"/>
      <c r="E250" s="32"/>
      <c r="F250" s="33"/>
      <c r="G250" s="34"/>
      <c r="H250" s="34"/>
      <c r="I250" s="34"/>
      <c r="J250" s="13"/>
    </row>
    <row r="251" spans="2:10" ht="15.75" customHeight="1">
      <c r="B251" s="29"/>
      <c r="C251" s="32"/>
      <c r="D251" s="31"/>
      <c r="E251" s="32"/>
      <c r="F251" s="33"/>
      <c r="G251" s="34"/>
      <c r="H251" s="34"/>
      <c r="I251" s="34"/>
      <c r="J251" s="13"/>
    </row>
    <row r="252" spans="2:10" ht="15.75" customHeight="1">
      <c r="B252" s="29"/>
      <c r="C252" s="32"/>
      <c r="D252" s="31"/>
      <c r="E252" s="32"/>
      <c r="F252" s="33"/>
      <c r="G252" s="34"/>
      <c r="H252" s="34"/>
      <c r="I252" s="34"/>
      <c r="J252" s="13"/>
    </row>
    <row r="253" spans="2:10" ht="15.75" customHeight="1">
      <c r="B253" s="29"/>
      <c r="C253" s="32"/>
      <c r="D253" s="31"/>
      <c r="E253" s="32"/>
      <c r="F253" s="33"/>
      <c r="G253" s="34"/>
      <c r="H253" s="34"/>
      <c r="I253" s="34"/>
      <c r="J253" s="13"/>
    </row>
    <row r="254" spans="2:10" ht="15.75" customHeight="1">
      <c r="B254" s="29"/>
      <c r="C254" s="32"/>
      <c r="D254" s="31"/>
      <c r="E254" s="32"/>
      <c r="F254" s="33"/>
      <c r="G254" s="34"/>
      <c r="H254" s="34"/>
      <c r="I254" s="34"/>
      <c r="J254" s="13"/>
    </row>
    <row r="255" spans="2:10" ht="15.75" customHeight="1">
      <c r="B255" s="29"/>
      <c r="C255" s="32"/>
      <c r="D255" s="31"/>
      <c r="E255" s="32"/>
      <c r="F255" s="33"/>
      <c r="G255" s="34"/>
      <c r="H255" s="34"/>
      <c r="I255" s="34"/>
      <c r="J255" s="13"/>
    </row>
    <row r="256" spans="2:10" ht="15.75" customHeight="1">
      <c r="B256" s="29"/>
      <c r="C256" s="32"/>
      <c r="D256" s="31"/>
      <c r="E256" s="32"/>
      <c r="F256" s="33"/>
      <c r="G256" s="34"/>
      <c r="H256" s="34"/>
      <c r="I256" s="34"/>
      <c r="J256" s="13"/>
    </row>
    <row r="257" spans="2:10" ht="15.75" customHeight="1">
      <c r="B257" s="29"/>
      <c r="C257" s="32"/>
      <c r="D257" s="31"/>
      <c r="E257" s="32"/>
      <c r="F257" s="33"/>
      <c r="G257" s="34"/>
      <c r="H257" s="34"/>
      <c r="I257" s="34"/>
      <c r="J257" s="13"/>
    </row>
    <row r="258" spans="2:10" ht="15.75" customHeight="1">
      <c r="B258" s="29"/>
      <c r="C258" s="32"/>
      <c r="D258" s="31"/>
      <c r="E258" s="32"/>
      <c r="F258" s="33"/>
      <c r="G258" s="34"/>
      <c r="H258" s="34"/>
      <c r="I258" s="34"/>
      <c r="J258" s="13"/>
    </row>
    <row r="259" spans="2:10" ht="15.75" customHeight="1">
      <c r="B259" s="29"/>
      <c r="C259" s="32"/>
      <c r="D259" s="31"/>
      <c r="E259" s="32"/>
      <c r="F259" s="33"/>
      <c r="G259" s="34"/>
      <c r="H259" s="34"/>
      <c r="I259" s="34"/>
      <c r="J259" s="13"/>
    </row>
    <row r="260" spans="2:10" ht="15.75" customHeight="1">
      <c r="B260" s="29"/>
      <c r="C260" s="32"/>
      <c r="D260" s="31"/>
      <c r="E260" s="32"/>
      <c r="F260" s="33"/>
      <c r="G260" s="34"/>
      <c r="H260" s="34"/>
      <c r="I260" s="34"/>
      <c r="J260" s="13"/>
    </row>
    <row r="261" spans="2:10" ht="15.75" customHeight="1">
      <c r="B261" s="29"/>
      <c r="C261" s="32"/>
      <c r="D261" s="31"/>
      <c r="E261" s="32"/>
      <c r="F261" s="33"/>
      <c r="G261" s="34"/>
      <c r="H261" s="34"/>
      <c r="I261" s="34"/>
      <c r="J261" s="13"/>
    </row>
    <row r="262" spans="2:10" ht="15.75" customHeight="1">
      <c r="B262" s="29"/>
      <c r="C262" s="32"/>
      <c r="D262" s="31"/>
      <c r="E262" s="32"/>
      <c r="F262" s="33"/>
      <c r="G262" s="34"/>
      <c r="H262" s="34"/>
      <c r="I262" s="34"/>
      <c r="J262" s="13"/>
    </row>
    <row r="263" spans="2:10" ht="15.75" customHeight="1">
      <c r="B263" s="29"/>
      <c r="C263" s="32"/>
      <c r="D263" s="31"/>
      <c r="E263" s="32"/>
      <c r="F263" s="33"/>
      <c r="G263" s="34"/>
      <c r="H263" s="34"/>
      <c r="I263" s="34"/>
      <c r="J263" s="13"/>
    </row>
    <row r="264" spans="2:10" ht="15.75" customHeight="1">
      <c r="B264" s="29"/>
      <c r="C264" s="32"/>
      <c r="D264" s="31"/>
      <c r="E264" s="32"/>
      <c r="F264" s="33"/>
      <c r="G264" s="34"/>
      <c r="H264" s="34"/>
      <c r="I264" s="34"/>
      <c r="J264" s="13"/>
    </row>
    <row r="265" spans="2:10" ht="15.75" customHeight="1">
      <c r="B265" s="29"/>
      <c r="C265" s="32"/>
      <c r="D265" s="31"/>
      <c r="E265" s="32"/>
      <c r="F265" s="33"/>
      <c r="G265" s="34"/>
      <c r="H265" s="34"/>
      <c r="I265" s="34"/>
      <c r="J265" s="13"/>
    </row>
    <row r="266" spans="2:10" ht="15.75" customHeight="1">
      <c r="B266" s="29"/>
      <c r="C266" s="32"/>
      <c r="D266" s="31"/>
      <c r="E266" s="32"/>
      <c r="F266" s="33"/>
      <c r="G266" s="34"/>
      <c r="H266" s="34"/>
      <c r="I266" s="34"/>
      <c r="J266" s="13"/>
    </row>
    <row r="267" spans="2:10" ht="15.75" customHeight="1">
      <c r="B267" s="29"/>
      <c r="C267" s="32"/>
      <c r="D267" s="31"/>
      <c r="E267" s="32"/>
      <c r="F267" s="33"/>
      <c r="G267" s="34"/>
      <c r="H267" s="34"/>
      <c r="I267" s="34"/>
      <c r="J267" s="13"/>
    </row>
    <row r="268" spans="2:10" ht="15.75" customHeight="1">
      <c r="B268" s="29"/>
      <c r="C268" s="32"/>
      <c r="D268" s="31"/>
      <c r="E268" s="32"/>
      <c r="F268" s="33"/>
      <c r="G268" s="34"/>
      <c r="H268" s="34"/>
      <c r="I268" s="34"/>
      <c r="J268" s="13"/>
    </row>
    <row r="269" spans="2:10" ht="15.75" customHeight="1">
      <c r="B269" s="29"/>
      <c r="C269" s="32"/>
      <c r="D269" s="31"/>
      <c r="E269" s="32"/>
      <c r="F269" s="33"/>
      <c r="G269" s="34"/>
      <c r="H269" s="34"/>
      <c r="I269" s="34"/>
      <c r="J269" s="13"/>
    </row>
    <row r="270" spans="2:10" ht="15.75" customHeight="1">
      <c r="B270" s="29"/>
      <c r="C270" s="32"/>
      <c r="D270" s="31"/>
      <c r="E270" s="32"/>
      <c r="F270" s="33"/>
      <c r="G270" s="34"/>
      <c r="H270" s="34"/>
      <c r="I270" s="34"/>
      <c r="J270" s="13"/>
    </row>
    <row r="271" spans="2:10" ht="15.75" customHeight="1">
      <c r="B271" s="29"/>
      <c r="C271" s="32"/>
      <c r="D271" s="31"/>
      <c r="E271" s="32"/>
      <c r="F271" s="33"/>
      <c r="G271" s="34"/>
      <c r="H271" s="34"/>
      <c r="I271" s="34"/>
      <c r="J271" s="13"/>
    </row>
    <row r="272" spans="2:10" ht="15.75" customHeight="1">
      <c r="B272" s="29"/>
      <c r="C272" s="32"/>
      <c r="D272" s="31"/>
      <c r="E272" s="32"/>
      <c r="F272" s="33"/>
      <c r="G272" s="34"/>
      <c r="H272" s="34"/>
      <c r="I272" s="34"/>
      <c r="J272" s="13"/>
    </row>
    <row r="273" spans="2:10" ht="15.75" customHeight="1">
      <c r="B273" s="29"/>
      <c r="C273" s="32"/>
      <c r="D273" s="31"/>
      <c r="E273" s="32"/>
      <c r="F273" s="33"/>
      <c r="G273" s="34"/>
      <c r="H273" s="34"/>
      <c r="I273" s="34"/>
      <c r="J273" s="13"/>
    </row>
    <row r="274" spans="2:10" ht="15.75" customHeight="1">
      <c r="B274" s="29"/>
      <c r="C274" s="32"/>
      <c r="D274" s="31"/>
      <c r="E274" s="32"/>
      <c r="F274" s="33"/>
      <c r="G274" s="34"/>
      <c r="H274" s="34"/>
      <c r="I274" s="34"/>
      <c r="J274" s="13"/>
    </row>
    <row r="275" spans="2:10" ht="15.75" customHeight="1">
      <c r="B275" s="29"/>
      <c r="C275" s="32"/>
      <c r="D275" s="31"/>
      <c r="E275" s="32"/>
      <c r="F275" s="33"/>
      <c r="G275" s="34"/>
      <c r="H275" s="34"/>
      <c r="I275" s="34"/>
      <c r="J275" s="13"/>
    </row>
    <row r="276" spans="2:10" ht="15.75" customHeight="1">
      <c r="B276" s="29"/>
      <c r="C276" s="32"/>
      <c r="D276" s="31"/>
      <c r="E276" s="32"/>
      <c r="F276" s="33"/>
      <c r="G276" s="34"/>
      <c r="H276" s="34"/>
      <c r="I276" s="34"/>
      <c r="J276" s="13"/>
    </row>
    <row r="277" spans="2:10" ht="15.75" customHeight="1">
      <c r="B277" s="29"/>
      <c r="C277" s="32"/>
      <c r="D277" s="31"/>
      <c r="E277" s="32"/>
      <c r="F277" s="33"/>
      <c r="G277" s="34"/>
      <c r="H277" s="34"/>
      <c r="I277" s="34"/>
      <c r="J277" s="13"/>
    </row>
    <row r="278" spans="2:10" ht="15.75" customHeight="1">
      <c r="B278" s="29"/>
      <c r="C278" s="32"/>
      <c r="D278" s="31"/>
      <c r="E278" s="32"/>
      <c r="F278" s="33"/>
      <c r="G278" s="34"/>
      <c r="H278" s="34"/>
      <c r="I278" s="34"/>
      <c r="J278" s="13"/>
    </row>
    <row r="279" spans="2:10" ht="15.75" customHeight="1">
      <c r="B279" s="29"/>
      <c r="C279" s="32"/>
      <c r="D279" s="31"/>
      <c r="E279" s="32"/>
      <c r="F279" s="33"/>
      <c r="G279" s="34"/>
      <c r="H279" s="34"/>
      <c r="I279" s="34"/>
      <c r="J279" s="13"/>
    </row>
    <row r="280" spans="2:10" ht="15.75" customHeight="1">
      <c r="B280" s="29"/>
      <c r="C280" s="32"/>
      <c r="D280" s="31"/>
      <c r="E280" s="32"/>
      <c r="F280" s="33"/>
      <c r="G280" s="34"/>
      <c r="H280" s="34"/>
      <c r="I280" s="34"/>
      <c r="J280" s="13"/>
    </row>
    <row r="281" spans="2:10" ht="15.75" customHeight="1">
      <c r="B281" s="29"/>
      <c r="C281" s="32"/>
      <c r="D281" s="31"/>
      <c r="E281" s="32"/>
      <c r="F281" s="33"/>
      <c r="G281" s="34"/>
      <c r="H281" s="34"/>
      <c r="I281" s="34"/>
      <c r="J281" s="13"/>
    </row>
    <row r="282" spans="2:10" ht="15.75" customHeight="1">
      <c r="B282" s="29"/>
      <c r="C282" s="32"/>
      <c r="D282" s="31"/>
      <c r="E282" s="32"/>
      <c r="F282" s="33"/>
      <c r="G282" s="34"/>
      <c r="H282" s="34"/>
      <c r="I282" s="34"/>
      <c r="J282" s="13"/>
    </row>
    <row r="283" spans="2:10" ht="15.75" customHeight="1">
      <c r="B283" s="29"/>
      <c r="C283" s="32"/>
      <c r="D283" s="31"/>
      <c r="E283" s="32"/>
      <c r="F283" s="33"/>
      <c r="G283" s="34"/>
      <c r="H283" s="34"/>
      <c r="I283" s="34"/>
      <c r="J283" s="13"/>
    </row>
    <row r="284" spans="2:10" ht="15.75" customHeight="1">
      <c r="B284" s="29"/>
      <c r="C284" s="32"/>
      <c r="D284" s="31"/>
      <c r="E284" s="32"/>
      <c r="F284" s="33"/>
      <c r="G284" s="34"/>
      <c r="H284" s="34"/>
      <c r="I284" s="34"/>
      <c r="J284" s="13"/>
    </row>
    <row r="285" spans="2:10" ht="15.75" customHeight="1">
      <c r="B285" s="29"/>
      <c r="C285" s="32"/>
      <c r="D285" s="31"/>
      <c r="E285" s="32"/>
      <c r="F285" s="33"/>
      <c r="G285" s="34"/>
      <c r="H285" s="34"/>
      <c r="I285" s="34"/>
      <c r="J285" s="13"/>
    </row>
    <row r="286" spans="2:10" ht="15.75" customHeight="1">
      <c r="B286" s="29"/>
      <c r="C286" s="32"/>
      <c r="D286" s="31"/>
      <c r="E286" s="32"/>
      <c r="F286" s="33"/>
      <c r="G286" s="34"/>
      <c r="H286" s="34"/>
      <c r="I286" s="34"/>
      <c r="J286" s="13"/>
    </row>
    <row r="287" spans="2:10" ht="15.75" customHeight="1">
      <c r="B287" s="29"/>
      <c r="C287" s="32"/>
      <c r="D287" s="31"/>
      <c r="E287" s="32"/>
      <c r="F287" s="33"/>
      <c r="G287" s="34"/>
      <c r="H287" s="34"/>
      <c r="I287" s="34"/>
      <c r="J287" s="13"/>
    </row>
    <row r="288" spans="2:10" ht="15.75" customHeight="1">
      <c r="B288" s="29"/>
      <c r="C288" s="32"/>
      <c r="D288" s="31"/>
      <c r="E288" s="32"/>
      <c r="F288" s="33"/>
      <c r="G288" s="34"/>
      <c r="H288" s="34"/>
      <c r="I288" s="34"/>
      <c r="J288" s="13"/>
    </row>
    <row r="289" spans="2:10" ht="15.75" customHeight="1">
      <c r="B289" s="29"/>
      <c r="C289" s="32"/>
      <c r="D289" s="31"/>
      <c r="E289" s="32"/>
      <c r="F289" s="33"/>
      <c r="G289" s="34"/>
      <c r="H289" s="34"/>
      <c r="I289" s="34"/>
      <c r="J289" s="13"/>
    </row>
    <row r="290" spans="2:10" ht="15.75" customHeight="1">
      <c r="B290" s="29"/>
      <c r="C290" s="32"/>
      <c r="D290" s="31"/>
      <c r="E290" s="32"/>
      <c r="F290" s="33"/>
      <c r="G290" s="34"/>
      <c r="H290" s="34"/>
      <c r="I290" s="34"/>
      <c r="J290" s="13"/>
    </row>
    <row r="291" spans="2:10" ht="15.75" customHeight="1">
      <c r="B291" s="29"/>
      <c r="C291" s="32"/>
      <c r="D291" s="31"/>
      <c r="E291" s="32"/>
      <c r="F291" s="33"/>
      <c r="G291" s="34"/>
      <c r="H291" s="34"/>
      <c r="I291" s="34"/>
      <c r="J291" s="13"/>
    </row>
    <row r="292" spans="2:10" ht="15.75" customHeight="1">
      <c r="B292" s="29"/>
      <c r="C292" s="32"/>
      <c r="D292" s="31"/>
      <c r="E292" s="32"/>
      <c r="F292" s="33"/>
      <c r="G292" s="34"/>
      <c r="H292" s="34"/>
      <c r="I292" s="34"/>
      <c r="J292" s="13"/>
    </row>
    <row r="293" spans="2:10" ht="15.75" customHeight="1">
      <c r="B293" s="29"/>
      <c r="C293" s="32"/>
      <c r="D293" s="31"/>
      <c r="E293" s="32"/>
      <c r="F293" s="33"/>
      <c r="G293" s="34"/>
      <c r="H293" s="34"/>
      <c r="I293" s="34"/>
      <c r="J293" s="13"/>
    </row>
    <row r="294" spans="2:10" ht="15.75" customHeight="1">
      <c r="B294" s="29"/>
      <c r="C294" s="32"/>
      <c r="D294" s="31"/>
      <c r="E294" s="32"/>
      <c r="F294" s="33"/>
      <c r="G294" s="34"/>
      <c r="H294" s="34"/>
      <c r="I294" s="34"/>
      <c r="J294" s="13"/>
    </row>
    <row r="295" spans="2:10" ht="15.75" customHeight="1">
      <c r="B295" s="29"/>
      <c r="C295" s="32"/>
      <c r="D295" s="31"/>
      <c r="E295" s="32"/>
      <c r="F295" s="33"/>
      <c r="G295" s="34"/>
      <c r="H295" s="34"/>
      <c r="I295" s="34"/>
      <c r="J295" s="13"/>
    </row>
    <row r="296" spans="2:10" ht="15.75" customHeight="1">
      <c r="B296" s="29"/>
      <c r="C296" s="32"/>
      <c r="D296" s="31"/>
      <c r="E296" s="32"/>
      <c r="F296" s="33"/>
      <c r="G296" s="34"/>
      <c r="H296" s="34"/>
      <c r="I296" s="34"/>
      <c r="J296" s="13"/>
    </row>
    <row r="297" spans="2:10" ht="15.75" customHeight="1">
      <c r="B297" s="29"/>
      <c r="C297" s="32"/>
      <c r="D297" s="31"/>
      <c r="E297" s="32"/>
      <c r="F297" s="33"/>
      <c r="G297" s="34"/>
      <c r="H297" s="34"/>
      <c r="I297" s="34"/>
      <c r="J297" s="13"/>
    </row>
    <row r="298" spans="2:10" ht="15.75" customHeight="1">
      <c r="B298" s="29"/>
      <c r="C298" s="32"/>
      <c r="D298" s="31"/>
      <c r="E298" s="32"/>
      <c r="F298" s="33"/>
      <c r="G298" s="34"/>
      <c r="H298" s="34"/>
      <c r="I298" s="34"/>
      <c r="J298" s="13"/>
    </row>
    <row r="299" spans="2:10" ht="15.75" customHeight="1">
      <c r="B299" s="29"/>
      <c r="C299" s="32"/>
      <c r="D299" s="31"/>
      <c r="E299" s="32"/>
      <c r="F299" s="33"/>
      <c r="G299" s="34"/>
      <c r="H299" s="34"/>
      <c r="I299" s="34"/>
      <c r="J299" s="13"/>
    </row>
    <row r="300" spans="2:10" ht="15.75" customHeight="1">
      <c r="B300" s="29"/>
      <c r="C300" s="32"/>
      <c r="D300" s="31"/>
      <c r="E300" s="32"/>
      <c r="F300" s="33"/>
      <c r="G300" s="34"/>
      <c r="H300" s="34"/>
      <c r="I300" s="34"/>
      <c r="J300" s="13"/>
    </row>
    <row r="301" spans="2:10" ht="15.75" customHeight="1">
      <c r="B301" s="29"/>
      <c r="C301" s="32"/>
      <c r="D301" s="31"/>
      <c r="E301" s="32"/>
      <c r="F301" s="33"/>
      <c r="G301" s="34"/>
      <c r="H301" s="34"/>
      <c r="I301" s="34"/>
      <c r="J301" s="13"/>
    </row>
    <row r="302" spans="2:10" ht="15.75" customHeight="1">
      <c r="B302" s="29"/>
      <c r="C302" s="32"/>
      <c r="D302" s="31"/>
      <c r="E302" s="32"/>
      <c r="F302" s="33"/>
      <c r="G302" s="34"/>
      <c r="H302" s="34"/>
      <c r="I302" s="34"/>
      <c r="J302" s="13"/>
    </row>
    <row r="303" spans="2:10" ht="15.75" customHeight="1">
      <c r="B303" s="29"/>
      <c r="C303" s="32"/>
      <c r="D303" s="31"/>
      <c r="E303" s="32"/>
      <c r="F303" s="33"/>
      <c r="G303" s="34"/>
      <c r="H303" s="34"/>
      <c r="I303" s="34"/>
      <c r="J303" s="13"/>
    </row>
    <row r="304" spans="2:10" ht="15.75" customHeight="1">
      <c r="B304" s="29"/>
      <c r="C304" s="32"/>
      <c r="D304" s="31"/>
      <c r="E304" s="32"/>
      <c r="F304" s="33"/>
      <c r="G304" s="34"/>
      <c r="H304" s="34"/>
      <c r="I304" s="34"/>
      <c r="J304" s="13"/>
    </row>
    <row r="305" spans="2:10" ht="15.75" customHeight="1">
      <c r="B305" s="29"/>
      <c r="C305" s="32"/>
      <c r="D305" s="31"/>
      <c r="E305" s="32"/>
      <c r="F305" s="33"/>
      <c r="G305" s="34"/>
      <c r="H305" s="34"/>
      <c r="I305" s="34"/>
      <c r="J305" s="13"/>
    </row>
    <row r="306" spans="2:10" ht="15.75" customHeight="1">
      <c r="B306" s="29"/>
      <c r="C306" s="32"/>
      <c r="D306" s="31"/>
      <c r="E306" s="32"/>
      <c r="F306" s="33"/>
      <c r="G306" s="34"/>
      <c r="H306" s="34"/>
      <c r="I306" s="34"/>
      <c r="J306" s="13"/>
    </row>
    <row r="307" spans="2:10" ht="15.75" customHeight="1">
      <c r="B307" s="29"/>
      <c r="C307" s="32"/>
      <c r="D307" s="31"/>
      <c r="E307" s="32"/>
      <c r="F307" s="33"/>
      <c r="G307" s="34"/>
      <c r="H307" s="34"/>
      <c r="I307" s="34"/>
      <c r="J307" s="13"/>
    </row>
    <row r="308" spans="2:10" ht="15.75" customHeight="1">
      <c r="B308" s="29"/>
      <c r="C308" s="32"/>
      <c r="D308" s="31"/>
      <c r="E308" s="32"/>
      <c r="F308" s="33"/>
      <c r="G308" s="34"/>
      <c r="H308" s="34"/>
      <c r="I308" s="34"/>
      <c r="J308" s="13"/>
    </row>
    <row r="309" spans="2:10" ht="15.75" customHeight="1">
      <c r="B309" s="29"/>
      <c r="C309" s="32"/>
      <c r="D309" s="31"/>
      <c r="E309" s="32"/>
      <c r="F309" s="33"/>
      <c r="G309" s="34"/>
      <c r="H309" s="34"/>
      <c r="I309" s="34"/>
      <c r="J309" s="13"/>
    </row>
    <row r="310" spans="2:10" ht="15.75" customHeight="1">
      <c r="B310" s="29"/>
      <c r="C310" s="32"/>
      <c r="D310" s="31"/>
      <c r="E310" s="32"/>
      <c r="F310" s="33"/>
      <c r="G310" s="34"/>
      <c r="H310" s="34"/>
      <c r="I310" s="34"/>
      <c r="J310" s="13"/>
    </row>
    <row r="311" spans="2:10" ht="15.75" customHeight="1">
      <c r="B311" s="29"/>
      <c r="C311" s="32"/>
      <c r="D311" s="31"/>
      <c r="E311" s="32"/>
      <c r="F311" s="33"/>
      <c r="G311" s="34"/>
      <c r="H311" s="34"/>
      <c r="I311" s="34"/>
      <c r="J311" s="13"/>
    </row>
    <row r="312" spans="2:10" ht="15.75" customHeight="1">
      <c r="B312" s="29"/>
      <c r="C312" s="32"/>
      <c r="D312" s="31"/>
      <c r="E312" s="32"/>
      <c r="F312" s="33"/>
      <c r="G312" s="34"/>
      <c r="H312" s="34"/>
      <c r="I312" s="34"/>
      <c r="J312" s="13"/>
    </row>
    <row r="313" spans="2:10" ht="15.75" customHeight="1">
      <c r="B313" s="29"/>
      <c r="C313" s="32"/>
      <c r="D313" s="31"/>
      <c r="E313" s="32"/>
      <c r="F313" s="33"/>
      <c r="G313" s="34"/>
      <c r="H313" s="34"/>
      <c r="I313" s="34"/>
      <c r="J313" s="13"/>
    </row>
    <row r="314" spans="2:10" ht="15.75" customHeight="1">
      <c r="B314" s="29"/>
      <c r="C314" s="32"/>
      <c r="D314" s="31"/>
      <c r="E314" s="32"/>
      <c r="F314" s="33"/>
      <c r="G314" s="34"/>
      <c r="H314" s="34"/>
      <c r="I314" s="34"/>
      <c r="J314" s="13"/>
    </row>
    <row r="315" spans="2:10" ht="15.75" customHeight="1">
      <c r="B315" s="29"/>
      <c r="C315" s="32"/>
      <c r="D315" s="31"/>
      <c r="E315" s="32"/>
      <c r="F315" s="33"/>
      <c r="G315" s="34"/>
      <c r="H315" s="34"/>
      <c r="I315" s="34"/>
      <c r="J315" s="13"/>
    </row>
    <row r="316" spans="2:10" ht="15.75" customHeight="1">
      <c r="B316" s="29"/>
      <c r="C316" s="32"/>
      <c r="D316" s="31"/>
      <c r="E316" s="32"/>
      <c r="F316" s="33"/>
      <c r="G316" s="34"/>
      <c r="H316" s="34"/>
      <c r="I316" s="34"/>
      <c r="J316" s="13"/>
    </row>
    <row r="317" spans="2:10" ht="15.75" customHeight="1">
      <c r="B317" s="29"/>
      <c r="C317" s="32"/>
      <c r="D317" s="31"/>
      <c r="E317" s="32"/>
      <c r="F317" s="33"/>
      <c r="G317" s="34"/>
      <c r="H317" s="34"/>
      <c r="I317" s="34"/>
      <c r="J317" s="13"/>
    </row>
    <row r="318" spans="2:10" ht="15.75" customHeight="1">
      <c r="B318" s="29"/>
      <c r="C318" s="32"/>
      <c r="D318" s="31"/>
      <c r="E318" s="32"/>
      <c r="F318" s="33"/>
      <c r="G318" s="34"/>
      <c r="H318" s="34"/>
      <c r="I318" s="34"/>
      <c r="J318" s="13"/>
    </row>
    <row r="319" spans="2:10" ht="15.75" customHeight="1">
      <c r="B319" s="29"/>
      <c r="C319" s="32"/>
      <c r="D319" s="31"/>
      <c r="E319" s="32"/>
      <c r="F319" s="33"/>
      <c r="G319" s="34"/>
      <c r="H319" s="34"/>
      <c r="I319" s="34"/>
      <c r="J319" s="13"/>
    </row>
    <row r="320" spans="2:10" ht="15.75" customHeight="1">
      <c r="B320" s="29"/>
      <c r="C320" s="32"/>
      <c r="D320" s="31"/>
      <c r="E320" s="32"/>
      <c r="F320" s="33"/>
      <c r="G320" s="34"/>
      <c r="H320" s="34"/>
      <c r="I320" s="34"/>
      <c r="J320" s="13"/>
    </row>
    <row r="321" spans="2:10" ht="15.75" customHeight="1">
      <c r="B321" s="29"/>
      <c r="C321" s="32"/>
      <c r="D321" s="31"/>
      <c r="E321" s="32"/>
      <c r="F321" s="33"/>
      <c r="G321" s="34"/>
      <c r="H321" s="34"/>
      <c r="I321" s="34"/>
      <c r="J321" s="13"/>
    </row>
    <row r="322" spans="2:10" ht="15.75" customHeight="1">
      <c r="B322" s="29"/>
      <c r="C322" s="32"/>
      <c r="D322" s="31"/>
      <c r="E322" s="32"/>
      <c r="F322" s="33"/>
      <c r="G322" s="34"/>
      <c r="H322" s="34"/>
      <c r="I322" s="34"/>
      <c r="J322" s="13"/>
    </row>
    <row r="323" spans="2:10" ht="15.75" customHeight="1">
      <c r="B323" s="29"/>
      <c r="C323" s="32"/>
      <c r="D323" s="31"/>
      <c r="E323" s="32"/>
      <c r="F323" s="33"/>
      <c r="G323" s="34"/>
      <c r="H323" s="34"/>
      <c r="I323" s="34"/>
      <c r="J323" s="13"/>
    </row>
    <row r="324" spans="2:10" ht="15.75" customHeight="1">
      <c r="B324" s="29"/>
      <c r="C324" s="32"/>
      <c r="D324" s="31"/>
      <c r="E324" s="32"/>
      <c r="F324" s="33"/>
      <c r="G324" s="34"/>
      <c r="H324" s="34"/>
      <c r="I324" s="34"/>
      <c r="J324" s="13"/>
    </row>
    <row r="325" spans="2:10" ht="15.75" customHeight="1">
      <c r="B325" s="29"/>
      <c r="C325" s="32"/>
      <c r="D325" s="31"/>
      <c r="E325" s="32"/>
      <c r="F325" s="33"/>
      <c r="G325" s="34"/>
      <c r="H325" s="34"/>
      <c r="I325" s="34"/>
      <c r="J325" s="13"/>
    </row>
    <row r="326" spans="2:10" ht="15.75" customHeight="1">
      <c r="B326" s="29"/>
      <c r="C326" s="32"/>
      <c r="D326" s="31"/>
      <c r="E326" s="32"/>
      <c r="F326" s="33"/>
      <c r="G326" s="34"/>
      <c r="H326" s="34"/>
      <c r="I326" s="34"/>
      <c r="J326" s="13"/>
    </row>
    <row r="327" spans="2:10" ht="15.75" customHeight="1">
      <c r="B327" s="29"/>
      <c r="C327" s="32"/>
      <c r="D327" s="31"/>
      <c r="E327" s="32"/>
      <c r="F327" s="33"/>
      <c r="G327" s="34"/>
      <c r="H327" s="34"/>
      <c r="I327" s="34"/>
      <c r="J327" s="13"/>
    </row>
    <row r="328" spans="2:10" ht="15.75" customHeight="1">
      <c r="B328" s="29"/>
      <c r="C328" s="32"/>
      <c r="D328" s="31"/>
      <c r="E328" s="32"/>
      <c r="F328" s="33"/>
      <c r="G328" s="34"/>
      <c r="H328" s="34"/>
      <c r="I328" s="34"/>
      <c r="J328" s="13"/>
    </row>
    <row r="329" spans="2:10" ht="15.75" customHeight="1">
      <c r="B329" s="29"/>
      <c r="C329" s="32"/>
      <c r="D329" s="31"/>
      <c r="E329" s="32"/>
      <c r="F329" s="33"/>
      <c r="G329" s="34"/>
      <c r="H329" s="34"/>
      <c r="I329" s="34"/>
      <c r="J329" s="13"/>
    </row>
    <row r="330" spans="2:10" ht="15.75" customHeight="1">
      <c r="B330" s="29"/>
      <c r="C330" s="32"/>
      <c r="D330" s="31"/>
      <c r="E330" s="32"/>
      <c r="F330" s="33"/>
      <c r="G330" s="34"/>
      <c r="H330" s="34"/>
      <c r="I330" s="34"/>
      <c r="J330" s="13"/>
    </row>
    <row r="331" spans="2:10" ht="15.75" customHeight="1">
      <c r="B331" s="29"/>
      <c r="C331" s="32"/>
      <c r="D331" s="31"/>
      <c r="E331" s="32"/>
      <c r="F331" s="33"/>
      <c r="G331" s="34"/>
      <c r="H331" s="34"/>
      <c r="I331" s="34"/>
      <c r="J331" s="13"/>
    </row>
    <row r="332" spans="2:10" ht="15.75" customHeight="1">
      <c r="B332" s="29"/>
      <c r="C332" s="32"/>
      <c r="D332" s="31"/>
      <c r="E332" s="32"/>
      <c r="F332" s="33"/>
      <c r="G332" s="34"/>
      <c r="H332" s="34"/>
      <c r="I332" s="34"/>
      <c r="J332" s="13"/>
    </row>
    <row r="333" spans="2:10" ht="15.75" customHeight="1">
      <c r="B333" s="29"/>
      <c r="C333" s="32"/>
      <c r="D333" s="31"/>
      <c r="E333" s="32"/>
      <c r="F333" s="33"/>
      <c r="G333" s="34"/>
      <c r="H333" s="34"/>
      <c r="I333" s="34"/>
      <c r="J333" s="13"/>
    </row>
    <row r="334" spans="2:10" ht="15.75" customHeight="1">
      <c r="B334" s="29"/>
      <c r="C334" s="32"/>
      <c r="D334" s="31"/>
      <c r="E334" s="32"/>
      <c r="F334" s="33"/>
      <c r="G334" s="34"/>
      <c r="H334" s="34"/>
      <c r="I334" s="34"/>
      <c r="J334" s="13"/>
    </row>
    <row r="335" spans="2:10" ht="15.75" customHeight="1">
      <c r="B335" s="29"/>
      <c r="C335" s="32"/>
      <c r="D335" s="31"/>
      <c r="E335" s="32"/>
      <c r="F335" s="33"/>
      <c r="G335" s="34"/>
      <c r="H335" s="34"/>
      <c r="I335" s="34"/>
      <c r="J335" s="13"/>
    </row>
    <row r="336" spans="2:10" ht="15.75" customHeight="1">
      <c r="B336" s="29"/>
      <c r="C336" s="32"/>
      <c r="D336" s="31"/>
      <c r="E336" s="32"/>
      <c r="F336" s="33"/>
      <c r="G336" s="34"/>
      <c r="H336" s="34"/>
      <c r="I336" s="34"/>
      <c r="J336" s="13"/>
    </row>
    <row r="337" spans="2:10" ht="15.75" customHeight="1">
      <c r="B337" s="29"/>
      <c r="C337" s="32"/>
      <c r="D337" s="31"/>
      <c r="E337" s="32"/>
      <c r="F337" s="33"/>
      <c r="G337" s="34"/>
      <c r="H337" s="34"/>
      <c r="I337" s="34"/>
      <c r="J337" s="13"/>
    </row>
    <row r="338" spans="2:10" ht="15.75" customHeight="1">
      <c r="B338" s="29"/>
      <c r="C338" s="32"/>
      <c r="D338" s="31"/>
      <c r="E338" s="32"/>
      <c r="F338" s="33"/>
      <c r="G338" s="34"/>
      <c r="H338" s="34"/>
      <c r="I338" s="34"/>
      <c r="J338" s="13"/>
    </row>
    <row r="339" spans="2:10" ht="15.75" customHeight="1">
      <c r="B339" s="29"/>
      <c r="C339" s="32"/>
      <c r="D339" s="31"/>
      <c r="E339" s="32"/>
      <c r="F339" s="33"/>
      <c r="G339" s="34"/>
      <c r="H339" s="34"/>
      <c r="I339" s="34"/>
      <c r="J339" s="13"/>
    </row>
    <row r="340" spans="2:10" ht="15.75" customHeight="1">
      <c r="B340" s="29"/>
      <c r="C340" s="32"/>
      <c r="D340" s="31"/>
      <c r="E340" s="32"/>
      <c r="F340" s="33"/>
      <c r="G340" s="34"/>
      <c r="H340" s="34"/>
      <c r="I340" s="34"/>
      <c r="J340" s="13"/>
    </row>
    <row r="341" spans="2:10" ht="15.75" customHeight="1">
      <c r="B341" s="29"/>
      <c r="C341" s="32"/>
      <c r="D341" s="31"/>
      <c r="E341" s="32"/>
      <c r="F341" s="33"/>
      <c r="G341" s="34"/>
      <c r="H341" s="34"/>
      <c r="I341" s="34"/>
      <c r="J341" s="13"/>
    </row>
    <row r="342" spans="2:10" ht="15.75" customHeight="1">
      <c r="B342" s="29"/>
      <c r="C342" s="32"/>
      <c r="D342" s="31"/>
      <c r="E342" s="32"/>
      <c r="F342" s="33"/>
      <c r="G342" s="34"/>
      <c r="H342" s="34"/>
      <c r="I342" s="34"/>
      <c r="J342" s="13"/>
    </row>
    <row r="343" spans="2:10" ht="15.75" customHeight="1">
      <c r="B343" s="29"/>
      <c r="C343" s="32"/>
      <c r="D343" s="31"/>
      <c r="E343" s="32"/>
      <c r="F343" s="33"/>
      <c r="G343" s="34"/>
      <c r="H343" s="34"/>
      <c r="I343" s="34"/>
      <c r="J343" s="13"/>
    </row>
    <row r="344" spans="2:10" ht="15.75" customHeight="1">
      <c r="B344" s="29"/>
      <c r="C344" s="32"/>
      <c r="D344" s="31"/>
      <c r="E344" s="32"/>
      <c r="F344" s="33"/>
      <c r="G344" s="34"/>
      <c r="H344" s="34"/>
      <c r="I344" s="34"/>
      <c r="J344" s="13"/>
    </row>
    <row r="345" spans="2:10" ht="15.75" customHeight="1">
      <c r="B345" s="29"/>
      <c r="C345" s="32"/>
      <c r="D345" s="31"/>
      <c r="E345" s="32"/>
      <c r="F345" s="33"/>
      <c r="G345" s="34"/>
      <c r="H345" s="34"/>
      <c r="I345" s="34"/>
      <c r="J345" s="13"/>
    </row>
    <row r="346" spans="2:10" ht="15.75" customHeight="1">
      <c r="B346" s="29"/>
      <c r="C346" s="32"/>
      <c r="D346" s="31"/>
      <c r="E346" s="32"/>
      <c r="F346" s="33"/>
      <c r="G346" s="34"/>
      <c r="H346" s="34"/>
      <c r="I346" s="34"/>
      <c r="J346" s="13"/>
    </row>
    <row r="347" spans="2:10" ht="15.75" customHeight="1">
      <c r="B347" s="29"/>
      <c r="C347" s="32"/>
      <c r="D347" s="31"/>
      <c r="E347" s="32"/>
      <c r="F347" s="33"/>
      <c r="G347" s="34"/>
      <c r="H347" s="34"/>
      <c r="I347" s="34"/>
      <c r="J347" s="13"/>
    </row>
    <row r="348" spans="2:10" ht="15.75" customHeight="1">
      <c r="B348" s="29"/>
      <c r="C348" s="32"/>
      <c r="D348" s="31"/>
      <c r="E348" s="32"/>
      <c r="F348" s="33"/>
      <c r="G348" s="34"/>
      <c r="H348" s="34"/>
      <c r="I348" s="34"/>
      <c r="J348" s="13"/>
    </row>
    <row r="349" spans="2:10" ht="15.75" customHeight="1">
      <c r="B349" s="29"/>
      <c r="C349" s="32"/>
      <c r="D349" s="31"/>
      <c r="E349" s="32"/>
      <c r="F349" s="33"/>
      <c r="G349" s="34"/>
      <c r="H349" s="34"/>
      <c r="I349" s="34"/>
      <c r="J349" s="13"/>
    </row>
    <row r="350" spans="2:10" ht="15.75" customHeight="1">
      <c r="B350" s="29"/>
      <c r="C350" s="32"/>
      <c r="D350" s="31"/>
      <c r="E350" s="32"/>
      <c r="F350" s="33"/>
      <c r="G350" s="34"/>
      <c r="H350" s="34"/>
      <c r="I350" s="34"/>
      <c r="J350" s="13"/>
    </row>
    <row r="351" spans="2:10" ht="15.75" customHeight="1">
      <c r="B351" s="29"/>
      <c r="C351" s="32"/>
      <c r="D351" s="31"/>
      <c r="E351" s="32"/>
      <c r="F351" s="33"/>
      <c r="G351" s="34"/>
      <c r="H351" s="34"/>
      <c r="I351" s="34"/>
      <c r="J351" s="13"/>
    </row>
    <row r="352" spans="2:10" ht="15.75" customHeight="1">
      <c r="B352" s="29"/>
      <c r="C352" s="32"/>
      <c r="D352" s="31"/>
      <c r="E352" s="32"/>
      <c r="F352" s="33"/>
      <c r="G352" s="34"/>
      <c r="H352" s="34"/>
      <c r="I352" s="34"/>
      <c r="J352" s="13"/>
    </row>
    <row r="353" spans="2:10" ht="15.75" customHeight="1">
      <c r="B353" s="29"/>
      <c r="C353" s="32"/>
      <c r="D353" s="31"/>
      <c r="E353" s="32"/>
      <c r="F353" s="33"/>
      <c r="G353" s="34"/>
      <c r="H353" s="34"/>
      <c r="I353" s="34"/>
      <c r="J353" s="13"/>
    </row>
    <row r="354" spans="2:10" ht="15.75" customHeight="1">
      <c r="B354" s="29"/>
      <c r="C354" s="32"/>
      <c r="D354" s="31"/>
      <c r="E354" s="32"/>
      <c r="F354" s="33"/>
      <c r="G354" s="34"/>
      <c r="H354" s="34"/>
      <c r="I354" s="34"/>
      <c r="J354" s="13"/>
    </row>
    <row r="355" spans="2:10" ht="15.75" customHeight="1">
      <c r="B355" s="29"/>
      <c r="C355" s="32"/>
      <c r="D355" s="31"/>
      <c r="E355" s="32"/>
      <c r="F355" s="33"/>
      <c r="G355" s="34"/>
      <c r="H355" s="34"/>
      <c r="I355" s="34"/>
      <c r="J355" s="13"/>
    </row>
    <row r="356" spans="2:10" ht="15.75" customHeight="1">
      <c r="B356" s="29"/>
      <c r="C356" s="32"/>
      <c r="D356" s="31"/>
      <c r="E356" s="32"/>
      <c r="F356" s="33"/>
      <c r="G356" s="34"/>
      <c r="H356" s="34"/>
      <c r="I356" s="34"/>
      <c r="J356" s="13"/>
    </row>
    <row r="357" spans="2:10" ht="15.75" customHeight="1">
      <c r="B357" s="29"/>
      <c r="C357" s="32"/>
      <c r="D357" s="31"/>
      <c r="E357" s="32"/>
      <c r="F357" s="33"/>
      <c r="G357" s="34"/>
      <c r="H357" s="34"/>
      <c r="I357" s="34"/>
      <c r="J357" s="13"/>
    </row>
    <row r="358" spans="2:10" ht="15.75" customHeight="1">
      <c r="B358" s="29"/>
      <c r="C358" s="32"/>
      <c r="D358" s="31"/>
      <c r="E358" s="32"/>
      <c r="F358" s="33"/>
      <c r="G358" s="34"/>
      <c r="H358" s="34"/>
      <c r="I358" s="34"/>
      <c r="J358" s="13"/>
    </row>
    <row r="359" spans="2:10" ht="15.75" customHeight="1">
      <c r="B359" s="29"/>
      <c r="C359" s="32"/>
      <c r="D359" s="31"/>
      <c r="E359" s="32"/>
      <c r="F359" s="33"/>
      <c r="G359" s="34"/>
      <c r="H359" s="34"/>
      <c r="I359" s="34"/>
      <c r="J359" s="13"/>
    </row>
    <row r="360" spans="2:10" ht="15.75" customHeight="1">
      <c r="B360" s="29"/>
      <c r="C360" s="32"/>
      <c r="D360" s="31"/>
      <c r="E360" s="32"/>
      <c r="F360" s="33"/>
      <c r="G360" s="34"/>
      <c r="H360" s="34"/>
      <c r="I360" s="34"/>
      <c r="J360" s="13"/>
    </row>
    <row r="361" spans="2:10" ht="15.75" customHeight="1">
      <c r="B361" s="29"/>
      <c r="C361" s="32"/>
      <c r="D361" s="31"/>
      <c r="E361" s="32"/>
      <c r="F361" s="33"/>
      <c r="G361" s="34"/>
      <c r="H361" s="34"/>
      <c r="I361" s="34"/>
      <c r="J361" s="13"/>
    </row>
    <row r="362" spans="2:10" ht="15.75" customHeight="1">
      <c r="B362" s="29"/>
      <c r="C362" s="32"/>
      <c r="D362" s="31"/>
      <c r="E362" s="32"/>
      <c r="F362" s="33"/>
      <c r="G362" s="34"/>
      <c r="H362" s="34"/>
      <c r="I362" s="34"/>
      <c r="J362" s="13"/>
    </row>
    <row r="363" spans="2:10" ht="15.75" customHeight="1">
      <c r="B363" s="29"/>
      <c r="C363" s="32"/>
      <c r="D363" s="31"/>
      <c r="E363" s="32"/>
      <c r="F363" s="33"/>
      <c r="G363" s="34"/>
      <c r="H363" s="34"/>
      <c r="I363" s="34"/>
      <c r="J363" s="13"/>
    </row>
    <row r="364" spans="2:10" ht="15.75" customHeight="1">
      <c r="B364" s="29"/>
      <c r="C364" s="32"/>
      <c r="D364" s="31"/>
      <c r="E364" s="32"/>
      <c r="F364" s="33"/>
      <c r="G364" s="34"/>
      <c r="H364" s="34"/>
      <c r="I364" s="34"/>
      <c r="J364" s="13"/>
    </row>
    <row r="365" spans="2:10" ht="15.75" customHeight="1">
      <c r="B365" s="29"/>
      <c r="C365" s="32"/>
      <c r="D365" s="31"/>
      <c r="E365" s="32"/>
      <c r="F365" s="33"/>
      <c r="G365" s="34"/>
      <c r="H365" s="34"/>
      <c r="I365" s="34"/>
      <c r="J365" s="13"/>
    </row>
    <row r="366" spans="2:10" ht="15.75" customHeight="1">
      <c r="B366" s="29"/>
      <c r="C366" s="32"/>
      <c r="D366" s="31"/>
      <c r="E366" s="32"/>
      <c r="F366" s="33"/>
      <c r="G366" s="34"/>
      <c r="H366" s="34"/>
      <c r="I366" s="34"/>
      <c r="J366" s="13"/>
    </row>
    <row r="367" spans="2:10" ht="15.75" customHeight="1">
      <c r="B367" s="29"/>
      <c r="C367" s="32"/>
      <c r="D367" s="31"/>
      <c r="E367" s="32"/>
      <c r="F367" s="33"/>
      <c r="G367" s="34"/>
      <c r="H367" s="34"/>
      <c r="I367" s="34"/>
      <c r="J367" s="13"/>
    </row>
    <row r="368" spans="2:10" ht="15.75" customHeight="1">
      <c r="B368" s="29"/>
      <c r="C368" s="32"/>
      <c r="D368" s="31"/>
      <c r="E368" s="32"/>
      <c r="F368" s="33"/>
      <c r="G368" s="34"/>
      <c r="H368" s="34"/>
      <c r="I368" s="34"/>
      <c r="J368" s="13"/>
    </row>
    <row r="369" spans="2:10" ht="15.75" customHeight="1">
      <c r="B369" s="29"/>
      <c r="C369" s="32"/>
      <c r="D369" s="31"/>
      <c r="E369" s="32"/>
      <c r="F369" s="33"/>
      <c r="G369" s="34"/>
      <c r="H369" s="34"/>
      <c r="I369" s="34"/>
      <c r="J369" s="13"/>
    </row>
    <row r="370" spans="2:10" ht="15.75" customHeight="1">
      <c r="B370" s="29"/>
      <c r="C370" s="32"/>
      <c r="D370" s="31"/>
      <c r="E370" s="32"/>
      <c r="F370" s="33"/>
      <c r="G370" s="34"/>
      <c r="H370" s="34"/>
      <c r="I370" s="34"/>
      <c r="J370" s="13"/>
    </row>
    <row r="371" spans="2:10" ht="15.75" customHeight="1">
      <c r="B371" s="29"/>
      <c r="C371" s="32"/>
      <c r="D371" s="31"/>
      <c r="E371" s="32"/>
      <c r="F371" s="33"/>
      <c r="G371" s="34"/>
      <c r="H371" s="34"/>
      <c r="I371" s="34"/>
      <c r="J371" s="13"/>
    </row>
    <row r="372" spans="2:10" ht="15.75" customHeight="1">
      <c r="B372" s="29"/>
      <c r="C372" s="32"/>
      <c r="D372" s="31"/>
      <c r="E372" s="32"/>
      <c r="F372" s="33"/>
      <c r="G372" s="34"/>
      <c r="H372" s="34"/>
      <c r="I372" s="34"/>
      <c r="J372" s="13"/>
    </row>
    <row r="373" spans="2:10" ht="15.75" customHeight="1">
      <c r="B373" s="29"/>
      <c r="C373" s="32"/>
      <c r="D373" s="31"/>
      <c r="E373" s="32"/>
      <c r="F373" s="33"/>
      <c r="G373" s="34"/>
      <c r="H373" s="34"/>
      <c r="I373" s="34"/>
      <c r="J373" s="13"/>
    </row>
    <row r="374" spans="2:10" ht="15.75" customHeight="1">
      <c r="B374" s="29"/>
      <c r="C374" s="32"/>
      <c r="D374" s="31"/>
      <c r="E374" s="32"/>
      <c r="F374" s="33"/>
      <c r="G374" s="34"/>
      <c r="H374" s="34"/>
      <c r="I374" s="34"/>
      <c r="J374" s="13"/>
    </row>
    <row r="375" spans="2:10" ht="15.75" customHeight="1">
      <c r="B375" s="29"/>
      <c r="C375" s="32"/>
      <c r="D375" s="31"/>
      <c r="E375" s="32"/>
      <c r="F375" s="33"/>
      <c r="G375" s="34"/>
      <c r="H375" s="34"/>
      <c r="I375" s="34"/>
      <c r="J375" s="13"/>
    </row>
    <row r="376" spans="2:10" ht="15.75" customHeight="1">
      <c r="B376" s="29"/>
      <c r="C376" s="32"/>
      <c r="D376" s="31"/>
      <c r="E376" s="32"/>
      <c r="F376" s="33"/>
      <c r="G376" s="34"/>
      <c r="H376" s="34"/>
      <c r="I376" s="34"/>
      <c r="J376" s="13"/>
    </row>
    <row r="377" spans="2:10" ht="15.75" customHeight="1">
      <c r="B377" s="29"/>
      <c r="C377" s="32"/>
      <c r="D377" s="31"/>
      <c r="E377" s="32"/>
      <c r="F377" s="33"/>
      <c r="G377" s="34"/>
      <c r="H377" s="34"/>
      <c r="I377" s="34"/>
      <c r="J377" s="13"/>
    </row>
    <row r="378" spans="2:10" ht="15.75" customHeight="1">
      <c r="B378" s="29"/>
      <c r="C378" s="32"/>
      <c r="D378" s="31"/>
      <c r="E378" s="32"/>
      <c r="F378" s="33"/>
      <c r="G378" s="34"/>
      <c r="H378" s="34"/>
      <c r="I378" s="34"/>
      <c r="J378" s="13"/>
    </row>
    <row r="379" spans="2:10" ht="15.75" customHeight="1">
      <c r="B379" s="29"/>
      <c r="C379" s="32"/>
      <c r="D379" s="31"/>
      <c r="E379" s="32"/>
      <c r="F379" s="33"/>
      <c r="G379" s="34"/>
      <c r="H379" s="34"/>
      <c r="I379" s="34"/>
      <c r="J379" s="13"/>
    </row>
    <row r="380" spans="2:10" ht="15.75" customHeight="1">
      <c r="B380" s="29"/>
      <c r="C380" s="32"/>
      <c r="D380" s="31"/>
      <c r="E380" s="32"/>
      <c r="F380" s="33"/>
      <c r="G380" s="34"/>
      <c r="H380" s="34"/>
      <c r="I380" s="34"/>
      <c r="J380" s="13"/>
    </row>
    <row r="381" spans="2:10" ht="15.75" customHeight="1">
      <c r="B381" s="29"/>
      <c r="C381" s="32"/>
      <c r="D381" s="31"/>
      <c r="E381" s="32"/>
      <c r="F381" s="33"/>
      <c r="G381" s="34"/>
      <c r="H381" s="34"/>
      <c r="I381" s="34"/>
      <c r="J381" s="13"/>
    </row>
    <row r="382" spans="2:10" ht="15.75" customHeight="1">
      <c r="B382" s="29"/>
      <c r="C382" s="32"/>
      <c r="D382" s="31"/>
      <c r="E382" s="32"/>
      <c r="F382" s="33"/>
      <c r="G382" s="34"/>
      <c r="H382" s="34"/>
      <c r="I382" s="34"/>
      <c r="J382" s="13"/>
    </row>
    <row r="383" spans="2:10" ht="15.75" customHeight="1">
      <c r="B383" s="29"/>
      <c r="C383" s="32"/>
      <c r="D383" s="31"/>
      <c r="E383" s="32"/>
      <c r="F383" s="33"/>
      <c r="G383" s="34"/>
      <c r="H383" s="34"/>
      <c r="I383" s="34"/>
      <c r="J383" s="13"/>
    </row>
    <row r="384" spans="2:10" ht="15.75" customHeight="1">
      <c r="B384" s="29"/>
      <c r="C384" s="32"/>
      <c r="D384" s="31"/>
      <c r="E384" s="32"/>
      <c r="F384" s="33"/>
      <c r="G384" s="34"/>
      <c r="H384" s="34"/>
      <c r="I384" s="34"/>
      <c r="J384" s="13"/>
    </row>
    <row r="385" spans="2:10" ht="15.75" customHeight="1">
      <c r="B385" s="29"/>
      <c r="C385" s="32"/>
      <c r="D385" s="31"/>
      <c r="E385" s="32"/>
      <c r="F385" s="33"/>
      <c r="G385" s="34"/>
      <c r="H385" s="34"/>
      <c r="I385" s="34"/>
      <c r="J385" s="13"/>
    </row>
    <row r="386" spans="2:10" ht="15.75" customHeight="1">
      <c r="B386" s="29"/>
      <c r="C386" s="32"/>
      <c r="D386" s="31"/>
      <c r="E386" s="32"/>
      <c r="F386" s="33"/>
      <c r="G386" s="34"/>
      <c r="H386" s="34"/>
      <c r="I386" s="34"/>
      <c r="J386" s="13"/>
    </row>
    <row r="387" spans="2:10" ht="15.75" customHeight="1">
      <c r="B387" s="29"/>
      <c r="C387" s="32"/>
      <c r="D387" s="31"/>
      <c r="E387" s="32"/>
      <c r="F387" s="33"/>
      <c r="G387" s="34"/>
      <c r="H387" s="34"/>
      <c r="I387" s="34"/>
      <c r="J387" s="13"/>
    </row>
    <row r="388" spans="2:10" ht="15.75" customHeight="1">
      <c r="B388" s="29"/>
      <c r="C388" s="32"/>
      <c r="D388" s="31"/>
      <c r="E388" s="32"/>
      <c r="F388" s="33"/>
      <c r="G388" s="34"/>
      <c r="H388" s="34"/>
      <c r="I388" s="34"/>
      <c r="J388" s="13"/>
    </row>
    <row r="389" spans="2:10" ht="15.75" customHeight="1">
      <c r="B389" s="29"/>
      <c r="C389" s="32"/>
      <c r="D389" s="31"/>
      <c r="E389" s="32"/>
      <c r="F389" s="33"/>
      <c r="G389" s="34"/>
      <c r="H389" s="34"/>
      <c r="I389" s="34"/>
      <c r="J389" s="13"/>
    </row>
    <row r="390" spans="2:10" ht="15.75" customHeight="1">
      <c r="B390" s="29"/>
      <c r="C390" s="32"/>
      <c r="D390" s="31"/>
      <c r="E390" s="32"/>
      <c r="F390" s="33"/>
      <c r="G390" s="34"/>
      <c r="H390" s="34"/>
      <c r="I390" s="34"/>
      <c r="J390" s="13"/>
    </row>
    <row r="391" spans="2:10" ht="15.75" customHeight="1">
      <c r="B391" s="29"/>
      <c r="C391" s="32"/>
      <c r="D391" s="31"/>
      <c r="E391" s="32"/>
      <c r="F391" s="33"/>
      <c r="G391" s="34"/>
      <c r="H391" s="34"/>
      <c r="I391" s="34"/>
      <c r="J391" s="13"/>
    </row>
    <row r="392" spans="2:10" ht="15.75" customHeight="1">
      <c r="B392" s="29"/>
      <c r="C392" s="32"/>
      <c r="D392" s="31"/>
      <c r="E392" s="32"/>
      <c r="F392" s="33"/>
      <c r="G392" s="34"/>
      <c r="H392" s="34"/>
      <c r="I392" s="34"/>
      <c r="J392" s="13"/>
    </row>
    <row r="393" spans="2:10" ht="15.75" customHeight="1">
      <c r="B393" s="29"/>
      <c r="C393" s="32"/>
      <c r="D393" s="31"/>
      <c r="E393" s="32"/>
      <c r="F393" s="33"/>
      <c r="G393" s="34"/>
      <c r="H393" s="34"/>
      <c r="I393" s="34"/>
      <c r="J393" s="13"/>
    </row>
    <row r="394" spans="2:10" ht="15.75" customHeight="1">
      <c r="B394" s="29"/>
      <c r="C394" s="32"/>
      <c r="D394" s="31"/>
      <c r="E394" s="32"/>
      <c r="F394" s="33"/>
      <c r="G394" s="34"/>
      <c r="H394" s="34"/>
      <c r="I394" s="34"/>
      <c r="J394" s="13"/>
    </row>
    <row r="395" spans="2:10" ht="15.75" customHeight="1">
      <c r="B395" s="29"/>
      <c r="C395" s="32"/>
      <c r="D395" s="31"/>
      <c r="E395" s="32"/>
      <c r="F395" s="33"/>
      <c r="G395" s="34"/>
      <c r="H395" s="34"/>
      <c r="I395" s="34"/>
      <c r="J395" s="13"/>
    </row>
    <row r="396" spans="2:10" ht="15.75" customHeight="1">
      <c r="B396" s="29"/>
      <c r="C396" s="32"/>
      <c r="D396" s="31"/>
      <c r="E396" s="32"/>
      <c r="F396" s="33"/>
      <c r="G396" s="34"/>
      <c r="H396" s="34"/>
      <c r="I396" s="34"/>
      <c r="J396" s="13"/>
    </row>
    <row r="397" spans="2:10" ht="15.75" customHeight="1">
      <c r="B397" s="29"/>
      <c r="C397" s="32"/>
      <c r="D397" s="31"/>
      <c r="E397" s="32"/>
      <c r="F397" s="33"/>
      <c r="G397" s="34"/>
      <c r="H397" s="34"/>
      <c r="I397" s="34"/>
      <c r="J397" s="13"/>
    </row>
    <row r="398" spans="2:10" ht="15.75" customHeight="1">
      <c r="B398" s="29"/>
      <c r="C398" s="32"/>
      <c r="D398" s="31"/>
      <c r="E398" s="32"/>
      <c r="F398" s="33"/>
      <c r="G398" s="34"/>
      <c r="H398" s="34"/>
      <c r="I398" s="34"/>
      <c r="J398" s="13"/>
    </row>
    <row r="399" spans="2:10" ht="15.75" customHeight="1">
      <c r="B399" s="29"/>
      <c r="C399" s="32"/>
      <c r="D399" s="31"/>
      <c r="E399" s="32"/>
      <c r="F399" s="33"/>
      <c r="G399" s="34"/>
      <c r="H399" s="34"/>
      <c r="I399" s="34"/>
      <c r="J399" s="13"/>
    </row>
    <row r="400" spans="2:10" ht="15.75" customHeight="1">
      <c r="B400" s="29"/>
      <c r="C400" s="32"/>
      <c r="D400" s="31"/>
      <c r="E400" s="32"/>
      <c r="F400" s="33"/>
      <c r="G400" s="34"/>
      <c r="H400" s="34"/>
      <c r="I400" s="34"/>
      <c r="J400" s="13"/>
    </row>
    <row r="401" spans="2:10" ht="15.75" customHeight="1">
      <c r="B401" s="29"/>
      <c r="C401" s="32"/>
      <c r="D401" s="31"/>
      <c r="E401" s="32"/>
      <c r="F401" s="33"/>
      <c r="G401" s="34"/>
      <c r="H401" s="34"/>
      <c r="I401" s="34"/>
      <c r="J401" s="13"/>
    </row>
    <row r="402" spans="2:10" ht="15.75" customHeight="1">
      <c r="B402" s="29"/>
      <c r="C402" s="32"/>
      <c r="D402" s="31"/>
      <c r="E402" s="32"/>
      <c r="F402" s="33"/>
      <c r="G402" s="34"/>
      <c r="H402" s="34"/>
      <c r="I402" s="34"/>
      <c r="J402" s="13"/>
    </row>
    <row r="403" spans="2:10" ht="15.75" customHeight="1">
      <c r="B403" s="29"/>
      <c r="C403" s="32"/>
      <c r="D403" s="31"/>
      <c r="E403" s="32"/>
      <c r="F403" s="33"/>
      <c r="G403" s="34"/>
      <c r="H403" s="34"/>
      <c r="I403" s="34"/>
      <c r="J403" s="13"/>
    </row>
    <row r="404" spans="2:10" ht="15.75" customHeight="1">
      <c r="B404" s="29"/>
      <c r="C404" s="32"/>
      <c r="D404" s="31"/>
      <c r="E404" s="32"/>
      <c r="F404" s="33"/>
      <c r="G404" s="34"/>
      <c r="H404" s="34"/>
      <c r="I404" s="34"/>
      <c r="J404" s="13"/>
    </row>
    <row r="405" spans="2:10" ht="15.75" customHeight="1">
      <c r="B405" s="29"/>
      <c r="C405" s="32"/>
      <c r="D405" s="31"/>
      <c r="E405" s="32"/>
      <c r="F405" s="33"/>
      <c r="G405" s="34"/>
      <c r="H405" s="34"/>
      <c r="I405" s="34"/>
      <c r="J405" s="13"/>
    </row>
    <row r="406" spans="2:10" ht="15.75" customHeight="1">
      <c r="B406" s="29"/>
      <c r="C406" s="32"/>
      <c r="D406" s="31"/>
      <c r="E406" s="32"/>
      <c r="F406" s="33"/>
      <c r="G406" s="34"/>
      <c r="H406" s="34"/>
      <c r="I406" s="34"/>
      <c r="J406" s="13"/>
    </row>
    <row r="407" spans="2:10" ht="15.75" customHeight="1">
      <c r="B407" s="29"/>
      <c r="C407" s="32"/>
      <c r="D407" s="31"/>
      <c r="E407" s="32"/>
      <c r="F407" s="33"/>
      <c r="G407" s="34"/>
      <c r="H407" s="34"/>
      <c r="I407" s="34"/>
      <c r="J407" s="13"/>
    </row>
    <row r="408" spans="2:10" ht="15.75" customHeight="1">
      <c r="B408" s="29"/>
      <c r="C408" s="32"/>
      <c r="D408" s="31"/>
      <c r="E408" s="32"/>
      <c r="F408" s="33"/>
      <c r="G408" s="34"/>
      <c r="H408" s="34"/>
      <c r="I408" s="34"/>
      <c r="J408" s="13"/>
    </row>
    <row r="409" spans="2:10" ht="15.75" customHeight="1">
      <c r="B409" s="29"/>
      <c r="C409" s="32"/>
      <c r="D409" s="31"/>
      <c r="E409" s="32"/>
      <c r="F409" s="33"/>
      <c r="G409" s="34"/>
      <c r="H409" s="34"/>
      <c r="I409" s="34"/>
      <c r="J409" s="13"/>
    </row>
    <row r="410" spans="2:10" ht="15.75" customHeight="1">
      <c r="B410" s="29"/>
      <c r="C410" s="32"/>
      <c r="D410" s="31"/>
      <c r="E410" s="32"/>
      <c r="F410" s="33"/>
      <c r="G410" s="34"/>
      <c r="H410" s="34"/>
      <c r="I410" s="34"/>
      <c r="J410" s="13"/>
    </row>
    <row r="411" spans="2:10" ht="15.75" customHeight="1">
      <c r="B411" s="29"/>
      <c r="C411" s="32"/>
      <c r="D411" s="31"/>
      <c r="E411" s="32"/>
      <c r="F411" s="33"/>
      <c r="G411" s="34"/>
      <c r="H411" s="34"/>
      <c r="I411" s="34"/>
      <c r="J411" s="13"/>
    </row>
    <row r="412" spans="2:10" ht="15.75" customHeight="1">
      <c r="B412" s="29"/>
      <c r="C412" s="32"/>
      <c r="D412" s="31"/>
      <c r="E412" s="32"/>
      <c r="F412" s="33"/>
      <c r="G412" s="34"/>
      <c r="H412" s="34"/>
      <c r="I412" s="34"/>
      <c r="J412" s="13"/>
    </row>
    <row r="413" spans="2:10" ht="15.75" customHeight="1">
      <c r="B413" s="29"/>
      <c r="C413" s="32"/>
      <c r="D413" s="31"/>
      <c r="E413" s="32"/>
      <c r="F413" s="33"/>
      <c r="G413" s="34"/>
      <c r="H413" s="34"/>
      <c r="I413" s="34"/>
      <c r="J413" s="13"/>
    </row>
    <row r="414" spans="2:10" ht="15.75" customHeight="1">
      <c r="B414" s="29"/>
      <c r="C414" s="32"/>
      <c r="D414" s="31"/>
      <c r="E414" s="32"/>
      <c r="F414" s="33"/>
      <c r="G414" s="34"/>
      <c r="H414" s="34"/>
      <c r="I414" s="34"/>
      <c r="J414" s="13"/>
    </row>
    <row r="415" spans="2:10" ht="15.75" customHeight="1">
      <c r="B415" s="29"/>
      <c r="C415" s="32"/>
      <c r="D415" s="31"/>
      <c r="E415" s="32"/>
      <c r="F415" s="33"/>
      <c r="G415" s="34"/>
      <c r="H415" s="34"/>
      <c r="I415" s="34"/>
      <c r="J415" s="13"/>
    </row>
    <row r="416" spans="2:10" ht="15.75" customHeight="1">
      <c r="B416" s="29"/>
      <c r="C416" s="32"/>
      <c r="D416" s="31"/>
      <c r="E416" s="32"/>
      <c r="F416" s="33"/>
      <c r="G416" s="34"/>
      <c r="H416" s="34"/>
      <c r="I416" s="34"/>
      <c r="J416" s="13"/>
    </row>
    <row r="417" spans="2:10" ht="15.75" customHeight="1">
      <c r="B417" s="29"/>
      <c r="C417" s="32"/>
      <c r="D417" s="31"/>
      <c r="E417" s="32"/>
      <c r="F417" s="33"/>
      <c r="G417" s="34"/>
      <c r="H417" s="34"/>
      <c r="I417" s="34"/>
      <c r="J417" s="13"/>
    </row>
    <row r="418" spans="2:10" ht="15.75" customHeight="1">
      <c r="B418" s="29"/>
      <c r="C418" s="32"/>
      <c r="D418" s="31"/>
      <c r="E418" s="32"/>
      <c r="F418" s="33"/>
      <c r="G418" s="34"/>
      <c r="H418" s="34"/>
      <c r="I418" s="34"/>
      <c r="J418" s="13"/>
    </row>
    <row r="419" spans="2:10" ht="15.75" customHeight="1">
      <c r="B419" s="29"/>
      <c r="C419" s="32"/>
      <c r="D419" s="31"/>
      <c r="E419" s="32"/>
      <c r="F419" s="33"/>
      <c r="G419" s="34"/>
      <c r="H419" s="34"/>
      <c r="I419" s="34"/>
      <c r="J419" s="13"/>
    </row>
    <row r="420" spans="2:10" ht="15.75" customHeight="1">
      <c r="B420" s="29"/>
      <c r="C420" s="32"/>
      <c r="D420" s="31"/>
      <c r="E420" s="32"/>
      <c r="F420" s="33"/>
      <c r="G420" s="34"/>
      <c r="H420" s="34"/>
      <c r="I420" s="34"/>
      <c r="J420" s="13"/>
    </row>
    <row r="421" spans="2:10" ht="15.75" customHeight="1">
      <c r="B421" s="29"/>
      <c r="C421" s="32"/>
      <c r="D421" s="31"/>
      <c r="E421" s="32"/>
      <c r="F421" s="33"/>
      <c r="G421" s="34"/>
      <c r="H421" s="34"/>
      <c r="I421" s="34"/>
      <c r="J421" s="13"/>
    </row>
    <row r="422" spans="2:10" ht="15.75" customHeight="1">
      <c r="B422" s="29"/>
      <c r="C422" s="32"/>
      <c r="D422" s="31"/>
      <c r="E422" s="32"/>
      <c r="F422" s="33"/>
      <c r="G422" s="34"/>
      <c r="H422" s="34"/>
      <c r="I422" s="34"/>
      <c r="J422" s="13"/>
    </row>
    <row r="423" spans="2:10" ht="15.75" customHeight="1">
      <c r="B423" s="29"/>
      <c r="C423" s="32"/>
      <c r="D423" s="31"/>
      <c r="E423" s="32"/>
      <c r="F423" s="33"/>
      <c r="G423" s="34"/>
      <c r="H423" s="34"/>
      <c r="I423" s="34"/>
      <c r="J423" s="13"/>
    </row>
    <row r="424" spans="2:10" ht="15.75" customHeight="1">
      <c r="B424" s="29"/>
      <c r="C424" s="32"/>
      <c r="D424" s="31"/>
      <c r="E424" s="32"/>
      <c r="F424" s="33"/>
      <c r="G424" s="34"/>
      <c r="H424" s="34"/>
      <c r="I424" s="34"/>
      <c r="J424" s="13"/>
    </row>
    <row r="425" spans="2:10" ht="15.75" customHeight="1">
      <c r="B425" s="29"/>
      <c r="C425" s="32"/>
      <c r="D425" s="31"/>
      <c r="E425" s="32"/>
      <c r="F425" s="33"/>
      <c r="G425" s="34"/>
      <c r="H425" s="34"/>
      <c r="I425" s="34"/>
      <c r="J425" s="13"/>
    </row>
    <row r="426" spans="2:10" ht="15.75" customHeight="1">
      <c r="B426" s="29"/>
      <c r="C426" s="32"/>
      <c r="D426" s="31"/>
      <c r="E426" s="32"/>
      <c r="F426" s="33"/>
      <c r="G426" s="34"/>
      <c r="H426" s="34"/>
      <c r="I426" s="34"/>
      <c r="J426" s="13"/>
    </row>
    <row r="427" spans="2:10" ht="15.75" customHeight="1">
      <c r="B427" s="29"/>
      <c r="C427" s="32"/>
      <c r="D427" s="31"/>
      <c r="E427" s="32"/>
      <c r="F427" s="33"/>
      <c r="G427" s="34"/>
      <c r="H427" s="34"/>
      <c r="I427" s="34"/>
      <c r="J427" s="13"/>
    </row>
    <row r="428" spans="2:10" ht="15.75" customHeight="1">
      <c r="B428" s="29"/>
      <c r="C428" s="32"/>
      <c r="D428" s="31"/>
      <c r="E428" s="32"/>
      <c r="F428" s="33"/>
      <c r="G428" s="34"/>
      <c r="H428" s="34"/>
      <c r="I428" s="34"/>
      <c r="J428" s="13"/>
    </row>
    <row r="429" spans="2:10" ht="15.75" customHeight="1">
      <c r="B429" s="29"/>
      <c r="C429" s="32"/>
      <c r="D429" s="31"/>
      <c r="E429" s="32"/>
      <c r="F429" s="33"/>
      <c r="G429" s="34"/>
      <c r="H429" s="34"/>
      <c r="I429" s="34"/>
      <c r="J429" s="13"/>
    </row>
    <row r="430" spans="2:10" ht="15.75" customHeight="1">
      <c r="B430" s="29"/>
      <c r="C430" s="32"/>
      <c r="D430" s="31"/>
      <c r="E430" s="32"/>
      <c r="F430" s="33"/>
      <c r="G430" s="34"/>
      <c r="H430" s="34"/>
      <c r="I430" s="34"/>
      <c r="J430" s="13"/>
    </row>
    <row r="431" spans="2:10" ht="15.75" customHeight="1">
      <c r="B431" s="29"/>
      <c r="C431" s="32"/>
      <c r="D431" s="31"/>
      <c r="E431" s="32"/>
      <c r="F431" s="33"/>
      <c r="G431" s="34"/>
      <c r="H431" s="34"/>
      <c r="I431" s="34"/>
      <c r="J431" s="13"/>
    </row>
    <row r="432" spans="2:10" ht="15.75" customHeight="1">
      <c r="B432" s="29"/>
      <c r="C432" s="32"/>
      <c r="D432" s="31"/>
      <c r="E432" s="32"/>
      <c r="F432" s="33"/>
      <c r="G432" s="34"/>
      <c r="H432" s="34"/>
      <c r="I432" s="34"/>
      <c r="J432" s="13"/>
    </row>
    <row r="433" spans="2:10" ht="15.75" customHeight="1">
      <c r="B433" s="29"/>
      <c r="C433" s="32"/>
      <c r="D433" s="31"/>
      <c r="E433" s="32"/>
      <c r="F433" s="33"/>
      <c r="G433" s="34"/>
      <c r="H433" s="34"/>
      <c r="I433" s="34"/>
      <c r="J433" s="13"/>
    </row>
    <row r="434" spans="2:10" ht="15.75" customHeight="1">
      <c r="B434" s="29"/>
      <c r="C434" s="32"/>
      <c r="D434" s="31"/>
      <c r="E434" s="32"/>
      <c r="F434" s="33"/>
      <c r="G434" s="34"/>
      <c r="H434" s="34"/>
      <c r="I434" s="34"/>
      <c r="J434" s="13"/>
    </row>
    <row r="435" spans="2:10" ht="15.75" customHeight="1">
      <c r="B435" s="29"/>
      <c r="C435" s="32"/>
      <c r="D435" s="31"/>
      <c r="E435" s="32"/>
      <c r="F435" s="33"/>
      <c r="G435" s="34"/>
      <c r="H435" s="34"/>
      <c r="I435" s="34"/>
      <c r="J435" s="13"/>
    </row>
    <row r="436" spans="2:10" ht="15.75" customHeight="1">
      <c r="B436" s="29"/>
      <c r="C436" s="32"/>
      <c r="D436" s="31"/>
      <c r="E436" s="32"/>
      <c r="F436" s="33"/>
      <c r="G436" s="34"/>
      <c r="H436" s="34"/>
      <c r="I436" s="34"/>
      <c r="J436" s="13"/>
    </row>
    <row r="437" spans="2:10" ht="15.75" customHeight="1">
      <c r="B437" s="29"/>
      <c r="C437" s="32"/>
      <c r="D437" s="31"/>
      <c r="E437" s="32"/>
      <c r="F437" s="33"/>
      <c r="G437" s="34"/>
      <c r="H437" s="34"/>
      <c r="I437" s="34"/>
      <c r="J437" s="13"/>
    </row>
    <row r="438" spans="2:10" ht="15.75" customHeight="1">
      <c r="B438" s="29"/>
      <c r="C438" s="32"/>
      <c r="D438" s="31"/>
      <c r="E438" s="32"/>
      <c r="F438" s="33"/>
      <c r="G438" s="34"/>
      <c r="H438" s="34"/>
      <c r="I438" s="34"/>
      <c r="J438" s="13"/>
    </row>
    <row r="439" spans="2:10" ht="15.75" customHeight="1">
      <c r="B439" s="29"/>
      <c r="C439" s="32"/>
      <c r="D439" s="31"/>
      <c r="E439" s="32"/>
      <c r="F439" s="33"/>
      <c r="G439" s="34"/>
      <c r="H439" s="34"/>
      <c r="I439" s="34"/>
      <c r="J439" s="13"/>
    </row>
    <row r="440" spans="2:10" ht="15.75" customHeight="1">
      <c r="B440" s="29"/>
      <c r="C440" s="32"/>
      <c r="D440" s="31"/>
      <c r="E440" s="32"/>
      <c r="F440" s="33"/>
      <c r="G440" s="34"/>
      <c r="H440" s="34"/>
      <c r="I440" s="34"/>
      <c r="J440" s="13"/>
    </row>
    <row r="441" spans="2:10" ht="15.75" customHeight="1">
      <c r="B441" s="29"/>
      <c r="C441" s="32"/>
      <c r="D441" s="31"/>
      <c r="E441" s="32"/>
      <c r="F441" s="33"/>
      <c r="G441" s="34"/>
      <c r="H441" s="34"/>
      <c r="I441" s="34"/>
      <c r="J441" s="13"/>
    </row>
    <row r="442" spans="2:10" ht="15.75" customHeight="1">
      <c r="B442" s="29"/>
      <c r="C442" s="32"/>
      <c r="D442" s="31"/>
      <c r="E442" s="32"/>
      <c r="F442" s="33"/>
      <c r="G442" s="34"/>
      <c r="H442" s="34"/>
      <c r="I442" s="34"/>
      <c r="J442" s="13"/>
    </row>
    <row r="443" spans="2:10" ht="15.75" customHeight="1">
      <c r="B443" s="29"/>
      <c r="C443" s="32"/>
      <c r="D443" s="31"/>
      <c r="E443" s="32"/>
      <c r="F443" s="33"/>
      <c r="G443" s="34"/>
      <c r="H443" s="34"/>
      <c r="I443" s="34"/>
      <c r="J443" s="13"/>
    </row>
    <row r="444" spans="2:10" ht="15.75" customHeight="1">
      <c r="B444" s="29"/>
      <c r="C444" s="32"/>
      <c r="D444" s="31"/>
      <c r="E444" s="32"/>
      <c r="F444" s="33"/>
      <c r="G444" s="34"/>
      <c r="H444" s="34"/>
      <c r="I444" s="34"/>
      <c r="J444" s="13"/>
    </row>
    <row r="445" spans="2:10" ht="15.75" customHeight="1">
      <c r="B445" s="29"/>
      <c r="C445" s="32"/>
      <c r="D445" s="31"/>
      <c r="E445" s="32"/>
      <c r="F445" s="33"/>
      <c r="G445" s="34"/>
      <c r="H445" s="34"/>
      <c r="I445" s="34"/>
      <c r="J445" s="13"/>
    </row>
    <row r="446" spans="2:10" ht="15.75" customHeight="1">
      <c r="B446" s="29"/>
      <c r="C446" s="32"/>
      <c r="D446" s="31"/>
      <c r="E446" s="32"/>
      <c r="F446" s="33"/>
      <c r="G446" s="34"/>
      <c r="H446" s="34"/>
      <c r="I446" s="34"/>
      <c r="J446" s="13"/>
    </row>
    <row r="447" spans="2:10" ht="15.75" customHeight="1">
      <c r="B447" s="29"/>
      <c r="C447" s="32"/>
      <c r="D447" s="31"/>
      <c r="E447" s="32"/>
      <c r="F447" s="33"/>
      <c r="G447" s="34"/>
      <c r="H447" s="34"/>
      <c r="I447" s="34"/>
      <c r="J447" s="13"/>
    </row>
    <row r="448" spans="2:10" ht="15.75" customHeight="1">
      <c r="B448" s="29"/>
      <c r="C448" s="32"/>
      <c r="D448" s="31"/>
      <c r="E448" s="32"/>
      <c r="F448" s="33"/>
      <c r="G448" s="34"/>
      <c r="H448" s="34"/>
      <c r="I448" s="34"/>
      <c r="J448" s="13"/>
    </row>
    <row r="449" spans="2:10" ht="15.75" customHeight="1">
      <c r="B449" s="29"/>
      <c r="C449" s="32"/>
      <c r="D449" s="31"/>
      <c r="E449" s="32"/>
      <c r="F449" s="33"/>
      <c r="G449" s="34"/>
      <c r="H449" s="34"/>
      <c r="I449" s="34"/>
      <c r="J449" s="13"/>
    </row>
    <row r="450" spans="2:10" ht="15.75" customHeight="1">
      <c r="B450" s="29"/>
      <c r="C450" s="32"/>
      <c r="D450" s="31"/>
      <c r="E450" s="32"/>
      <c r="F450" s="33"/>
      <c r="G450" s="34"/>
      <c r="H450" s="34"/>
      <c r="I450" s="34"/>
      <c r="J450" s="13"/>
    </row>
    <row r="451" spans="2:10" ht="15.75" customHeight="1">
      <c r="B451" s="29"/>
      <c r="C451" s="32"/>
      <c r="D451" s="31"/>
      <c r="E451" s="32"/>
      <c r="F451" s="33"/>
      <c r="G451" s="34"/>
      <c r="H451" s="34"/>
      <c r="I451" s="34"/>
      <c r="J451" s="13"/>
    </row>
    <row r="452" spans="2:10" ht="15.75" customHeight="1">
      <c r="B452" s="29"/>
      <c r="C452" s="32"/>
      <c r="D452" s="31"/>
      <c r="E452" s="32"/>
      <c r="F452" s="33"/>
      <c r="G452" s="34"/>
      <c r="H452" s="34"/>
      <c r="I452" s="34"/>
      <c r="J452" s="13"/>
    </row>
    <row r="453" spans="2:10" ht="15.75" customHeight="1">
      <c r="B453" s="29"/>
      <c r="C453" s="32"/>
      <c r="D453" s="31"/>
      <c r="E453" s="32"/>
      <c r="F453" s="33"/>
      <c r="G453" s="34"/>
      <c r="H453" s="34"/>
      <c r="I453" s="34"/>
      <c r="J453" s="13"/>
    </row>
    <row r="454" spans="2:10" ht="15.75" customHeight="1">
      <c r="B454" s="29"/>
      <c r="C454" s="32"/>
      <c r="D454" s="31"/>
      <c r="E454" s="32"/>
      <c r="F454" s="33"/>
      <c r="G454" s="34"/>
      <c r="H454" s="34"/>
      <c r="I454" s="34"/>
      <c r="J454" s="13"/>
    </row>
    <row r="455" spans="2:10" ht="15.75" customHeight="1">
      <c r="B455" s="29"/>
      <c r="C455" s="32"/>
      <c r="D455" s="31"/>
      <c r="E455" s="32"/>
      <c r="F455" s="33"/>
      <c r="G455" s="34"/>
      <c r="H455" s="34"/>
      <c r="I455" s="34"/>
      <c r="J455" s="13"/>
    </row>
    <row r="456" spans="2:10" ht="15.75" customHeight="1">
      <c r="B456" s="29"/>
      <c r="C456" s="32"/>
      <c r="D456" s="31"/>
      <c r="E456" s="32"/>
      <c r="F456" s="33"/>
      <c r="G456" s="34"/>
      <c r="H456" s="34"/>
      <c r="I456" s="34"/>
      <c r="J456" s="13"/>
    </row>
    <row r="457" spans="2:10" ht="15.75" customHeight="1">
      <c r="B457" s="29"/>
      <c r="C457" s="32"/>
      <c r="D457" s="31"/>
      <c r="E457" s="32"/>
      <c r="F457" s="33"/>
      <c r="G457" s="34"/>
      <c r="H457" s="34"/>
      <c r="I457" s="34"/>
      <c r="J457" s="13"/>
    </row>
    <row r="458" spans="2:10" ht="15.75" customHeight="1">
      <c r="B458" s="29"/>
      <c r="C458" s="32"/>
      <c r="D458" s="31"/>
      <c r="E458" s="32"/>
      <c r="F458" s="33"/>
      <c r="G458" s="34"/>
      <c r="H458" s="34"/>
      <c r="I458" s="34"/>
      <c r="J458" s="13"/>
    </row>
    <row r="459" spans="2:10" ht="15.75" customHeight="1">
      <c r="B459" s="29"/>
      <c r="C459" s="32"/>
      <c r="D459" s="31"/>
      <c r="E459" s="32"/>
      <c r="F459" s="33"/>
      <c r="G459" s="34"/>
      <c r="H459" s="34"/>
      <c r="I459" s="34"/>
      <c r="J459" s="13"/>
    </row>
    <row r="460" spans="2:10" ht="15.75" customHeight="1">
      <c r="B460" s="29"/>
      <c r="C460" s="32"/>
      <c r="D460" s="31"/>
      <c r="E460" s="32"/>
      <c r="F460" s="33"/>
      <c r="G460" s="34"/>
      <c r="H460" s="34"/>
      <c r="I460" s="34"/>
      <c r="J460" s="13"/>
    </row>
    <row r="461" spans="2:10" ht="15.75" customHeight="1">
      <c r="B461" s="29"/>
      <c r="C461" s="32"/>
      <c r="D461" s="31"/>
      <c r="E461" s="32"/>
      <c r="F461" s="33"/>
      <c r="G461" s="34"/>
      <c r="H461" s="34"/>
      <c r="I461" s="34"/>
      <c r="J461" s="13"/>
    </row>
    <row r="462" spans="2:10" ht="15.75" customHeight="1">
      <c r="B462" s="29"/>
      <c r="C462" s="32"/>
      <c r="D462" s="31"/>
      <c r="E462" s="32"/>
      <c r="F462" s="33"/>
      <c r="G462" s="34"/>
      <c r="H462" s="34"/>
      <c r="I462" s="34"/>
      <c r="J462" s="13"/>
    </row>
    <row r="463" spans="2:10" ht="15.75" customHeight="1">
      <c r="B463" s="29"/>
      <c r="C463" s="32"/>
      <c r="D463" s="31"/>
      <c r="E463" s="32"/>
      <c r="F463" s="33"/>
      <c r="G463" s="34"/>
      <c r="H463" s="34"/>
      <c r="I463" s="34"/>
      <c r="J463" s="13"/>
    </row>
    <row r="464" spans="2:10" ht="15.75" customHeight="1">
      <c r="B464" s="29"/>
      <c r="C464" s="32"/>
      <c r="D464" s="31"/>
      <c r="E464" s="32"/>
      <c r="F464" s="33"/>
      <c r="G464" s="34"/>
      <c r="H464" s="34"/>
      <c r="I464" s="34"/>
      <c r="J464" s="13"/>
    </row>
    <row r="465" spans="2:10" ht="15.75" customHeight="1">
      <c r="B465" s="29"/>
      <c r="C465" s="32"/>
      <c r="D465" s="31"/>
      <c r="E465" s="32"/>
      <c r="F465" s="33"/>
      <c r="G465" s="34"/>
      <c r="H465" s="34"/>
      <c r="I465" s="34"/>
      <c r="J465" s="13"/>
    </row>
    <row r="466" spans="2:10" ht="15.75" customHeight="1">
      <c r="B466" s="29"/>
      <c r="C466" s="32"/>
      <c r="D466" s="31"/>
      <c r="E466" s="32"/>
      <c r="F466" s="33"/>
      <c r="G466" s="34"/>
      <c r="H466" s="34"/>
      <c r="I466" s="34"/>
      <c r="J466" s="13"/>
    </row>
    <row r="467" spans="2:10" ht="15.75" customHeight="1">
      <c r="B467" s="29"/>
      <c r="C467" s="32"/>
      <c r="D467" s="31"/>
      <c r="E467" s="32"/>
      <c r="F467" s="33"/>
      <c r="G467" s="34"/>
      <c r="H467" s="34"/>
      <c r="I467" s="34"/>
      <c r="J467" s="13"/>
    </row>
    <row r="468" spans="2:10" ht="15.75" customHeight="1">
      <c r="B468" s="29"/>
      <c r="C468" s="32"/>
      <c r="D468" s="31"/>
      <c r="E468" s="32"/>
      <c r="F468" s="33"/>
      <c r="G468" s="34"/>
      <c r="H468" s="34"/>
      <c r="I468" s="34"/>
      <c r="J468" s="13"/>
    </row>
    <row r="469" spans="2:10" ht="15.75" customHeight="1">
      <c r="B469" s="29"/>
      <c r="C469" s="32"/>
      <c r="D469" s="31"/>
      <c r="E469" s="32"/>
      <c r="F469" s="33"/>
      <c r="G469" s="34"/>
      <c r="H469" s="34"/>
      <c r="I469" s="34"/>
      <c r="J469" s="13"/>
    </row>
    <row r="470" spans="2:10" ht="15.75" customHeight="1">
      <c r="B470" s="29"/>
      <c r="C470" s="32"/>
      <c r="D470" s="31"/>
      <c r="E470" s="32"/>
      <c r="F470" s="33"/>
      <c r="G470" s="34"/>
      <c r="H470" s="34"/>
      <c r="I470" s="34"/>
      <c r="J470" s="13"/>
    </row>
    <row r="471" spans="2:10" ht="15.75" customHeight="1">
      <c r="B471" s="29"/>
      <c r="C471" s="32"/>
      <c r="D471" s="31"/>
      <c r="E471" s="32"/>
      <c r="F471" s="33"/>
      <c r="G471" s="34"/>
      <c r="H471" s="34"/>
      <c r="I471" s="34"/>
      <c r="J471" s="13"/>
    </row>
    <row r="472" spans="2:10" ht="15.75" customHeight="1">
      <c r="B472" s="29"/>
      <c r="C472" s="32"/>
      <c r="D472" s="31"/>
      <c r="E472" s="32"/>
      <c r="F472" s="33"/>
      <c r="G472" s="34"/>
      <c r="H472" s="34"/>
      <c r="I472" s="34"/>
      <c r="J472" s="13"/>
    </row>
    <row r="473" spans="2:10" ht="15.75" customHeight="1">
      <c r="B473" s="29"/>
      <c r="C473" s="32"/>
      <c r="D473" s="31"/>
      <c r="E473" s="32"/>
      <c r="F473" s="33"/>
      <c r="G473" s="34"/>
      <c r="H473" s="34"/>
      <c r="I473" s="34"/>
      <c r="J473" s="13"/>
    </row>
    <row r="474" spans="2:10" ht="15.75" customHeight="1">
      <c r="B474" s="29"/>
      <c r="C474" s="32"/>
      <c r="D474" s="31"/>
      <c r="E474" s="32"/>
      <c r="F474" s="33"/>
      <c r="G474" s="34"/>
      <c r="H474" s="34"/>
      <c r="I474" s="34"/>
      <c r="J474" s="13"/>
    </row>
    <row r="475" spans="2:10" ht="15.75" customHeight="1">
      <c r="B475" s="29"/>
      <c r="C475" s="32"/>
      <c r="D475" s="31"/>
      <c r="E475" s="32"/>
      <c r="F475" s="33"/>
      <c r="G475" s="34"/>
      <c r="H475" s="34"/>
      <c r="I475" s="34"/>
      <c r="J475" s="13"/>
    </row>
    <row r="476" spans="2:10" ht="15.75" customHeight="1">
      <c r="B476" s="29"/>
      <c r="C476" s="32"/>
      <c r="D476" s="31"/>
      <c r="E476" s="32"/>
      <c r="F476" s="33"/>
      <c r="G476" s="34"/>
      <c r="H476" s="34"/>
      <c r="I476" s="34"/>
      <c r="J476" s="13"/>
    </row>
    <row r="477" spans="2:10" ht="15.75" customHeight="1">
      <c r="B477" s="29"/>
      <c r="C477" s="32"/>
      <c r="D477" s="31"/>
      <c r="E477" s="32"/>
      <c r="F477" s="33"/>
      <c r="G477" s="34"/>
      <c r="H477" s="34"/>
      <c r="I477" s="34"/>
      <c r="J477" s="13"/>
    </row>
    <row r="478" spans="2:10" ht="15.75" customHeight="1">
      <c r="B478" s="29"/>
      <c r="C478" s="32"/>
      <c r="D478" s="31"/>
      <c r="E478" s="32"/>
      <c r="F478" s="33"/>
      <c r="G478" s="34"/>
      <c r="H478" s="34"/>
      <c r="I478" s="34"/>
      <c r="J478" s="13"/>
    </row>
    <row r="479" spans="2:10" ht="15.75" customHeight="1">
      <c r="B479" s="29"/>
      <c r="C479" s="32"/>
      <c r="D479" s="31"/>
      <c r="E479" s="32"/>
      <c r="F479" s="33"/>
      <c r="G479" s="34"/>
      <c r="H479" s="34"/>
      <c r="I479" s="34"/>
      <c r="J479" s="13"/>
    </row>
    <row r="480" spans="2:10" ht="15.75" customHeight="1">
      <c r="B480" s="29"/>
      <c r="C480" s="32"/>
      <c r="D480" s="31"/>
      <c r="E480" s="32"/>
      <c r="F480" s="33"/>
      <c r="G480" s="34"/>
      <c r="H480" s="34"/>
      <c r="I480" s="34"/>
      <c r="J480" s="13"/>
    </row>
    <row r="481" spans="2:10" ht="15.75" customHeight="1">
      <c r="B481" s="29"/>
      <c r="C481" s="32"/>
      <c r="D481" s="31"/>
      <c r="E481" s="32"/>
      <c r="F481" s="33"/>
      <c r="G481" s="34"/>
      <c r="H481" s="34"/>
      <c r="I481" s="34"/>
      <c r="J481" s="13"/>
    </row>
    <row r="482" spans="2:10" ht="15.75" customHeight="1">
      <c r="B482" s="29"/>
      <c r="C482" s="32"/>
      <c r="D482" s="31"/>
      <c r="E482" s="32"/>
      <c r="F482" s="33"/>
      <c r="G482" s="34"/>
      <c r="H482" s="34"/>
      <c r="I482" s="34"/>
      <c r="J482" s="13"/>
    </row>
    <row r="483" spans="2:10" ht="15.75" customHeight="1">
      <c r="B483" s="29"/>
      <c r="C483" s="32"/>
      <c r="D483" s="31"/>
      <c r="E483" s="32"/>
      <c r="F483" s="33"/>
      <c r="G483" s="34"/>
      <c r="H483" s="34"/>
      <c r="I483" s="34"/>
      <c r="J483" s="13"/>
    </row>
    <row r="484" spans="2:10" ht="15.75" customHeight="1">
      <c r="B484" s="29"/>
      <c r="C484" s="32"/>
      <c r="D484" s="31"/>
      <c r="E484" s="32"/>
      <c r="F484" s="33"/>
      <c r="G484" s="34"/>
      <c r="H484" s="34"/>
      <c r="I484" s="34"/>
      <c r="J484" s="13"/>
    </row>
    <row r="485" spans="2:10" ht="15.75" customHeight="1">
      <c r="B485" s="29"/>
      <c r="C485" s="32"/>
      <c r="D485" s="31"/>
      <c r="E485" s="32"/>
      <c r="F485" s="33"/>
      <c r="G485" s="34"/>
      <c r="H485" s="34"/>
      <c r="I485" s="34"/>
      <c r="J485" s="13"/>
    </row>
    <row r="486" spans="2:10" ht="15.75" customHeight="1">
      <c r="B486" s="29"/>
      <c r="C486" s="32"/>
      <c r="D486" s="31"/>
      <c r="E486" s="32"/>
      <c r="F486" s="33"/>
      <c r="G486" s="34"/>
      <c r="H486" s="34"/>
      <c r="I486" s="34"/>
      <c r="J486" s="13"/>
    </row>
    <row r="487" spans="2:10" ht="15.75" customHeight="1">
      <c r="B487" s="29"/>
      <c r="C487" s="32"/>
      <c r="D487" s="31"/>
      <c r="E487" s="32"/>
      <c r="F487" s="33"/>
      <c r="G487" s="34"/>
      <c r="H487" s="34"/>
      <c r="I487" s="34"/>
      <c r="J487" s="13"/>
    </row>
    <row r="488" spans="2:10" ht="15.75" customHeight="1">
      <c r="B488" s="29"/>
      <c r="C488" s="32"/>
      <c r="D488" s="31"/>
      <c r="E488" s="32"/>
      <c r="F488" s="33"/>
      <c r="G488" s="34"/>
      <c r="H488" s="34"/>
      <c r="I488" s="34"/>
      <c r="J488" s="13"/>
    </row>
    <row r="489" spans="2:10" ht="15.75" customHeight="1">
      <c r="B489" s="29"/>
      <c r="C489" s="32"/>
      <c r="D489" s="31"/>
      <c r="E489" s="32"/>
      <c r="F489" s="33"/>
      <c r="G489" s="34"/>
      <c r="H489" s="34"/>
      <c r="I489" s="34"/>
      <c r="J489" s="13"/>
    </row>
    <row r="490" spans="2:10" ht="15.75" customHeight="1">
      <c r="B490" s="29"/>
      <c r="C490" s="32"/>
      <c r="D490" s="31"/>
      <c r="E490" s="32"/>
      <c r="F490" s="33"/>
      <c r="G490" s="34"/>
      <c r="H490" s="34"/>
      <c r="I490" s="34"/>
      <c r="J490" s="13"/>
    </row>
    <row r="491" spans="2:10" ht="15.75" customHeight="1">
      <c r="B491" s="29"/>
      <c r="C491" s="32"/>
      <c r="D491" s="31"/>
      <c r="E491" s="32"/>
      <c r="F491" s="33"/>
      <c r="G491" s="34"/>
      <c r="H491" s="34"/>
      <c r="I491" s="34"/>
      <c r="J491" s="13"/>
    </row>
    <row r="492" spans="2:10" ht="15.75" customHeight="1">
      <c r="B492" s="29"/>
      <c r="C492" s="32"/>
      <c r="D492" s="31"/>
      <c r="E492" s="32"/>
      <c r="F492" s="33"/>
      <c r="G492" s="34"/>
      <c r="H492" s="34"/>
      <c r="I492" s="34"/>
      <c r="J492" s="13"/>
    </row>
    <row r="493" spans="2:10" ht="15.75" customHeight="1">
      <c r="B493" s="29"/>
      <c r="C493" s="32"/>
      <c r="D493" s="31"/>
      <c r="E493" s="32"/>
      <c r="F493" s="33"/>
      <c r="G493" s="34"/>
      <c r="H493" s="34"/>
      <c r="I493" s="34"/>
      <c r="J493" s="13"/>
    </row>
    <row r="494" spans="2:10" ht="15.75" customHeight="1">
      <c r="B494" s="29"/>
      <c r="C494" s="32"/>
      <c r="D494" s="31"/>
      <c r="E494" s="32"/>
      <c r="F494" s="33"/>
      <c r="G494" s="34"/>
      <c r="H494" s="34"/>
      <c r="I494" s="34"/>
      <c r="J494" s="13"/>
    </row>
    <row r="495" spans="2:10" ht="15.75" customHeight="1">
      <c r="B495" s="29"/>
      <c r="C495" s="32"/>
      <c r="D495" s="31"/>
      <c r="E495" s="32"/>
      <c r="F495" s="33"/>
      <c r="G495" s="34"/>
      <c r="H495" s="34"/>
      <c r="I495" s="34"/>
      <c r="J495" s="13"/>
    </row>
    <row r="496" spans="2:10" ht="15.75" customHeight="1">
      <c r="B496" s="29"/>
      <c r="C496" s="32"/>
      <c r="D496" s="31"/>
      <c r="E496" s="32"/>
      <c r="F496" s="33"/>
      <c r="G496" s="34"/>
      <c r="H496" s="34"/>
      <c r="I496" s="34"/>
      <c r="J496" s="13"/>
    </row>
    <row r="497" spans="2:10" ht="15.75" customHeight="1">
      <c r="B497" s="29"/>
      <c r="C497" s="32"/>
      <c r="D497" s="31"/>
      <c r="E497" s="32"/>
      <c r="F497" s="33"/>
      <c r="G497" s="34"/>
      <c r="H497" s="34"/>
      <c r="I497" s="34"/>
      <c r="J497" s="13"/>
    </row>
    <row r="498" spans="2:10" ht="15.75" customHeight="1">
      <c r="B498" s="29"/>
      <c r="C498" s="32"/>
      <c r="D498" s="31"/>
      <c r="E498" s="32"/>
      <c r="F498" s="33"/>
      <c r="G498" s="34"/>
      <c r="H498" s="34"/>
      <c r="I498" s="34"/>
      <c r="J498" s="13"/>
    </row>
    <row r="499" spans="2:10" ht="15.75" customHeight="1">
      <c r="B499" s="29"/>
      <c r="C499" s="32"/>
      <c r="D499" s="31"/>
      <c r="E499" s="32"/>
      <c r="F499" s="33"/>
      <c r="G499" s="34"/>
      <c r="H499" s="34"/>
      <c r="I499" s="34"/>
      <c r="J499" s="13"/>
    </row>
    <row r="500" spans="2:10" ht="15.75" customHeight="1">
      <c r="B500" s="29"/>
      <c r="C500" s="32"/>
      <c r="D500" s="31"/>
      <c r="E500" s="32"/>
      <c r="F500" s="33"/>
      <c r="G500" s="34"/>
      <c r="H500" s="34"/>
      <c r="I500" s="34"/>
      <c r="J500" s="13"/>
    </row>
    <row r="501" spans="2:10" ht="15.75" customHeight="1">
      <c r="B501" s="29"/>
      <c r="C501" s="32"/>
      <c r="D501" s="31"/>
      <c r="E501" s="32"/>
      <c r="F501" s="33"/>
      <c r="G501" s="34"/>
      <c r="H501" s="34"/>
      <c r="I501" s="34"/>
      <c r="J501" s="13"/>
    </row>
    <row r="502" spans="2:10" ht="15.75" customHeight="1">
      <c r="B502" s="29"/>
      <c r="C502" s="32"/>
      <c r="D502" s="31"/>
      <c r="E502" s="32"/>
      <c r="F502" s="33"/>
      <c r="G502" s="34"/>
      <c r="H502" s="34"/>
      <c r="I502" s="34"/>
      <c r="J502" s="13"/>
    </row>
    <row r="503" spans="2:10" ht="15.75" customHeight="1">
      <c r="B503" s="29"/>
      <c r="C503" s="32"/>
      <c r="D503" s="31"/>
      <c r="E503" s="32"/>
      <c r="F503" s="33"/>
      <c r="G503" s="34"/>
      <c r="H503" s="34"/>
      <c r="I503" s="34"/>
      <c r="J503" s="13"/>
    </row>
    <row r="504" spans="2:10" ht="15.75" customHeight="1">
      <c r="B504" s="29"/>
      <c r="C504" s="32"/>
      <c r="D504" s="31"/>
      <c r="E504" s="32"/>
      <c r="F504" s="33"/>
      <c r="G504" s="34"/>
      <c r="H504" s="34"/>
      <c r="I504" s="34"/>
      <c r="J504" s="13"/>
    </row>
    <row r="505" spans="2:10" ht="15.75" customHeight="1">
      <c r="B505" s="29"/>
      <c r="C505" s="32"/>
      <c r="D505" s="31"/>
      <c r="E505" s="32"/>
      <c r="F505" s="33"/>
      <c r="G505" s="34"/>
      <c r="H505" s="34"/>
      <c r="I505" s="34"/>
      <c r="J505" s="13"/>
    </row>
    <row r="506" spans="2:10" ht="15.75" customHeight="1">
      <c r="B506" s="29"/>
      <c r="C506" s="32"/>
      <c r="D506" s="31"/>
      <c r="E506" s="32"/>
      <c r="F506" s="33"/>
      <c r="G506" s="34"/>
      <c r="H506" s="34"/>
      <c r="I506" s="34"/>
      <c r="J506" s="13"/>
    </row>
    <row r="507" spans="2:10" ht="15.75" customHeight="1">
      <c r="B507" s="29"/>
      <c r="C507" s="32"/>
      <c r="D507" s="31"/>
      <c r="E507" s="32"/>
      <c r="F507" s="33"/>
      <c r="G507" s="34"/>
      <c r="H507" s="34"/>
      <c r="I507" s="34"/>
      <c r="J507" s="13"/>
    </row>
    <row r="508" spans="2:10" ht="15.75" customHeight="1">
      <c r="B508" s="29"/>
      <c r="C508" s="32"/>
      <c r="D508" s="31"/>
      <c r="E508" s="32"/>
      <c r="F508" s="33"/>
      <c r="G508" s="34"/>
      <c r="H508" s="34"/>
      <c r="I508" s="34"/>
      <c r="J508" s="13"/>
    </row>
    <row r="509" spans="2:10" ht="15.75" customHeight="1">
      <c r="B509" s="29"/>
      <c r="C509" s="32"/>
      <c r="D509" s="31"/>
      <c r="E509" s="32"/>
      <c r="F509" s="33"/>
      <c r="G509" s="34"/>
      <c r="H509" s="34"/>
      <c r="I509" s="34"/>
      <c r="J509" s="13"/>
    </row>
    <row r="510" spans="2:10" ht="15.75" customHeight="1">
      <c r="B510" s="29"/>
      <c r="C510" s="32"/>
      <c r="D510" s="31"/>
      <c r="E510" s="32"/>
      <c r="F510" s="33"/>
      <c r="G510" s="34"/>
      <c r="H510" s="34"/>
      <c r="I510" s="34"/>
      <c r="J510" s="13"/>
    </row>
    <row r="511" spans="2:10" ht="15.75" customHeight="1">
      <c r="B511" s="29"/>
      <c r="C511" s="32"/>
      <c r="D511" s="31"/>
      <c r="E511" s="32"/>
      <c r="F511" s="33"/>
      <c r="G511" s="34"/>
      <c r="H511" s="34"/>
      <c r="I511" s="34"/>
      <c r="J511" s="13"/>
    </row>
    <row r="512" spans="2:10" ht="15.75" customHeight="1">
      <c r="B512" s="29"/>
      <c r="C512" s="32"/>
      <c r="D512" s="31"/>
      <c r="E512" s="32"/>
      <c r="F512" s="33"/>
      <c r="G512" s="34"/>
      <c r="H512" s="34"/>
      <c r="I512" s="34"/>
      <c r="J512" s="13"/>
    </row>
    <row r="513" spans="2:10" ht="15.75" customHeight="1">
      <c r="B513" s="29"/>
      <c r="C513" s="32"/>
      <c r="D513" s="31"/>
      <c r="E513" s="32"/>
      <c r="F513" s="33"/>
      <c r="G513" s="34"/>
      <c r="H513" s="34"/>
      <c r="I513" s="34"/>
      <c r="J513" s="13"/>
    </row>
    <row r="514" spans="2:10" ht="15.75" customHeight="1">
      <c r="B514" s="29"/>
      <c r="C514" s="32"/>
      <c r="D514" s="31"/>
      <c r="E514" s="32"/>
      <c r="F514" s="33"/>
      <c r="G514" s="34"/>
      <c r="H514" s="34"/>
      <c r="I514" s="34"/>
      <c r="J514" s="13"/>
    </row>
    <row r="515" spans="2:10" ht="15.75" customHeight="1">
      <c r="B515" s="29"/>
      <c r="C515" s="32"/>
      <c r="D515" s="31"/>
      <c r="E515" s="32"/>
      <c r="F515" s="33"/>
      <c r="G515" s="34"/>
      <c r="H515" s="34"/>
      <c r="I515" s="34"/>
      <c r="J515" s="13"/>
    </row>
    <row r="516" spans="2:10" ht="15.75" customHeight="1">
      <c r="B516" s="29"/>
      <c r="C516" s="32"/>
      <c r="D516" s="31"/>
      <c r="E516" s="32"/>
      <c r="F516" s="33"/>
      <c r="G516" s="34"/>
      <c r="H516" s="34"/>
      <c r="I516" s="34"/>
      <c r="J516" s="13"/>
    </row>
    <row r="517" spans="2:10" ht="15.75" customHeight="1">
      <c r="B517" s="29"/>
      <c r="C517" s="32"/>
      <c r="D517" s="31"/>
      <c r="E517" s="32"/>
      <c r="F517" s="33"/>
      <c r="G517" s="34"/>
      <c r="H517" s="34"/>
      <c r="I517" s="34"/>
      <c r="J517" s="13"/>
    </row>
    <row r="518" spans="2:10" ht="15.75" customHeight="1">
      <c r="B518" s="29"/>
      <c r="C518" s="32"/>
      <c r="D518" s="31"/>
      <c r="E518" s="32"/>
      <c r="F518" s="33"/>
      <c r="G518" s="34"/>
      <c r="H518" s="34"/>
      <c r="I518" s="34"/>
      <c r="J518" s="13"/>
    </row>
    <row r="519" spans="2:10" ht="15.75" customHeight="1">
      <c r="B519" s="29"/>
      <c r="C519" s="32"/>
      <c r="D519" s="31"/>
      <c r="E519" s="32"/>
      <c r="F519" s="33"/>
      <c r="G519" s="34"/>
      <c r="H519" s="34"/>
      <c r="I519" s="34"/>
      <c r="J519" s="13"/>
    </row>
    <row r="520" spans="2:10" ht="15.75" customHeight="1">
      <c r="B520" s="29"/>
      <c r="C520" s="32"/>
      <c r="D520" s="31"/>
      <c r="E520" s="32"/>
      <c r="F520" s="33"/>
      <c r="G520" s="34"/>
      <c r="H520" s="34"/>
      <c r="I520" s="34"/>
      <c r="J520" s="13"/>
    </row>
    <row r="521" spans="2:10" ht="15.75" customHeight="1">
      <c r="B521" s="29"/>
      <c r="C521" s="32"/>
      <c r="D521" s="31"/>
      <c r="E521" s="32"/>
      <c r="F521" s="33"/>
      <c r="G521" s="34"/>
      <c r="H521" s="34"/>
      <c r="I521" s="34"/>
      <c r="J521" s="13"/>
    </row>
    <row r="522" spans="2:10" ht="15.75" customHeight="1">
      <c r="B522" s="29"/>
      <c r="C522" s="32"/>
      <c r="D522" s="31"/>
      <c r="E522" s="32"/>
      <c r="F522" s="33"/>
      <c r="G522" s="34"/>
      <c r="H522" s="34"/>
      <c r="I522" s="34"/>
      <c r="J522" s="13"/>
    </row>
    <row r="523" spans="2:10" ht="15.75" customHeight="1">
      <c r="B523" s="29"/>
      <c r="C523" s="32"/>
      <c r="D523" s="31"/>
      <c r="E523" s="32"/>
      <c r="F523" s="33"/>
      <c r="G523" s="34"/>
      <c r="H523" s="34"/>
      <c r="I523" s="34"/>
      <c r="J523" s="13"/>
    </row>
    <row r="524" spans="2:10" ht="15.75" customHeight="1">
      <c r="B524" s="29"/>
      <c r="C524" s="32"/>
      <c r="D524" s="31"/>
      <c r="E524" s="32"/>
      <c r="F524" s="33"/>
      <c r="G524" s="34"/>
      <c r="H524" s="34"/>
      <c r="I524" s="34"/>
      <c r="J524" s="13"/>
    </row>
    <row r="525" spans="2:10" ht="15.75" customHeight="1">
      <c r="B525" s="29"/>
      <c r="C525" s="32"/>
      <c r="D525" s="31"/>
      <c r="E525" s="32"/>
      <c r="F525" s="33"/>
      <c r="G525" s="34"/>
      <c r="H525" s="34"/>
      <c r="I525" s="34"/>
      <c r="J525" s="13"/>
    </row>
    <row r="526" spans="2:10" ht="15.75" customHeight="1">
      <c r="B526" s="29"/>
      <c r="C526" s="32"/>
      <c r="D526" s="31"/>
      <c r="E526" s="32"/>
      <c r="F526" s="33"/>
      <c r="G526" s="34"/>
      <c r="H526" s="34"/>
      <c r="I526" s="34"/>
      <c r="J526" s="13"/>
    </row>
    <row r="527" spans="2:10" ht="15.75" customHeight="1">
      <c r="B527" s="29"/>
      <c r="C527" s="32"/>
      <c r="D527" s="31"/>
      <c r="E527" s="32"/>
      <c r="F527" s="33"/>
      <c r="G527" s="34"/>
      <c r="H527" s="34"/>
      <c r="I527" s="34"/>
      <c r="J527" s="13"/>
    </row>
    <row r="528" spans="2:10" ht="15.75" customHeight="1">
      <c r="B528" s="29"/>
      <c r="C528" s="32"/>
      <c r="D528" s="31"/>
      <c r="E528" s="32"/>
      <c r="F528" s="33"/>
      <c r="G528" s="34"/>
      <c r="H528" s="34"/>
      <c r="I528" s="34"/>
      <c r="J528" s="13"/>
    </row>
    <row r="529" spans="2:10" ht="15.75" customHeight="1">
      <c r="B529" s="29"/>
      <c r="C529" s="32"/>
      <c r="D529" s="31"/>
      <c r="E529" s="32"/>
      <c r="F529" s="33"/>
      <c r="G529" s="34"/>
      <c r="H529" s="34"/>
      <c r="I529" s="34"/>
      <c r="J529" s="13"/>
    </row>
    <row r="530" spans="2:10" ht="15.75" customHeight="1">
      <c r="B530" s="29"/>
      <c r="C530" s="32"/>
      <c r="D530" s="31"/>
      <c r="E530" s="32"/>
      <c r="F530" s="33"/>
      <c r="G530" s="34"/>
      <c r="H530" s="34"/>
      <c r="I530" s="34"/>
      <c r="J530" s="13"/>
    </row>
    <row r="531" spans="2:10" ht="15.75" customHeight="1">
      <c r="B531" s="29"/>
      <c r="C531" s="32"/>
      <c r="D531" s="31"/>
      <c r="E531" s="32"/>
      <c r="F531" s="33"/>
      <c r="G531" s="34"/>
      <c r="H531" s="34"/>
      <c r="I531" s="34"/>
      <c r="J531" s="13"/>
    </row>
    <row r="532" spans="2:10" ht="15.75" customHeight="1">
      <c r="B532" s="29"/>
      <c r="C532" s="32"/>
      <c r="D532" s="31"/>
      <c r="E532" s="32"/>
      <c r="F532" s="33"/>
      <c r="G532" s="34"/>
      <c r="H532" s="34"/>
      <c r="I532" s="34"/>
      <c r="J532" s="13"/>
    </row>
    <row r="533" spans="2:10" ht="15.75" customHeight="1">
      <c r="B533" s="29"/>
      <c r="C533" s="32"/>
      <c r="D533" s="31"/>
      <c r="E533" s="32"/>
      <c r="F533" s="33"/>
      <c r="G533" s="34"/>
      <c r="H533" s="34"/>
      <c r="I533" s="34"/>
      <c r="J533" s="13"/>
    </row>
    <row r="534" spans="2:10" ht="15.75" customHeight="1">
      <c r="B534" s="29"/>
      <c r="C534" s="32"/>
      <c r="D534" s="31"/>
      <c r="E534" s="32"/>
      <c r="F534" s="33"/>
      <c r="G534" s="34"/>
      <c r="H534" s="34"/>
      <c r="I534" s="34"/>
      <c r="J534" s="13"/>
    </row>
    <row r="535" spans="2:10" ht="15.75" customHeight="1">
      <c r="B535" s="29"/>
      <c r="C535" s="32"/>
      <c r="D535" s="31"/>
      <c r="E535" s="32"/>
      <c r="F535" s="33"/>
      <c r="G535" s="34"/>
      <c r="H535" s="34"/>
      <c r="I535" s="34"/>
      <c r="J535" s="13"/>
    </row>
    <row r="536" spans="2:10" ht="15.75" customHeight="1">
      <c r="B536" s="29"/>
      <c r="C536" s="32"/>
      <c r="D536" s="31"/>
      <c r="E536" s="32"/>
      <c r="F536" s="33"/>
      <c r="G536" s="34"/>
      <c r="H536" s="34"/>
      <c r="I536" s="34"/>
      <c r="J536" s="13"/>
    </row>
    <row r="537" spans="2:10" ht="15.75" customHeight="1">
      <c r="B537" s="29"/>
      <c r="C537" s="32"/>
      <c r="D537" s="31"/>
      <c r="E537" s="32"/>
      <c r="F537" s="33"/>
      <c r="G537" s="34"/>
      <c r="H537" s="34"/>
      <c r="I537" s="34"/>
      <c r="J537" s="13"/>
    </row>
    <row r="538" spans="2:10" ht="15.75" customHeight="1">
      <c r="B538" s="29"/>
      <c r="C538" s="32"/>
      <c r="D538" s="31"/>
      <c r="E538" s="32"/>
      <c r="F538" s="33"/>
      <c r="G538" s="34"/>
      <c r="H538" s="34"/>
      <c r="I538" s="34"/>
      <c r="J538" s="13"/>
    </row>
    <row r="539" spans="2:10" ht="15.75" customHeight="1">
      <c r="B539" s="29"/>
      <c r="C539" s="32"/>
      <c r="D539" s="31"/>
      <c r="E539" s="32"/>
      <c r="F539" s="33"/>
      <c r="G539" s="34"/>
      <c r="H539" s="34"/>
      <c r="I539" s="34"/>
      <c r="J539" s="13"/>
    </row>
    <row r="540" spans="2:10" ht="15.75" customHeight="1">
      <c r="B540" s="29"/>
      <c r="C540" s="32"/>
      <c r="D540" s="31"/>
      <c r="E540" s="32"/>
      <c r="F540" s="33"/>
      <c r="G540" s="34"/>
      <c r="H540" s="34"/>
      <c r="I540" s="34"/>
      <c r="J540" s="13"/>
    </row>
    <row r="541" spans="2:10" ht="15.75" customHeight="1">
      <c r="B541" s="29"/>
      <c r="C541" s="32"/>
      <c r="D541" s="31"/>
      <c r="E541" s="32"/>
      <c r="F541" s="33"/>
      <c r="G541" s="34"/>
      <c r="H541" s="34"/>
      <c r="I541" s="34"/>
      <c r="J541" s="13"/>
    </row>
    <row r="542" spans="2:10" ht="15.75" customHeight="1">
      <c r="B542" s="29"/>
      <c r="C542" s="32"/>
      <c r="D542" s="31"/>
      <c r="E542" s="32"/>
      <c r="F542" s="33"/>
      <c r="G542" s="34"/>
      <c r="H542" s="34"/>
      <c r="I542" s="34"/>
      <c r="J542" s="13"/>
    </row>
    <row r="543" spans="2:10" ht="15.75" customHeight="1">
      <c r="B543" s="29"/>
      <c r="C543" s="32"/>
      <c r="D543" s="31"/>
      <c r="E543" s="32"/>
      <c r="F543" s="33"/>
      <c r="G543" s="34"/>
      <c r="H543" s="34"/>
      <c r="I543" s="34"/>
      <c r="J543" s="13"/>
    </row>
    <row r="544" spans="2:10" ht="15.75" customHeight="1">
      <c r="B544" s="29"/>
      <c r="C544" s="32"/>
      <c r="D544" s="31"/>
      <c r="E544" s="32"/>
      <c r="F544" s="33"/>
      <c r="G544" s="34"/>
      <c r="H544" s="34"/>
      <c r="I544" s="34"/>
      <c r="J544" s="13"/>
    </row>
    <row r="545" spans="2:10" ht="15.75" customHeight="1">
      <c r="B545" s="29"/>
      <c r="C545" s="32"/>
      <c r="D545" s="31"/>
      <c r="E545" s="32"/>
      <c r="F545" s="33"/>
      <c r="G545" s="34"/>
      <c r="H545" s="34"/>
      <c r="I545" s="34"/>
      <c r="J545" s="13"/>
    </row>
    <row r="546" spans="2:10" ht="15.75" customHeight="1">
      <c r="B546" s="29"/>
      <c r="C546" s="32"/>
      <c r="D546" s="31"/>
      <c r="E546" s="32"/>
      <c r="F546" s="33"/>
      <c r="G546" s="34"/>
      <c r="H546" s="34"/>
      <c r="I546" s="34"/>
      <c r="J546" s="13"/>
    </row>
    <row r="547" spans="2:10" ht="15.75" customHeight="1">
      <c r="B547" s="29"/>
      <c r="C547" s="32"/>
      <c r="D547" s="31"/>
      <c r="E547" s="32"/>
      <c r="F547" s="33"/>
      <c r="G547" s="34"/>
      <c r="H547" s="34"/>
      <c r="I547" s="34"/>
      <c r="J547" s="13"/>
    </row>
    <row r="548" spans="2:10" ht="15.75" customHeight="1">
      <c r="B548" s="29"/>
      <c r="C548" s="32"/>
      <c r="D548" s="31"/>
      <c r="E548" s="32"/>
      <c r="F548" s="33"/>
      <c r="G548" s="34"/>
      <c r="H548" s="34"/>
      <c r="I548" s="34"/>
      <c r="J548" s="13"/>
    </row>
    <row r="549" spans="2:10" ht="15.75" customHeight="1">
      <c r="B549" s="29"/>
      <c r="C549" s="32"/>
      <c r="D549" s="31"/>
      <c r="E549" s="32"/>
      <c r="F549" s="33"/>
      <c r="G549" s="34"/>
      <c r="H549" s="34"/>
      <c r="I549" s="34"/>
      <c r="J549" s="13"/>
    </row>
    <row r="550" spans="2:10" ht="15.75" customHeight="1">
      <c r="B550" s="29"/>
      <c r="C550" s="32"/>
      <c r="D550" s="31"/>
      <c r="E550" s="32"/>
      <c r="F550" s="33"/>
      <c r="G550" s="34"/>
      <c r="H550" s="34"/>
      <c r="I550" s="34"/>
      <c r="J550" s="13"/>
    </row>
    <row r="551" spans="2:10" ht="15.75" customHeight="1">
      <c r="B551" s="29"/>
      <c r="C551" s="32"/>
      <c r="D551" s="31"/>
      <c r="E551" s="32"/>
      <c r="F551" s="33"/>
      <c r="G551" s="34"/>
      <c r="H551" s="34"/>
      <c r="I551" s="34"/>
      <c r="J551" s="13"/>
    </row>
    <row r="552" spans="2:10" ht="15.75" customHeight="1">
      <c r="B552" s="29"/>
      <c r="C552" s="32"/>
      <c r="D552" s="31"/>
      <c r="E552" s="32"/>
      <c r="F552" s="33"/>
      <c r="G552" s="34"/>
      <c r="H552" s="34"/>
      <c r="I552" s="34"/>
      <c r="J552" s="13"/>
    </row>
    <row r="553" spans="2:10" ht="15.75" customHeight="1">
      <c r="B553" s="29"/>
      <c r="C553" s="32"/>
      <c r="D553" s="31"/>
      <c r="E553" s="32"/>
      <c r="F553" s="33"/>
      <c r="G553" s="34"/>
      <c r="H553" s="34"/>
      <c r="I553" s="34"/>
      <c r="J553" s="13"/>
    </row>
    <row r="554" spans="2:10" ht="15.75" customHeight="1">
      <c r="B554" s="29"/>
      <c r="C554" s="32"/>
      <c r="D554" s="31"/>
      <c r="E554" s="32"/>
      <c r="F554" s="33"/>
      <c r="G554" s="34"/>
      <c r="H554" s="34"/>
      <c r="I554" s="34"/>
      <c r="J554" s="13"/>
    </row>
    <row r="555" spans="2:10" ht="15.75" customHeight="1">
      <c r="B555" s="29"/>
      <c r="C555" s="32"/>
      <c r="D555" s="31"/>
      <c r="E555" s="32"/>
      <c r="F555" s="33"/>
      <c r="G555" s="34"/>
      <c r="H555" s="34"/>
      <c r="I555" s="34"/>
      <c r="J555" s="13"/>
    </row>
    <row r="556" spans="2:10" ht="15.75" customHeight="1">
      <c r="B556" s="29"/>
      <c r="C556" s="32"/>
      <c r="D556" s="31"/>
      <c r="E556" s="32"/>
      <c r="F556" s="33"/>
      <c r="G556" s="34"/>
      <c r="H556" s="34"/>
      <c r="I556" s="34"/>
      <c r="J556" s="13"/>
    </row>
    <row r="557" spans="2:10" ht="15.75" customHeight="1">
      <c r="B557" s="29"/>
      <c r="C557" s="32"/>
      <c r="D557" s="31"/>
      <c r="E557" s="32"/>
      <c r="F557" s="33"/>
      <c r="G557" s="34"/>
      <c r="H557" s="34"/>
      <c r="I557" s="34"/>
      <c r="J557" s="13"/>
    </row>
    <row r="558" spans="2:10" ht="15.75" customHeight="1">
      <c r="B558" s="29"/>
      <c r="C558" s="32"/>
      <c r="D558" s="31"/>
      <c r="E558" s="32"/>
      <c r="F558" s="33"/>
      <c r="G558" s="34"/>
      <c r="H558" s="34"/>
      <c r="I558" s="34"/>
      <c r="J558" s="13"/>
    </row>
    <row r="559" spans="2:10" ht="15.75" customHeight="1">
      <c r="B559" s="29"/>
      <c r="C559" s="32"/>
      <c r="D559" s="31"/>
      <c r="E559" s="32"/>
      <c r="F559" s="33"/>
      <c r="G559" s="34"/>
      <c r="H559" s="34"/>
      <c r="I559" s="34"/>
      <c r="J559" s="13"/>
    </row>
    <row r="560" spans="2:10" ht="15.75" customHeight="1">
      <c r="B560" s="29"/>
      <c r="C560" s="32"/>
      <c r="D560" s="31"/>
      <c r="E560" s="32"/>
      <c r="F560" s="33"/>
      <c r="G560" s="34"/>
      <c r="H560" s="34"/>
      <c r="I560" s="34"/>
      <c r="J560" s="13"/>
    </row>
    <row r="561" spans="2:10" ht="15.75" customHeight="1">
      <c r="B561" s="29"/>
      <c r="C561" s="32"/>
      <c r="D561" s="31"/>
      <c r="E561" s="32"/>
      <c r="F561" s="33"/>
      <c r="G561" s="34"/>
      <c r="H561" s="34"/>
      <c r="I561" s="34"/>
      <c r="J561" s="13"/>
    </row>
    <row r="562" spans="2:10" ht="15.75" customHeight="1">
      <c r="B562" s="29"/>
      <c r="C562" s="32"/>
      <c r="D562" s="31"/>
      <c r="E562" s="32"/>
      <c r="F562" s="33"/>
      <c r="G562" s="34"/>
      <c r="H562" s="34"/>
      <c r="I562" s="34"/>
      <c r="J562" s="13"/>
    </row>
    <row r="563" spans="2:10" ht="15.75" customHeight="1">
      <c r="B563" s="29"/>
      <c r="C563" s="32"/>
      <c r="D563" s="31"/>
      <c r="E563" s="32"/>
      <c r="F563" s="33"/>
      <c r="G563" s="34"/>
      <c r="H563" s="34"/>
      <c r="I563" s="34"/>
      <c r="J563" s="13"/>
    </row>
    <row r="564" spans="2:10" ht="15.75" customHeight="1">
      <c r="B564" s="29"/>
      <c r="C564" s="32"/>
      <c r="D564" s="31"/>
      <c r="E564" s="32"/>
      <c r="F564" s="33"/>
      <c r="G564" s="34"/>
      <c r="H564" s="34"/>
      <c r="I564" s="34"/>
      <c r="J564" s="13"/>
    </row>
    <row r="565" spans="2:10" ht="15.75" customHeight="1">
      <c r="B565" s="29"/>
      <c r="C565" s="32"/>
      <c r="D565" s="31"/>
      <c r="E565" s="32"/>
      <c r="F565" s="33"/>
      <c r="G565" s="34"/>
      <c r="H565" s="34"/>
      <c r="I565" s="34"/>
      <c r="J565" s="13"/>
    </row>
    <row r="566" spans="2:10" ht="15.75" customHeight="1">
      <c r="B566" s="29"/>
      <c r="C566" s="32"/>
      <c r="D566" s="31"/>
      <c r="E566" s="32"/>
      <c r="F566" s="33"/>
      <c r="G566" s="34"/>
      <c r="H566" s="34"/>
      <c r="I566" s="34"/>
      <c r="J566" s="13"/>
    </row>
    <row r="567" spans="2:10" ht="15.75" customHeight="1">
      <c r="B567" s="29"/>
      <c r="C567" s="32"/>
      <c r="D567" s="31"/>
      <c r="E567" s="32"/>
      <c r="F567" s="33"/>
      <c r="G567" s="34"/>
      <c r="H567" s="34"/>
      <c r="I567" s="34"/>
      <c r="J567" s="13"/>
    </row>
    <row r="568" spans="2:10" ht="15.75" customHeight="1">
      <c r="B568" s="29"/>
      <c r="C568" s="32"/>
      <c r="D568" s="31"/>
      <c r="E568" s="32"/>
      <c r="F568" s="33"/>
      <c r="G568" s="34"/>
      <c r="H568" s="34"/>
      <c r="I568" s="34"/>
      <c r="J568" s="13"/>
    </row>
    <row r="569" spans="2:10" ht="15.75" customHeight="1">
      <c r="B569" s="29"/>
      <c r="C569" s="32"/>
      <c r="D569" s="31"/>
      <c r="E569" s="32"/>
      <c r="F569" s="33"/>
      <c r="G569" s="34"/>
      <c r="H569" s="34"/>
      <c r="I569" s="34"/>
      <c r="J569" s="13"/>
    </row>
    <row r="570" spans="2:10" ht="15.75" customHeight="1">
      <c r="B570" s="29"/>
      <c r="C570" s="32"/>
      <c r="D570" s="31"/>
      <c r="E570" s="32"/>
      <c r="F570" s="33"/>
      <c r="G570" s="34"/>
      <c r="H570" s="34"/>
      <c r="I570" s="34"/>
      <c r="J570" s="13"/>
    </row>
    <row r="571" spans="2:10" ht="15.75" customHeight="1">
      <c r="B571" s="29"/>
      <c r="C571" s="32"/>
      <c r="D571" s="31"/>
      <c r="E571" s="32"/>
      <c r="F571" s="33"/>
      <c r="G571" s="34"/>
      <c r="H571" s="34"/>
      <c r="I571" s="34"/>
      <c r="J571" s="13"/>
    </row>
    <row r="572" spans="2:10" ht="15.75" customHeight="1">
      <c r="B572" s="29"/>
      <c r="C572" s="32"/>
      <c r="D572" s="31"/>
      <c r="E572" s="32"/>
      <c r="F572" s="33"/>
      <c r="G572" s="34"/>
      <c r="H572" s="34"/>
      <c r="I572" s="34"/>
      <c r="J572" s="13"/>
    </row>
    <row r="573" spans="2:10" ht="15.75" customHeight="1">
      <c r="B573" s="29"/>
      <c r="C573" s="32"/>
      <c r="D573" s="31"/>
      <c r="E573" s="32"/>
      <c r="F573" s="33"/>
      <c r="G573" s="34"/>
      <c r="H573" s="34"/>
      <c r="I573" s="34"/>
      <c r="J573" s="13"/>
    </row>
    <row r="574" spans="2:10" ht="15.75" customHeight="1">
      <c r="B574" s="29"/>
      <c r="C574" s="32"/>
      <c r="D574" s="31"/>
      <c r="E574" s="32"/>
      <c r="F574" s="33"/>
      <c r="G574" s="34"/>
      <c r="H574" s="34"/>
      <c r="I574" s="34"/>
      <c r="J574" s="13"/>
    </row>
    <row r="575" spans="2:10" ht="15.75" customHeight="1">
      <c r="B575" s="29"/>
      <c r="C575" s="32"/>
      <c r="D575" s="31"/>
      <c r="E575" s="32"/>
      <c r="F575" s="33"/>
      <c r="G575" s="34"/>
      <c r="H575" s="34"/>
      <c r="I575" s="34"/>
      <c r="J575" s="13"/>
    </row>
    <row r="576" spans="2:10" ht="15.75" customHeight="1">
      <c r="B576" s="29"/>
      <c r="C576" s="32"/>
      <c r="D576" s="31"/>
      <c r="E576" s="32"/>
      <c r="F576" s="33"/>
      <c r="G576" s="34"/>
      <c r="H576" s="34"/>
      <c r="I576" s="34"/>
      <c r="J576" s="13"/>
    </row>
    <row r="577" spans="2:10" ht="15.75" customHeight="1">
      <c r="B577" s="29"/>
      <c r="C577" s="32"/>
      <c r="D577" s="31"/>
      <c r="E577" s="32"/>
      <c r="F577" s="33"/>
      <c r="G577" s="34"/>
      <c r="H577" s="34"/>
      <c r="I577" s="34"/>
      <c r="J577" s="13"/>
    </row>
    <row r="578" spans="2:10" ht="15.75" customHeight="1">
      <c r="B578" s="29"/>
      <c r="C578" s="32"/>
      <c r="D578" s="31"/>
      <c r="E578" s="32"/>
      <c r="F578" s="33"/>
      <c r="G578" s="34"/>
      <c r="H578" s="34"/>
      <c r="I578" s="34"/>
      <c r="J578" s="13"/>
    </row>
    <row r="579" spans="2:10" ht="15.75" customHeight="1">
      <c r="B579" s="29"/>
      <c r="C579" s="32"/>
      <c r="D579" s="31"/>
      <c r="E579" s="32"/>
      <c r="F579" s="33"/>
      <c r="G579" s="34"/>
      <c r="H579" s="34"/>
      <c r="I579" s="34"/>
      <c r="J579" s="13"/>
    </row>
    <row r="580" spans="2:10" ht="15.75" customHeight="1">
      <c r="B580" s="29"/>
      <c r="C580" s="32"/>
      <c r="D580" s="31"/>
      <c r="E580" s="32"/>
      <c r="F580" s="33"/>
      <c r="G580" s="34"/>
      <c r="H580" s="34"/>
      <c r="I580" s="34"/>
      <c r="J580" s="13"/>
    </row>
    <row r="581" spans="2:10" ht="15.75" customHeight="1">
      <c r="B581" s="29"/>
      <c r="C581" s="32"/>
      <c r="D581" s="31"/>
      <c r="E581" s="32"/>
      <c r="F581" s="33"/>
      <c r="G581" s="34"/>
      <c r="H581" s="34"/>
      <c r="I581" s="34"/>
      <c r="J581" s="13"/>
    </row>
    <row r="582" spans="2:10" ht="15.75" customHeight="1">
      <c r="B582" s="29"/>
      <c r="C582" s="32"/>
      <c r="D582" s="31"/>
      <c r="E582" s="32"/>
      <c r="F582" s="33"/>
      <c r="G582" s="34"/>
      <c r="H582" s="34"/>
      <c r="I582" s="34"/>
      <c r="J582" s="13"/>
    </row>
    <row r="583" spans="2:10" ht="15.75" customHeight="1">
      <c r="B583" s="29"/>
      <c r="C583" s="32"/>
      <c r="D583" s="31"/>
      <c r="E583" s="32"/>
      <c r="F583" s="33"/>
      <c r="G583" s="34"/>
      <c r="H583" s="34"/>
      <c r="I583" s="34"/>
      <c r="J583" s="13"/>
    </row>
    <row r="584" spans="2:10" ht="15.75" customHeight="1">
      <c r="B584" s="29"/>
      <c r="C584" s="32"/>
      <c r="D584" s="31"/>
      <c r="E584" s="32"/>
      <c r="F584" s="33"/>
      <c r="G584" s="34"/>
      <c r="H584" s="34"/>
      <c r="I584" s="34"/>
      <c r="J584" s="13"/>
    </row>
    <row r="585" spans="2:10" ht="15.75" customHeight="1">
      <c r="B585" s="29"/>
      <c r="C585" s="32"/>
      <c r="D585" s="31"/>
      <c r="E585" s="32"/>
      <c r="F585" s="33"/>
      <c r="G585" s="34"/>
      <c r="H585" s="34"/>
      <c r="I585" s="34"/>
      <c r="J585" s="13"/>
    </row>
    <row r="586" spans="2:10" ht="15.75" customHeight="1">
      <c r="B586" s="29"/>
      <c r="C586" s="32"/>
      <c r="D586" s="31"/>
      <c r="E586" s="32"/>
      <c r="F586" s="33"/>
      <c r="G586" s="34"/>
      <c r="H586" s="34"/>
      <c r="I586" s="34"/>
      <c r="J586" s="13"/>
    </row>
    <row r="587" spans="2:10" ht="15.75" customHeight="1">
      <c r="B587" s="29"/>
      <c r="C587" s="32"/>
      <c r="D587" s="31"/>
      <c r="E587" s="32"/>
      <c r="F587" s="33"/>
      <c r="G587" s="34"/>
      <c r="H587" s="34"/>
      <c r="I587" s="34"/>
      <c r="J587" s="13"/>
    </row>
    <row r="588" spans="2:10" ht="15.75" customHeight="1">
      <c r="B588" s="29"/>
      <c r="C588" s="32"/>
      <c r="D588" s="31"/>
      <c r="E588" s="32"/>
      <c r="F588" s="33"/>
      <c r="G588" s="34"/>
      <c r="H588" s="34"/>
      <c r="I588" s="34"/>
      <c r="J588" s="13"/>
    </row>
    <row r="589" spans="2:10" ht="15.75" customHeight="1">
      <c r="B589" s="29"/>
      <c r="C589" s="32"/>
      <c r="D589" s="31"/>
      <c r="E589" s="32"/>
      <c r="F589" s="33"/>
      <c r="G589" s="34"/>
      <c r="H589" s="34"/>
      <c r="I589" s="34"/>
      <c r="J589" s="13"/>
    </row>
    <row r="590" spans="2:10" ht="15.75" customHeight="1">
      <c r="B590" s="29"/>
      <c r="C590" s="32"/>
      <c r="D590" s="31"/>
      <c r="E590" s="32"/>
      <c r="F590" s="33"/>
      <c r="G590" s="34"/>
      <c r="H590" s="34"/>
      <c r="I590" s="34"/>
      <c r="J590" s="13"/>
    </row>
    <row r="591" spans="2:10" ht="15.75" customHeight="1">
      <c r="B591" s="29"/>
      <c r="C591" s="32"/>
      <c r="D591" s="31"/>
      <c r="E591" s="32"/>
      <c r="F591" s="33"/>
      <c r="G591" s="34"/>
      <c r="H591" s="34"/>
      <c r="I591" s="34"/>
      <c r="J591" s="13"/>
    </row>
    <row r="592" spans="2:10" ht="15.75" customHeight="1">
      <c r="B592" s="29"/>
      <c r="C592" s="32"/>
      <c r="D592" s="31"/>
      <c r="E592" s="32"/>
      <c r="F592" s="33"/>
      <c r="G592" s="34"/>
      <c r="H592" s="34"/>
      <c r="I592" s="34"/>
      <c r="J592" s="13"/>
    </row>
    <row r="593" spans="2:10" ht="15.75" customHeight="1">
      <c r="B593" s="29"/>
      <c r="C593" s="32"/>
      <c r="D593" s="31"/>
      <c r="E593" s="32"/>
      <c r="F593" s="33"/>
      <c r="G593" s="34"/>
      <c r="H593" s="34"/>
      <c r="I593" s="34"/>
      <c r="J593" s="13"/>
    </row>
    <row r="594" spans="2:10" ht="15.75" customHeight="1">
      <c r="B594" s="29"/>
      <c r="C594" s="32"/>
      <c r="D594" s="31"/>
      <c r="E594" s="32"/>
      <c r="F594" s="33"/>
      <c r="G594" s="34"/>
      <c r="H594" s="34"/>
      <c r="I594" s="34"/>
      <c r="J594" s="13"/>
    </row>
    <row r="595" spans="2:10" ht="15.75" customHeight="1">
      <c r="B595" s="29"/>
      <c r="C595" s="32"/>
      <c r="D595" s="31"/>
      <c r="E595" s="32"/>
      <c r="F595" s="33"/>
      <c r="G595" s="34"/>
      <c r="H595" s="34"/>
      <c r="I595" s="34"/>
      <c r="J595" s="13"/>
    </row>
    <row r="596" spans="2:10" ht="15.75" customHeight="1">
      <c r="B596" s="29"/>
      <c r="C596" s="32"/>
      <c r="D596" s="31"/>
      <c r="E596" s="32"/>
      <c r="F596" s="33"/>
      <c r="G596" s="34"/>
      <c r="H596" s="34"/>
      <c r="I596" s="34"/>
      <c r="J596" s="13"/>
    </row>
    <row r="597" spans="2:10" ht="15.75" customHeight="1">
      <c r="B597" s="29"/>
      <c r="C597" s="32"/>
      <c r="D597" s="31"/>
      <c r="E597" s="32"/>
      <c r="F597" s="33"/>
      <c r="G597" s="34"/>
      <c r="H597" s="34"/>
      <c r="I597" s="34"/>
      <c r="J597" s="13"/>
    </row>
    <row r="598" spans="2:10" ht="15.75" customHeight="1">
      <c r="B598" s="29"/>
      <c r="C598" s="32"/>
      <c r="D598" s="31"/>
      <c r="E598" s="32"/>
      <c r="F598" s="33"/>
      <c r="G598" s="34"/>
      <c r="H598" s="34"/>
      <c r="I598" s="34"/>
      <c r="J598" s="13"/>
    </row>
    <row r="599" spans="2:10" ht="15.75" customHeight="1">
      <c r="B599" s="29"/>
      <c r="C599" s="32"/>
      <c r="D599" s="31"/>
      <c r="E599" s="32"/>
      <c r="F599" s="33"/>
      <c r="G599" s="34"/>
      <c r="H599" s="34"/>
      <c r="I599" s="34"/>
      <c r="J599" s="13"/>
    </row>
    <row r="600" spans="2:10" ht="15.75" customHeight="1">
      <c r="B600" s="29"/>
      <c r="C600" s="32"/>
      <c r="D600" s="31"/>
      <c r="E600" s="32"/>
      <c r="F600" s="33"/>
      <c r="G600" s="34"/>
      <c r="H600" s="34"/>
      <c r="I600" s="34"/>
      <c r="J600" s="13"/>
    </row>
    <row r="601" spans="2:10" ht="15.75" customHeight="1">
      <c r="B601" s="29"/>
      <c r="C601" s="32"/>
      <c r="D601" s="31"/>
      <c r="E601" s="32"/>
      <c r="F601" s="33"/>
      <c r="G601" s="34"/>
      <c r="H601" s="34"/>
      <c r="I601" s="34"/>
      <c r="J601" s="13"/>
    </row>
    <row r="602" spans="2:10" ht="15.75" customHeight="1">
      <c r="B602" s="29"/>
      <c r="C602" s="32"/>
      <c r="D602" s="31"/>
      <c r="E602" s="32"/>
      <c r="F602" s="33"/>
      <c r="G602" s="34"/>
      <c r="H602" s="34"/>
      <c r="I602" s="34"/>
      <c r="J602" s="13"/>
    </row>
    <row r="603" spans="2:10" ht="15.75" customHeight="1">
      <c r="B603" s="29"/>
      <c r="C603" s="32"/>
      <c r="D603" s="31"/>
      <c r="E603" s="32"/>
      <c r="F603" s="33"/>
      <c r="G603" s="34"/>
      <c r="H603" s="34"/>
      <c r="I603" s="34"/>
      <c r="J603" s="13"/>
    </row>
    <row r="604" spans="2:10" ht="15.75" customHeight="1">
      <c r="B604" s="29"/>
      <c r="C604" s="32"/>
      <c r="D604" s="31"/>
      <c r="E604" s="32"/>
      <c r="F604" s="33"/>
      <c r="G604" s="34"/>
      <c r="H604" s="34"/>
      <c r="I604" s="34"/>
      <c r="J604" s="13"/>
    </row>
    <row r="605" spans="2:10" ht="15.75" customHeight="1">
      <c r="B605" s="29"/>
      <c r="C605" s="32"/>
      <c r="D605" s="31"/>
      <c r="E605" s="32"/>
      <c r="F605" s="33"/>
      <c r="G605" s="34"/>
      <c r="H605" s="34"/>
      <c r="I605" s="34"/>
      <c r="J605" s="13"/>
    </row>
    <row r="606" spans="2:10" ht="15.75" customHeight="1">
      <c r="B606" s="29"/>
      <c r="C606" s="32"/>
      <c r="D606" s="31"/>
      <c r="E606" s="32"/>
      <c r="F606" s="33"/>
      <c r="G606" s="34"/>
      <c r="H606" s="34"/>
      <c r="I606" s="34"/>
      <c r="J606" s="13"/>
    </row>
    <row r="607" spans="2:10" ht="15.75" customHeight="1">
      <c r="B607" s="29"/>
      <c r="C607" s="32"/>
      <c r="D607" s="31"/>
      <c r="E607" s="32"/>
      <c r="F607" s="33"/>
      <c r="G607" s="34"/>
      <c r="H607" s="34"/>
      <c r="I607" s="34"/>
      <c r="J607" s="13"/>
    </row>
    <row r="608" spans="2:10" ht="15.75" customHeight="1">
      <c r="B608" s="29"/>
      <c r="C608" s="32"/>
      <c r="D608" s="31"/>
      <c r="E608" s="32"/>
      <c r="F608" s="33"/>
      <c r="G608" s="34"/>
      <c r="H608" s="34"/>
      <c r="I608" s="34"/>
      <c r="J608" s="13"/>
    </row>
    <row r="609" spans="2:10" ht="15.75" customHeight="1">
      <c r="B609" s="29"/>
      <c r="C609" s="32"/>
      <c r="D609" s="31"/>
      <c r="E609" s="32"/>
      <c r="F609" s="33"/>
      <c r="G609" s="34"/>
      <c r="H609" s="34"/>
      <c r="I609" s="34"/>
      <c r="J609" s="13"/>
    </row>
    <row r="610" spans="2:10" ht="15.75" customHeight="1">
      <c r="B610" s="29"/>
      <c r="C610" s="32"/>
      <c r="D610" s="31"/>
      <c r="E610" s="32"/>
      <c r="F610" s="33"/>
      <c r="G610" s="34"/>
      <c r="H610" s="34"/>
      <c r="I610" s="34"/>
      <c r="J610" s="13"/>
    </row>
    <row r="611" spans="2:10" ht="15.75" customHeight="1">
      <c r="B611" s="29"/>
      <c r="C611" s="32"/>
      <c r="D611" s="31"/>
      <c r="E611" s="32"/>
      <c r="F611" s="33"/>
      <c r="G611" s="34"/>
      <c r="H611" s="34"/>
      <c r="I611" s="34"/>
      <c r="J611" s="13"/>
    </row>
    <row r="612" spans="2:10" ht="15.75" customHeight="1">
      <c r="B612" s="29"/>
      <c r="C612" s="32"/>
      <c r="D612" s="31"/>
      <c r="E612" s="32"/>
      <c r="F612" s="33"/>
      <c r="G612" s="34"/>
      <c r="H612" s="34"/>
      <c r="I612" s="34"/>
      <c r="J612" s="13"/>
    </row>
    <row r="613" spans="2:10" ht="15.75" customHeight="1">
      <c r="B613" s="29"/>
      <c r="C613" s="32"/>
      <c r="D613" s="31"/>
      <c r="E613" s="32"/>
      <c r="F613" s="33"/>
      <c r="G613" s="34"/>
      <c r="H613" s="34"/>
      <c r="I613" s="34"/>
      <c r="J613" s="13"/>
    </row>
    <row r="614" spans="2:10" ht="15.75" customHeight="1">
      <c r="B614" s="29"/>
      <c r="C614" s="32"/>
      <c r="D614" s="31"/>
      <c r="E614" s="32"/>
      <c r="F614" s="33"/>
      <c r="G614" s="34"/>
      <c r="H614" s="34"/>
      <c r="I614" s="34"/>
      <c r="J614" s="13"/>
    </row>
    <row r="615" spans="2:10" ht="15.75" customHeight="1">
      <c r="B615" s="29"/>
      <c r="C615" s="32"/>
      <c r="D615" s="31"/>
      <c r="E615" s="32"/>
      <c r="F615" s="33"/>
      <c r="G615" s="34"/>
      <c r="H615" s="34"/>
      <c r="I615" s="34"/>
      <c r="J615" s="13"/>
    </row>
    <row r="616" spans="2:10" ht="15.75" customHeight="1">
      <c r="B616" s="29"/>
      <c r="C616" s="32"/>
      <c r="D616" s="31"/>
      <c r="E616" s="32"/>
      <c r="F616" s="33"/>
      <c r="G616" s="34"/>
      <c r="H616" s="34"/>
      <c r="I616" s="34"/>
      <c r="J616" s="13"/>
    </row>
    <row r="617" spans="2:10" ht="15.75" customHeight="1">
      <c r="B617" s="29"/>
      <c r="C617" s="32"/>
      <c r="D617" s="31"/>
      <c r="E617" s="32"/>
      <c r="F617" s="33"/>
      <c r="G617" s="34"/>
      <c r="H617" s="34"/>
      <c r="I617" s="34"/>
      <c r="J617" s="13"/>
    </row>
    <row r="618" spans="2:10" ht="15.75" customHeight="1">
      <c r="B618" s="29"/>
      <c r="C618" s="32"/>
      <c r="D618" s="31"/>
      <c r="E618" s="32"/>
      <c r="F618" s="33"/>
      <c r="G618" s="34"/>
      <c r="H618" s="34"/>
      <c r="I618" s="34"/>
      <c r="J618" s="13"/>
    </row>
    <row r="619" spans="2:10" ht="15.75" customHeight="1">
      <c r="B619" s="29"/>
      <c r="C619" s="32"/>
      <c r="D619" s="31"/>
      <c r="E619" s="32"/>
      <c r="F619" s="33"/>
      <c r="G619" s="34"/>
      <c r="H619" s="34"/>
      <c r="I619" s="34"/>
      <c r="J619" s="13"/>
    </row>
    <row r="620" spans="2:10" ht="15.75" customHeight="1">
      <c r="B620" s="29"/>
      <c r="C620" s="32"/>
      <c r="D620" s="31"/>
      <c r="E620" s="32"/>
      <c r="F620" s="33"/>
      <c r="G620" s="34"/>
      <c r="H620" s="34"/>
      <c r="I620" s="34"/>
      <c r="J620" s="13"/>
    </row>
    <row r="621" spans="2:10" ht="15.75" customHeight="1">
      <c r="B621" s="29"/>
      <c r="C621" s="32"/>
      <c r="D621" s="31"/>
      <c r="E621" s="32"/>
      <c r="F621" s="33"/>
      <c r="G621" s="34"/>
      <c r="H621" s="34"/>
      <c r="I621" s="34"/>
      <c r="J621" s="13"/>
    </row>
    <row r="622" spans="2:10" ht="15.75" customHeight="1">
      <c r="B622" s="29"/>
      <c r="C622" s="32"/>
      <c r="D622" s="31"/>
      <c r="E622" s="32"/>
      <c r="F622" s="33"/>
      <c r="G622" s="34"/>
      <c r="H622" s="34"/>
      <c r="I622" s="34"/>
      <c r="J622" s="13"/>
    </row>
    <row r="623" spans="2:10" ht="15.75" customHeight="1">
      <c r="B623" s="29"/>
      <c r="C623" s="32"/>
      <c r="D623" s="31"/>
      <c r="E623" s="32"/>
      <c r="F623" s="33"/>
      <c r="G623" s="34"/>
      <c r="H623" s="34"/>
      <c r="I623" s="34"/>
      <c r="J623" s="13"/>
    </row>
    <row r="624" spans="2:10" ht="15.75" customHeight="1">
      <c r="B624" s="29"/>
      <c r="C624" s="32"/>
      <c r="D624" s="31"/>
      <c r="E624" s="32"/>
      <c r="F624" s="33"/>
      <c r="G624" s="34"/>
      <c r="H624" s="34"/>
      <c r="I624" s="34"/>
      <c r="J624" s="13"/>
    </row>
    <row r="625" spans="2:10" ht="15.75" customHeight="1">
      <c r="B625" s="29"/>
      <c r="C625" s="32"/>
      <c r="D625" s="31"/>
      <c r="E625" s="32"/>
      <c r="F625" s="33"/>
      <c r="G625" s="34"/>
      <c r="H625" s="34"/>
      <c r="I625" s="34"/>
      <c r="J625" s="13"/>
    </row>
    <row r="626" spans="2:10" ht="15.75" customHeight="1">
      <c r="B626" s="29"/>
      <c r="C626" s="32"/>
      <c r="D626" s="31"/>
      <c r="E626" s="32"/>
      <c r="F626" s="33"/>
      <c r="G626" s="34"/>
      <c r="H626" s="34"/>
      <c r="I626" s="34"/>
      <c r="J626" s="13"/>
    </row>
    <row r="627" spans="2:10" ht="15.75" customHeight="1">
      <c r="B627" s="29"/>
      <c r="C627" s="32"/>
      <c r="D627" s="31"/>
      <c r="E627" s="32"/>
      <c r="F627" s="33"/>
      <c r="G627" s="34"/>
      <c r="H627" s="34"/>
      <c r="I627" s="34"/>
      <c r="J627" s="13"/>
    </row>
    <row r="628" spans="2:10" ht="15.75" customHeight="1">
      <c r="B628" s="29"/>
      <c r="C628" s="32"/>
      <c r="D628" s="31"/>
      <c r="E628" s="32"/>
      <c r="F628" s="33"/>
      <c r="G628" s="34"/>
      <c r="H628" s="34"/>
      <c r="I628" s="34"/>
      <c r="J628" s="13"/>
    </row>
    <row r="629" spans="2:10" ht="15.75" customHeight="1">
      <c r="B629" s="29"/>
      <c r="C629" s="32"/>
      <c r="D629" s="31"/>
      <c r="E629" s="32"/>
      <c r="F629" s="33"/>
      <c r="G629" s="34"/>
      <c r="H629" s="34"/>
      <c r="I629" s="34"/>
      <c r="J629" s="13"/>
    </row>
    <row r="630" spans="2:10" ht="15.75" customHeight="1">
      <c r="B630" s="29"/>
      <c r="C630" s="32"/>
      <c r="D630" s="31"/>
      <c r="E630" s="32"/>
      <c r="F630" s="33"/>
      <c r="G630" s="34"/>
      <c r="H630" s="34"/>
      <c r="I630" s="34"/>
      <c r="J630" s="13"/>
    </row>
    <row r="631" spans="2:10" ht="15.75" customHeight="1">
      <c r="B631" s="29"/>
      <c r="C631" s="32"/>
      <c r="D631" s="31"/>
      <c r="E631" s="32"/>
      <c r="F631" s="33"/>
      <c r="G631" s="34"/>
      <c r="H631" s="34"/>
      <c r="I631" s="34"/>
      <c r="J631" s="13"/>
    </row>
    <row r="632" spans="2:10" ht="15.75" customHeight="1">
      <c r="B632" s="29"/>
      <c r="C632" s="32"/>
      <c r="D632" s="31"/>
      <c r="E632" s="32"/>
      <c r="F632" s="33"/>
      <c r="G632" s="34"/>
      <c r="H632" s="34"/>
      <c r="I632" s="34"/>
      <c r="J632" s="13"/>
    </row>
    <row r="633" spans="2:10" ht="15.75" customHeight="1">
      <c r="B633" s="29"/>
      <c r="C633" s="32"/>
      <c r="D633" s="31"/>
      <c r="E633" s="32"/>
      <c r="F633" s="33"/>
      <c r="G633" s="34"/>
      <c r="H633" s="34"/>
      <c r="I633" s="34"/>
      <c r="J633" s="13"/>
    </row>
    <row r="634" spans="2:10" ht="15.75" customHeight="1">
      <c r="B634" s="29"/>
      <c r="C634" s="32"/>
      <c r="D634" s="31"/>
      <c r="E634" s="32"/>
      <c r="F634" s="33"/>
      <c r="G634" s="34"/>
      <c r="H634" s="34"/>
      <c r="I634" s="34"/>
      <c r="J634" s="13"/>
    </row>
    <row r="635" spans="2:10" ht="15.75" customHeight="1">
      <c r="B635" s="29"/>
      <c r="C635" s="32"/>
      <c r="D635" s="31"/>
      <c r="E635" s="32"/>
      <c r="F635" s="33"/>
      <c r="G635" s="34"/>
      <c r="H635" s="34"/>
      <c r="I635" s="34"/>
      <c r="J635" s="13"/>
    </row>
    <row r="636" spans="2:10" ht="15.75" customHeight="1">
      <c r="B636" s="29"/>
      <c r="C636" s="32"/>
      <c r="D636" s="31"/>
      <c r="E636" s="32"/>
      <c r="F636" s="33"/>
      <c r="G636" s="34"/>
      <c r="H636" s="34"/>
      <c r="I636" s="34"/>
      <c r="J636" s="13"/>
    </row>
    <row r="637" spans="2:10" ht="15.75" customHeight="1">
      <c r="B637" s="29"/>
      <c r="C637" s="32"/>
      <c r="D637" s="31"/>
      <c r="E637" s="32"/>
      <c r="F637" s="33"/>
      <c r="G637" s="34"/>
      <c r="H637" s="34"/>
      <c r="I637" s="34"/>
      <c r="J637" s="13"/>
    </row>
    <row r="638" spans="2:10" ht="15.75" customHeight="1">
      <c r="B638" s="29"/>
      <c r="C638" s="32"/>
      <c r="D638" s="31"/>
      <c r="E638" s="32"/>
      <c r="F638" s="33"/>
      <c r="G638" s="34"/>
      <c r="H638" s="34"/>
      <c r="I638" s="34"/>
      <c r="J638" s="13"/>
    </row>
    <row r="639" spans="2:10" ht="15.75" customHeight="1">
      <c r="B639" s="29"/>
      <c r="C639" s="32"/>
      <c r="D639" s="31"/>
      <c r="E639" s="32"/>
      <c r="F639" s="33"/>
      <c r="G639" s="34"/>
      <c r="H639" s="34"/>
      <c r="I639" s="34"/>
      <c r="J639" s="13"/>
    </row>
    <row r="640" spans="2:10" ht="15.75" customHeight="1">
      <c r="B640" s="29"/>
      <c r="C640" s="32"/>
      <c r="D640" s="31"/>
      <c r="E640" s="32"/>
      <c r="F640" s="33"/>
      <c r="G640" s="34"/>
      <c r="H640" s="34"/>
      <c r="I640" s="34"/>
      <c r="J640" s="13"/>
    </row>
    <row r="641" spans="2:10" ht="15.75" customHeight="1">
      <c r="B641" s="29"/>
      <c r="C641" s="32"/>
      <c r="D641" s="31"/>
      <c r="E641" s="32"/>
      <c r="F641" s="33"/>
      <c r="G641" s="34"/>
      <c r="H641" s="34"/>
      <c r="I641" s="34"/>
      <c r="J641" s="13"/>
    </row>
    <row r="642" spans="2:10" ht="15.75" customHeight="1">
      <c r="B642" s="29"/>
      <c r="C642" s="32"/>
      <c r="D642" s="31"/>
      <c r="E642" s="32"/>
      <c r="F642" s="33"/>
      <c r="G642" s="34"/>
      <c r="H642" s="34"/>
      <c r="I642" s="34"/>
      <c r="J642" s="13"/>
    </row>
    <row r="643" spans="2:10" ht="15.75" customHeight="1">
      <c r="B643" s="29"/>
      <c r="C643" s="32"/>
      <c r="D643" s="31"/>
      <c r="E643" s="32"/>
      <c r="F643" s="33"/>
      <c r="G643" s="34"/>
      <c r="H643" s="34"/>
      <c r="I643" s="34"/>
      <c r="J643" s="13"/>
    </row>
    <row r="644" spans="2:10" ht="15.75" customHeight="1">
      <c r="B644" s="29"/>
      <c r="C644" s="32"/>
      <c r="D644" s="31"/>
      <c r="E644" s="32"/>
      <c r="F644" s="33"/>
      <c r="G644" s="34"/>
      <c r="H644" s="34"/>
      <c r="I644" s="34"/>
      <c r="J644" s="13"/>
    </row>
    <row r="645" spans="2:10" ht="15.75" customHeight="1">
      <c r="B645" s="29"/>
      <c r="C645" s="32"/>
      <c r="D645" s="31"/>
      <c r="E645" s="32"/>
      <c r="F645" s="33"/>
      <c r="G645" s="34"/>
      <c r="H645" s="34"/>
      <c r="I645" s="34"/>
      <c r="J645" s="13"/>
    </row>
    <row r="646" spans="2:10" ht="15.75" customHeight="1">
      <c r="B646" s="29"/>
      <c r="C646" s="32"/>
      <c r="D646" s="31"/>
      <c r="E646" s="32"/>
      <c r="F646" s="33"/>
      <c r="G646" s="34"/>
      <c r="H646" s="34"/>
      <c r="I646" s="34"/>
      <c r="J646" s="13"/>
    </row>
    <row r="647" spans="2:10" ht="15.75" customHeight="1">
      <c r="B647" s="29"/>
      <c r="C647" s="32"/>
      <c r="D647" s="31"/>
      <c r="E647" s="32"/>
      <c r="F647" s="33"/>
      <c r="G647" s="34"/>
      <c r="H647" s="34"/>
      <c r="I647" s="34"/>
      <c r="J647" s="13"/>
    </row>
    <row r="648" spans="2:10" ht="15.75" customHeight="1">
      <c r="B648" s="29"/>
      <c r="C648" s="32"/>
      <c r="D648" s="31"/>
      <c r="E648" s="32"/>
      <c r="F648" s="33"/>
      <c r="G648" s="34"/>
      <c r="H648" s="34"/>
      <c r="I648" s="34"/>
      <c r="J648" s="13"/>
    </row>
    <row r="649" spans="2:10" ht="15.75" customHeight="1">
      <c r="B649" s="29"/>
      <c r="C649" s="32"/>
      <c r="D649" s="31"/>
      <c r="E649" s="32"/>
      <c r="F649" s="33"/>
      <c r="G649" s="34"/>
      <c r="H649" s="34"/>
      <c r="I649" s="34"/>
      <c r="J649" s="13"/>
    </row>
    <row r="650" spans="2:10" ht="15.75" customHeight="1">
      <c r="B650" s="29"/>
      <c r="C650" s="32"/>
      <c r="D650" s="31"/>
      <c r="E650" s="32"/>
      <c r="F650" s="33"/>
      <c r="G650" s="34"/>
      <c r="H650" s="34"/>
      <c r="I650" s="34"/>
      <c r="J650" s="13"/>
    </row>
    <row r="651" spans="2:10" ht="15.75" customHeight="1">
      <c r="B651" s="29"/>
      <c r="C651" s="32"/>
      <c r="D651" s="31"/>
      <c r="E651" s="32"/>
      <c r="F651" s="33"/>
      <c r="G651" s="34"/>
      <c r="H651" s="34"/>
      <c r="I651" s="34"/>
      <c r="J651" s="13"/>
    </row>
    <row r="652" spans="2:10" ht="15.75" customHeight="1">
      <c r="B652" s="29"/>
      <c r="C652" s="32"/>
      <c r="D652" s="31"/>
      <c r="E652" s="32"/>
      <c r="F652" s="33"/>
      <c r="G652" s="34"/>
      <c r="H652" s="34"/>
      <c r="I652" s="34"/>
      <c r="J652" s="13"/>
    </row>
    <row r="653" spans="2:10" ht="15.75" customHeight="1">
      <c r="B653" s="29"/>
      <c r="C653" s="32"/>
      <c r="D653" s="31"/>
      <c r="E653" s="32"/>
      <c r="F653" s="33"/>
      <c r="G653" s="34"/>
      <c r="H653" s="34"/>
      <c r="I653" s="34"/>
      <c r="J653" s="13"/>
    </row>
    <row r="654" spans="2:10" ht="15.75" customHeight="1">
      <c r="B654" s="29"/>
      <c r="C654" s="32"/>
      <c r="D654" s="31"/>
      <c r="E654" s="32"/>
      <c r="F654" s="33"/>
      <c r="G654" s="34"/>
      <c r="H654" s="34"/>
      <c r="I654" s="34"/>
      <c r="J654" s="13"/>
    </row>
    <row r="655" spans="2:10" ht="15.75" customHeight="1">
      <c r="B655" s="29"/>
      <c r="C655" s="32"/>
      <c r="D655" s="31"/>
      <c r="E655" s="32"/>
      <c r="F655" s="33"/>
      <c r="G655" s="34"/>
      <c r="H655" s="34"/>
      <c r="I655" s="34"/>
      <c r="J655" s="13"/>
    </row>
    <row r="656" spans="2:10" ht="15.75" customHeight="1">
      <c r="B656" s="29"/>
      <c r="C656" s="32"/>
      <c r="D656" s="31"/>
      <c r="E656" s="32"/>
      <c r="F656" s="33"/>
      <c r="G656" s="34"/>
      <c r="H656" s="34"/>
      <c r="I656" s="34"/>
      <c r="J656" s="13"/>
    </row>
    <row r="657" spans="2:10" ht="15.75" customHeight="1">
      <c r="B657" s="29"/>
      <c r="C657" s="32"/>
      <c r="D657" s="31"/>
      <c r="E657" s="32"/>
      <c r="F657" s="33"/>
      <c r="G657" s="34"/>
      <c r="H657" s="34"/>
      <c r="I657" s="34"/>
      <c r="J657" s="13"/>
    </row>
    <row r="658" spans="2:10" ht="15.75" customHeight="1">
      <c r="B658" s="29"/>
      <c r="C658" s="32"/>
      <c r="D658" s="31"/>
      <c r="E658" s="32"/>
      <c r="F658" s="33"/>
      <c r="G658" s="34"/>
      <c r="H658" s="34"/>
      <c r="I658" s="34"/>
      <c r="J658" s="13"/>
    </row>
    <row r="659" spans="2:10" ht="15.75" customHeight="1">
      <c r="B659" s="29"/>
      <c r="C659" s="32"/>
      <c r="D659" s="31"/>
      <c r="E659" s="32"/>
      <c r="F659" s="33"/>
      <c r="G659" s="34"/>
      <c r="H659" s="34"/>
      <c r="I659" s="34"/>
      <c r="J659" s="13"/>
    </row>
    <row r="660" spans="2:10" ht="15.75" customHeight="1">
      <c r="B660" s="29"/>
      <c r="C660" s="32"/>
      <c r="D660" s="31"/>
      <c r="E660" s="32"/>
      <c r="F660" s="33"/>
      <c r="G660" s="34"/>
      <c r="H660" s="34"/>
      <c r="I660" s="34"/>
      <c r="J660" s="13"/>
    </row>
    <row r="661" spans="2:10" ht="15.75" customHeight="1">
      <c r="B661" s="29"/>
      <c r="C661" s="32"/>
      <c r="D661" s="31"/>
      <c r="E661" s="32"/>
      <c r="F661" s="33"/>
      <c r="G661" s="34"/>
      <c r="H661" s="34"/>
      <c r="I661" s="34"/>
      <c r="J661" s="13"/>
    </row>
    <row r="662" spans="2:10" ht="15.75" customHeight="1">
      <c r="B662" s="29"/>
      <c r="C662" s="32"/>
      <c r="D662" s="31"/>
      <c r="E662" s="32"/>
      <c r="F662" s="33"/>
      <c r="G662" s="34"/>
      <c r="H662" s="34"/>
      <c r="I662" s="34"/>
      <c r="J662" s="13"/>
    </row>
    <row r="663" spans="2:10" ht="15.75" customHeight="1">
      <c r="B663" s="29"/>
      <c r="C663" s="32"/>
      <c r="D663" s="31"/>
      <c r="E663" s="32"/>
      <c r="F663" s="33"/>
      <c r="G663" s="34"/>
      <c r="H663" s="34"/>
      <c r="I663" s="34"/>
      <c r="J663" s="13"/>
    </row>
    <row r="664" spans="2:10" ht="15.75" customHeight="1">
      <c r="B664" s="29"/>
      <c r="C664" s="32"/>
      <c r="D664" s="31"/>
      <c r="E664" s="32"/>
      <c r="F664" s="33"/>
      <c r="G664" s="34"/>
      <c r="H664" s="34"/>
      <c r="I664" s="34"/>
      <c r="J664" s="13"/>
    </row>
    <row r="665" spans="2:10" ht="15.75" customHeight="1">
      <c r="B665" s="29"/>
      <c r="C665" s="32"/>
      <c r="D665" s="31"/>
      <c r="E665" s="32"/>
      <c r="F665" s="33"/>
      <c r="G665" s="34"/>
      <c r="H665" s="34"/>
      <c r="I665" s="34"/>
      <c r="J665" s="13"/>
    </row>
    <row r="666" spans="2:10" ht="15.75" customHeight="1">
      <c r="B666" s="29"/>
      <c r="C666" s="32"/>
      <c r="D666" s="31"/>
      <c r="E666" s="32"/>
      <c r="F666" s="33"/>
      <c r="G666" s="34"/>
      <c r="H666" s="34"/>
      <c r="I666" s="34"/>
      <c r="J666" s="13"/>
    </row>
    <row r="667" spans="2:10" ht="15.75" customHeight="1">
      <c r="B667" s="29"/>
      <c r="C667" s="32"/>
      <c r="D667" s="31"/>
      <c r="E667" s="32"/>
      <c r="F667" s="33"/>
      <c r="G667" s="34"/>
      <c r="H667" s="34"/>
      <c r="I667" s="34"/>
      <c r="J667" s="13"/>
    </row>
    <row r="668" spans="2:10" ht="15.75" customHeight="1">
      <c r="B668" s="29"/>
      <c r="C668" s="32"/>
      <c r="D668" s="31"/>
      <c r="E668" s="32"/>
      <c r="F668" s="33"/>
      <c r="G668" s="34"/>
      <c r="H668" s="34"/>
      <c r="I668" s="34"/>
      <c r="J668" s="13"/>
    </row>
    <row r="669" spans="2:10" ht="15.75" customHeight="1">
      <c r="B669" s="29"/>
      <c r="C669" s="32"/>
      <c r="D669" s="31"/>
      <c r="E669" s="32"/>
      <c r="F669" s="33"/>
      <c r="G669" s="34"/>
      <c r="H669" s="34"/>
      <c r="I669" s="34"/>
      <c r="J669" s="13"/>
    </row>
    <row r="670" spans="2:10" ht="15.75" customHeight="1">
      <c r="B670" s="29"/>
      <c r="C670" s="32"/>
      <c r="D670" s="31"/>
      <c r="E670" s="32"/>
      <c r="F670" s="33"/>
      <c r="G670" s="34"/>
      <c r="H670" s="34"/>
      <c r="I670" s="34"/>
      <c r="J670" s="13"/>
    </row>
    <row r="671" spans="2:10" ht="15.75" customHeight="1">
      <c r="B671" s="29"/>
      <c r="C671" s="32"/>
      <c r="D671" s="31"/>
      <c r="E671" s="32"/>
      <c r="F671" s="33"/>
      <c r="G671" s="34"/>
      <c r="H671" s="34"/>
      <c r="I671" s="34"/>
      <c r="J671" s="13"/>
    </row>
    <row r="672" spans="2:10" ht="15.75" customHeight="1">
      <c r="B672" s="29"/>
      <c r="C672" s="32"/>
      <c r="D672" s="31"/>
      <c r="E672" s="32"/>
      <c r="F672" s="33"/>
      <c r="G672" s="34"/>
      <c r="H672" s="34"/>
      <c r="I672" s="34"/>
      <c r="J672" s="13"/>
    </row>
    <row r="673" spans="2:10" ht="15.75" customHeight="1">
      <c r="B673" s="29"/>
      <c r="C673" s="32"/>
      <c r="D673" s="31"/>
      <c r="E673" s="32"/>
      <c r="F673" s="33"/>
      <c r="G673" s="34"/>
      <c r="H673" s="34"/>
      <c r="I673" s="34"/>
      <c r="J673" s="13"/>
    </row>
    <row r="674" spans="2:10" ht="15.75" customHeight="1">
      <c r="B674" s="29"/>
      <c r="C674" s="32"/>
      <c r="D674" s="31"/>
      <c r="E674" s="32"/>
      <c r="F674" s="33"/>
      <c r="G674" s="34"/>
      <c r="H674" s="34"/>
      <c r="I674" s="34"/>
      <c r="J674" s="13"/>
    </row>
    <row r="675" spans="2:10" ht="15.75" customHeight="1">
      <c r="B675" s="29"/>
      <c r="C675" s="32"/>
      <c r="D675" s="31"/>
      <c r="E675" s="32"/>
      <c r="F675" s="33"/>
      <c r="G675" s="34"/>
      <c r="H675" s="34"/>
      <c r="I675" s="34"/>
      <c r="J675" s="13"/>
    </row>
    <row r="676" spans="2:10" ht="15.75" customHeight="1">
      <c r="B676" s="29"/>
      <c r="C676" s="32"/>
      <c r="D676" s="31"/>
      <c r="E676" s="32"/>
      <c r="F676" s="33"/>
      <c r="G676" s="34"/>
      <c r="H676" s="34"/>
      <c r="I676" s="34"/>
      <c r="J676" s="13"/>
    </row>
    <row r="677" spans="2:10" ht="15.75" customHeight="1">
      <c r="B677" s="29"/>
      <c r="C677" s="32"/>
      <c r="D677" s="31"/>
      <c r="E677" s="32"/>
      <c r="F677" s="33"/>
      <c r="G677" s="34"/>
      <c r="H677" s="34"/>
      <c r="I677" s="34"/>
      <c r="J677" s="13"/>
    </row>
    <row r="678" spans="2:10" ht="15.75" customHeight="1">
      <c r="B678" s="29"/>
      <c r="C678" s="32"/>
      <c r="D678" s="31"/>
      <c r="E678" s="32"/>
      <c r="F678" s="33"/>
      <c r="G678" s="34"/>
      <c r="H678" s="34"/>
      <c r="I678" s="34"/>
      <c r="J678" s="13"/>
    </row>
    <row r="679" spans="2:10" ht="15.75" customHeight="1">
      <c r="B679" s="29"/>
      <c r="C679" s="32"/>
      <c r="D679" s="31"/>
      <c r="E679" s="32"/>
      <c r="F679" s="33"/>
      <c r="G679" s="34"/>
      <c r="H679" s="34"/>
      <c r="I679" s="34"/>
      <c r="J679" s="13"/>
    </row>
    <row r="680" spans="2:10" ht="15.75" customHeight="1">
      <c r="B680" s="29"/>
      <c r="C680" s="32"/>
      <c r="D680" s="31"/>
      <c r="E680" s="32"/>
      <c r="F680" s="33"/>
      <c r="G680" s="34"/>
      <c r="H680" s="34"/>
      <c r="I680" s="34"/>
      <c r="J680" s="13"/>
    </row>
    <row r="681" spans="2:10" ht="15.75" customHeight="1">
      <c r="B681" s="29"/>
      <c r="C681" s="32"/>
      <c r="D681" s="31"/>
      <c r="E681" s="32"/>
      <c r="F681" s="33"/>
      <c r="G681" s="34"/>
      <c r="H681" s="34"/>
      <c r="I681" s="34"/>
      <c r="J681" s="13"/>
    </row>
    <row r="682" spans="2:10" ht="15.75" customHeight="1">
      <c r="B682" s="29"/>
      <c r="C682" s="32"/>
      <c r="D682" s="31"/>
      <c r="E682" s="32"/>
      <c r="F682" s="33"/>
      <c r="G682" s="34"/>
      <c r="H682" s="34"/>
      <c r="I682" s="34"/>
      <c r="J682" s="13"/>
    </row>
    <row r="683" spans="2:10" ht="15.75" customHeight="1">
      <c r="B683" s="29"/>
      <c r="C683" s="32"/>
      <c r="D683" s="31"/>
      <c r="E683" s="32"/>
      <c r="F683" s="33"/>
      <c r="G683" s="34"/>
      <c r="H683" s="34"/>
      <c r="I683" s="34"/>
      <c r="J683" s="13"/>
    </row>
    <row r="684" spans="2:10" ht="15.75" customHeight="1">
      <c r="B684" s="29"/>
      <c r="C684" s="32"/>
      <c r="D684" s="31"/>
      <c r="E684" s="32"/>
      <c r="F684" s="33"/>
      <c r="G684" s="34"/>
      <c r="H684" s="34"/>
      <c r="I684" s="34"/>
      <c r="J684" s="13"/>
    </row>
    <row r="685" spans="2:10" ht="15.75" customHeight="1">
      <c r="B685" s="29"/>
      <c r="C685" s="32"/>
      <c r="D685" s="31"/>
      <c r="E685" s="32"/>
      <c r="F685" s="33"/>
      <c r="G685" s="34"/>
      <c r="H685" s="34"/>
      <c r="I685" s="34"/>
      <c r="J685" s="13"/>
    </row>
    <row r="686" spans="2:10" ht="15.75" customHeight="1">
      <c r="B686" s="29"/>
      <c r="C686" s="32"/>
      <c r="D686" s="31"/>
      <c r="E686" s="32"/>
      <c r="F686" s="33"/>
      <c r="G686" s="34"/>
      <c r="H686" s="34"/>
      <c r="I686" s="34"/>
      <c r="J686" s="13"/>
    </row>
    <row r="687" spans="2:10" ht="15.75" customHeight="1">
      <c r="B687" s="29"/>
      <c r="C687" s="32"/>
      <c r="D687" s="31"/>
      <c r="E687" s="32"/>
      <c r="F687" s="33"/>
      <c r="G687" s="34"/>
      <c r="H687" s="34"/>
      <c r="I687" s="34"/>
      <c r="J687" s="13"/>
    </row>
    <row r="688" spans="2:10" ht="15.75" customHeight="1">
      <c r="B688" s="29"/>
      <c r="C688" s="32"/>
      <c r="D688" s="31"/>
      <c r="E688" s="32"/>
      <c r="F688" s="33"/>
      <c r="G688" s="34"/>
      <c r="H688" s="34"/>
      <c r="I688" s="34"/>
      <c r="J688" s="13"/>
    </row>
    <row r="689" spans="2:10" ht="15.75" customHeight="1">
      <c r="B689" s="29"/>
      <c r="C689" s="32"/>
      <c r="D689" s="31"/>
      <c r="E689" s="32"/>
      <c r="F689" s="33"/>
      <c r="G689" s="34"/>
      <c r="H689" s="34"/>
      <c r="I689" s="34"/>
      <c r="J689" s="13"/>
    </row>
    <row r="690" spans="2:10" ht="15.75" customHeight="1">
      <c r="B690" s="29"/>
      <c r="C690" s="32"/>
      <c r="D690" s="31"/>
      <c r="E690" s="32"/>
      <c r="F690" s="33"/>
      <c r="G690" s="34"/>
      <c r="H690" s="34"/>
      <c r="I690" s="34"/>
      <c r="J690" s="13"/>
    </row>
    <row r="691" spans="2:10" ht="15.75" customHeight="1">
      <c r="B691" s="29"/>
      <c r="C691" s="32"/>
      <c r="D691" s="31"/>
      <c r="E691" s="32"/>
      <c r="F691" s="33"/>
      <c r="G691" s="34"/>
      <c r="H691" s="34"/>
      <c r="I691" s="34"/>
      <c r="J691" s="13"/>
    </row>
    <row r="692" spans="2:10" ht="15.75" customHeight="1">
      <c r="B692" s="29"/>
      <c r="C692" s="32"/>
      <c r="D692" s="31"/>
      <c r="E692" s="32"/>
      <c r="F692" s="33"/>
      <c r="G692" s="34"/>
      <c r="H692" s="34"/>
      <c r="I692" s="34"/>
      <c r="J692" s="13"/>
    </row>
    <row r="693" spans="2:10" ht="15.75" customHeight="1">
      <c r="B693" s="29"/>
      <c r="C693" s="32"/>
      <c r="D693" s="31"/>
      <c r="E693" s="32"/>
      <c r="F693" s="33"/>
      <c r="G693" s="34"/>
      <c r="H693" s="34"/>
      <c r="I693" s="34"/>
      <c r="J693" s="13"/>
    </row>
    <row r="694" spans="2:10" ht="15.75" customHeight="1">
      <c r="B694" s="29"/>
      <c r="C694" s="32"/>
      <c r="D694" s="31"/>
      <c r="E694" s="32"/>
      <c r="F694" s="33"/>
      <c r="G694" s="34"/>
      <c r="H694" s="34"/>
      <c r="I694" s="34"/>
      <c r="J694" s="13"/>
    </row>
    <row r="695" spans="2:10" ht="15.75" customHeight="1">
      <c r="B695" s="29"/>
      <c r="C695" s="32"/>
      <c r="D695" s="31"/>
      <c r="E695" s="32"/>
      <c r="F695" s="33"/>
      <c r="G695" s="34"/>
      <c r="H695" s="34"/>
      <c r="I695" s="34"/>
      <c r="J695" s="13"/>
    </row>
    <row r="696" spans="2:10" ht="15.75" customHeight="1">
      <c r="B696" s="29"/>
      <c r="C696" s="32"/>
      <c r="D696" s="31"/>
      <c r="E696" s="32"/>
      <c r="F696" s="33"/>
      <c r="G696" s="34"/>
      <c r="H696" s="34"/>
      <c r="I696" s="34"/>
      <c r="J696" s="13"/>
    </row>
    <row r="697" spans="2:10" ht="15.75" customHeight="1">
      <c r="B697" s="29"/>
      <c r="C697" s="32"/>
      <c r="D697" s="31"/>
      <c r="E697" s="32"/>
      <c r="F697" s="33"/>
      <c r="G697" s="34"/>
      <c r="H697" s="34"/>
      <c r="I697" s="34"/>
      <c r="J697" s="13"/>
    </row>
    <row r="698" spans="2:10" ht="15.75" customHeight="1">
      <c r="B698" s="29"/>
      <c r="C698" s="32"/>
      <c r="D698" s="31"/>
      <c r="E698" s="32"/>
      <c r="F698" s="33"/>
      <c r="G698" s="34"/>
      <c r="H698" s="34"/>
      <c r="I698" s="34"/>
      <c r="J698" s="13"/>
    </row>
    <row r="699" spans="2:10" ht="15.75" customHeight="1">
      <c r="B699" s="29"/>
      <c r="C699" s="32"/>
      <c r="D699" s="31"/>
      <c r="E699" s="32"/>
      <c r="F699" s="33"/>
      <c r="G699" s="34"/>
      <c r="H699" s="34"/>
      <c r="I699" s="34"/>
      <c r="J699" s="13"/>
    </row>
    <row r="700" spans="2:10" ht="15.75" customHeight="1">
      <c r="B700" s="29"/>
      <c r="C700" s="32"/>
      <c r="D700" s="31"/>
      <c r="E700" s="32"/>
      <c r="F700" s="33"/>
      <c r="G700" s="34"/>
      <c r="H700" s="34"/>
      <c r="I700" s="34"/>
      <c r="J700" s="13"/>
    </row>
    <row r="701" spans="2:10" ht="15.75" customHeight="1">
      <c r="B701" s="29"/>
      <c r="C701" s="32"/>
      <c r="D701" s="31"/>
      <c r="E701" s="32"/>
      <c r="F701" s="33"/>
      <c r="G701" s="34"/>
      <c r="H701" s="34"/>
      <c r="I701" s="34"/>
      <c r="J701" s="13"/>
    </row>
    <row r="702" spans="2:10" ht="15.75" customHeight="1">
      <c r="B702" s="29"/>
      <c r="C702" s="32"/>
      <c r="D702" s="31"/>
      <c r="E702" s="32"/>
      <c r="F702" s="33"/>
      <c r="G702" s="34"/>
      <c r="H702" s="34"/>
      <c r="I702" s="34"/>
      <c r="J702" s="13"/>
    </row>
    <row r="703" spans="2:10" ht="15.75" customHeight="1">
      <c r="B703" s="29"/>
      <c r="C703" s="32"/>
      <c r="D703" s="31"/>
      <c r="E703" s="32"/>
      <c r="F703" s="33"/>
      <c r="G703" s="34"/>
      <c r="H703" s="34"/>
      <c r="I703" s="34"/>
      <c r="J703" s="13"/>
    </row>
    <row r="704" spans="2:10" ht="15.75" customHeight="1">
      <c r="B704" s="29"/>
      <c r="C704" s="32"/>
      <c r="D704" s="31"/>
      <c r="E704" s="32"/>
      <c r="F704" s="33"/>
      <c r="G704" s="34"/>
      <c r="H704" s="34"/>
      <c r="I704" s="34"/>
      <c r="J704" s="13"/>
    </row>
    <row r="705" spans="2:10" ht="15.75" customHeight="1">
      <c r="B705" s="29"/>
      <c r="C705" s="32"/>
      <c r="D705" s="31"/>
      <c r="E705" s="32"/>
      <c r="F705" s="33"/>
      <c r="G705" s="34"/>
      <c r="H705" s="34"/>
      <c r="I705" s="34"/>
      <c r="J705" s="13"/>
    </row>
    <row r="706" spans="2:10" ht="15.75" customHeight="1">
      <c r="B706" s="29"/>
      <c r="C706" s="32"/>
      <c r="D706" s="31"/>
      <c r="E706" s="32"/>
      <c r="F706" s="33"/>
      <c r="G706" s="34"/>
      <c r="H706" s="34"/>
      <c r="I706" s="34"/>
      <c r="J706" s="13"/>
    </row>
    <row r="707" spans="2:10" ht="15.75" customHeight="1">
      <c r="B707" s="29"/>
      <c r="C707" s="32"/>
      <c r="D707" s="31"/>
      <c r="E707" s="32"/>
      <c r="F707" s="33"/>
      <c r="G707" s="34"/>
      <c r="H707" s="34"/>
      <c r="I707" s="34"/>
      <c r="J707" s="13"/>
    </row>
    <row r="708" spans="2:10" ht="15.75" customHeight="1">
      <c r="B708" s="29"/>
      <c r="C708" s="32"/>
      <c r="D708" s="31"/>
      <c r="E708" s="32"/>
      <c r="F708" s="33"/>
      <c r="G708" s="34"/>
      <c r="H708" s="34"/>
      <c r="I708" s="34"/>
      <c r="J708" s="13"/>
    </row>
    <row r="709" spans="2:10" ht="15.75" customHeight="1">
      <c r="B709" s="29"/>
      <c r="C709" s="32"/>
      <c r="D709" s="31"/>
      <c r="E709" s="32"/>
      <c r="F709" s="33"/>
      <c r="G709" s="34"/>
      <c r="H709" s="34"/>
      <c r="I709" s="34"/>
      <c r="J709" s="13"/>
    </row>
    <row r="710" spans="2:10" ht="15.75" customHeight="1">
      <c r="B710" s="29"/>
      <c r="C710" s="32"/>
      <c r="D710" s="31"/>
      <c r="E710" s="32"/>
      <c r="F710" s="33"/>
      <c r="G710" s="34"/>
      <c r="H710" s="34"/>
      <c r="I710" s="34"/>
      <c r="J710" s="13"/>
    </row>
    <row r="711" spans="2:10" ht="15.75" customHeight="1">
      <c r="B711" s="29"/>
      <c r="C711" s="32"/>
      <c r="D711" s="31"/>
      <c r="E711" s="32"/>
      <c r="F711" s="33"/>
      <c r="G711" s="34"/>
      <c r="H711" s="34"/>
      <c r="I711" s="34"/>
      <c r="J711" s="13"/>
    </row>
    <row r="712" spans="2:10" ht="15.75" customHeight="1">
      <c r="B712" s="29"/>
      <c r="C712" s="32"/>
      <c r="D712" s="31"/>
      <c r="E712" s="32"/>
      <c r="F712" s="33"/>
      <c r="G712" s="34"/>
      <c r="H712" s="34"/>
      <c r="I712" s="34"/>
      <c r="J712" s="13"/>
    </row>
    <row r="713" spans="2:10" ht="15.75" customHeight="1">
      <c r="B713" s="29"/>
      <c r="C713" s="32"/>
      <c r="D713" s="31"/>
      <c r="E713" s="32"/>
      <c r="F713" s="33"/>
      <c r="G713" s="34"/>
      <c r="H713" s="34"/>
      <c r="I713" s="34"/>
      <c r="J713" s="13"/>
    </row>
    <row r="714" spans="2:10" ht="15.75" customHeight="1">
      <c r="B714" s="29"/>
      <c r="C714" s="32"/>
      <c r="D714" s="31"/>
      <c r="E714" s="32"/>
      <c r="F714" s="33"/>
      <c r="G714" s="34"/>
      <c r="H714" s="34"/>
      <c r="I714" s="34"/>
      <c r="J714" s="13"/>
    </row>
    <row r="715" spans="2:10" ht="15.75" customHeight="1">
      <c r="B715" s="29"/>
      <c r="C715" s="32"/>
      <c r="D715" s="31"/>
      <c r="E715" s="32"/>
      <c r="F715" s="33"/>
      <c r="G715" s="34"/>
      <c r="H715" s="34"/>
      <c r="I715" s="34"/>
      <c r="J715" s="13"/>
    </row>
    <row r="716" spans="2:10" ht="15.75" customHeight="1">
      <c r="B716" s="29"/>
      <c r="C716" s="32"/>
      <c r="D716" s="31"/>
      <c r="E716" s="32"/>
      <c r="F716" s="33"/>
      <c r="G716" s="34"/>
      <c r="H716" s="34"/>
      <c r="I716" s="34"/>
      <c r="J716" s="13"/>
    </row>
    <row r="717" spans="2:10" ht="15.75" customHeight="1">
      <c r="B717" s="29"/>
      <c r="C717" s="32"/>
      <c r="D717" s="31"/>
      <c r="E717" s="32"/>
      <c r="F717" s="33"/>
      <c r="G717" s="34"/>
      <c r="H717" s="34"/>
      <c r="I717" s="34"/>
      <c r="J717" s="13"/>
    </row>
    <row r="718" spans="2:10" ht="15.75" customHeight="1">
      <c r="B718" s="29"/>
      <c r="C718" s="32"/>
      <c r="D718" s="31"/>
      <c r="E718" s="32"/>
      <c r="F718" s="33"/>
      <c r="G718" s="34"/>
      <c r="H718" s="34"/>
      <c r="I718" s="34"/>
      <c r="J718" s="13"/>
    </row>
    <row r="719" spans="2:10" ht="15.75" customHeight="1">
      <c r="B719" s="29"/>
      <c r="C719" s="32"/>
      <c r="D719" s="31"/>
      <c r="E719" s="32"/>
      <c r="F719" s="33"/>
      <c r="G719" s="34"/>
      <c r="H719" s="34"/>
      <c r="I719" s="34"/>
      <c r="J719" s="13"/>
    </row>
    <row r="720" spans="2:10" ht="15.75" customHeight="1">
      <c r="B720" s="29"/>
      <c r="C720" s="32"/>
      <c r="D720" s="31"/>
      <c r="E720" s="32"/>
      <c r="F720" s="33"/>
      <c r="G720" s="34"/>
      <c r="H720" s="34"/>
      <c r="I720" s="34"/>
      <c r="J720" s="13"/>
    </row>
    <row r="721" spans="2:10" ht="15.75" customHeight="1">
      <c r="B721" s="29"/>
      <c r="C721" s="32"/>
      <c r="D721" s="31"/>
      <c r="E721" s="32"/>
      <c r="F721" s="33"/>
      <c r="G721" s="34"/>
      <c r="H721" s="34"/>
      <c r="I721" s="34"/>
      <c r="J721" s="13"/>
    </row>
    <row r="722" spans="2:10" ht="15.75" customHeight="1">
      <c r="B722" s="29"/>
      <c r="C722" s="32"/>
      <c r="D722" s="31"/>
      <c r="E722" s="32"/>
      <c r="F722" s="33"/>
      <c r="G722" s="34"/>
      <c r="H722" s="34"/>
      <c r="I722" s="34"/>
      <c r="J722" s="13"/>
    </row>
    <row r="723" spans="2:10" ht="15.75" customHeight="1">
      <c r="B723" s="29"/>
      <c r="C723" s="32"/>
      <c r="D723" s="31"/>
      <c r="E723" s="32"/>
      <c r="F723" s="33"/>
      <c r="G723" s="34"/>
      <c r="H723" s="34"/>
      <c r="I723" s="34"/>
      <c r="J723" s="13"/>
    </row>
    <row r="724" spans="2:10" ht="15.75" customHeight="1">
      <c r="B724" s="29"/>
      <c r="C724" s="32"/>
      <c r="D724" s="31"/>
      <c r="E724" s="32"/>
      <c r="F724" s="33"/>
      <c r="G724" s="34"/>
      <c r="H724" s="34"/>
      <c r="I724" s="34"/>
      <c r="J724" s="13"/>
    </row>
    <row r="725" spans="2:10" ht="15.75" customHeight="1">
      <c r="B725" s="29"/>
      <c r="C725" s="32"/>
      <c r="D725" s="31"/>
      <c r="E725" s="32"/>
      <c r="F725" s="33"/>
      <c r="G725" s="34"/>
      <c r="H725" s="34"/>
      <c r="I725" s="34"/>
      <c r="J725" s="13"/>
    </row>
    <row r="726" spans="2:10" ht="15.75" customHeight="1">
      <c r="B726" s="29"/>
      <c r="C726" s="32"/>
      <c r="D726" s="31"/>
      <c r="E726" s="32"/>
      <c r="F726" s="33"/>
      <c r="G726" s="34"/>
      <c r="H726" s="34"/>
      <c r="I726" s="34"/>
      <c r="J726" s="13"/>
    </row>
    <row r="727" spans="2:10" ht="15.75" customHeight="1">
      <c r="B727" s="29"/>
      <c r="C727" s="32"/>
      <c r="D727" s="31"/>
      <c r="E727" s="32"/>
      <c r="F727" s="33"/>
      <c r="G727" s="34"/>
      <c r="H727" s="34"/>
      <c r="I727" s="34"/>
      <c r="J727" s="13"/>
    </row>
    <row r="728" spans="2:10" ht="15.75" customHeight="1">
      <c r="B728" s="29"/>
      <c r="C728" s="32"/>
      <c r="D728" s="31"/>
      <c r="E728" s="32"/>
      <c r="F728" s="33"/>
      <c r="G728" s="34"/>
      <c r="H728" s="34"/>
      <c r="I728" s="34"/>
      <c r="J728" s="13"/>
    </row>
    <row r="729" spans="2:10" ht="15.75" customHeight="1">
      <c r="B729" s="29"/>
      <c r="C729" s="32"/>
      <c r="D729" s="31"/>
      <c r="E729" s="32"/>
      <c r="F729" s="33"/>
      <c r="G729" s="34"/>
      <c r="H729" s="34"/>
      <c r="I729" s="34"/>
      <c r="J729" s="13"/>
    </row>
    <row r="730" spans="2:10" ht="15.75" customHeight="1">
      <c r="B730" s="29"/>
      <c r="C730" s="32"/>
      <c r="D730" s="31"/>
      <c r="E730" s="32"/>
      <c r="F730" s="33"/>
      <c r="G730" s="34"/>
      <c r="H730" s="34"/>
      <c r="I730" s="34"/>
      <c r="J730" s="13"/>
    </row>
    <row r="731" spans="2:10" ht="15.75" customHeight="1">
      <c r="B731" s="29"/>
      <c r="C731" s="32"/>
      <c r="D731" s="31"/>
      <c r="E731" s="32"/>
      <c r="F731" s="33"/>
      <c r="G731" s="34"/>
      <c r="H731" s="34"/>
      <c r="I731" s="34"/>
      <c r="J731" s="13"/>
    </row>
    <row r="732" spans="2:10" ht="15.75" customHeight="1">
      <c r="B732" s="29"/>
      <c r="C732" s="32"/>
      <c r="D732" s="31"/>
      <c r="E732" s="32"/>
      <c r="F732" s="33"/>
      <c r="G732" s="34"/>
      <c r="H732" s="34"/>
      <c r="I732" s="34"/>
      <c r="J732" s="13"/>
    </row>
    <row r="733" spans="2:10" ht="15.75" customHeight="1">
      <c r="B733" s="29"/>
      <c r="C733" s="32"/>
      <c r="D733" s="31"/>
      <c r="E733" s="32"/>
      <c r="F733" s="33"/>
      <c r="G733" s="34"/>
      <c r="H733" s="34"/>
      <c r="I733" s="34"/>
      <c r="J733" s="13"/>
    </row>
    <row r="734" spans="2:10" ht="15.75" customHeight="1">
      <c r="B734" s="29"/>
      <c r="C734" s="32"/>
      <c r="D734" s="31"/>
      <c r="E734" s="32"/>
      <c r="F734" s="33"/>
      <c r="G734" s="34"/>
      <c r="H734" s="34"/>
      <c r="I734" s="34"/>
      <c r="J734" s="13"/>
    </row>
    <row r="735" spans="2:10" ht="15.75" customHeight="1">
      <c r="B735" s="29"/>
      <c r="C735" s="32"/>
      <c r="D735" s="31"/>
      <c r="E735" s="32"/>
      <c r="F735" s="33"/>
      <c r="G735" s="34"/>
      <c r="H735" s="34"/>
      <c r="I735" s="34"/>
      <c r="J735" s="13"/>
    </row>
    <row r="736" spans="2:10" ht="15.75" customHeight="1">
      <c r="B736" s="29"/>
      <c r="C736" s="32"/>
      <c r="D736" s="31"/>
      <c r="E736" s="32"/>
      <c r="F736" s="33"/>
      <c r="G736" s="34"/>
      <c r="H736" s="34"/>
      <c r="I736" s="34"/>
      <c r="J736" s="13"/>
    </row>
    <row r="737" spans="2:10" ht="15.75" customHeight="1">
      <c r="B737" s="29"/>
      <c r="C737" s="32"/>
      <c r="D737" s="31"/>
      <c r="E737" s="32"/>
      <c r="F737" s="33"/>
      <c r="G737" s="34"/>
      <c r="H737" s="34"/>
      <c r="I737" s="34"/>
      <c r="J737" s="13"/>
    </row>
    <row r="738" spans="2:10" ht="15.75" customHeight="1">
      <c r="B738" s="29"/>
      <c r="C738" s="32"/>
      <c r="D738" s="31"/>
      <c r="E738" s="32"/>
      <c r="F738" s="33"/>
      <c r="G738" s="34"/>
      <c r="H738" s="34"/>
      <c r="I738" s="34"/>
      <c r="J738" s="13"/>
    </row>
    <row r="739" spans="2:10" ht="15.75" customHeight="1">
      <c r="B739" s="29"/>
      <c r="C739" s="32"/>
      <c r="D739" s="31"/>
      <c r="E739" s="32"/>
      <c r="F739" s="33"/>
      <c r="G739" s="34"/>
      <c r="H739" s="34"/>
      <c r="I739" s="34"/>
      <c r="J739" s="13"/>
    </row>
    <row r="740" spans="2:10" ht="15.75" customHeight="1">
      <c r="B740" s="29"/>
      <c r="C740" s="32"/>
      <c r="D740" s="31"/>
      <c r="E740" s="32"/>
      <c r="F740" s="33"/>
      <c r="G740" s="34"/>
      <c r="H740" s="34"/>
      <c r="I740" s="34"/>
      <c r="J740" s="13"/>
    </row>
    <row r="741" spans="2:10" ht="15.75" customHeight="1">
      <c r="B741" s="29"/>
      <c r="C741" s="32"/>
      <c r="D741" s="31"/>
      <c r="E741" s="32"/>
      <c r="F741" s="33"/>
      <c r="G741" s="34"/>
      <c r="H741" s="34"/>
      <c r="I741" s="34"/>
      <c r="J741" s="13"/>
    </row>
    <row r="742" spans="2:10" ht="15.75" customHeight="1">
      <c r="B742" s="29"/>
      <c r="C742" s="32"/>
      <c r="D742" s="31"/>
      <c r="E742" s="32"/>
      <c r="F742" s="33"/>
      <c r="G742" s="34"/>
      <c r="H742" s="34"/>
      <c r="I742" s="34"/>
      <c r="J742" s="13"/>
    </row>
    <row r="743" spans="2:10" ht="15.75" customHeight="1">
      <c r="B743" s="29"/>
      <c r="C743" s="32"/>
      <c r="D743" s="31"/>
      <c r="E743" s="32"/>
      <c r="F743" s="33"/>
      <c r="G743" s="34"/>
      <c r="H743" s="34"/>
      <c r="I743" s="34"/>
      <c r="J743" s="13"/>
    </row>
    <row r="744" spans="2:10" ht="15.75" customHeight="1">
      <c r="B744" s="29"/>
      <c r="C744" s="32"/>
      <c r="D744" s="31"/>
      <c r="E744" s="32"/>
      <c r="F744" s="33"/>
      <c r="G744" s="34"/>
      <c r="H744" s="34"/>
      <c r="I744" s="34"/>
      <c r="J744" s="13"/>
    </row>
    <row r="745" spans="2:10" ht="15.75" customHeight="1">
      <c r="B745" s="29"/>
      <c r="C745" s="32"/>
      <c r="D745" s="31"/>
      <c r="E745" s="32"/>
      <c r="F745" s="33"/>
      <c r="G745" s="34"/>
      <c r="H745" s="34"/>
      <c r="I745" s="34"/>
      <c r="J745" s="13"/>
    </row>
    <row r="746" spans="2:10" ht="15.75" customHeight="1">
      <c r="B746" s="29"/>
      <c r="C746" s="32"/>
      <c r="D746" s="31"/>
      <c r="E746" s="32"/>
      <c r="F746" s="33"/>
      <c r="G746" s="34"/>
      <c r="H746" s="34"/>
      <c r="I746" s="34"/>
      <c r="J746" s="13"/>
    </row>
    <row r="747" spans="2:10" ht="15.75" customHeight="1">
      <c r="B747" s="29"/>
      <c r="C747" s="32"/>
      <c r="D747" s="31"/>
      <c r="E747" s="32"/>
      <c r="F747" s="33"/>
      <c r="G747" s="34"/>
      <c r="H747" s="34"/>
      <c r="I747" s="34"/>
      <c r="J747" s="13"/>
    </row>
    <row r="748" spans="2:10" ht="15.75" customHeight="1">
      <c r="B748" s="29"/>
      <c r="C748" s="32"/>
      <c r="D748" s="31"/>
      <c r="E748" s="32"/>
      <c r="F748" s="33"/>
      <c r="G748" s="34"/>
      <c r="H748" s="34"/>
      <c r="I748" s="34"/>
      <c r="J748" s="13"/>
    </row>
    <row r="749" spans="2:10" ht="15.75" customHeight="1">
      <c r="B749" s="29"/>
      <c r="C749" s="32"/>
      <c r="D749" s="31"/>
      <c r="E749" s="32"/>
      <c r="F749" s="33"/>
      <c r="G749" s="34"/>
      <c r="H749" s="34"/>
      <c r="I749" s="34"/>
      <c r="J749" s="13"/>
    </row>
    <row r="750" spans="2:10" ht="15.75" customHeight="1">
      <c r="B750" s="29"/>
      <c r="C750" s="32"/>
      <c r="D750" s="31"/>
      <c r="E750" s="32"/>
      <c r="F750" s="33"/>
      <c r="G750" s="34"/>
      <c r="H750" s="34"/>
      <c r="I750" s="34"/>
      <c r="J750" s="13"/>
    </row>
    <row r="751" spans="2:10" ht="15.75" customHeight="1">
      <c r="B751" s="29"/>
      <c r="C751" s="32"/>
      <c r="D751" s="31"/>
      <c r="E751" s="32"/>
      <c r="F751" s="33"/>
      <c r="G751" s="34"/>
      <c r="H751" s="34"/>
      <c r="I751" s="34"/>
      <c r="J751" s="13"/>
    </row>
    <row r="752" spans="2:10" ht="15.75" customHeight="1">
      <c r="B752" s="29"/>
      <c r="C752" s="32"/>
      <c r="D752" s="31"/>
      <c r="E752" s="32"/>
      <c r="F752" s="33"/>
      <c r="G752" s="34"/>
      <c r="H752" s="34"/>
      <c r="I752" s="34"/>
      <c r="J752" s="13"/>
    </row>
    <row r="753" spans="2:10" ht="15.75" customHeight="1">
      <c r="B753" s="29"/>
      <c r="C753" s="32"/>
      <c r="D753" s="31"/>
      <c r="E753" s="32"/>
      <c r="F753" s="33"/>
      <c r="G753" s="34"/>
      <c r="H753" s="34"/>
      <c r="I753" s="34"/>
      <c r="J753" s="13"/>
    </row>
    <row r="754" spans="2:10" ht="15.75" customHeight="1">
      <c r="B754" s="29"/>
      <c r="C754" s="32"/>
      <c r="D754" s="31"/>
      <c r="E754" s="32"/>
      <c r="F754" s="33"/>
      <c r="G754" s="34"/>
      <c r="H754" s="34"/>
      <c r="I754" s="34"/>
      <c r="J754" s="13"/>
    </row>
    <row r="755" spans="2:10" ht="15.75" customHeight="1">
      <c r="B755" s="29"/>
      <c r="C755" s="32"/>
      <c r="D755" s="31"/>
      <c r="E755" s="32"/>
      <c r="F755" s="33"/>
      <c r="G755" s="34"/>
      <c r="H755" s="34"/>
      <c r="I755" s="34"/>
      <c r="J755" s="13"/>
    </row>
    <row r="756" spans="2:10" ht="15.75" customHeight="1">
      <c r="B756" s="29"/>
      <c r="C756" s="32"/>
      <c r="D756" s="31"/>
      <c r="E756" s="32"/>
      <c r="F756" s="33"/>
      <c r="G756" s="34"/>
      <c r="H756" s="34"/>
      <c r="I756" s="34"/>
      <c r="J756" s="13"/>
    </row>
    <row r="757" spans="2:10" ht="15.75" customHeight="1">
      <c r="B757" s="29"/>
      <c r="C757" s="32"/>
      <c r="D757" s="31"/>
      <c r="E757" s="32"/>
      <c r="F757" s="33"/>
      <c r="G757" s="34"/>
      <c r="H757" s="34"/>
      <c r="I757" s="34"/>
      <c r="J757" s="13"/>
    </row>
    <row r="758" spans="2:10" ht="15.75" customHeight="1">
      <c r="B758" s="29"/>
      <c r="C758" s="32"/>
      <c r="D758" s="31"/>
      <c r="E758" s="32"/>
      <c r="F758" s="33"/>
      <c r="G758" s="34"/>
      <c r="H758" s="34"/>
      <c r="I758" s="34"/>
      <c r="J758" s="13"/>
    </row>
    <row r="759" spans="2:10" ht="15.75" customHeight="1">
      <c r="B759" s="29"/>
      <c r="C759" s="32"/>
      <c r="D759" s="31"/>
      <c r="E759" s="32"/>
      <c r="F759" s="33"/>
      <c r="G759" s="34"/>
      <c r="H759" s="34"/>
      <c r="I759" s="34"/>
      <c r="J759" s="13"/>
    </row>
    <row r="760" spans="2:10" ht="15.75" customHeight="1">
      <c r="B760" s="29"/>
      <c r="C760" s="32"/>
      <c r="D760" s="31"/>
      <c r="E760" s="32"/>
      <c r="F760" s="33"/>
      <c r="G760" s="34"/>
      <c r="H760" s="34"/>
      <c r="I760" s="34"/>
      <c r="J760" s="13"/>
    </row>
    <row r="761" spans="2:10" ht="15.75" customHeight="1">
      <c r="B761" s="29"/>
      <c r="C761" s="32"/>
      <c r="D761" s="31"/>
      <c r="E761" s="32"/>
      <c r="F761" s="33"/>
      <c r="G761" s="34"/>
      <c r="H761" s="34"/>
      <c r="I761" s="34"/>
      <c r="J761" s="13"/>
    </row>
    <row r="762" spans="2:10" ht="15.75" customHeight="1">
      <c r="B762" s="29"/>
      <c r="C762" s="32"/>
      <c r="D762" s="31"/>
      <c r="E762" s="32"/>
      <c r="F762" s="33"/>
      <c r="G762" s="34"/>
      <c r="H762" s="34"/>
      <c r="I762" s="34"/>
      <c r="J762" s="13"/>
    </row>
    <row r="763" spans="2:10" ht="15.75" customHeight="1">
      <c r="B763" s="29"/>
      <c r="C763" s="32"/>
      <c r="D763" s="31"/>
      <c r="E763" s="32"/>
      <c r="F763" s="33"/>
      <c r="G763" s="34"/>
      <c r="H763" s="34"/>
      <c r="I763" s="34"/>
      <c r="J763" s="13"/>
    </row>
    <row r="764" spans="2:10" ht="15.75" customHeight="1">
      <c r="B764" s="29"/>
      <c r="C764" s="32"/>
      <c r="D764" s="31"/>
      <c r="E764" s="32"/>
      <c r="F764" s="33"/>
      <c r="G764" s="34"/>
      <c r="H764" s="34"/>
      <c r="I764" s="34"/>
      <c r="J764" s="13"/>
    </row>
    <row r="765" spans="2:10" ht="15.75" customHeight="1">
      <c r="B765" s="29"/>
      <c r="C765" s="32"/>
      <c r="D765" s="31"/>
      <c r="E765" s="32"/>
      <c r="F765" s="33"/>
      <c r="G765" s="34"/>
      <c r="H765" s="34"/>
      <c r="I765" s="34"/>
      <c r="J765" s="13"/>
    </row>
    <row r="766" spans="2:10" ht="15.75" customHeight="1">
      <c r="B766" s="29"/>
      <c r="C766" s="32"/>
      <c r="D766" s="31"/>
      <c r="E766" s="32"/>
      <c r="F766" s="33"/>
      <c r="G766" s="34"/>
      <c r="H766" s="34"/>
      <c r="I766" s="34"/>
      <c r="J766" s="13"/>
    </row>
    <row r="767" spans="2:10" ht="15.75" customHeight="1">
      <c r="B767" s="29"/>
      <c r="C767" s="32"/>
      <c r="D767" s="31"/>
      <c r="E767" s="32"/>
      <c r="F767" s="33"/>
      <c r="G767" s="34"/>
      <c r="H767" s="34"/>
      <c r="I767" s="34"/>
      <c r="J767" s="13"/>
    </row>
    <row r="768" spans="2:10" ht="15.75" customHeight="1">
      <c r="B768" s="29"/>
      <c r="C768" s="32"/>
      <c r="D768" s="31"/>
      <c r="E768" s="32"/>
      <c r="F768" s="33"/>
      <c r="G768" s="34"/>
      <c r="H768" s="34"/>
      <c r="I768" s="34"/>
      <c r="J768" s="13"/>
    </row>
    <row r="769" spans="2:10" ht="15.75" customHeight="1">
      <c r="B769" s="29"/>
      <c r="C769" s="32"/>
      <c r="D769" s="31"/>
      <c r="E769" s="32"/>
      <c r="F769" s="33"/>
      <c r="G769" s="34"/>
      <c r="H769" s="34"/>
      <c r="I769" s="34"/>
      <c r="J769" s="13"/>
    </row>
    <row r="770" spans="2:10" ht="15.75" customHeight="1">
      <c r="B770" s="29"/>
      <c r="C770" s="32"/>
      <c r="D770" s="31"/>
      <c r="E770" s="32"/>
      <c r="F770" s="33"/>
      <c r="G770" s="34"/>
      <c r="H770" s="34"/>
      <c r="I770" s="34"/>
      <c r="J770" s="13"/>
    </row>
    <row r="771" spans="2:10" ht="15.75" customHeight="1">
      <c r="B771" s="29"/>
      <c r="C771" s="32"/>
      <c r="D771" s="31"/>
      <c r="E771" s="32"/>
      <c r="F771" s="33"/>
      <c r="G771" s="34"/>
      <c r="H771" s="34"/>
      <c r="I771" s="34"/>
      <c r="J771" s="13"/>
    </row>
    <row r="772" spans="2:10" ht="15.75" customHeight="1">
      <c r="B772" s="29"/>
      <c r="C772" s="32"/>
      <c r="D772" s="31"/>
      <c r="E772" s="32"/>
      <c r="F772" s="33"/>
      <c r="G772" s="34"/>
      <c r="H772" s="34"/>
      <c r="I772" s="34"/>
      <c r="J772" s="13"/>
    </row>
    <row r="773" spans="2:10" ht="15.75" customHeight="1">
      <c r="B773" s="29"/>
      <c r="C773" s="32"/>
      <c r="D773" s="31"/>
      <c r="E773" s="32"/>
      <c r="F773" s="33"/>
      <c r="G773" s="34"/>
      <c r="H773" s="34"/>
      <c r="I773" s="34"/>
      <c r="J773" s="13"/>
    </row>
    <row r="774" spans="2:10" ht="15.75" customHeight="1">
      <c r="B774" s="29"/>
      <c r="C774" s="32"/>
      <c r="D774" s="31"/>
      <c r="E774" s="32"/>
      <c r="F774" s="33"/>
      <c r="G774" s="34"/>
      <c r="H774" s="34"/>
      <c r="I774" s="34"/>
      <c r="J774" s="13"/>
    </row>
    <row r="775" spans="2:10" ht="15.75" customHeight="1">
      <c r="B775" s="29"/>
      <c r="C775" s="32"/>
      <c r="D775" s="31"/>
      <c r="E775" s="32"/>
      <c r="F775" s="33"/>
      <c r="G775" s="34"/>
      <c r="H775" s="34"/>
      <c r="I775" s="34"/>
      <c r="J775" s="13"/>
    </row>
    <row r="776" spans="2:10" ht="15.75" customHeight="1">
      <c r="B776" s="29"/>
      <c r="C776" s="32"/>
      <c r="D776" s="31"/>
      <c r="E776" s="32"/>
      <c r="F776" s="33"/>
      <c r="G776" s="34"/>
      <c r="H776" s="34"/>
      <c r="I776" s="34"/>
      <c r="J776" s="13"/>
    </row>
    <row r="777" spans="2:10" ht="15.75" customHeight="1">
      <c r="B777" s="29"/>
      <c r="C777" s="32"/>
      <c r="D777" s="31"/>
      <c r="E777" s="32"/>
      <c r="F777" s="33"/>
      <c r="G777" s="34"/>
      <c r="H777" s="34"/>
      <c r="I777" s="34"/>
      <c r="J777" s="13"/>
    </row>
    <row r="778" spans="2:10" ht="15.75" customHeight="1">
      <c r="B778" s="29"/>
      <c r="C778" s="32"/>
      <c r="D778" s="31"/>
      <c r="E778" s="32"/>
      <c r="F778" s="33"/>
      <c r="G778" s="34"/>
      <c r="H778" s="34"/>
      <c r="I778" s="34"/>
      <c r="J778" s="13"/>
    </row>
    <row r="779" spans="2:10" ht="15.75" customHeight="1">
      <c r="B779" s="29"/>
      <c r="C779" s="32"/>
      <c r="D779" s="31"/>
      <c r="E779" s="32"/>
      <c r="F779" s="33"/>
      <c r="G779" s="34"/>
      <c r="H779" s="34"/>
      <c r="I779" s="34"/>
      <c r="J779" s="13"/>
    </row>
    <row r="780" spans="2:10" ht="15.75" customHeight="1">
      <c r="B780" s="29"/>
      <c r="C780" s="32"/>
      <c r="D780" s="31"/>
      <c r="E780" s="32"/>
      <c r="F780" s="33"/>
      <c r="G780" s="34"/>
      <c r="H780" s="34"/>
      <c r="I780" s="34"/>
      <c r="J780" s="13"/>
    </row>
    <row r="781" spans="2:10" ht="15.75" customHeight="1">
      <c r="B781" s="29"/>
      <c r="C781" s="32"/>
      <c r="D781" s="31"/>
      <c r="E781" s="32"/>
      <c r="F781" s="33"/>
      <c r="G781" s="34"/>
      <c r="H781" s="34"/>
      <c r="I781" s="34"/>
      <c r="J781" s="13"/>
    </row>
    <row r="782" spans="2:10" ht="15.75" customHeight="1">
      <c r="B782" s="29"/>
      <c r="C782" s="32"/>
      <c r="D782" s="31"/>
      <c r="E782" s="32"/>
      <c r="F782" s="33"/>
      <c r="G782" s="34"/>
      <c r="H782" s="34"/>
      <c r="I782" s="34"/>
      <c r="J782" s="13"/>
    </row>
    <row r="783" spans="2:10" ht="15.75" customHeight="1">
      <c r="B783" s="29"/>
      <c r="C783" s="32"/>
      <c r="D783" s="31"/>
      <c r="E783" s="32"/>
      <c r="F783" s="33"/>
      <c r="G783" s="34"/>
      <c r="H783" s="34"/>
      <c r="I783" s="34"/>
      <c r="J783" s="13"/>
    </row>
    <row r="784" spans="2:10" ht="15.75" customHeight="1">
      <c r="B784" s="29"/>
      <c r="C784" s="32"/>
      <c r="D784" s="31"/>
      <c r="E784" s="32"/>
      <c r="F784" s="33"/>
      <c r="G784" s="34"/>
      <c r="H784" s="34"/>
      <c r="I784" s="34"/>
      <c r="J784" s="13"/>
    </row>
    <row r="785" spans="2:10" ht="15.75" customHeight="1">
      <c r="B785" s="29"/>
      <c r="C785" s="32"/>
      <c r="D785" s="31"/>
      <c r="E785" s="32"/>
      <c r="F785" s="33"/>
      <c r="G785" s="34"/>
      <c r="H785" s="34"/>
      <c r="I785" s="34"/>
      <c r="J785" s="13"/>
    </row>
    <row r="786" spans="2:10" ht="15.75" customHeight="1">
      <c r="B786" s="29"/>
      <c r="C786" s="32"/>
      <c r="D786" s="31"/>
      <c r="E786" s="32"/>
      <c r="F786" s="33"/>
      <c r="G786" s="34"/>
      <c r="H786" s="34"/>
      <c r="I786" s="34"/>
      <c r="J786" s="13"/>
    </row>
    <row r="787" spans="2:10" ht="15.75" customHeight="1">
      <c r="B787" s="29"/>
      <c r="C787" s="32"/>
      <c r="D787" s="31"/>
      <c r="E787" s="32"/>
      <c r="F787" s="33"/>
      <c r="G787" s="34"/>
      <c r="H787" s="34"/>
      <c r="I787" s="34"/>
      <c r="J787" s="13"/>
    </row>
    <row r="788" spans="2:10" ht="15.75" customHeight="1">
      <c r="B788" s="29"/>
      <c r="C788" s="32"/>
      <c r="D788" s="31"/>
      <c r="E788" s="32"/>
      <c r="F788" s="33"/>
      <c r="G788" s="34"/>
      <c r="H788" s="34"/>
      <c r="I788" s="34"/>
      <c r="J788" s="13"/>
    </row>
    <row r="789" spans="2:10" ht="15.75" customHeight="1">
      <c r="B789" s="29"/>
      <c r="C789" s="32"/>
      <c r="D789" s="31"/>
      <c r="E789" s="32"/>
      <c r="F789" s="33"/>
      <c r="G789" s="34"/>
      <c r="H789" s="34"/>
      <c r="I789" s="34"/>
      <c r="J789" s="13"/>
    </row>
    <row r="790" spans="2:10" ht="15.75" customHeight="1">
      <c r="B790" s="29"/>
      <c r="C790" s="32"/>
      <c r="D790" s="31"/>
      <c r="E790" s="32"/>
      <c r="F790" s="33"/>
      <c r="G790" s="34"/>
      <c r="H790" s="34"/>
      <c r="I790" s="34"/>
      <c r="J790" s="13"/>
    </row>
    <row r="791" spans="2:10" ht="15.75" customHeight="1">
      <c r="B791" s="29"/>
      <c r="C791" s="32"/>
      <c r="D791" s="31"/>
      <c r="E791" s="32"/>
      <c r="F791" s="33"/>
      <c r="G791" s="34"/>
      <c r="H791" s="34"/>
      <c r="I791" s="34"/>
      <c r="J791" s="13"/>
    </row>
    <row r="792" spans="2:10" ht="15.75" customHeight="1">
      <c r="B792" s="29"/>
      <c r="C792" s="32"/>
      <c r="D792" s="31"/>
      <c r="E792" s="32"/>
      <c r="F792" s="33"/>
      <c r="G792" s="34"/>
      <c r="H792" s="34"/>
      <c r="I792" s="34"/>
      <c r="J792" s="13"/>
    </row>
    <row r="793" spans="2:10" ht="15.75" customHeight="1">
      <c r="B793" s="29"/>
      <c r="C793" s="32"/>
      <c r="D793" s="31"/>
      <c r="E793" s="32"/>
      <c r="F793" s="33"/>
      <c r="G793" s="34"/>
      <c r="H793" s="34"/>
      <c r="I793" s="34"/>
      <c r="J793" s="13"/>
    </row>
    <row r="794" spans="2:10" ht="15.75" customHeight="1">
      <c r="B794" s="29"/>
      <c r="C794" s="32"/>
      <c r="D794" s="31"/>
      <c r="E794" s="32"/>
      <c r="F794" s="33"/>
      <c r="G794" s="34"/>
      <c r="H794" s="34"/>
      <c r="I794" s="34"/>
      <c r="J794" s="13"/>
    </row>
    <row r="795" spans="2:10" ht="15.75" customHeight="1">
      <c r="B795" s="29"/>
      <c r="C795" s="32"/>
      <c r="D795" s="31"/>
      <c r="E795" s="32"/>
      <c r="F795" s="33"/>
      <c r="G795" s="34"/>
      <c r="H795" s="34"/>
      <c r="I795" s="34"/>
      <c r="J795" s="13"/>
    </row>
    <row r="796" spans="2:10" ht="15.75" customHeight="1">
      <c r="B796" s="29"/>
      <c r="C796" s="32"/>
      <c r="D796" s="31"/>
      <c r="E796" s="32"/>
      <c r="F796" s="33"/>
      <c r="G796" s="34"/>
      <c r="H796" s="34"/>
      <c r="I796" s="34"/>
      <c r="J796" s="13"/>
    </row>
    <row r="797" spans="2:10" ht="15.75" customHeight="1">
      <c r="B797" s="29"/>
      <c r="C797" s="32"/>
      <c r="D797" s="31"/>
      <c r="E797" s="32"/>
      <c r="F797" s="33"/>
      <c r="G797" s="34"/>
      <c r="H797" s="34"/>
      <c r="I797" s="34"/>
      <c r="J797" s="13"/>
    </row>
    <row r="798" spans="2:10" ht="15.75" customHeight="1">
      <c r="B798" s="29"/>
      <c r="C798" s="32"/>
      <c r="D798" s="31"/>
      <c r="E798" s="32"/>
      <c r="F798" s="33"/>
      <c r="G798" s="34"/>
      <c r="H798" s="34"/>
      <c r="I798" s="34"/>
      <c r="J798" s="13"/>
    </row>
    <row r="799" spans="2:10" ht="15.75" customHeight="1">
      <c r="B799" s="29"/>
      <c r="C799" s="32"/>
      <c r="D799" s="31"/>
      <c r="E799" s="32"/>
      <c r="F799" s="33"/>
      <c r="G799" s="34"/>
      <c r="H799" s="34"/>
      <c r="I799" s="34"/>
      <c r="J799" s="13"/>
    </row>
    <row r="800" spans="2:10" ht="15.75" customHeight="1">
      <c r="B800" s="29"/>
      <c r="C800" s="32"/>
      <c r="D800" s="31"/>
      <c r="E800" s="32"/>
      <c r="F800" s="33"/>
      <c r="G800" s="34"/>
      <c r="H800" s="34"/>
      <c r="I800" s="34"/>
      <c r="J800" s="13"/>
    </row>
    <row r="801" spans="2:10" ht="15.75" customHeight="1">
      <c r="B801" s="29"/>
      <c r="C801" s="32"/>
      <c r="D801" s="31"/>
      <c r="E801" s="32"/>
      <c r="F801" s="33"/>
      <c r="G801" s="34"/>
      <c r="H801" s="34"/>
      <c r="I801" s="34"/>
      <c r="J801" s="13"/>
    </row>
    <row r="802" spans="2:10" ht="15.75" customHeight="1">
      <c r="B802" s="29"/>
      <c r="C802" s="32"/>
      <c r="D802" s="31"/>
      <c r="E802" s="32"/>
      <c r="F802" s="33"/>
      <c r="G802" s="34"/>
      <c r="H802" s="34"/>
      <c r="I802" s="34"/>
      <c r="J802" s="13"/>
    </row>
    <row r="803" spans="2:10" ht="15.75" customHeight="1">
      <c r="B803" s="29"/>
      <c r="C803" s="32"/>
      <c r="D803" s="31"/>
      <c r="E803" s="32"/>
      <c r="F803" s="33"/>
      <c r="G803" s="34"/>
      <c r="H803" s="34"/>
      <c r="I803" s="34"/>
      <c r="J803" s="13"/>
    </row>
    <row r="804" spans="2:10" ht="15.75" customHeight="1">
      <c r="B804" s="29"/>
      <c r="C804" s="32"/>
      <c r="D804" s="31"/>
      <c r="E804" s="32"/>
      <c r="F804" s="33"/>
      <c r="G804" s="34"/>
      <c r="H804" s="34"/>
      <c r="I804" s="34"/>
      <c r="J804" s="13"/>
    </row>
    <row r="805" spans="2:10" ht="15.75" customHeight="1">
      <c r="B805" s="29"/>
      <c r="C805" s="32"/>
      <c r="D805" s="31"/>
      <c r="E805" s="32"/>
      <c r="F805" s="33"/>
      <c r="G805" s="34"/>
      <c r="H805" s="34"/>
      <c r="I805" s="34"/>
      <c r="J805" s="13"/>
    </row>
    <row r="806" spans="2:10" ht="15.75" customHeight="1">
      <c r="B806" s="29"/>
      <c r="C806" s="32"/>
      <c r="D806" s="31"/>
      <c r="E806" s="32"/>
      <c r="F806" s="33"/>
      <c r="G806" s="34"/>
      <c r="H806" s="34"/>
      <c r="I806" s="34"/>
      <c r="J806" s="13"/>
    </row>
    <row r="807" spans="2:10" ht="15.75" customHeight="1">
      <c r="B807" s="29"/>
      <c r="C807" s="32"/>
      <c r="D807" s="31"/>
      <c r="E807" s="32"/>
      <c r="F807" s="33"/>
      <c r="G807" s="34"/>
      <c r="H807" s="34"/>
      <c r="I807" s="34"/>
      <c r="J807" s="13"/>
    </row>
    <row r="808" spans="2:10" ht="15.75" customHeight="1">
      <c r="B808" s="29"/>
      <c r="C808" s="32"/>
      <c r="D808" s="31"/>
      <c r="E808" s="32"/>
      <c r="F808" s="33"/>
      <c r="G808" s="34"/>
      <c r="H808" s="34"/>
      <c r="I808" s="34"/>
      <c r="J808" s="13"/>
    </row>
    <row r="809" spans="2:10" ht="15.75" customHeight="1">
      <c r="B809" s="29"/>
      <c r="C809" s="32"/>
      <c r="D809" s="31"/>
      <c r="E809" s="32"/>
      <c r="F809" s="33"/>
      <c r="G809" s="34"/>
      <c r="H809" s="34"/>
      <c r="I809" s="34"/>
      <c r="J809" s="13"/>
    </row>
    <row r="810" spans="2:10" ht="15.75" customHeight="1">
      <c r="B810" s="29"/>
      <c r="C810" s="32"/>
      <c r="D810" s="31"/>
      <c r="E810" s="32"/>
      <c r="F810" s="33"/>
      <c r="G810" s="34"/>
      <c r="H810" s="34"/>
      <c r="I810" s="34"/>
      <c r="J810" s="13"/>
    </row>
    <row r="811" spans="2:10" ht="15.75" customHeight="1">
      <c r="B811" s="29"/>
      <c r="C811" s="32"/>
      <c r="D811" s="31"/>
      <c r="E811" s="32"/>
      <c r="F811" s="33"/>
      <c r="G811" s="34"/>
      <c r="H811" s="34"/>
      <c r="I811" s="34"/>
      <c r="J811" s="13"/>
    </row>
    <row r="812" spans="2:10" ht="15.75" customHeight="1">
      <c r="B812" s="29"/>
      <c r="C812" s="32"/>
      <c r="D812" s="31"/>
      <c r="E812" s="32"/>
      <c r="F812" s="33"/>
      <c r="G812" s="34"/>
      <c r="H812" s="34"/>
      <c r="I812" s="34"/>
      <c r="J812" s="13"/>
    </row>
    <row r="813" spans="2:10" ht="15.75" customHeight="1">
      <c r="B813" s="29"/>
      <c r="C813" s="32"/>
      <c r="D813" s="31"/>
      <c r="E813" s="32"/>
      <c r="F813" s="33"/>
      <c r="G813" s="34"/>
      <c r="H813" s="34"/>
      <c r="I813" s="34"/>
      <c r="J813" s="13"/>
    </row>
    <row r="814" spans="2:10" ht="15.75" customHeight="1">
      <c r="B814" s="29"/>
      <c r="C814" s="32"/>
      <c r="D814" s="31"/>
      <c r="E814" s="32"/>
      <c r="F814" s="33"/>
      <c r="G814" s="34"/>
      <c r="H814" s="34"/>
      <c r="I814" s="34"/>
      <c r="J814" s="13"/>
    </row>
    <row r="815" spans="2:10" ht="15.75" customHeight="1">
      <c r="B815" s="29"/>
      <c r="C815" s="32"/>
      <c r="D815" s="31"/>
      <c r="E815" s="32"/>
      <c r="F815" s="33"/>
      <c r="G815" s="34"/>
      <c r="H815" s="34"/>
      <c r="I815" s="34"/>
      <c r="J815" s="13"/>
    </row>
    <row r="816" spans="2:10" ht="15.75" customHeight="1">
      <c r="B816" s="29"/>
      <c r="C816" s="32"/>
      <c r="D816" s="31"/>
      <c r="E816" s="32"/>
      <c r="F816" s="33"/>
      <c r="G816" s="34"/>
      <c r="H816" s="34"/>
      <c r="I816" s="34"/>
      <c r="J816" s="13"/>
    </row>
    <row r="817" spans="2:10" ht="15.75" customHeight="1">
      <c r="B817" s="29"/>
      <c r="C817" s="32"/>
      <c r="D817" s="31"/>
      <c r="E817" s="32"/>
      <c r="F817" s="33"/>
      <c r="G817" s="34"/>
      <c r="H817" s="34"/>
      <c r="I817" s="34"/>
      <c r="J817" s="13"/>
    </row>
    <row r="818" spans="2:10" ht="15.75" customHeight="1">
      <c r="B818" s="29"/>
      <c r="C818" s="32"/>
      <c r="D818" s="31"/>
      <c r="E818" s="32"/>
      <c r="F818" s="33"/>
      <c r="G818" s="34"/>
      <c r="H818" s="34"/>
      <c r="I818" s="34"/>
      <c r="J818" s="13"/>
    </row>
    <row r="819" spans="2:10" ht="15.75" customHeight="1">
      <c r="B819" s="29"/>
      <c r="C819" s="32"/>
      <c r="D819" s="31"/>
      <c r="E819" s="32"/>
      <c r="F819" s="33"/>
      <c r="G819" s="34"/>
      <c r="H819" s="34"/>
      <c r="I819" s="34"/>
      <c r="J819" s="13"/>
    </row>
    <row r="820" spans="2:10" ht="15.75" customHeight="1">
      <c r="B820" s="29"/>
      <c r="C820" s="32"/>
      <c r="D820" s="31"/>
      <c r="E820" s="32"/>
      <c r="F820" s="33"/>
      <c r="G820" s="34"/>
      <c r="H820" s="34"/>
      <c r="I820" s="34"/>
      <c r="J820" s="13"/>
    </row>
    <row r="821" spans="2:10" ht="15.75" customHeight="1">
      <c r="B821" s="29"/>
      <c r="C821" s="32"/>
      <c r="D821" s="31"/>
      <c r="E821" s="32"/>
      <c r="F821" s="33"/>
      <c r="G821" s="34"/>
      <c r="H821" s="34"/>
      <c r="I821" s="34"/>
      <c r="J821" s="13"/>
    </row>
    <row r="822" spans="2:10" ht="15.75" customHeight="1">
      <c r="B822" s="29"/>
      <c r="C822" s="32"/>
      <c r="D822" s="31"/>
      <c r="E822" s="32"/>
      <c r="F822" s="33"/>
      <c r="G822" s="34"/>
      <c r="H822" s="34"/>
      <c r="I822" s="34"/>
      <c r="J822" s="13"/>
    </row>
    <row r="823" spans="2:10" ht="15.75" customHeight="1">
      <c r="B823" s="29"/>
      <c r="C823" s="32"/>
      <c r="D823" s="31"/>
      <c r="E823" s="32"/>
      <c r="F823" s="33"/>
      <c r="G823" s="34"/>
      <c r="H823" s="34"/>
      <c r="I823" s="34"/>
      <c r="J823" s="13"/>
    </row>
    <row r="824" spans="2:10" ht="15.75" customHeight="1">
      <c r="B824" s="29"/>
      <c r="C824" s="32"/>
      <c r="D824" s="31"/>
      <c r="E824" s="32"/>
      <c r="F824" s="33"/>
      <c r="G824" s="34"/>
      <c r="H824" s="34"/>
      <c r="I824" s="34"/>
      <c r="J824" s="13"/>
    </row>
    <row r="825" spans="2:10" ht="15.75" customHeight="1">
      <c r="B825" s="29"/>
      <c r="C825" s="32"/>
      <c r="D825" s="31"/>
      <c r="E825" s="32"/>
      <c r="F825" s="33"/>
      <c r="G825" s="34"/>
      <c r="H825" s="34"/>
      <c r="I825" s="34"/>
      <c r="J825" s="13"/>
    </row>
    <row r="826" spans="2:10" ht="15.75" customHeight="1">
      <c r="B826" s="29"/>
      <c r="C826" s="32"/>
      <c r="D826" s="31"/>
      <c r="E826" s="32"/>
      <c r="F826" s="33"/>
      <c r="G826" s="34"/>
      <c r="H826" s="34"/>
      <c r="I826" s="34"/>
      <c r="J826" s="13"/>
    </row>
    <row r="827" spans="2:10" ht="15.75" customHeight="1">
      <c r="B827" s="29"/>
      <c r="C827" s="32"/>
      <c r="D827" s="31"/>
      <c r="E827" s="32"/>
      <c r="F827" s="33"/>
      <c r="G827" s="34"/>
      <c r="H827" s="34"/>
      <c r="I827" s="34"/>
      <c r="J827" s="13"/>
    </row>
    <row r="828" spans="2:10" ht="15.75" customHeight="1">
      <c r="B828" s="29"/>
      <c r="C828" s="32"/>
      <c r="D828" s="31"/>
      <c r="E828" s="32"/>
      <c r="F828" s="33"/>
      <c r="G828" s="34"/>
      <c r="H828" s="34"/>
      <c r="I828" s="34"/>
      <c r="J828" s="13"/>
    </row>
    <row r="829" spans="2:10" ht="15.75" customHeight="1">
      <c r="B829" s="29"/>
      <c r="C829" s="32"/>
      <c r="D829" s="31"/>
      <c r="E829" s="32"/>
      <c r="F829" s="33"/>
      <c r="G829" s="34"/>
      <c r="H829" s="34"/>
      <c r="I829" s="34"/>
      <c r="J829" s="13"/>
    </row>
    <row r="830" spans="2:10" ht="15.75" customHeight="1">
      <c r="B830" s="29"/>
      <c r="C830" s="32"/>
      <c r="D830" s="31"/>
      <c r="E830" s="32"/>
      <c r="F830" s="33"/>
      <c r="G830" s="34"/>
      <c r="H830" s="34"/>
      <c r="I830" s="34"/>
      <c r="J830" s="13"/>
    </row>
    <row r="831" spans="2:10" ht="15.75" customHeight="1">
      <c r="B831" s="29"/>
      <c r="C831" s="32"/>
      <c r="D831" s="31"/>
      <c r="E831" s="32"/>
      <c r="F831" s="33"/>
      <c r="G831" s="34"/>
      <c r="H831" s="34"/>
      <c r="I831" s="34"/>
      <c r="J831" s="13"/>
    </row>
    <row r="832" spans="2:10" ht="15.75" customHeight="1">
      <c r="B832" s="29"/>
      <c r="C832" s="32"/>
      <c r="D832" s="31"/>
      <c r="E832" s="32"/>
      <c r="F832" s="33"/>
      <c r="G832" s="34"/>
      <c r="H832" s="34"/>
      <c r="I832" s="34"/>
      <c r="J832" s="13"/>
    </row>
    <row r="833" spans="2:10" ht="15.75" customHeight="1">
      <c r="B833" s="29"/>
      <c r="C833" s="32"/>
      <c r="D833" s="31"/>
      <c r="E833" s="32"/>
      <c r="F833" s="33"/>
      <c r="G833" s="34"/>
      <c r="H833" s="34"/>
      <c r="I833" s="34"/>
      <c r="J833" s="13"/>
    </row>
    <row r="834" spans="2:10" ht="15.75" customHeight="1">
      <c r="B834" s="29"/>
      <c r="C834" s="32"/>
      <c r="D834" s="31"/>
      <c r="E834" s="32"/>
      <c r="F834" s="33"/>
      <c r="G834" s="34"/>
      <c r="H834" s="34"/>
      <c r="I834" s="34"/>
      <c r="J834" s="13"/>
    </row>
    <row r="835" spans="2:10" ht="15.75" customHeight="1">
      <c r="B835" s="29"/>
      <c r="C835" s="32"/>
      <c r="D835" s="31"/>
      <c r="E835" s="32"/>
      <c r="F835" s="33"/>
      <c r="G835" s="34"/>
      <c r="H835" s="34"/>
      <c r="I835" s="34"/>
      <c r="J835" s="13"/>
    </row>
    <row r="836" spans="2:10" ht="15.75" customHeight="1">
      <c r="B836" s="29"/>
      <c r="C836" s="32"/>
      <c r="D836" s="31"/>
      <c r="E836" s="32"/>
      <c r="F836" s="33"/>
      <c r="G836" s="34"/>
      <c r="H836" s="34"/>
      <c r="I836" s="34"/>
      <c r="J836" s="13"/>
    </row>
    <row r="837" spans="2:10" ht="15.75" customHeight="1">
      <c r="B837" s="29"/>
      <c r="C837" s="32"/>
      <c r="D837" s="31"/>
      <c r="E837" s="32"/>
      <c r="F837" s="33"/>
      <c r="G837" s="34"/>
      <c r="H837" s="34"/>
      <c r="I837" s="34"/>
      <c r="J837" s="13"/>
    </row>
    <row r="838" spans="2:10" ht="15.75" customHeight="1">
      <c r="B838" s="29"/>
      <c r="C838" s="32"/>
      <c r="D838" s="31"/>
      <c r="E838" s="32"/>
      <c r="F838" s="33"/>
      <c r="G838" s="34"/>
      <c r="H838" s="34"/>
      <c r="I838" s="34"/>
      <c r="J838" s="13"/>
    </row>
    <row r="839" spans="2:10" ht="15.75" customHeight="1">
      <c r="B839" s="29"/>
      <c r="C839" s="32"/>
      <c r="D839" s="31"/>
      <c r="E839" s="32"/>
      <c r="F839" s="33"/>
      <c r="G839" s="34"/>
      <c r="H839" s="34"/>
      <c r="I839" s="34"/>
      <c r="J839" s="13"/>
    </row>
    <row r="840" spans="2:10" ht="15.75" customHeight="1">
      <c r="B840" s="29"/>
      <c r="C840" s="32"/>
      <c r="D840" s="31"/>
      <c r="E840" s="32"/>
      <c r="F840" s="33"/>
      <c r="G840" s="34"/>
      <c r="H840" s="34"/>
      <c r="I840" s="34"/>
      <c r="J840" s="13"/>
    </row>
    <row r="841" spans="2:10" ht="15.75" customHeight="1">
      <c r="B841" s="29"/>
      <c r="C841" s="32"/>
      <c r="D841" s="31"/>
      <c r="E841" s="32"/>
      <c r="F841" s="33"/>
      <c r="G841" s="34"/>
      <c r="H841" s="34"/>
      <c r="I841" s="34"/>
      <c r="J841" s="13"/>
    </row>
    <row r="842" spans="2:10" ht="15.75" customHeight="1">
      <c r="B842" s="29"/>
      <c r="C842" s="32"/>
      <c r="D842" s="31"/>
      <c r="E842" s="32"/>
      <c r="F842" s="33"/>
      <c r="G842" s="34"/>
      <c r="H842" s="34"/>
      <c r="I842" s="34"/>
      <c r="J842" s="13"/>
    </row>
    <row r="843" spans="2:10" ht="15.75" customHeight="1">
      <c r="B843" s="29"/>
      <c r="C843" s="32"/>
      <c r="D843" s="31"/>
      <c r="E843" s="32"/>
      <c r="F843" s="33"/>
      <c r="G843" s="34"/>
      <c r="H843" s="34"/>
      <c r="I843" s="34"/>
      <c r="J843" s="13"/>
    </row>
    <row r="844" spans="2:10" ht="15.75" customHeight="1">
      <c r="B844" s="29"/>
      <c r="C844" s="32"/>
      <c r="D844" s="31"/>
      <c r="E844" s="32"/>
      <c r="F844" s="33"/>
      <c r="G844" s="34"/>
      <c r="H844" s="34"/>
      <c r="I844" s="34"/>
      <c r="J844" s="13"/>
    </row>
    <row r="845" spans="2:10" ht="15.75" customHeight="1">
      <c r="B845" s="29"/>
      <c r="C845" s="32"/>
      <c r="D845" s="31"/>
      <c r="E845" s="32"/>
      <c r="F845" s="33"/>
      <c r="G845" s="34"/>
      <c r="H845" s="34"/>
      <c r="I845" s="34"/>
      <c r="J845" s="13"/>
    </row>
    <row r="846" spans="2:10" ht="15.75" customHeight="1">
      <c r="B846" s="29"/>
      <c r="C846" s="32"/>
      <c r="D846" s="31"/>
      <c r="E846" s="32"/>
      <c r="F846" s="33"/>
      <c r="G846" s="34"/>
      <c r="H846" s="34"/>
      <c r="I846" s="34"/>
      <c r="J846" s="13"/>
    </row>
    <row r="847" spans="2:10" ht="15.75" customHeight="1">
      <c r="B847" s="29"/>
      <c r="C847" s="32"/>
      <c r="D847" s="31"/>
      <c r="E847" s="32"/>
      <c r="F847" s="33"/>
      <c r="G847" s="34"/>
      <c r="H847" s="34"/>
      <c r="I847" s="34"/>
      <c r="J847" s="13"/>
    </row>
    <row r="848" spans="2:10" ht="15.75" customHeight="1">
      <c r="B848" s="29"/>
      <c r="C848" s="32"/>
      <c r="D848" s="31"/>
      <c r="E848" s="32"/>
      <c r="F848" s="33"/>
      <c r="G848" s="34"/>
      <c r="H848" s="34"/>
      <c r="I848" s="34"/>
      <c r="J848" s="13"/>
    </row>
    <row r="849" spans="2:10" ht="15.75" customHeight="1">
      <c r="B849" s="29"/>
      <c r="C849" s="32"/>
      <c r="D849" s="31"/>
      <c r="E849" s="32"/>
      <c r="F849" s="33"/>
      <c r="G849" s="34"/>
      <c r="H849" s="34"/>
      <c r="I849" s="34"/>
      <c r="J849" s="13"/>
    </row>
    <row r="850" spans="2:10" ht="15.75" customHeight="1">
      <c r="B850" s="29"/>
      <c r="C850" s="32"/>
      <c r="D850" s="31"/>
      <c r="E850" s="32"/>
      <c r="F850" s="33"/>
      <c r="G850" s="34"/>
      <c r="H850" s="34"/>
      <c r="I850" s="34"/>
      <c r="J850" s="13"/>
    </row>
    <row r="851" spans="2:10" ht="15.75" customHeight="1">
      <c r="B851" s="29"/>
      <c r="C851" s="32"/>
      <c r="D851" s="31"/>
      <c r="E851" s="32"/>
      <c r="F851" s="33"/>
      <c r="G851" s="34"/>
      <c r="H851" s="34"/>
      <c r="I851" s="34"/>
      <c r="J851" s="13"/>
    </row>
    <row r="852" spans="2:10" ht="15.75" customHeight="1">
      <c r="B852" s="29"/>
      <c r="C852" s="32"/>
      <c r="D852" s="31"/>
      <c r="E852" s="32"/>
      <c r="F852" s="33"/>
      <c r="G852" s="34"/>
      <c r="H852" s="34"/>
      <c r="I852" s="34"/>
      <c r="J852" s="13"/>
    </row>
    <row r="853" spans="2:10" ht="15.75" customHeight="1">
      <c r="B853" s="29"/>
      <c r="C853" s="32"/>
      <c r="D853" s="31"/>
      <c r="E853" s="32"/>
      <c r="F853" s="33"/>
      <c r="G853" s="34"/>
      <c r="H853" s="34"/>
      <c r="I853" s="34"/>
      <c r="J853" s="13"/>
    </row>
    <row r="854" spans="2:10" ht="15.75" customHeight="1">
      <c r="B854" s="29"/>
      <c r="C854" s="32"/>
      <c r="D854" s="31"/>
      <c r="E854" s="32"/>
      <c r="F854" s="33"/>
      <c r="G854" s="34"/>
      <c r="H854" s="34"/>
      <c r="I854" s="34"/>
      <c r="J854" s="13"/>
    </row>
    <row r="855" spans="2:10" ht="15.75" customHeight="1">
      <c r="B855" s="29"/>
      <c r="C855" s="32"/>
      <c r="D855" s="31"/>
      <c r="E855" s="32"/>
      <c r="F855" s="33"/>
      <c r="G855" s="34"/>
      <c r="H855" s="34"/>
      <c r="I855" s="34"/>
      <c r="J855" s="13"/>
    </row>
    <row r="856" spans="2:10" ht="15.75" customHeight="1">
      <c r="B856" s="29"/>
      <c r="C856" s="32"/>
      <c r="D856" s="31"/>
      <c r="E856" s="32"/>
      <c r="F856" s="33"/>
      <c r="G856" s="34"/>
      <c r="H856" s="34"/>
      <c r="I856" s="34"/>
      <c r="J856" s="13"/>
    </row>
    <row r="857" spans="2:10" ht="15.75" customHeight="1">
      <c r="B857" s="29"/>
      <c r="C857" s="32"/>
      <c r="D857" s="31"/>
      <c r="E857" s="32"/>
      <c r="F857" s="33"/>
      <c r="G857" s="34"/>
      <c r="H857" s="34"/>
      <c r="I857" s="34"/>
      <c r="J857" s="13"/>
    </row>
    <row r="858" spans="2:10" ht="15.75" customHeight="1">
      <c r="B858" s="29"/>
      <c r="C858" s="32"/>
      <c r="D858" s="31"/>
      <c r="E858" s="32"/>
      <c r="F858" s="33"/>
      <c r="G858" s="34"/>
      <c r="H858" s="34"/>
      <c r="I858" s="34"/>
      <c r="J858" s="13"/>
    </row>
    <row r="859" spans="2:10" ht="15.75" customHeight="1">
      <c r="B859" s="29"/>
      <c r="C859" s="32"/>
      <c r="D859" s="31"/>
      <c r="E859" s="32"/>
      <c r="F859" s="33"/>
      <c r="G859" s="34"/>
      <c r="H859" s="34"/>
      <c r="I859" s="34"/>
      <c r="J859" s="13"/>
    </row>
    <row r="860" spans="2:10" ht="15.75" customHeight="1">
      <c r="B860" s="29"/>
      <c r="C860" s="32"/>
      <c r="D860" s="31"/>
      <c r="E860" s="32"/>
      <c r="F860" s="33"/>
      <c r="G860" s="34"/>
      <c r="H860" s="34"/>
      <c r="I860" s="34"/>
      <c r="J860" s="13"/>
    </row>
    <row r="861" spans="2:10" ht="15.75" customHeight="1">
      <c r="B861" s="29"/>
      <c r="C861" s="32"/>
      <c r="D861" s="31"/>
      <c r="E861" s="32"/>
      <c r="F861" s="33"/>
      <c r="G861" s="34"/>
      <c r="H861" s="34"/>
      <c r="I861" s="34"/>
      <c r="J861" s="13"/>
    </row>
    <row r="862" spans="2:10" ht="15.75" customHeight="1">
      <c r="B862" s="29"/>
      <c r="C862" s="32"/>
      <c r="D862" s="31"/>
      <c r="E862" s="32"/>
      <c r="F862" s="33"/>
      <c r="G862" s="34"/>
      <c r="H862" s="34"/>
      <c r="I862" s="34"/>
      <c r="J862" s="13"/>
    </row>
    <row r="863" spans="2:10" ht="15.75" customHeight="1">
      <c r="B863" s="29"/>
      <c r="C863" s="32"/>
      <c r="D863" s="31"/>
      <c r="E863" s="32"/>
      <c r="F863" s="33"/>
      <c r="G863" s="34"/>
      <c r="H863" s="34"/>
      <c r="I863" s="34"/>
      <c r="J863" s="13"/>
    </row>
    <row r="864" spans="2:10" ht="15.75" customHeight="1">
      <c r="B864" s="29"/>
      <c r="C864" s="32"/>
      <c r="D864" s="31"/>
      <c r="E864" s="32"/>
      <c r="F864" s="33"/>
      <c r="G864" s="34"/>
      <c r="H864" s="34"/>
      <c r="I864" s="34"/>
      <c r="J864" s="13"/>
    </row>
    <row r="865" spans="2:10" ht="15.75" customHeight="1">
      <c r="B865" s="29"/>
      <c r="C865" s="32"/>
      <c r="D865" s="31"/>
      <c r="E865" s="32"/>
      <c r="F865" s="33"/>
      <c r="G865" s="34"/>
      <c r="H865" s="34"/>
      <c r="I865" s="34"/>
      <c r="J865" s="13"/>
    </row>
    <row r="866" spans="2:10" ht="15.75" customHeight="1">
      <c r="B866" s="29"/>
      <c r="C866" s="32"/>
      <c r="D866" s="31"/>
      <c r="E866" s="32"/>
      <c r="F866" s="33"/>
      <c r="G866" s="34"/>
      <c r="H866" s="34"/>
      <c r="I866" s="34"/>
      <c r="J866" s="13"/>
    </row>
    <row r="867" spans="2:10" ht="15.75" customHeight="1">
      <c r="B867" s="29"/>
      <c r="C867" s="32"/>
      <c r="D867" s="31"/>
      <c r="E867" s="32"/>
      <c r="F867" s="33"/>
      <c r="G867" s="34"/>
      <c r="H867" s="34"/>
      <c r="I867" s="34"/>
      <c r="J867" s="13"/>
    </row>
    <row r="868" spans="2:10" ht="15.75" customHeight="1">
      <c r="B868" s="29"/>
      <c r="C868" s="32"/>
      <c r="D868" s="31"/>
      <c r="E868" s="32"/>
      <c r="F868" s="33"/>
      <c r="G868" s="34"/>
      <c r="H868" s="34"/>
      <c r="I868" s="34"/>
      <c r="J868" s="13"/>
    </row>
    <row r="869" spans="2:10" ht="15.75" customHeight="1">
      <c r="B869" s="29"/>
      <c r="C869" s="32"/>
      <c r="D869" s="31"/>
      <c r="E869" s="32"/>
      <c r="F869" s="33"/>
      <c r="G869" s="34"/>
      <c r="H869" s="34"/>
      <c r="I869" s="34"/>
      <c r="J869" s="13"/>
    </row>
    <row r="870" spans="2:10" ht="15.75" customHeight="1">
      <c r="B870" s="29"/>
      <c r="C870" s="32"/>
      <c r="D870" s="31"/>
      <c r="E870" s="32"/>
      <c r="F870" s="33"/>
      <c r="G870" s="34"/>
      <c r="H870" s="34"/>
      <c r="I870" s="34"/>
      <c r="J870" s="13"/>
    </row>
    <row r="871" spans="2:10" ht="15.75" customHeight="1">
      <c r="B871" s="29"/>
      <c r="C871" s="32"/>
      <c r="D871" s="31"/>
      <c r="E871" s="32"/>
      <c r="F871" s="33"/>
      <c r="G871" s="34"/>
      <c r="H871" s="34"/>
      <c r="I871" s="34"/>
      <c r="J871" s="13"/>
    </row>
    <row r="872" spans="2:10" ht="15.75" customHeight="1">
      <c r="B872" s="29"/>
      <c r="C872" s="32"/>
      <c r="D872" s="31"/>
      <c r="E872" s="32"/>
      <c r="F872" s="33"/>
      <c r="G872" s="34"/>
      <c r="H872" s="34"/>
      <c r="I872" s="34"/>
      <c r="J872" s="13"/>
    </row>
    <row r="873" spans="2:10" ht="15.75" customHeight="1">
      <c r="B873" s="29"/>
      <c r="C873" s="32"/>
      <c r="D873" s="31"/>
      <c r="E873" s="32"/>
      <c r="F873" s="33"/>
      <c r="G873" s="34"/>
      <c r="H873" s="34"/>
      <c r="I873" s="34"/>
      <c r="J873" s="13"/>
    </row>
    <row r="874" spans="2:10" ht="15.75" customHeight="1">
      <c r="B874" s="29"/>
      <c r="C874" s="32"/>
      <c r="D874" s="31"/>
      <c r="E874" s="32"/>
      <c r="F874" s="33"/>
      <c r="G874" s="34"/>
      <c r="H874" s="34"/>
      <c r="I874" s="34"/>
      <c r="J874" s="13"/>
    </row>
    <row r="875" spans="2:10" ht="15.75" customHeight="1">
      <c r="B875" s="29"/>
      <c r="C875" s="32"/>
      <c r="D875" s="31"/>
      <c r="E875" s="32"/>
      <c r="F875" s="33"/>
      <c r="G875" s="34"/>
      <c r="H875" s="34"/>
      <c r="I875" s="34"/>
      <c r="J875" s="13"/>
    </row>
    <row r="876" spans="2:10" ht="15.75" customHeight="1">
      <c r="B876" s="29"/>
      <c r="C876" s="32"/>
      <c r="D876" s="31"/>
      <c r="E876" s="32"/>
      <c r="F876" s="33"/>
      <c r="G876" s="34"/>
      <c r="H876" s="34"/>
      <c r="I876" s="34"/>
      <c r="J876" s="13"/>
    </row>
    <row r="877" spans="2:10" ht="15.75" customHeight="1">
      <c r="B877" s="29"/>
      <c r="C877" s="32"/>
      <c r="D877" s="31"/>
      <c r="E877" s="32"/>
      <c r="F877" s="33"/>
      <c r="G877" s="34"/>
      <c r="H877" s="34"/>
      <c r="I877" s="34"/>
      <c r="J877" s="13"/>
    </row>
    <row r="878" spans="2:10" ht="15.75" customHeight="1">
      <c r="B878" s="29"/>
      <c r="C878" s="32"/>
      <c r="D878" s="31"/>
      <c r="E878" s="32"/>
      <c r="F878" s="33"/>
      <c r="G878" s="34"/>
      <c r="H878" s="34"/>
      <c r="I878" s="34"/>
      <c r="J878" s="13"/>
    </row>
    <row r="879" spans="2:10" ht="15.75" customHeight="1">
      <c r="B879" s="29"/>
      <c r="C879" s="32"/>
      <c r="D879" s="31"/>
      <c r="E879" s="32"/>
      <c r="F879" s="33"/>
      <c r="G879" s="34"/>
      <c r="H879" s="34"/>
      <c r="I879" s="34"/>
      <c r="J879" s="13"/>
    </row>
    <row r="880" spans="2:10" ht="15.75" customHeight="1">
      <c r="B880" s="29"/>
      <c r="C880" s="32"/>
      <c r="D880" s="31"/>
      <c r="E880" s="32"/>
      <c r="F880" s="33"/>
      <c r="G880" s="34"/>
      <c r="H880" s="34"/>
      <c r="I880" s="34"/>
      <c r="J880" s="13"/>
    </row>
    <row r="881" spans="2:10" ht="15.75" customHeight="1">
      <c r="B881" s="29"/>
      <c r="C881" s="32"/>
      <c r="D881" s="31"/>
      <c r="E881" s="32"/>
      <c r="F881" s="33"/>
      <c r="G881" s="34"/>
      <c r="H881" s="34"/>
      <c r="I881" s="34"/>
      <c r="J881" s="13"/>
    </row>
    <row r="882" spans="2:10" ht="15.75" customHeight="1">
      <c r="B882" s="29"/>
      <c r="C882" s="32"/>
      <c r="D882" s="31"/>
      <c r="E882" s="32"/>
      <c r="F882" s="33"/>
      <c r="G882" s="34"/>
      <c r="H882" s="34"/>
      <c r="I882" s="34"/>
      <c r="J882" s="13"/>
    </row>
    <row r="883" spans="2:10" ht="15.75" customHeight="1">
      <c r="B883" s="29"/>
      <c r="C883" s="32"/>
      <c r="D883" s="31"/>
      <c r="E883" s="32"/>
      <c r="F883" s="33"/>
      <c r="G883" s="34"/>
      <c r="H883" s="34"/>
      <c r="I883" s="34"/>
      <c r="J883" s="13"/>
    </row>
    <row r="884" spans="2:10" ht="15.75" customHeight="1">
      <c r="B884" s="29"/>
      <c r="C884" s="32"/>
      <c r="D884" s="31"/>
      <c r="E884" s="32"/>
      <c r="F884" s="33"/>
      <c r="G884" s="34"/>
      <c r="H884" s="34"/>
      <c r="I884" s="34"/>
      <c r="J884" s="13"/>
    </row>
    <row r="885" spans="2:10" ht="15.75" customHeight="1">
      <c r="B885" s="29"/>
      <c r="C885" s="32"/>
      <c r="D885" s="31"/>
      <c r="E885" s="32"/>
      <c r="F885" s="33"/>
      <c r="G885" s="34"/>
      <c r="H885" s="34"/>
      <c r="I885" s="34"/>
      <c r="J885" s="13"/>
    </row>
    <row r="886" spans="2:10" ht="15.75" customHeight="1">
      <c r="B886" s="29"/>
      <c r="C886" s="32"/>
      <c r="D886" s="31"/>
      <c r="E886" s="32"/>
      <c r="F886" s="33"/>
      <c r="G886" s="34"/>
      <c r="H886" s="34"/>
      <c r="I886" s="34"/>
      <c r="J886" s="13"/>
    </row>
    <row r="887" spans="2:10" ht="15.75" customHeight="1">
      <c r="B887" s="29"/>
      <c r="C887" s="32"/>
      <c r="D887" s="31"/>
      <c r="E887" s="32"/>
      <c r="F887" s="33"/>
      <c r="G887" s="34"/>
      <c r="H887" s="34"/>
      <c r="I887" s="34"/>
      <c r="J887" s="13"/>
    </row>
    <row r="888" spans="2:10" ht="15.75" customHeight="1">
      <c r="B888" s="29"/>
      <c r="C888" s="32"/>
      <c r="D888" s="31"/>
      <c r="E888" s="32"/>
      <c r="F888" s="33"/>
      <c r="G888" s="34"/>
      <c r="H888" s="34"/>
      <c r="I888" s="34"/>
      <c r="J888" s="13"/>
    </row>
    <row r="889" spans="2:10" ht="15.75" customHeight="1">
      <c r="B889" s="29"/>
      <c r="C889" s="32"/>
      <c r="D889" s="31"/>
      <c r="E889" s="32"/>
      <c r="F889" s="33"/>
      <c r="G889" s="34"/>
      <c r="H889" s="34"/>
      <c r="I889" s="34"/>
      <c r="J889" s="13"/>
    </row>
    <row r="890" spans="2:10" ht="15.75" customHeight="1">
      <c r="B890" s="29"/>
      <c r="C890" s="32"/>
      <c r="D890" s="31"/>
      <c r="E890" s="32"/>
      <c r="F890" s="33"/>
      <c r="G890" s="34"/>
      <c r="H890" s="34"/>
      <c r="I890" s="34"/>
      <c r="J890" s="13"/>
    </row>
    <row r="891" spans="2:10" ht="15.75" customHeight="1">
      <c r="B891" s="29"/>
      <c r="C891" s="32"/>
      <c r="D891" s="31"/>
      <c r="E891" s="32"/>
      <c r="F891" s="33"/>
      <c r="G891" s="34"/>
      <c r="H891" s="34"/>
      <c r="I891" s="34"/>
      <c r="J891" s="13"/>
    </row>
    <row r="892" spans="2:10" ht="15.75" customHeight="1">
      <c r="B892" s="29"/>
      <c r="C892" s="32"/>
      <c r="D892" s="31"/>
      <c r="E892" s="32"/>
      <c r="F892" s="33"/>
      <c r="G892" s="34"/>
      <c r="H892" s="34"/>
      <c r="I892" s="34"/>
      <c r="J892" s="13"/>
    </row>
    <row r="893" spans="2:10" ht="15.75" customHeight="1">
      <c r="B893" s="29"/>
      <c r="C893" s="32"/>
      <c r="D893" s="31"/>
      <c r="E893" s="32"/>
      <c r="F893" s="33"/>
      <c r="G893" s="34"/>
      <c r="H893" s="34"/>
      <c r="I893" s="34"/>
      <c r="J893" s="13"/>
    </row>
    <row r="894" spans="2:10" ht="15.75" customHeight="1">
      <c r="B894" s="29"/>
      <c r="C894" s="32"/>
      <c r="D894" s="31"/>
      <c r="E894" s="32"/>
      <c r="F894" s="33"/>
      <c r="G894" s="34"/>
      <c r="H894" s="34"/>
      <c r="I894" s="34"/>
      <c r="J894" s="13"/>
    </row>
    <row r="895" spans="2:10" ht="15.75" customHeight="1">
      <c r="B895" s="29"/>
      <c r="C895" s="32"/>
      <c r="D895" s="31"/>
      <c r="E895" s="32"/>
      <c r="F895" s="33"/>
      <c r="G895" s="34"/>
      <c r="H895" s="34"/>
      <c r="I895" s="34"/>
      <c r="J895" s="13"/>
    </row>
    <row r="896" spans="2:10" ht="15.75" customHeight="1">
      <c r="B896" s="29"/>
      <c r="C896" s="32"/>
      <c r="D896" s="31"/>
      <c r="E896" s="32"/>
      <c r="F896" s="33"/>
      <c r="G896" s="34"/>
      <c r="H896" s="34"/>
      <c r="I896" s="34"/>
      <c r="J896" s="13"/>
    </row>
    <row r="897" spans="2:10" ht="15.75" customHeight="1">
      <c r="B897" s="29"/>
      <c r="C897" s="32"/>
      <c r="D897" s="31"/>
      <c r="E897" s="32"/>
      <c r="F897" s="33"/>
      <c r="G897" s="34"/>
      <c r="H897" s="34"/>
      <c r="I897" s="34"/>
      <c r="J897" s="13"/>
    </row>
    <row r="898" spans="2:10" ht="15.75" customHeight="1">
      <c r="B898" s="29"/>
      <c r="C898" s="32"/>
      <c r="D898" s="31"/>
      <c r="E898" s="32"/>
      <c r="F898" s="33"/>
      <c r="G898" s="34"/>
      <c r="H898" s="34"/>
      <c r="I898" s="34"/>
      <c r="J898" s="13"/>
    </row>
    <row r="899" spans="2:10" ht="15.75" customHeight="1">
      <c r="B899" s="29"/>
      <c r="C899" s="32"/>
      <c r="D899" s="31"/>
      <c r="E899" s="32"/>
      <c r="F899" s="33"/>
      <c r="G899" s="34"/>
      <c r="H899" s="34"/>
      <c r="I899" s="34"/>
      <c r="J899" s="13"/>
    </row>
    <row r="900" spans="2:10" ht="15.75" customHeight="1">
      <c r="B900" s="29"/>
      <c r="C900" s="32"/>
      <c r="D900" s="31"/>
      <c r="E900" s="32"/>
      <c r="F900" s="33"/>
      <c r="G900" s="34"/>
      <c r="H900" s="34"/>
      <c r="I900" s="34"/>
      <c r="J900" s="13"/>
    </row>
    <row r="901" spans="2:10" ht="15.75" customHeight="1">
      <c r="B901" s="29"/>
      <c r="C901" s="32"/>
      <c r="D901" s="31"/>
      <c r="E901" s="32"/>
      <c r="F901" s="33"/>
      <c r="G901" s="34"/>
      <c r="H901" s="34"/>
      <c r="I901" s="34"/>
      <c r="J901" s="13"/>
    </row>
    <row r="902" spans="2:10" ht="15.75" customHeight="1">
      <c r="B902" s="29"/>
      <c r="C902" s="32"/>
      <c r="D902" s="31"/>
      <c r="E902" s="32"/>
      <c r="F902" s="33"/>
      <c r="G902" s="34"/>
      <c r="H902" s="34"/>
      <c r="I902" s="34"/>
      <c r="J902" s="13"/>
    </row>
    <row r="903" spans="2:10" ht="15.75" customHeight="1">
      <c r="B903" s="29"/>
      <c r="C903" s="32"/>
      <c r="D903" s="31"/>
      <c r="E903" s="32"/>
      <c r="F903" s="33"/>
      <c r="G903" s="34"/>
      <c r="H903" s="34"/>
      <c r="I903" s="34"/>
      <c r="J903" s="13"/>
    </row>
    <row r="904" spans="2:10" ht="15.75" customHeight="1">
      <c r="B904" s="29"/>
      <c r="C904" s="32"/>
      <c r="D904" s="31"/>
      <c r="E904" s="32"/>
      <c r="F904" s="33"/>
      <c r="G904" s="34"/>
      <c r="H904" s="34"/>
      <c r="I904" s="34"/>
      <c r="J904" s="13"/>
    </row>
    <row r="905" spans="2:10" ht="15.75" customHeight="1">
      <c r="B905" s="29"/>
      <c r="C905" s="32"/>
      <c r="D905" s="31"/>
      <c r="E905" s="32"/>
      <c r="F905" s="33"/>
      <c r="G905" s="34"/>
      <c r="H905" s="34"/>
      <c r="I905" s="34"/>
      <c r="J905" s="13"/>
    </row>
    <row r="906" spans="2:10" ht="15.75" customHeight="1">
      <c r="B906" s="29"/>
      <c r="C906" s="32"/>
      <c r="D906" s="31"/>
      <c r="E906" s="32"/>
      <c r="F906" s="33"/>
      <c r="G906" s="34"/>
      <c r="H906" s="34"/>
      <c r="I906" s="34"/>
      <c r="J906" s="13"/>
    </row>
    <row r="907" spans="2:10" ht="15.75" customHeight="1">
      <c r="B907" s="29"/>
      <c r="C907" s="32"/>
      <c r="D907" s="31"/>
      <c r="E907" s="32"/>
      <c r="F907" s="33"/>
      <c r="G907" s="34"/>
      <c r="H907" s="34"/>
      <c r="I907" s="34"/>
      <c r="J907" s="13"/>
    </row>
    <row r="908" spans="2:10" ht="15.75" customHeight="1">
      <c r="B908" s="29"/>
      <c r="C908" s="32"/>
      <c r="D908" s="31"/>
      <c r="E908" s="32"/>
      <c r="F908" s="33"/>
      <c r="G908" s="34"/>
      <c r="H908" s="34"/>
      <c r="I908" s="34"/>
      <c r="J908" s="13"/>
    </row>
    <row r="909" spans="2:10" ht="15.75" customHeight="1">
      <c r="B909" s="29"/>
      <c r="C909" s="32"/>
      <c r="D909" s="31"/>
      <c r="E909" s="32"/>
      <c r="F909" s="33"/>
      <c r="G909" s="34"/>
      <c r="H909" s="34"/>
      <c r="I909" s="34"/>
      <c r="J909" s="13"/>
    </row>
    <row r="910" spans="2:10" ht="15.75" customHeight="1">
      <c r="B910" s="29"/>
      <c r="C910" s="32"/>
      <c r="D910" s="31"/>
      <c r="E910" s="32"/>
      <c r="F910" s="33"/>
      <c r="G910" s="34"/>
      <c r="H910" s="34"/>
      <c r="I910" s="34"/>
      <c r="J910" s="13"/>
    </row>
    <row r="911" spans="2:10" ht="15.75" customHeight="1">
      <c r="B911" s="29"/>
      <c r="C911" s="32"/>
      <c r="D911" s="31"/>
      <c r="E911" s="32"/>
      <c r="F911" s="33"/>
      <c r="G911" s="34"/>
      <c r="H911" s="34"/>
      <c r="I911" s="34"/>
      <c r="J911" s="13"/>
    </row>
    <row r="912" spans="2:10" ht="15.75" customHeight="1">
      <c r="B912" s="29"/>
      <c r="C912" s="32"/>
      <c r="D912" s="31"/>
      <c r="E912" s="32"/>
      <c r="F912" s="33"/>
      <c r="G912" s="34"/>
      <c r="H912" s="34"/>
      <c r="I912" s="34"/>
      <c r="J912" s="13"/>
    </row>
    <row r="913" spans="2:10" ht="15.75" customHeight="1">
      <c r="B913" s="29"/>
      <c r="C913" s="32"/>
      <c r="D913" s="31"/>
      <c r="E913" s="32"/>
      <c r="F913" s="33"/>
      <c r="G913" s="34"/>
      <c r="H913" s="34"/>
      <c r="I913" s="34"/>
      <c r="J913" s="13"/>
    </row>
    <row r="914" spans="2:10" ht="15.75" customHeight="1">
      <c r="B914" s="29"/>
      <c r="C914" s="32"/>
      <c r="D914" s="31"/>
      <c r="E914" s="32"/>
      <c r="F914" s="33"/>
      <c r="G914" s="34"/>
      <c r="H914" s="34"/>
      <c r="I914" s="34"/>
      <c r="J914" s="13"/>
    </row>
    <row r="915" spans="2:10" ht="15.75" customHeight="1">
      <c r="B915" s="29"/>
      <c r="C915" s="32"/>
      <c r="D915" s="31"/>
      <c r="E915" s="32"/>
      <c r="F915" s="33"/>
      <c r="G915" s="34"/>
      <c r="H915" s="34"/>
      <c r="I915" s="34"/>
      <c r="J915" s="13"/>
    </row>
    <row r="916" spans="2:10" ht="15.75" customHeight="1">
      <c r="B916" s="29"/>
      <c r="C916" s="32"/>
      <c r="D916" s="31"/>
      <c r="E916" s="32"/>
      <c r="F916" s="33"/>
      <c r="G916" s="34"/>
      <c r="H916" s="34"/>
      <c r="I916" s="34"/>
      <c r="J916" s="13"/>
    </row>
    <row r="917" spans="2:10" ht="15.75" customHeight="1">
      <c r="B917" s="29"/>
      <c r="C917" s="32"/>
      <c r="D917" s="31"/>
      <c r="E917" s="32"/>
      <c r="F917" s="33"/>
      <c r="G917" s="34"/>
      <c r="H917" s="34"/>
      <c r="I917" s="34"/>
      <c r="J917" s="13"/>
    </row>
    <row r="918" spans="2:10" ht="15.75" customHeight="1">
      <c r="B918" s="29"/>
      <c r="C918" s="32"/>
      <c r="D918" s="31"/>
      <c r="E918" s="32"/>
      <c r="F918" s="33"/>
      <c r="G918" s="34"/>
      <c r="H918" s="34"/>
      <c r="I918" s="34"/>
      <c r="J918" s="13"/>
    </row>
    <row r="919" spans="2:10" ht="15.75" customHeight="1">
      <c r="B919" s="29"/>
      <c r="C919" s="32"/>
      <c r="D919" s="31"/>
      <c r="E919" s="32"/>
      <c r="F919" s="33"/>
      <c r="G919" s="34"/>
      <c r="H919" s="34"/>
      <c r="I919" s="34"/>
      <c r="J919" s="13"/>
    </row>
    <row r="920" spans="2:10" ht="15.75" customHeight="1">
      <c r="B920" s="29"/>
      <c r="C920" s="32"/>
      <c r="D920" s="31"/>
      <c r="E920" s="32"/>
      <c r="F920" s="33"/>
      <c r="G920" s="34"/>
      <c r="H920" s="34"/>
      <c r="I920" s="34"/>
      <c r="J920" s="13"/>
    </row>
    <row r="921" spans="2:10" ht="15.75" customHeight="1">
      <c r="B921" s="29"/>
      <c r="C921" s="32"/>
      <c r="D921" s="31"/>
      <c r="E921" s="32"/>
      <c r="F921" s="33"/>
      <c r="G921" s="34"/>
      <c r="H921" s="34"/>
      <c r="I921" s="34"/>
      <c r="J921" s="13"/>
    </row>
    <row r="922" spans="2:10" ht="15.75" customHeight="1">
      <c r="B922" s="29"/>
      <c r="C922" s="32"/>
      <c r="D922" s="31"/>
      <c r="E922" s="32"/>
      <c r="F922" s="33"/>
      <c r="G922" s="34"/>
      <c r="H922" s="34"/>
      <c r="I922" s="34"/>
      <c r="J922" s="13"/>
    </row>
    <row r="923" spans="2:10" ht="15.75" customHeight="1">
      <c r="B923" s="29"/>
      <c r="C923" s="32"/>
      <c r="D923" s="31"/>
      <c r="E923" s="32"/>
      <c r="F923" s="33"/>
      <c r="G923" s="34"/>
      <c r="H923" s="34"/>
      <c r="I923" s="34"/>
      <c r="J923" s="13"/>
    </row>
    <row r="924" spans="2:10" ht="15.75" customHeight="1">
      <c r="B924" s="29"/>
      <c r="C924" s="32"/>
      <c r="D924" s="31"/>
      <c r="E924" s="32"/>
      <c r="F924" s="33"/>
      <c r="G924" s="34"/>
      <c r="H924" s="34"/>
      <c r="I924" s="34"/>
      <c r="J924" s="13"/>
    </row>
    <row r="925" spans="2:10" ht="15.75" customHeight="1">
      <c r="B925" s="29"/>
      <c r="C925" s="32"/>
      <c r="D925" s="31"/>
      <c r="E925" s="32"/>
      <c r="F925" s="33"/>
      <c r="G925" s="34"/>
      <c r="H925" s="34"/>
      <c r="I925" s="34"/>
      <c r="J925" s="13"/>
    </row>
    <row r="926" spans="2:10" ht="15.75" customHeight="1">
      <c r="B926" s="29"/>
      <c r="C926" s="32"/>
      <c r="D926" s="31"/>
      <c r="E926" s="32"/>
      <c r="F926" s="33"/>
      <c r="G926" s="34"/>
      <c r="H926" s="34"/>
      <c r="I926" s="34"/>
      <c r="J926" s="13"/>
    </row>
    <row r="927" spans="2:10" ht="15.75" customHeight="1">
      <c r="B927" s="29"/>
      <c r="C927" s="32"/>
      <c r="D927" s="31"/>
      <c r="E927" s="32"/>
      <c r="F927" s="33"/>
      <c r="G927" s="34"/>
      <c r="H927" s="34"/>
      <c r="I927" s="34"/>
      <c r="J927" s="13"/>
    </row>
    <row r="928" spans="2:10" ht="15.75" customHeight="1">
      <c r="B928" s="29"/>
      <c r="C928" s="32"/>
      <c r="D928" s="31"/>
      <c r="E928" s="32"/>
      <c r="F928" s="33"/>
      <c r="G928" s="34"/>
      <c r="H928" s="34"/>
      <c r="I928" s="34"/>
      <c r="J928" s="13"/>
    </row>
    <row r="929" spans="2:10" ht="15.75" customHeight="1">
      <c r="B929" s="29"/>
      <c r="C929" s="32"/>
      <c r="D929" s="31"/>
      <c r="E929" s="32"/>
      <c r="F929" s="33"/>
      <c r="G929" s="34"/>
      <c r="H929" s="34"/>
      <c r="I929" s="34"/>
      <c r="J929" s="13"/>
    </row>
    <row r="930" spans="2:10" ht="15.75" customHeight="1">
      <c r="B930" s="29"/>
      <c r="C930" s="32"/>
      <c r="D930" s="31"/>
      <c r="E930" s="32"/>
      <c r="F930" s="33"/>
      <c r="G930" s="34"/>
      <c r="H930" s="34"/>
      <c r="I930" s="34"/>
      <c r="J930" s="13"/>
    </row>
    <row r="931" spans="2:10" ht="15.75" customHeight="1">
      <c r="B931" s="29"/>
      <c r="C931" s="32"/>
      <c r="D931" s="31"/>
      <c r="E931" s="32"/>
      <c r="F931" s="33"/>
      <c r="G931" s="34"/>
      <c r="H931" s="34"/>
      <c r="I931" s="34"/>
      <c r="J931" s="13"/>
    </row>
    <row r="932" spans="2:10" ht="15.75" customHeight="1">
      <c r="B932" s="29"/>
      <c r="C932" s="32"/>
      <c r="D932" s="31"/>
      <c r="E932" s="32"/>
      <c r="F932" s="33"/>
      <c r="G932" s="34"/>
      <c r="H932" s="34"/>
      <c r="I932" s="34"/>
      <c r="J932" s="13"/>
    </row>
    <row r="933" spans="2:10" ht="15.75" customHeight="1">
      <c r="B933" s="29"/>
      <c r="C933" s="32"/>
      <c r="D933" s="31"/>
      <c r="E933" s="32"/>
      <c r="F933" s="33"/>
      <c r="G933" s="34"/>
      <c r="H933" s="34"/>
      <c r="I933" s="34"/>
      <c r="J933" s="13"/>
    </row>
    <row r="934" spans="2:10" ht="15.75" customHeight="1">
      <c r="B934" s="29"/>
      <c r="C934" s="32"/>
      <c r="D934" s="31"/>
      <c r="E934" s="32"/>
      <c r="F934" s="33"/>
      <c r="G934" s="34"/>
      <c r="H934" s="34"/>
      <c r="I934" s="34"/>
      <c r="J934" s="13"/>
    </row>
    <row r="935" spans="2:10" ht="15.75" customHeight="1">
      <c r="B935" s="29"/>
      <c r="C935" s="32"/>
      <c r="D935" s="31"/>
      <c r="E935" s="32"/>
      <c r="F935" s="33"/>
      <c r="G935" s="34"/>
      <c r="H935" s="34"/>
      <c r="I935" s="34"/>
      <c r="J935" s="13"/>
    </row>
    <row r="936" spans="2:10" ht="15.75" customHeight="1">
      <c r="B936" s="29"/>
      <c r="C936" s="32"/>
      <c r="D936" s="31"/>
      <c r="E936" s="32"/>
      <c r="F936" s="33"/>
      <c r="G936" s="34"/>
      <c r="H936" s="34"/>
      <c r="I936" s="34"/>
      <c r="J936" s="13"/>
    </row>
    <row r="937" spans="2:10" ht="15.75" customHeight="1">
      <c r="B937" s="29"/>
      <c r="C937" s="32"/>
      <c r="D937" s="31"/>
      <c r="E937" s="32"/>
      <c r="F937" s="33"/>
      <c r="G937" s="34"/>
      <c r="H937" s="34"/>
      <c r="I937" s="34"/>
      <c r="J937" s="13"/>
    </row>
    <row r="938" spans="2:10" ht="15.75" customHeight="1">
      <c r="B938" s="29"/>
      <c r="C938" s="32"/>
      <c r="D938" s="31"/>
      <c r="E938" s="32"/>
      <c r="F938" s="33"/>
      <c r="G938" s="34"/>
      <c r="H938" s="34"/>
      <c r="I938" s="34"/>
      <c r="J938" s="13"/>
    </row>
    <row r="939" spans="2:10" ht="15.75" customHeight="1">
      <c r="B939" s="29"/>
      <c r="C939" s="32"/>
      <c r="D939" s="31"/>
      <c r="E939" s="32"/>
      <c r="F939" s="33"/>
      <c r="G939" s="34"/>
      <c r="H939" s="34"/>
      <c r="I939" s="34"/>
      <c r="J939" s="13"/>
    </row>
    <row r="940" spans="2:10" ht="15.75" customHeight="1">
      <c r="B940" s="29"/>
      <c r="C940" s="32"/>
      <c r="D940" s="31"/>
      <c r="E940" s="32"/>
      <c r="F940" s="33"/>
      <c r="G940" s="34"/>
      <c r="H940" s="34"/>
      <c r="I940" s="34"/>
      <c r="J940" s="13"/>
    </row>
    <row r="941" spans="2:10" ht="15.75" customHeight="1">
      <c r="B941" s="29"/>
      <c r="C941" s="32"/>
      <c r="D941" s="31"/>
      <c r="E941" s="32"/>
      <c r="F941" s="33"/>
      <c r="G941" s="34"/>
      <c r="H941" s="34"/>
      <c r="I941" s="34"/>
      <c r="J941" s="13"/>
    </row>
    <row r="942" spans="2:10" ht="15.75" customHeight="1">
      <c r="B942" s="29"/>
      <c r="C942" s="32"/>
      <c r="D942" s="31"/>
      <c r="E942" s="32"/>
      <c r="F942" s="33"/>
      <c r="G942" s="34"/>
      <c r="H942" s="34"/>
      <c r="I942" s="34"/>
      <c r="J942" s="13"/>
    </row>
    <row r="943" spans="2:10" ht="15.75" customHeight="1">
      <c r="B943" s="29"/>
      <c r="C943" s="32"/>
      <c r="D943" s="31"/>
      <c r="E943" s="32"/>
      <c r="F943" s="33"/>
      <c r="G943" s="34"/>
      <c r="H943" s="34"/>
      <c r="I943" s="34"/>
      <c r="J943" s="13"/>
    </row>
    <row r="944" spans="2:10" ht="15.75" customHeight="1">
      <c r="B944" s="29"/>
      <c r="C944" s="32"/>
      <c r="D944" s="31"/>
      <c r="E944" s="32"/>
      <c r="F944" s="33"/>
      <c r="G944" s="34"/>
      <c r="H944" s="34"/>
      <c r="I944" s="34"/>
      <c r="J944" s="13"/>
    </row>
    <row r="945" spans="2:10" ht="15.75" customHeight="1">
      <c r="B945" s="29"/>
      <c r="C945" s="32"/>
      <c r="D945" s="31"/>
      <c r="E945" s="32"/>
      <c r="F945" s="33"/>
      <c r="G945" s="34"/>
      <c r="H945" s="34"/>
      <c r="I945" s="34"/>
      <c r="J945" s="13"/>
    </row>
    <row r="946" spans="2:10" ht="15.75" customHeight="1">
      <c r="B946" s="29"/>
      <c r="C946" s="32"/>
      <c r="D946" s="31"/>
      <c r="E946" s="32"/>
      <c r="F946" s="33"/>
      <c r="G946" s="34"/>
      <c r="H946" s="34"/>
      <c r="I946" s="34"/>
      <c r="J946" s="13"/>
    </row>
    <row r="947" spans="2:10" ht="15.75" customHeight="1">
      <c r="B947" s="29"/>
      <c r="C947" s="32"/>
      <c r="D947" s="31"/>
      <c r="E947" s="32"/>
      <c r="F947" s="33"/>
      <c r="G947" s="34"/>
      <c r="H947" s="34"/>
      <c r="I947" s="34"/>
      <c r="J947" s="13"/>
    </row>
    <row r="948" spans="2:10" ht="15.75" customHeight="1">
      <c r="B948" s="29"/>
      <c r="C948" s="32"/>
      <c r="D948" s="31"/>
      <c r="E948" s="32"/>
      <c r="F948" s="33"/>
      <c r="G948" s="34"/>
      <c r="H948" s="34"/>
      <c r="I948" s="34"/>
      <c r="J948" s="13"/>
    </row>
    <row r="949" spans="2:10" ht="15.75" customHeight="1">
      <c r="B949" s="29"/>
      <c r="C949" s="32"/>
      <c r="D949" s="31"/>
      <c r="E949" s="32"/>
      <c r="F949" s="33"/>
      <c r="G949" s="34"/>
      <c r="H949" s="34"/>
      <c r="I949" s="34"/>
      <c r="J949" s="13"/>
    </row>
    <row r="950" spans="2:10" ht="15.75" customHeight="1">
      <c r="B950" s="29"/>
      <c r="C950" s="32"/>
      <c r="D950" s="31"/>
      <c r="E950" s="32"/>
      <c r="F950" s="33"/>
      <c r="G950" s="34"/>
      <c r="H950" s="34"/>
      <c r="I950" s="34"/>
      <c r="J950" s="13"/>
    </row>
    <row r="951" spans="2:10" ht="15.75" customHeight="1">
      <c r="B951" s="29"/>
      <c r="C951" s="32"/>
      <c r="D951" s="31"/>
      <c r="E951" s="32"/>
      <c r="F951" s="33"/>
      <c r="G951" s="34"/>
      <c r="H951" s="34"/>
      <c r="I951" s="34"/>
      <c r="J951" s="13"/>
    </row>
    <row r="952" spans="2:10" ht="15.75" customHeight="1">
      <c r="B952" s="29"/>
      <c r="C952" s="32"/>
      <c r="D952" s="31"/>
      <c r="E952" s="32"/>
      <c r="F952" s="33"/>
      <c r="G952" s="34"/>
      <c r="H952" s="34"/>
      <c r="I952" s="34"/>
      <c r="J952" s="13"/>
    </row>
    <row r="953" spans="2:10" ht="15.75" customHeight="1">
      <c r="B953" s="29"/>
      <c r="C953" s="32"/>
      <c r="D953" s="31"/>
      <c r="E953" s="32"/>
      <c r="F953" s="33"/>
      <c r="G953" s="34"/>
      <c r="H953" s="34"/>
      <c r="I953" s="34"/>
      <c r="J953" s="13"/>
    </row>
    <row r="954" spans="2:10" ht="15.75" customHeight="1">
      <c r="B954" s="29"/>
      <c r="C954" s="32"/>
      <c r="D954" s="31"/>
      <c r="E954" s="32"/>
      <c r="F954" s="33"/>
      <c r="G954" s="34"/>
      <c r="H954" s="34"/>
      <c r="I954" s="34"/>
      <c r="J954" s="13"/>
    </row>
    <row r="955" spans="2:10" ht="15.75" customHeight="1">
      <c r="B955" s="29"/>
      <c r="C955" s="32"/>
      <c r="D955" s="31"/>
      <c r="E955" s="32"/>
      <c r="F955" s="33"/>
      <c r="G955" s="34"/>
      <c r="H955" s="34"/>
      <c r="I955" s="34"/>
      <c r="J955" s="13"/>
    </row>
    <row r="956" spans="2:10" ht="15.75" customHeight="1">
      <c r="B956" s="29"/>
      <c r="C956" s="32"/>
      <c r="D956" s="31"/>
      <c r="E956" s="32"/>
      <c r="F956" s="33"/>
      <c r="G956" s="34"/>
      <c r="H956" s="34"/>
      <c r="I956" s="34"/>
      <c r="J956" s="13"/>
    </row>
    <row r="957" spans="2:10" ht="15.75" customHeight="1">
      <c r="B957" s="29"/>
      <c r="C957" s="32"/>
      <c r="D957" s="31"/>
      <c r="E957" s="32"/>
      <c r="F957" s="33"/>
      <c r="G957" s="34"/>
      <c r="H957" s="34"/>
      <c r="I957" s="34"/>
      <c r="J957" s="13"/>
    </row>
    <row r="958" spans="2:10" ht="15.75" customHeight="1">
      <c r="B958" s="29"/>
      <c r="C958" s="32"/>
      <c r="D958" s="31"/>
      <c r="E958" s="32"/>
      <c r="F958" s="33"/>
      <c r="G958" s="34"/>
      <c r="H958" s="34"/>
      <c r="I958" s="34"/>
      <c r="J958" s="13"/>
    </row>
    <row r="959" spans="2:10" ht="15.75" customHeight="1">
      <c r="B959" s="29"/>
      <c r="C959" s="32"/>
      <c r="D959" s="31"/>
      <c r="E959" s="32"/>
      <c r="F959" s="33"/>
      <c r="G959" s="34"/>
      <c r="H959" s="34"/>
      <c r="I959" s="34"/>
      <c r="J959" s="13"/>
    </row>
    <row r="960" spans="2:10" ht="15.75" customHeight="1">
      <c r="B960" s="29"/>
      <c r="C960" s="32"/>
      <c r="D960" s="31"/>
      <c r="E960" s="32"/>
      <c r="F960" s="33"/>
      <c r="G960" s="34"/>
      <c r="H960" s="34"/>
      <c r="I960" s="34"/>
      <c r="J960" s="13"/>
    </row>
    <row r="961" spans="2:10" ht="15.75" customHeight="1">
      <c r="B961" s="29"/>
      <c r="C961" s="32"/>
      <c r="D961" s="31"/>
      <c r="E961" s="32"/>
      <c r="F961" s="33"/>
      <c r="G961" s="34"/>
      <c r="H961" s="34"/>
      <c r="I961" s="34"/>
      <c r="J961" s="13"/>
    </row>
    <row r="962" spans="2:10" ht="15.75" customHeight="1">
      <c r="B962" s="29"/>
      <c r="C962" s="32"/>
      <c r="D962" s="31"/>
      <c r="E962" s="32"/>
      <c r="F962" s="33"/>
      <c r="G962" s="34"/>
      <c r="H962" s="34"/>
      <c r="I962" s="34"/>
      <c r="J962" s="13"/>
    </row>
    <row r="963" spans="2:10" ht="15.75" customHeight="1">
      <c r="B963" s="29"/>
      <c r="C963" s="32"/>
      <c r="D963" s="31"/>
      <c r="E963" s="32"/>
      <c r="F963" s="33"/>
      <c r="G963" s="34"/>
      <c r="H963" s="34"/>
      <c r="I963" s="34"/>
      <c r="J963" s="13"/>
    </row>
    <row r="964" spans="2:10" ht="15.75" customHeight="1">
      <c r="B964" s="29"/>
      <c r="C964" s="32"/>
      <c r="D964" s="31"/>
      <c r="E964" s="32"/>
      <c r="F964" s="33"/>
      <c r="G964" s="34"/>
      <c r="H964" s="34"/>
      <c r="I964" s="34"/>
      <c r="J964" s="13"/>
    </row>
    <row r="965" spans="2:10" ht="15.75" customHeight="1">
      <c r="B965" s="29"/>
      <c r="C965" s="32"/>
      <c r="D965" s="31"/>
      <c r="E965" s="32"/>
      <c r="F965" s="33"/>
      <c r="G965" s="34"/>
      <c r="H965" s="34"/>
      <c r="I965" s="34"/>
      <c r="J965" s="13"/>
    </row>
    <row r="966" spans="2:10" ht="15.75" customHeight="1">
      <c r="B966" s="29"/>
      <c r="C966" s="32"/>
      <c r="D966" s="31"/>
      <c r="E966" s="32"/>
      <c r="F966" s="33"/>
      <c r="G966" s="34"/>
      <c r="H966" s="34"/>
      <c r="I966" s="34"/>
      <c r="J966" s="13"/>
    </row>
    <row r="967" spans="2:10" ht="15.75" customHeight="1">
      <c r="B967" s="29"/>
      <c r="C967" s="32"/>
      <c r="D967" s="31"/>
      <c r="E967" s="32"/>
      <c r="F967" s="33"/>
      <c r="G967" s="34"/>
      <c r="H967" s="34"/>
      <c r="I967" s="34"/>
      <c r="J967" s="13"/>
    </row>
    <row r="968" spans="2:10" ht="15.75" customHeight="1">
      <c r="B968" s="29"/>
      <c r="C968" s="32"/>
      <c r="D968" s="31"/>
      <c r="E968" s="32"/>
      <c r="F968" s="33"/>
      <c r="G968" s="34"/>
      <c r="H968" s="34"/>
      <c r="I968" s="34"/>
      <c r="J968" s="13"/>
    </row>
    <row r="969" spans="2:10" ht="15.75" customHeight="1">
      <c r="B969" s="29"/>
      <c r="C969" s="32"/>
      <c r="D969" s="31"/>
      <c r="E969" s="32"/>
      <c r="F969" s="33"/>
      <c r="G969" s="34"/>
      <c r="H969" s="34"/>
      <c r="I969" s="34"/>
      <c r="J969" s="13"/>
    </row>
    <row r="970" spans="2:10" ht="15.75" customHeight="1">
      <c r="B970" s="29"/>
      <c r="C970" s="32"/>
      <c r="D970" s="31"/>
      <c r="E970" s="32"/>
      <c r="F970" s="33"/>
      <c r="G970" s="34"/>
      <c r="H970" s="34"/>
      <c r="I970" s="34"/>
      <c r="J970" s="13"/>
    </row>
    <row r="971" spans="2:10" ht="15.75" customHeight="1">
      <c r="B971" s="29"/>
      <c r="C971" s="32"/>
      <c r="D971" s="31"/>
      <c r="E971" s="32"/>
      <c r="F971" s="33"/>
      <c r="G971" s="34"/>
      <c r="H971" s="34"/>
      <c r="I971" s="34"/>
      <c r="J971" s="13"/>
    </row>
    <row r="972" spans="2:10" ht="15.75" customHeight="1">
      <c r="B972" s="29"/>
      <c r="C972" s="32"/>
      <c r="D972" s="31"/>
      <c r="E972" s="32"/>
      <c r="F972" s="33"/>
      <c r="G972" s="34"/>
      <c r="H972" s="34"/>
      <c r="I972" s="34"/>
      <c r="J972" s="13"/>
    </row>
    <row r="973" spans="2:10" ht="15.75" customHeight="1">
      <c r="B973" s="29"/>
      <c r="C973" s="32"/>
      <c r="D973" s="31"/>
      <c r="E973" s="32"/>
      <c r="F973" s="33"/>
      <c r="G973" s="34"/>
      <c r="H973" s="34"/>
      <c r="I973" s="34"/>
      <c r="J973" s="13"/>
    </row>
    <row r="974" spans="2:10" ht="15.75" customHeight="1">
      <c r="B974" s="29"/>
      <c r="C974" s="32"/>
      <c r="D974" s="31"/>
      <c r="E974" s="32"/>
      <c r="F974" s="33"/>
      <c r="G974" s="34"/>
      <c r="H974" s="34"/>
      <c r="I974" s="34"/>
      <c r="J974" s="13"/>
    </row>
    <row r="975" spans="2:10" ht="15.75" customHeight="1">
      <c r="B975" s="29"/>
      <c r="C975" s="32"/>
      <c r="D975" s="31"/>
      <c r="E975" s="32"/>
      <c r="F975" s="33"/>
      <c r="G975" s="34"/>
      <c r="H975" s="34"/>
      <c r="I975" s="34"/>
      <c r="J975" s="13"/>
    </row>
    <row r="976" spans="2:10" ht="15.75" customHeight="1">
      <c r="B976" s="29"/>
      <c r="C976" s="32"/>
      <c r="D976" s="31"/>
      <c r="E976" s="32"/>
      <c r="F976" s="33"/>
      <c r="G976" s="34"/>
      <c r="H976" s="34"/>
      <c r="I976" s="34"/>
      <c r="J976" s="13"/>
    </row>
    <row r="977" spans="2:10" ht="15.75" customHeight="1">
      <c r="B977" s="29"/>
      <c r="C977" s="32"/>
      <c r="D977" s="31"/>
      <c r="E977" s="32"/>
      <c r="F977" s="33"/>
      <c r="G977" s="34"/>
      <c r="H977" s="34"/>
      <c r="I977" s="34"/>
      <c r="J977" s="13"/>
    </row>
    <row r="978" spans="2:10" ht="15.75" customHeight="1">
      <c r="B978" s="29"/>
      <c r="C978" s="32"/>
      <c r="D978" s="31"/>
      <c r="E978" s="32"/>
      <c r="F978" s="33"/>
      <c r="G978" s="34"/>
      <c r="H978" s="34"/>
      <c r="I978" s="34"/>
      <c r="J978" s="13"/>
    </row>
    <row r="979" spans="2:10" ht="15.75" customHeight="1">
      <c r="B979" s="29"/>
      <c r="C979" s="32"/>
      <c r="D979" s="31"/>
      <c r="E979" s="32"/>
      <c r="F979" s="33"/>
      <c r="G979" s="34"/>
      <c r="H979" s="34"/>
      <c r="I979" s="34"/>
      <c r="J979" s="13"/>
    </row>
    <row r="980" spans="2:10" ht="15.75" customHeight="1">
      <c r="B980" s="29"/>
      <c r="C980" s="32"/>
      <c r="D980" s="31"/>
      <c r="E980" s="32"/>
      <c r="F980" s="33"/>
      <c r="G980" s="34"/>
      <c r="H980" s="34"/>
      <c r="I980" s="34"/>
      <c r="J980" s="13"/>
    </row>
    <row r="981" spans="2:10" ht="15.75" customHeight="1">
      <c r="B981" s="29"/>
      <c r="C981" s="32"/>
      <c r="D981" s="31"/>
      <c r="E981" s="32"/>
      <c r="F981" s="33"/>
      <c r="G981" s="34"/>
      <c r="H981" s="34"/>
      <c r="I981" s="34"/>
      <c r="J981" s="13"/>
    </row>
    <row r="982" spans="2:10" ht="15.75" customHeight="1">
      <c r="B982" s="29"/>
      <c r="C982" s="32"/>
      <c r="D982" s="31"/>
      <c r="E982" s="32"/>
      <c r="F982" s="33"/>
      <c r="G982" s="34"/>
      <c r="H982" s="34"/>
      <c r="I982" s="34"/>
      <c r="J982" s="13"/>
    </row>
    <row r="983" spans="2:10" ht="15.75" customHeight="1">
      <c r="B983" s="29"/>
      <c r="C983" s="32"/>
      <c r="D983" s="31"/>
      <c r="E983" s="32"/>
      <c r="F983" s="33"/>
      <c r="G983" s="34"/>
      <c r="H983" s="34"/>
      <c r="I983" s="34"/>
      <c r="J983" s="13"/>
    </row>
    <row r="984" spans="2:10" ht="15.75" customHeight="1">
      <c r="B984" s="29"/>
      <c r="C984" s="32"/>
      <c r="D984" s="31"/>
      <c r="E984" s="32"/>
      <c r="F984" s="33"/>
      <c r="G984" s="34"/>
      <c r="H984" s="34"/>
      <c r="I984" s="34"/>
      <c r="J984" s="13"/>
    </row>
    <row r="985" spans="2:10" ht="15.75" customHeight="1">
      <c r="B985" s="29"/>
      <c r="C985" s="32"/>
      <c r="D985" s="31"/>
      <c r="E985" s="32"/>
      <c r="F985" s="33"/>
      <c r="G985" s="34"/>
      <c r="H985" s="34"/>
      <c r="I985" s="34"/>
      <c r="J985" s="13"/>
    </row>
    <row r="986" spans="2:10" ht="15.75" customHeight="1">
      <c r="B986" s="29"/>
      <c r="C986" s="32"/>
      <c r="D986" s="31"/>
      <c r="E986" s="32"/>
      <c r="F986" s="33"/>
      <c r="G986" s="34"/>
      <c r="H986" s="34"/>
      <c r="I986" s="34"/>
      <c r="J986" s="13"/>
    </row>
    <row r="987" spans="2:10" ht="15.75" customHeight="1">
      <c r="B987" s="29"/>
      <c r="C987" s="32"/>
      <c r="D987" s="31"/>
      <c r="E987" s="32"/>
      <c r="F987" s="33"/>
      <c r="G987" s="34"/>
      <c r="H987" s="34"/>
      <c r="I987" s="34"/>
      <c r="J987" s="13"/>
    </row>
    <row r="988" spans="2:10" ht="15.75" customHeight="1">
      <c r="B988" s="29"/>
      <c r="C988" s="32"/>
      <c r="D988" s="31"/>
      <c r="E988" s="32"/>
      <c r="F988" s="33"/>
      <c r="G988" s="34"/>
      <c r="H988" s="34"/>
      <c r="I988" s="34"/>
      <c r="J988" s="13"/>
    </row>
    <row r="989" spans="2:10" ht="15.75" customHeight="1">
      <c r="B989" s="29"/>
      <c r="C989" s="32"/>
      <c r="D989" s="31"/>
      <c r="E989" s="32"/>
      <c r="F989" s="33"/>
      <c r="G989" s="34"/>
      <c r="H989" s="34"/>
      <c r="I989" s="34"/>
      <c r="J989" s="13"/>
    </row>
    <row r="990" spans="2:10" ht="15.75" customHeight="1">
      <c r="B990" s="29"/>
      <c r="C990" s="32"/>
      <c r="D990" s="31"/>
      <c r="E990" s="32"/>
      <c r="F990" s="33"/>
      <c r="G990" s="34"/>
      <c r="H990" s="34"/>
      <c r="I990" s="34"/>
      <c r="J990" s="13"/>
    </row>
    <row r="991" spans="2:10" ht="15.75" customHeight="1">
      <c r="B991" s="29"/>
      <c r="C991" s="32"/>
      <c r="D991" s="31"/>
      <c r="E991" s="32"/>
      <c r="F991" s="33"/>
      <c r="G991" s="34"/>
      <c r="H991" s="34"/>
      <c r="I991" s="34"/>
      <c r="J991" s="13"/>
    </row>
    <row r="992" spans="2:10" ht="15.75" customHeight="1">
      <c r="B992" s="29"/>
      <c r="C992" s="32"/>
      <c r="D992" s="31"/>
      <c r="E992" s="32"/>
      <c r="F992" s="33"/>
      <c r="G992" s="34"/>
      <c r="H992" s="34"/>
      <c r="I992" s="34"/>
      <c r="J992" s="13"/>
    </row>
    <row r="993" spans="2:10" ht="15.75" customHeight="1">
      <c r="B993" s="29"/>
      <c r="C993" s="32"/>
      <c r="D993" s="31"/>
      <c r="E993" s="32"/>
      <c r="F993" s="33"/>
      <c r="G993" s="34"/>
      <c r="H993" s="34"/>
      <c r="I993" s="34"/>
      <c r="J993" s="13"/>
    </row>
  </sheetData>
  <autoFilter ref="A1:J48" xr:uid="{00000000-0009-0000-0000-000000000000}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991"/>
  <sheetViews>
    <sheetView workbookViewId="0">
      <pane ySplit="1" topLeftCell="A2" activePane="bottomLeft" state="frozen"/>
      <selection pane="bottomLeft" activeCell="B3" sqref="B3"/>
    </sheetView>
  </sheetViews>
  <sheetFormatPr defaultColWidth="11.25" defaultRowHeight="15" customHeight="1"/>
  <cols>
    <col min="1" max="1" width="11.625" customWidth="1"/>
    <col min="2" max="3" width="10.75" customWidth="1"/>
    <col min="4" max="4" width="10.125" customWidth="1"/>
    <col min="5" max="5" width="10.25" customWidth="1"/>
    <col min="6" max="6" width="8.5" customWidth="1"/>
    <col min="7" max="7" width="8.875" customWidth="1"/>
    <col min="8" max="8" width="10.25" customWidth="1"/>
    <col min="9" max="9" width="9.375" customWidth="1"/>
    <col min="10" max="10" width="6.875" customWidth="1"/>
    <col min="11" max="11" width="7.375" customWidth="1"/>
    <col min="12" max="12" width="7.75" customWidth="1"/>
    <col min="13" max="13" width="10.75" customWidth="1"/>
    <col min="14" max="14" width="9.875" customWidth="1"/>
    <col min="15" max="15" width="9.5" customWidth="1"/>
    <col min="16" max="16" width="25.125" customWidth="1"/>
    <col min="17" max="31" width="10.5" customWidth="1"/>
  </cols>
  <sheetData>
    <row r="1" spans="1:17" ht="15.75" customHeight="1">
      <c r="A1" s="36" t="s">
        <v>0</v>
      </c>
      <c r="B1" s="37" t="s">
        <v>1</v>
      </c>
      <c r="C1" s="38" t="s">
        <v>2</v>
      </c>
      <c r="D1" s="37" t="s">
        <v>63</v>
      </c>
      <c r="E1" s="38" t="s">
        <v>64</v>
      </c>
      <c r="F1" s="39" t="s">
        <v>65</v>
      </c>
      <c r="G1" s="37" t="s">
        <v>66</v>
      </c>
      <c r="H1" s="38" t="s">
        <v>67</v>
      </c>
      <c r="I1" s="40" t="s">
        <v>68</v>
      </c>
      <c r="J1" s="40" t="s">
        <v>69</v>
      </c>
      <c r="K1" s="40" t="s">
        <v>70</v>
      </c>
      <c r="L1" s="39" t="s">
        <v>71</v>
      </c>
      <c r="M1" s="41" t="s">
        <v>72</v>
      </c>
      <c r="N1" s="40" t="s">
        <v>7</v>
      </c>
      <c r="O1" s="40" t="s">
        <v>8</v>
      </c>
      <c r="P1" s="42" t="s">
        <v>9</v>
      </c>
    </row>
    <row r="2" spans="1:17" ht="15.75" customHeight="1">
      <c r="A2" s="43" t="s">
        <v>73</v>
      </c>
      <c r="B2" s="44">
        <v>45009</v>
      </c>
      <c r="C2" s="45" t="s">
        <v>74</v>
      </c>
      <c r="D2" s="44">
        <v>45427</v>
      </c>
      <c r="E2" s="45">
        <v>0.50694444444444442</v>
      </c>
      <c r="F2" s="46">
        <v>41</v>
      </c>
      <c r="G2" s="44">
        <v>45428</v>
      </c>
      <c r="H2" s="45">
        <v>0.64583333333333337</v>
      </c>
      <c r="I2" s="47">
        <v>41</v>
      </c>
      <c r="J2" s="48">
        <v>0</v>
      </c>
      <c r="K2" s="48">
        <v>0</v>
      </c>
      <c r="L2" s="46" t="s">
        <v>75</v>
      </c>
      <c r="M2" s="49" t="str">
        <f t="shared" ref="M2:M3" si="0">IF(L2="&lt; 1","&lt; 10",IF(L2="&gt; 2419.6","&gt; 24196",L2*10))</f>
        <v>&lt; 10</v>
      </c>
      <c r="N2" s="50" t="s">
        <v>12</v>
      </c>
      <c r="O2" s="50" t="s">
        <v>13</v>
      </c>
      <c r="P2" s="404" t="s">
        <v>76</v>
      </c>
      <c r="Q2" s="51"/>
    </row>
    <row r="3" spans="1:17" ht="15.75" customHeight="1">
      <c r="A3" s="43" t="s">
        <v>77</v>
      </c>
      <c r="B3" s="44">
        <v>45010</v>
      </c>
      <c r="C3" s="45" t="s">
        <v>74</v>
      </c>
      <c r="D3" s="44">
        <v>45427</v>
      </c>
      <c r="E3" s="45">
        <v>0.50763888888888886</v>
      </c>
      <c r="F3" s="46">
        <v>41</v>
      </c>
      <c r="G3" s="44">
        <v>45428</v>
      </c>
      <c r="H3" s="45">
        <v>0.64583333333333337</v>
      </c>
      <c r="I3" s="47">
        <v>41</v>
      </c>
      <c r="J3" s="48">
        <v>0</v>
      </c>
      <c r="K3" s="48">
        <v>0</v>
      </c>
      <c r="L3" s="46" t="s">
        <v>75</v>
      </c>
      <c r="M3" s="49" t="str">
        <f t="shared" si="0"/>
        <v>&lt; 10</v>
      </c>
      <c r="N3" s="50" t="s">
        <v>12</v>
      </c>
      <c r="O3" s="50" t="s">
        <v>13</v>
      </c>
      <c r="P3" s="405"/>
      <c r="Q3" s="51"/>
    </row>
    <row r="4" spans="1:17" ht="15.75" customHeight="1">
      <c r="A4" s="52" t="s">
        <v>78</v>
      </c>
      <c r="B4" s="44">
        <v>45011</v>
      </c>
      <c r="C4" s="45" t="s">
        <v>74</v>
      </c>
      <c r="D4" s="44">
        <v>45427</v>
      </c>
      <c r="E4" s="45">
        <v>0.59236111111111112</v>
      </c>
      <c r="F4" s="46">
        <v>41</v>
      </c>
      <c r="G4" s="44">
        <v>45428</v>
      </c>
      <c r="H4" s="45">
        <v>0.64583333333333337</v>
      </c>
      <c r="I4" s="47">
        <v>41</v>
      </c>
      <c r="J4" s="48">
        <v>46</v>
      </c>
      <c r="K4" s="48">
        <v>48</v>
      </c>
      <c r="L4" s="46">
        <v>533.5</v>
      </c>
      <c r="M4" s="49">
        <f>L4*10</f>
        <v>5335</v>
      </c>
      <c r="N4" s="50" t="s">
        <v>12</v>
      </c>
      <c r="O4" s="50" t="s">
        <v>13</v>
      </c>
      <c r="P4" s="405"/>
      <c r="Q4" s="51"/>
    </row>
    <row r="5" spans="1:17" ht="15.75" customHeight="1">
      <c r="A5" s="53" t="s">
        <v>79</v>
      </c>
      <c r="B5" s="44">
        <v>45011</v>
      </c>
      <c r="C5" s="45" t="s">
        <v>74</v>
      </c>
      <c r="D5" s="44">
        <v>45009</v>
      </c>
      <c r="E5" s="45">
        <v>0.50555555555555554</v>
      </c>
      <c r="F5" s="46">
        <v>41</v>
      </c>
      <c r="G5" s="44">
        <v>45428</v>
      </c>
      <c r="H5" s="45">
        <v>0.64583333333333337</v>
      </c>
      <c r="I5" s="47">
        <v>41</v>
      </c>
      <c r="J5" s="48">
        <v>0</v>
      </c>
      <c r="K5" s="48">
        <v>0</v>
      </c>
      <c r="L5" s="46" t="s">
        <v>75</v>
      </c>
      <c r="M5" s="49" t="str">
        <f>IF(L5="&lt; 1","&lt; 10",IF(L5="&gt; 2419.6","&gt; 24196",L5*10))</f>
        <v>&lt; 10</v>
      </c>
      <c r="N5" s="50" t="s">
        <v>12</v>
      </c>
      <c r="O5" s="50" t="s">
        <v>13</v>
      </c>
      <c r="P5" s="406"/>
      <c r="Q5" s="51"/>
    </row>
    <row r="6" spans="1:17" ht="15.75" customHeight="1">
      <c r="A6" s="53" t="s">
        <v>80</v>
      </c>
      <c r="B6" s="44">
        <v>45461</v>
      </c>
      <c r="C6" s="45">
        <v>0.34722222222222221</v>
      </c>
      <c r="D6" s="44">
        <v>45461</v>
      </c>
      <c r="E6" s="45">
        <v>0.5854166666666667</v>
      </c>
      <c r="F6" s="46">
        <v>41</v>
      </c>
      <c r="G6" s="44">
        <v>45462</v>
      </c>
      <c r="H6" s="45">
        <v>0.5854166666666667</v>
      </c>
      <c r="I6" s="47">
        <v>41</v>
      </c>
      <c r="J6" s="48">
        <v>1</v>
      </c>
      <c r="K6" s="48">
        <v>0</v>
      </c>
      <c r="L6" s="46">
        <v>1</v>
      </c>
      <c r="M6" s="49">
        <f>L6*10</f>
        <v>10</v>
      </c>
      <c r="N6" s="50" t="s">
        <v>12</v>
      </c>
      <c r="O6" s="50" t="s">
        <v>81</v>
      </c>
      <c r="P6" s="50"/>
      <c r="Q6" s="51"/>
    </row>
    <row r="7" spans="1:17" ht="15.75" customHeight="1">
      <c r="A7" s="54" t="s">
        <v>82</v>
      </c>
      <c r="B7" s="44">
        <v>45461</v>
      </c>
      <c r="C7" s="45">
        <v>0.36458333333333331</v>
      </c>
      <c r="D7" s="44">
        <v>45461</v>
      </c>
      <c r="E7" s="45">
        <v>0.58819444444444446</v>
      </c>
      <c r="F7" s="46">
        <v>41</v>
      </c>
      <c r="G7" s="44">
        <v>45462</v>
      </c>
      <c r="H7" s="45">
        <v>0.58819444444444446</v>
      </c>
      <c r="I7" s="47">
        <v>41</v>
      </c>
      <c r="J7" s="48">
        <v>0</v>
      </c>
      <c r="K7" s="48">
        <v>0</v>
      </c>
      <c r="L7" s="46" t="s">
        <v>75</v>
      </c>
      <c r="M7" s="49" t="str">
        <f t="shared" ref="M7:M41" si="1">IF(L7="&lt; 1","&lt; 10",IF(L7="&gt; 2419.6","&gt; 24196",L7*10))</f>
        <v>&lt; 10</v>
      </c>
      <c r="N7" s="50" t="s">
        <v>12</v>
      </c>
      <c r="O7" s="50" t="s">
        <v>81</v>
      </c>
      <c r="P7" s="50"/>
      <c r="Q7" s="51"/>
    </row>
    <row r="8" spans="1:17" ht="15.75" customHeight="1">
      <c r="A8" s="55" t="s">
        <v>83</v>
      </c>
      <c r="B8" s="44">
        <v>45461</v>
      </c>
      <c r="C8" s="45">
        <v>0.38055555555555554</v>
      </c>
      <c r="D8" s="44">
        <v>45461</v>
      </c>
      <c r="E8" s="45">
        <v>0.58958333333333335</v>
      </c>
      <c r="F8" s="46">
        <v>41</v>
      </c>
      <c r="G8" s="44">
        <v>45462</v>
      </c>
      <c r="H8" s="45">
        <v>0.58958333333333335</v>
      </c>
      <c r="I8" s="47">
        <v>41</v>
      </c>
      <c r="J8" s="48">
        <v>0</v>
      </c>
      <c r="K8" s="48">
        <v>0</v>
      </c>
      <c r="L8" s="46" t="s">
        <v>75</v>
      </c>
      <c r="M8" s="49" t="str">
        <f t="shared" si="1"/>
        <v>&lt; 10</v>
      </c>
      <c r="N8" s="50" t="s">
        <v>12</v>
      </c>
      <c r="O8" s="50" t="s">
        <v>81</v>
      </c>
      <c r="P8" s="50"/>
      <c r="Q8" s="51"/>
    </row>
    <row r="9" spans="1:17" ht="15.75" customHeight="1">
      <c r="A9" s="55" t="s">
        <v>84</v>
      </c>
      <c r="B9" s="44">
        <v>45461</v>
      </c>
      <c r="C9" s="45">
        <v>0.4236111111111111</v>
      </c>
      <c r="D9" s="44">
        <v>45461</v>
      </c>
      <c r="E9" s="45">
        <v>0.58333333333333337</v>
      </c>
      <c r="F9" s="46">
        <v>41</v>
      </c>
      <c r="G9" s="44">
        <v>45462</v>
      </c>
      <c r="H9" s="45">
        <v>0.58333333333333337</v>
      </c>
      <c r="I9" s="47">
        <v>41</v>
      </c>
      <c r="J9" s="48">
        <v>0</v>
      </c>
      <c r="K9" s="48">
        <v>0</v>
      </c>
      <c r="L9" s="46" t="s">
        <v>75</v>
      </c>
      <c r="M9" s="49" t="str">
        <f t="shared" si="1"/>
        <v>&lt; 10</v>
      </c>
      <c r="N9" s="50" t="s">
        <v>12</v>
      </c>
      <c r="O9" s="50" t="s">
        <v>81</v>
      </c>
      <c r="P9" s="50"/>
      <c r="Q9" s="51"/>
    </row>
    <row r="10" spans="1:17" ht="15.75" customHeight="1">
      <c r="A10" s="56" t="s">
        <v>85</v>
      </c>
      <c r="B10" s="44">
        <v>45461</v>
      </c>
      <c r="C10" s="45">
        <v>0.44097222222222221</v>
      </c>
      <c r="D10" s="44">
        <v>45461</v>
      </c>
      <c r="E10" s="45">
        <v>0.59513888888888888</v>
      </c>
      <c r="F10" s="46">
        <v>41</v>
      </c>
      <c r="G10" s="44">
        <v>45462</v>
      </c>
      <c r="H10" s="45">
        <v>0.59513888888888888</v>
      </c>
      <c r="I10" s="47">
        <v>41</v>
      </c>
      <c r="J10" s="48">
        <v>0</v>
      </c>
      <c r="K10" s="48">
        <v>0</v>
      </c>
      <c r="L10" s="46" t="s">
        <v>75</v>
      </c>
      <c r="M10" s="49" t="str">
        <f t="shared" si="1"/>
        <v>&lt; 10</v>
      </c>
      <c r="N10" s="50" t="s">
        <v>12</v>
      </c>
      <c r="O10" s="50" t="s">
        <v>81</v>
      </c>
      <c r="P10" s="50"/>
      <c r="Q10" s="51"/>
    </row>
    <row r="11" spans="1:17" ht="16.5" customHeight="1">
      <c r="A11" s="55" t="s">
        <v>86</v>
      </c>
      <c r="B11" s="44">
        <v>45461</v>
      </c>
      <c r="C11" s="45">
        <v>0.4548611111111111</v>
      </c>
      <c r="D11" s="44">
        <v>45461</v>
      </c>
      <c r="E11" s="45">
        <v>0.60416666666666663</v>
      </c>
      <c r="F11" s="46">
        <v>41</v>
      </c>
      <c r="G11" s="44">
        <v>45462</v>
      </c>
      <c r="H11" s="45">
        <v>0.60416666666666663</v>
      </c>
      <c r="I11" s="47">
        <v>41</v>
      </c>
      <c r="J11" s="48">
        <v>0</v>
      </c>
      <c r="K11" s="48">
        <v>0</v>
      </c>
      <c r="L11" s="46" t="s">
        <v>75</v>
      </c>
      <c r="M11" s="49" t="str">
        <f t="shared" si="1"/>
        <v>&lt; 10</v>
      </c>
      <c r="N11" s="50" t="s">
        <v>12</v>
      </c>
      <c r="O11" s="50" t="s">
        <v>81</v>
      </c>
      <c r="P11" s="50"/>
      <c r="Q11" s="51"/>
    </row>
    <row r="12" spans="1:17" ht="15.75" customHeight="1">
      <c r="A12" s="55" t="s">
        <v>87</v>
      </c>
      <c r="B12" s="44">
        <v>45461</v>
      </c>
      <c r="C12" s="45">
        <v>0.48472222222222222</v>
      </c>
      <c r="D12" s="44">
        <v>45461</v>
      </c>
      <c r="E12" s="45">
        <v>0.59791666666666665</v>
      </c>
      <c r="F12" s="46">
        <v>41</v>
      </c>
      <c r="G12" s="44">
        <v>45462</v>
      </c>
      <c r="H12" s="45">
        <v>0.59791666666666665</v>
      </c>
      <c r="I12" s="47">
        <v>41</v>
      </c>
      <c r="J12" s="48">
        <v>0</v>
      </c>
      <c r="K12" s="48">
        <v>0</v>
      </c>
      <c r="L12" s="46" t="s">
        <v>75</v>
      </c>
      <c r="M12" s="49" t="str">
        <f t="shared" si="1"/>
        <v>&lt; 10</v>
      </c>
      <c r="N12" s="50" t="s">
        <v>12</v>
      </c>
      <c r="O12" s="50" t="s">
        <v>81</v>
      </c>
      <c r="P12" s="50"/>
      <c r="Q12" s="51"/>
    </row>
    <row r="13" spans="1:17" ht="15.75" customHeight="1">
      <c r="A13" s="55" t="s">
        <v>88</v>
      </c>
      <c r="B13" s="44">
        <v>45461</v>
      </c>
      <c r="C13" s="45">
        <v>0.50208333333333333</v>
      </c>
      <c r="D13" s="44">
        <v>45461</v>
      </c>
      <c r="E13" s="45">
        <v>0.58125000000000004</v>
      </c>
      <c r="F13" s="46">
        <v>41</v>
      </c>
      <c r="G13" s="44">
        <v>45462</v>
      </c>
      <c r="H13" s="45">
        <v>0.58125000000000004</v>
      </c>
      <c r="I13" s="47">
        <v>41</v>
      </c>
      <c r="J13" s="48">
        <v>0</v>
      </c>
      <c r="K13" s="48">
        <v>0</v>
      </c>
      <c r="L13" s="46" t="s">
        <v>75</v>
      </c>
      <c r="M13" s="49" t="str">
        <f t="shared" si="1"/>
        <v>&lt; 10</v>
      </c>
      <c r="N13" s="50" t="s">
        <v>12</v>
      </c>
      <c r="O13" s="50" t="s">
        <v>81</v>
      </c>
      <c r="P13" s="50"/>
      <c r="Q13" s="51"/>
    </row>
    <row r="14" spans="1:17" ht="15.75" customHeight="1">
      <c r="A14" s="55" t="s">
        <v>89</v>
      </c>
      <c r="B14" s="57">
        <v>45464</v>
      </c>
      <c r="C14" s="58">
        <v>0.32430555555555557</v>
      </c>
      <c r="D14" s="57">
        <v>45464</v>
      </c>
      <c r="E14" s="45">
        <v>0.50555555555555554</v>
      </c>
      <c r="F14" s="46">
        <v>41</v>
      </c>
      <c r="G14" s="44">
        <v>45465</v>
      </c>
      <c r="H14" s="45">
        <v>0.50555555555555554</v>
      </c>
      <c r="I14" s="47">
        <v>41</v>
      </c>
      <c r="J14" s="48">
        <v>0</v>
      </c>
      <c r="K14" s="48">
        <v>0</v>
      </c>
      <c r="L14" s="46" t="s">
        <v>75</v>
      </c>
      <c r="M14" s="49" t="str">
        <f t="shared" si="1"/>
        <v>&lt; 10</v>
      </c>
      <c r="N14" s="50" t="s">
        <v>12</v>
      </c>
      <c r="O14" s="50" t="s">
        <v>90</v>
      </c>
      <c r="P14" s="50"/>
      <c r="Q14" s="51"/>
    </row>
    <row r="15" spans="1:17" ht="15.75" customHeight="1">
      <c r="A15" s="55" t="s">
        <v>91</v>
      </c>
      <c r="B15" s="57">
        <v>45464</v>
      </c>
      <c r="C15" s="58">
        <v>0.3611111111111111</v>
      </c>
      <c r="D15" s="57">
        <v>45464</v>
      </c>
      <c r="E15" s="45">
        <v>0.50902777777777775</v>
      </c>
      <c r="F15" s="46">
        <v>41</v>
      </c>
      <c r="G15" s="44">
        <v>45465</v>
      </c>
      <c r="H15" s="45">
        <v>0.50902777777777775</v>
      </c>
      <c r="I15" s="47">
        <v>41</v>
      </c>
      <c r="J15" s="48">
        <v>0</v>
      </c>
      <c r="K15" s="48">
        <v>0</v>
      </c>
      <c r="L15" s="46" t="s">
        <v>75</v>
      </c>
      <c r="M15" s="49" t="str">
        <f t="shared" si="1"/>
        <v>&lt; 10</v>
      </c>
      <c r="N15" s="50" t="s">
        <v>12</v>
      </c>
      <c r="O15" s="50" t="s">
        <v>90</v>
      </c>
      <c r="P15" s="50"/>
      <c r="Q15" s="51"/>
    </row>
    <row r="16" spans="1:17" ht="15.75" customHeight="1">
      <c r="A16" s="55" t="s">
        <v>92</v>
      </c>
      <c r="B16" s="57">
        <v>45464</v>
      </c>
      <c r="C16" s="58">
        <v>0.375</v>
      </c>
      <c r="D16" s="57">
        <v>45464</v>
      </c>
      <c r="E16" s="45">
        <v>0.51249999999999996</v>
      </c>
      <c r="F16" s="46">
        <v>41</v>
      </c>
      <c r="G16" s="44">
        <v>45465</v>
      </c>
      <c r="H16" s="45">
        <v>0.51249999999999996</v>
      </c>
      <c r="I16" s="47">
        <v>41</v>
      </c>
      <c r="J16" s="48">
        <v>0</v>
      </c>
      <c r="K16" s="48">
        <v>0</v>
      </c>
      <c r="L16" s="46" t="s">
        <v>75</v>
      </c>
      <c r="M16" s="49" t="str">
        <f t="shared" si="1"/>
        <v>&lt; 10</v>
      </c>
      <c r="N16" s="50" t="s">
        <v>12</v>
      </c>
      <c r="O16" s="50" t="s">
        <v>90</v>
      </c>
      <c r="P16" s="50"/>
      <c r="Q16" s="51"/>
    </row>
    <row r="17" spans="1:31" ht="15.75" customHeight="1">
      <c r="A17" s="55" t="s">
        <v>93</v>
      </c>
      <c r="B17" s="57">
        <v>45464</v>
      </c>
      <c r="C17" s="59">
        <v>0.43333333333333335</v>
      </c>
      <c r="D17" s="57">
        <v>45464</v>
      </c>
      <c r="E17" s="45">
        <v>0.51458333333333328</v>
      </c>
      <c r="F17" s="46">
        <v>41</v>
      </c>
      <c r="G17" s="44">
        <v>45465</v>
      </c>
      <c r="H17" s="45">
        <v>0.51458333333333328</v>
      </c>
      <c r="I17" s="47">
        <v>41</v>
      </c>
      <c r="J17" s="48">
        <v>0</v>
      </c>
      <c r="K17" s="48">
        <v>0</v>
      </c>
      <c r="L17" s="46" t="s">
        <v>75</v>
      </c>
      <c r="M17" s="49" t="str">
        <f t="shared" si="1"/>
        <v>&lt; 10</v>
      </c>
      <c r="N17" s="50" t="s">
        <v>12</v>
      </c>
      <c r="O17" s="50" t="s">
        <v>90</v>
      </c>
      <c r="P17" s="50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</row>
    <row r="18" spans="1:31" ht="15.75" customHeight="1">
      <c r="A18" s="55" t="s">
        <v>94</v>
      </c>
      <c r="B18" s="57">
        <v>45464</v>
      </c>
      <c r="C18" s="58">
        <v>0.44861111111111113</v>
      </c>
      <c r="D18" s="57">
        <v>45464</v>
      </c>
      <c r="E18" s="45">
        <v>0.51875000000000004</v>
      </c>
      <c r="F18" s="46">
        <v>41</v>
      </c>
      <c r="G18" s="44">
        <v>45465</v>
      </c>
      <c r="H18" s="45">
        <v>0.51875000000000004</v>
      </c>
      <c r="I18" s="47">
        <v>41</v>
      </c>
      <c r="J18" s="48">
        <v>0</v>
      </c>
      <c r="K18" s="48">
        <v>0</v>
      </c>
      <c r="L18" s="46" t="s">
        <v>75</v>
      </c>
      <c r="M18" s="49" t="str">
        <f t="shared" si="1"/>
        <v>&lt; 10</v>
      </c>
      <c r="N18" s="50" t="s">
        <v>12</v>
      </c>
      <c r="O18" s="50" t="s">
        <v>90</v>
      </c>
      <c r="P18" s="50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</row>
    <row r="19" spans="1:31" ht="15.75" customHeight="1">
      <c r="A19" s="55" t="s">
        <v>95</v>
      </c>
      <c r="B19" s="44">
        <v>45468</v>
      </c>
      <c r="C19" s="45">
        <v>0.30555555555555558</v>
      </c>
      <c r="D19" s="44">
        <v>45468</v>
      </c>
      <c r="E19" s="45">
        <v>0.49305555555555558</v>
      </c>
      <c r="F19" s="46">
        <v>41</v>
      </c>
      <c r="G19" s="44">
        <v>45469</v>
      </c>
      <c r="H19" s="45">
        <v>0.49305555555555558</v>
      </c>
      <c r="I19" s="47">
        <v>41</v>
      </c>
      <c r="J19" s="48">
        <v>0</v>
      </c>
      <c r="K19" s="48">
        <v>0</v>
      </c>
      <c r="L19" s="46" t="s">
        <v>75</v>
      </c>
      <c r="M19" s="49" t="str">
        <f t="shared" si="1"/>
        <v>&lt; 10</v>
      </c>
      <c r="N19" s="50" t="s">
        <v>12</v>
      </c>
      <c r="O19" s="50" t="s">
        <v>90</v>
      </c>
      <c r="P19" s="50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</row>
    <row r="20" spans="1:31" ht="15.75" customHeight="1">
      <c r="A20" s="55" t="s">
        <v>96</v>
      </c>
      <c r="B20" s="44">
        <v>45468</v>
      </c>
      <c r="C20" s="45">
        <v>0.32083333333333336</v>
      </c>
      <c r="D20" s="44">
        <v>45468</v>
      </c>
      <c r="E20" s="45">
        <v>0.49722222222222223</v>
      </c>
      <c r="F20" s="46">
        <v>41</v>
      </c>
      <c r="G20" s="44">
        <v>45469</v>
      </c>
      <c r="H20" s="45">
        <v>0.49722222222222223</v>
      </c>
      <c r="I20" s="47">
        <v>41</v>
      </c>
      <c r="J20" s="48">
        <v>0</v>
      </c>
      <c r="K20" s="48">
        <v>0</v>
      </c>
      <c r="L20" s="46" t="s">
        <v>75</v>
      </c>
      <c r="M20" s="49" t="str">
        <f t="shared" si="1"/>
        <v>&lt; 10</v>
      </c>
      <c r="N20" s="50" t="s">
        <v>12</v>
      </c>
      <c r="O20" s="50" t="s">
        <v>90</v>
      </c>
      <c r="P20" s="50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</row>
    <row r="21" spans="1:31" ht="15.75" customHeight="1">
      <c r="A21" s="55" t="s">
        <v>97</v>
      </c>
      <c r="B21" s="44">
        <v>45468</v>
      </c>
      <c r="C21" s="45">
        <v>0.33541666666666664</v>
      </c>
      <c r="D21" s="44">
        <v>45468</v>
      </c>
      <c r="E21" s="45">
        <v>0.5</v>
      </c>
      <c r="F21" s="46">
        <v>41</v>
      </c>
      <c r="G21" s="44">
        <v>45469</v>
      </c>
      <c r="H21" s="45">
        <v>0.5</v>
      </c>
      <c r="I21" s="47">
        <v>41</v>
      </c>
      <c r="J21" s="48">
        <v>0</v>
      </c>
      <c r="K21" s="48">
        <v>0</v>
      </c>
      <c r="L21" s="46" t="s">
        <v>75</v>
      </c>
      <c r="M21" s="49" t="str">
        <f t="shared" si="1"/>
        <v>&lt; 10</v>
      </c>
      <c r="N21" s="50" t="s">
        <v>12</v>
      </c>
      <c r="O21" s="50" t="s">
        <v>90</v>
      </c>
      <c r="P21" s="50"/>
      <c r="Q21" s="51"/>
      <c r="R21" s="51"/>
      <c r="S21" s="51"/>
      <c r="T21" s="51"/>
      <c r="U21" s="51"/>
      <c r="V21" s="51"/>
      <c r="W21" s="51"/>
      <c r="X21" s="51"/>
      <c r="Y21" s="51"/>
      <c r="Z21" s="51"/>
      <c r="AA21" s="51"/>
      <c r="AB21" s="51"/>
      <c r="AC21" s="51"/>
      <c r="AD21" s="51"/>
      <c r="AE21" s="51"/>
    </row>
    <row r="22" spans="1:31" ht="15.75" customHeight="1">
      <c r="A22" s="55" t="s">
        <v>98</v>
      </c>
      <c r="B22" s="44">
        <v>45468</v>
      </c>
      <c r="C22" s="45">
        <v>0.3576388888888889</v>
      </c>
      <c r="D22" s="44">
        <v>45468</v>
      </c>
      <c r="E22" s="45">
        <v>0.50277777777777777</v>
      </c>
      <c r="F22" s="46">
        <v>41</v>
      </c>
      <c r="G22" s="44">
        <v>45469</v>
      </c>
      <c r="H22" s="45">
        <v>0.50277777777777777</v>
      </c>
      <c r="I22" s="47">
        <v>41</v>
      </c>
      <c r="J22" s="48">
        <v>0</v>
      </c>
      <c r="K22" s="48">
        <v>0</v>
      </c>
      <c r="L22" s="46" t="s">
        <v>75</v>
      </c>
      <c r="M22" s="49" t="str">
        <f t="shared" si="1"/>
        <v>&lt; 10</v>
      </c>
      <c r="N22" s="50" t="s">
        <v>12</v>
      </c>
      <c r="O22" s="50" t="s">
        <v>90</v>
      </c>
      <c r="P22" s="50"/>
      <c r="Q22" s="51"/>
      <c r="R22" s="51"/>
      <c r="S22" s="51"/>
      <c r="T22" s="51"/>
      <c r="U22" s="51"/>
      <c r="V22" s="51"/>
      <c r="W22" s="51"/>
      <c r="X22" s="51"/>
      <c r="Y22" s="51"/>
      <c r="Z22" s="51"/>
      <c r="AA22" s="51"/>
      <c r="AB22" s="51"/>
      <c r="AC22" s="51"/>
      <c r="AD22" s="51"/>
      <c r="AE22" s="51"/>
    </row>
    <row r="23" spans="1:31" ht="15.75" customHeight="1">
      <c r="A23" s="55" t="s">
        <v>99</v>
      </c>
      <c r="B23" s="44">
        <v>45468</v>
      </c>
      <c r="C23" s="60">
        <v>0.38333333333333336</v>
      </c>
      <c r="D23" s="44">
        <v>45468</v>
      </c>
      <c r="E23" s="45">
        <v>0.50624999999999998</v>
      </c>
      <c r="F23" s="46">
        <v>41</v>
      </c>
      <c r="G23" s="44">
        <v>45469</v>
      </c>
      <c r="H23" s="45">
        <v>0.50624999999999998</v>
      </c>
      <c r="I23" s="47">
        <v>41</v>
      </c>
      <c r="J23" s="48">
        <v>0</v>
      </c>
      <c r="K23" s="48">
        <v>0</v>
      </c>
      <c r="L23" s="46" t="s">
        <v>75</v>
      </c>
      <c r="M23" s="49" t="str">
        <f t="shared" si="1"/>
        <v>&lt; 10</v>
      </c>
      <c r="N23" s="50" t="s">
        <v>12</v>
      </c>
      <c r="O23" s="50" t="s">
        <v>90</v>
      </c>
      <c r="P23" s="50"/>
      <c r="Q23" s="51"/>
      <c r="R23" s="51"/>
      <c r="S23" s="51"/>
      <c r="T23" s="51"/>
      <c r="U23" s="51"/>
      <c r="V23" s="51"/>
      <c r="W23" s="51"/>
      <c r="X23" s="51"/>
      <c r="Y23" s="51"/>
      <c r="Z23" s="51"/>
      <c r="AA23" s="51"/>
      <c r="AB23" s="51"/>
      <c r="AC23" s="51"/>
      <c r="AD23" s="51"/>
      <c r="AE23" s="51"/>
    </row>
    <row r="24" spans="1:31" ht="15.75" customHeight="1">
      <c r="A24" s="55" t="s">
        <v>100</v>
      </c>
      <c r="B24" s="44">
        <v>45468</v>
      </c>
      <c r="C24" s="61">
        <v>0.4</v>
      </c>
      <c r="D24" s="44">
        <v>45468</v>
      </c>
      <c r="E24" s="45">
        <v>0.51041666666666663</v>
      </c>
      <c r="F24" s="46">
        <v>41</v>
      </c>
      <c r="G24" s="44">
        <v>45469</v>
      </c>
      <c r="H24" s="45">
        <v>0.51041666666666663</v>
      </c>
      <c r="I24" s="47">
        <v>41</v>
      </c>
      <c r="J24" s="48">
        <v>0</v>
      </c>
      <c r="K24" s="48">
        <v>0</v>
      </c>
      <c r="L24" s="46" t="s">
        <v>75</v>
      </c>
      <c r="M24" s="49" t="str">
        <f t="shared" si="1"/>
        <v>&lt; 10</v>
      </c>
      <c r="N24" s="50" t="s">
        <v>12</v>
      </c>
      <c r="O24" s="50" t="s">
        <v>90</v>
      </c>
      <c r="P24" s="50"/>
      <c r="Q24" s="51"/>
      <c r="R24" s="51"/>
      <c r="S24" s="51"/>
      <c r="T24" s="51"/>
      <c r="U24" s="51"/>
      <c r="V24" s="51"/>
      <c r="W24" s="51"/>
      <c r="X24" s="51"/>
      <c r="Y24" s="51"/>
      <c r="Z24" s="51"/>
      <c r="AA24" s="51"/>
      <c r="AB24" s="51"/>
      <c r="AC24" s="51"/>
      <c r="AD24" s="51"/>
      <c r="AE24" s="51"/>
    </row>
    <row r="25" spans="1:31" ht="15.75" customHeight="1">
      <c r="A25" s="55" t="s">
        <v>101</v>
      </c>
      <c r="B25" s="44">
        <v>45468</v>
      </c>
      <c r="C25" s="61">
        <v>0.41319444444444442</v>
      </c>
      <c r="D25" s="44">
        <v>45468</v>
      </c>
      <c r="E25" s="45">
        <v>0.51180555555555551</v>
      </c>
      <c r="F25" s="46">
        <v>41</v>
      </c>
      <c r="G25" s="44">
        <v>45469</v>
      </c>
      <c r="H25" s="45">
        <v>0.51180555555555551</v>
      </c>
      <c r="I25" s="47">
        <v>41</v>
      </c>
      <c r="J25" s="48">
        <v>0</v>
      </c>
      <c r="K25" s="48">
        <v>0</v>
      </c>
      <c r="L25" s="46" t="s">
        <v>75</v>
      </c>
      <c r="M25" s="49" t="str">
        <f t="shared" si="1"/>
        <v>&lt; 10</v>
      </c>
      <c r="N25" s="50" t="s">
        <v>12</v>
      </c>
      <c r="O25" s="50" t="s">
        <v>90</v>
      </c>
      <c r="P25" s="50"/>
      <c r="Q25" s="51"/>
      <c r="R25" s="51"/>
      <c r="S25" s="51"/>
      <c r="T25" s="51"/>
      <c r="U25" s="51"/>
      <c r="V25" s="51"/>
      <c r="W25" s="51"/>
      <c r="X25" s="51"/>
      <c r="Y25" s="51"/>
      <c r="Z25" s="51"/>
      <c r="AA25" s="51"/>
      <c r="AB25" s="51"/>
      <c r="AC25" s="51"/>
      <c r="AD25" s="51"/>
      <c r="AE25" s="51"/>
    </row>
    <row r="26" spans="1:31" ht="15.75" customHeight="1">
      <c r="A26" s="55" t="s">
        <v>102</v>
      </c>
      <c r="B26" s="44">
        <v>45468</v>
      </c>
      <c r="C26" s="45">
        <v>0.44444444444444442</v>
      </c>
      <c r="D26" s="8">
        <v>45471</v>
      </c>
      <c r="E26" s="62">
        <v>0.51458333333333328</v>
      </c>
      <c r="F26" s="46">
        <v>41</v>
      </c>
      <c r="G26" s="44">
        <v>45469</v>
      </c>
      <c r="H26" s="62">
        <v>0.51458333333333328</v>
      </c>
      <c r="I26" s="47">
        <v>41</v>
      </c>
      <c r="J26" s="48">
        <v>0</v>
      </c>
      <c r="K26" s="48">
        <v>0</v>
      </c>
      <c r="L26" s="46" t="s">
        <v>75</v>
      </c>
      <c r="M26" s="49" t="str">
        <f t="shared" si="1"/>
        <v>&lt; 10</v>
      </c>
      <c r="N26" s="50" t="s">
        <v>12</v>
      </c>
      <c r="O26" s="50" t="s">
        <v>90</v>
      </c>
      <c r="P26" s="50"/>
      <c r="Q26" s="51"/>
      <c r="R26" s="51"/>
      <c r="S26" s="51"/>
      <c r="T26" s="51"/>
      <c r="U26" s="51"/>
      <c r="V26" s="51"/>
      <c r="W26" s="51"/>
      <c r="X26" s="51"/>
      <c r="Y26" s="51"/>
      <c r="Z26" s="51"/>
      <c r="AA26" s="51"/>
      <c r="AB26" s="51"/>
      <c r="AC26" s="51"/>
      <c r="AD26" s="51"/>
      <c r="AE26" s="51"/>
    </row>
    <row r="27" spans="1:31" ht="15.75" customHeight="1">
      <c r="A27" s="55" t="s">
        <v>103</v>
      </c>
      <c r="B27" s="8">
        <v>45471</v>
      </c>
      <c r="C27" s="9">
        <v>0.28611111111111109</v>
      </c>
      <c r="D27" s="8">
        <v>45471</v>
      </c>
      <c r="E27" s="63">
        <v>0.46111111111111114</v>
      </c>
      <c r="F27" s="46">
        <v>41</v>
      </c>
      <c r="G27" s="44">
        <v>45472</v>
      </c>
      <c r="H27" s="63">
        <v>0.46111111111111114</v>
      </c>
      <c r="I27" s="47">
        <v>41</v>
      </c>
      <c r="J27" s="48">
        <v>0</v>
      </c>
      <c r="K27" s="48">
        <v>0</v>
      </c>
      <c r="L27" s="46" t="s">
        <v>75</v>
      </c>
      <c r="M27" s="49" t="str">
        <f t="shared" si="1"/>
        <v>&lt; 10</v>
      </c>
      <c r="N27" s="50" t="s">
        <v>12</v>
      </c>
      <c r="O27" s="50" t="s">
        <v>104</v>
      </c>
      <c r="P27" s="50"/>
      <c r="Q27" s="51"/>
      <c r="R27" s="51"/>
      <c r="S27" s="51"/>
      <c r="T27" s="51"/>
      <c r="U27" s="51"/>
      <c r="V27" s="51"/>
      <c r="W27" s="51"/>
      <c r="X27" s="51"/>
      <c r="Y27" s="51"/>
      <c r="Z27" s="51"/>
      <c r="AA27" s="51"/>
      <c r="AB27" s="51"/>
      <c r="AC27" s="51"/>
      <c r="AD27" s="51"/>
      <c r="AE27" s="51"/>
    </row>
    <row r="28" spans="1:31" ht="15.75" customHeight="1">
      <c r="A28" s="55" t="s">
        <v>105</v>
      </c>
      <c r="B28" s="8">
        <v>45471</v>
      </c>
      <c r="C28" s="64">
        <v>0.30763888888888891</v>
      </c>
      <c r="D28" s="8">
        <v>45471</v>
      </c>
      <c r="E28" s="63">
        <v>0.47499999999999998</v>
      </c>
      <c r="F28" s="46">
        <v>41</v>
      </c>
      <c r="G28" s="44">
        <v>45472</v>
      </c>
      <c r="H28" s="63">
        <v>0.47499999999999998</v>
      </c>
      <c r="I28" s="47">
        <v>41</v>
      </c>
      <c r="J28" s="48">
        <v>0</v>
      </c>
      <c r="K28" s="48">
        <v>0</v>
      </c>
      <c r="L28" s="46" t="s">
        <v>75</v>
      </c>
      <c r="M28" s="49" t="str">
        <f t="shared" si="1"/>
        <v>&lt; 10</v>
      </c>
      <c r="N28" s="50" t="s">
        <v>12</v>
      </c>
      <c r="O28" s="50" t="s">
        <v>104</v>
      </c>
      <c r="P28" s="50"/>
      <c r="Q28" s="51"/>
      <c r="R28" s="51"/>
      <c r="S28" s="51"/>
      <c r="T28" s="51"/>
      <c r="U28" s="51"/>
      <c r="V28" s="51"/>
      <c r="W28" s="51"/>
      <c r="X28" s="51"/>
      <c r="Y28" s="51"/>
      <c r="Z28" s="51"/>
      <c r="AA28" s="51"/>
      <c r="AB28" s="51"/>
      <c r="AC28" s="51"/>
      <c r="AD28" s="51"/>
      <c r="AE28" s="51"/>
    </row>
    <row r="29" spans="1:31" ht="15.75" customHeight="1">
      <c r="A29" s="55" t="s">
        <v>106</v>
      </c>
      <c r="B29" s="8">
        <v>45471</v>
      </c>
      <c r="C29" s="58">
        <v>0.35416666666666669</v>
      </c>
      <c r="D29" s="8">
        <v>45471</v>
      </c>
      <c r="E29" s="63">
        <v>0.46388888888888891</v>
      </c>
      <c r="F29" s="46">
        <v>41</v>
      </c>
      <c r="G29" s="44">
        <v>45472</v>
      </c>
      <c r="H29" s="63">
        <v>0.46388888888888891</v>
      </c>
      <c r="I29" s="47">
        <v>41</v>
      </c>
      <c r="J29" s="48">
        <v>0</v>
      </c>
      <c r="K29" s="48">
        <v>0</v>
      </c>
      <c r="L29" s="46" t="s">
        <v>75</v>
      </c>
      <c r="M29" s="49" t="str">
        <f t="shared" si="1"/>
        <v>&lt; 10</v>
      </c>
      <c r="N29" s="50" t="s">
        <v>12</v>
      </c>
      <c r="O29" s="50" t="s">
        <v>104</v>
      </c>
      <c r="P29" s="50"/>
      <c r="Q29" s="51"/>
      <c r="R29" s="51"/>
      <c r="S29" s="51"/>
      <c r="T29" s="51"/>
      <c r="U29" s="51"/>
      <c r="V29" s="51"/>
      <c r="W29" s="51"/>
      <c r="X29" s="51"/>
      <c r="Y29" s="51"/>
      <c r="Z29" s="51"/>
      <c r="AA29" s="51"/>
      <c r="AB29" s="51"/>
      <c r="AC29" s="51"/>
      <c r="AD29" s="51"/>
      <c r="AE29" s="51"/>
    </row>
    <row r="30" spans="1:31" ht="15.75" customHeight="1">
      <c r="A30" s="55" t="s">
        <v>107</v>
      </c>
      <c r="B30" s="8">
        <v>45471</v>
      </c>
      <c r="C30" s="65">
        <v>0.38124999999999998</v>
      </c>
      <c r="D30" s="8">
        <v>45471</v>
      </c>
      <c r="E30" s="66">
        <v>0.47638888888888886</v>
      </c>
      <c r="F30" s="46">
        <v>41</v>
      </c>
      <c r="G30" s="44">
        <v>45472</v>
      </c>
      <c r="H30" s="66">
        <v>0.47638888888888886</v>
      </c>
      <c r="I30" s="47">
        <v>41</v>
      </c>
      <c r="J30" s="48">
        <v>0</v>
      </c>
      <c r="K30" s="48">
        <v>0</v>
      </c>
      <c r="L30" s="46" t="s">
        <v>75</v>
      </c>
      <c r="M30" s="49" t="str">
        <f t="shared" si="1"/>
        <v>&lt; 10</v>
      </c>
      <c r="N30" s="50" t="s">
        <v>12</v>
      </c>
      <c r="O30" s="50" t="s">
        <v>104</v>
      </c>
      <c r="P30" s="50"/>
      <c r="Q30" s="67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</row>
    <row r="31" spans="1:31" ht="15.75" customHeight="1">
      <c r="A31" s="55" t="s">
        <v>108</v>
      </c>
      <c r="B31" s="8">
        <v>45471</v>
      </c>
      <c r="C31" s="65">
        <v>0.40833333333333333</v>
      </c>
      <c r="D31" s="8">
        <v>45471</v>
      </c>
      <c r="E31" s="68">
        <v>0.47916666666666669</v>
      </c>
      <c r="F31" s="46">
        <v>41</v>
      </c>
      <c r="G31" s="44">
        <v>45472</v>
      </c>
      <c r="H31" s="68">
        <v>0.47916666666666669</v>
      </c>
      <c r="I31" s="47">
        <v>41</v>
      </c>
      <c r="J31" s="48">
        <v>0</v>
      </c>
      <c r="K31" s="48">
        <v>0</v>
      </c>
      <c r="L31" s="46" t="s">
        <v>75</v>
      </c>
      <c r="M31" s="49" t="str">
        <f t="shared" si="1"/>
        <v>&lt; 10</v>
      </c>
      <c r="N31" s="50" t="s">
        <v>12</v>
      </c>
      <c r="O31" s="50" t="s">
        <v>104</v>
      </c>
      <c r="P31" s="50"/>
      <c r="Q31" s="67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</row>
    <row r="32" spans="1:31" ht="15.75" customHeight="1">
      <c r="A32" s="54" t="s">
        <v>109</v>
      </c>
      <c r="B32" s="19">
        <v>45483</v>
      </c>
      <c r="C32" s="69">
        <v>0.31944444444444442</v>
      </c>
      <c r="D32" s="19">
        <v>45483</v>
      </c>
      <c r="E32" s="68">
        <v>0.62152777777777779</v>
      </c>
      <c r="F32" s="46">
        <v>41</v>
      </c>
      <c r="G32" s="44">
        <v>45484</v>
      </c>
      <c r="H32" s="68">
        <v>0.62152777777777779</v>
      </c>
      <c r="I32" s="47">
        <v>41</v>
      </c>
      <c r="J32" s="48">
        <v>0</v>
      </c>
      <c r="K32" s="48">
        <v>0</v>
      </c>
      <c r="L32" s="46" t="s">
        <v>75</v>
      </c>
      <c r="M32" s="49" t="str">
        <f t="shared" si="1"/>
        <v>&lt; 10</v>
      </c>
      <c r="N32" s="50" t="s">
        <v>12</v>
      </c>
      <c r="O32" s="50" t="s">
        <v>110</v>
      </c>
      <c r="P32" s="50"/>
      <c r="Q32" s="67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</row>
    <row r="33" spans="1:31" ht="15.75" customHeight="1">
      <c r="A33" s="55" t="s">
        <v>111</v>
      </c>
      <c r="B33" s="19">
        <v>45483</v>
      </c>
      <c r="C33" s="69">
        <v>0.36319444444444443</v>
      </c>
      <c r="D33" s="19">
        <v>45483</v>
      </c>
      <c r="E33" s="68">
        <v>0.62847222222222221</v>
      </c>
      <c r="F33" s="46">
        <v>41</v>
      </c>
      <c r="G33" s="44">
        <v>45484</v>
      </c>
      <c r="H33" s="68">
        <v>0.62847222222222221</v>
      </c>
      <c r="I33" s="47">
        <v>41</v>
      </c>
      <c r="J33" s="48">
        <v>0</v>
      </c>
      <c r="K33" s="48">
        <v>0</v>
      </c>
      <c r="L33" s="46" t="s">
        <v>75</v>
      </c>
      <c r="M33" s="49" t="str">
        <f t="shared" si="1"/>
        <v>&lt; 10</v>
      </c>
      <c r="N33" s="50" t="s">
        <v>12</v>
      </c>
      <c r="O33" s="50" t="s">
        <v>110</v>
      </c>
      <c r="P33" s="50"/>
      <c r="Q33" s="70"/>
      <c r="R33" s="71"/>
      <c r="S33" s="71"/>
      <c r="T33" s="71"/>
      <c r="U33" s="71"/>
      <c r="V33" s="71"/>
      <c r="W33" s="71"/>
      <c r="X33" s="71"/>
      <c r="Y33" s="71"/>
      <c r="Z33" s="71"/>
      <c r="AA33" s="71"/>
      <c r="AB33" s="71"/>
      <c r="AC33" s="71"/>
      <c r="AD33" s="71"/>
      <c r="AE33" s="71"/>
    </row>
    <row r="34" spans="1:31" ht="15.75" customHeight="1">
      <c r="A34" s="55" t="s">
        <v>112</v>
      </c>
      <c r="B34" s="19">
        <v>45483</v>
      </c>
      <c r="C34" s="69">
        <v>0.49722222222222223</v>
      </c>
      <c r="D34" s="19">
        <v>45483</v>
      </c>
      <c r="E34" s="68">
        <v>0.63749999999999996</v>
      </c>
      <c r="F34" s="46">
        <v>41</v>
      </c>
      <c r="G34" s="44">
        <v>45484</v>
      </c>
      <c r="H34" s="68">
        <v>0.63749999999999996</v>
      </c>
      <c r="I34" s="47">
        <v>41</v>
      </c>
      <c r="J34" s="48">
        <v>0</v>
      </c>
      <c r="K34" s="48">
        <v>0</v>
      </c>
      <c r="L34" s="46" t="s">
        <v>75</v>
      </c>
      <c r="M34" s="49" t="str">
        <f t="shared" si="1"/>
        <v>&lt; 10</v>
      </c>
      <c r="N34" s="50" t="s">
        <v>12</v>
      </c>
      <c r="O34" s="50" t="s">
        <v>110</v>
      </c>
      <c r="P34" s="407" t="s">
        <v>113</v>
      </c>
      <c r="Q34" s="70"/>
      <c r="R34" s="71"/>
      <c r="S34" s="71"/>
      <c r="T34" s="71"/>
      <c r="U34" s="71"/>
      <c r="V34" s="71"/>
      <c r="W34" s="71"/>
      <c r="X34" s="71"/>
      <c r="Y34" s="71"/>
      <c r="Z34" s="71"/>
      <c r="AA34" s="71"/>
      <c r="AB34" s="71"/>
      <c r="AC34" s="71"/>
      <c r="AD34" s="71"/>
      <c r="AE34" s="71"/>
    </row>
    <row r="35" spans="1:31" ht="15.75" customHeight="1">
      <c r="A35" s="55" t="s">
        <v>114</v>
      </c>
      <c r="B35" s="19">
        <v>45483</v>
      </c>
      <c r="C35" s="69">
        <v>0.57986111111111116</v>
      </c>
      <c r="D35" s="19">
        <v>45483</v>
      </c>
      <c r="E35" s="68">
        <v>0.63958333333333328</v>
      </c>
      <c r="F35" s="46">
        <v>41</v>
      </c>
      <c r="G35" s="44">
        <v>45484</v>
      </c>
      <c r="H35" s="68">
        <v>0.63958333333333328</v>
      </c>
      <c r="I35" s="47">
        <v>41</v>
      </c>
      <c r="J35" s="48">
        <v>0</v>
      </c>
      <c r="K35" s="48">
        <v>0</v>
      </c>
      <c r="L35" s="46" t="s">
        <v>75</v>
      </c>
      <c r="M35" s="49" t="str">
        <f t="shared" si="1"/>
        <v>&lt; 10</v>
      </c>
      <c r="N35" s="50" t="s">
        <v>12</v>
      </c>
      <c r="O35" s="50" t="s">
        <v>110</v>
      </c>
      <c r="P35" s="405"/>
      <c r="Q35" s="70"/>
      <c r="R35" s="71"/>
      <c r="S35" s="71"/>
      <c r="T35" s="71"/>
      <c r="U35" s="71"/>
      <c r="V35" s="71"/>
      <c r="W35" s="71"/>
      <c r="X35" s="71"/>
      <c r="Y35" s="71"/>
      <c r="Z35" s="71"/>
      <c r="AA35" s="71"/>
      <c r="AB35" s="71"/>
      <c r="AC35" s="71"/>
      <c r="AD35" s="71"/>
      <c r="AE35" s="71"/>
    </row>
    <row r="36" spans="1:31" ht="15.75" customHeight="1">
      <c r="A36" s="55" t="s">
        <v>115</v>
      </c>
      <c r="B36" s="44">
        <v>45484</v>
      </c>
      <c r="C36" s="69">
        <v>0.30902777777777779</v>
      </c>
      <c r="D36" s="44">
        <v>45484</v>
      </c>
      <c r="E36" s="68">
        <v>0.54305555555555551</v>
      </c>
      <c r="F36" s="46">
        <v>41</v>
      </c>
      <c r="G36" s="44">
        <v>45485</v>
      </c>
      <c r="H36" s="68">
        <v>0.54305555555555551</v>
      </c>
      <c r="I36" s="47">
        <v>41</v>
      </c>
      <c r="J36" s="48">
        <v>0</v>
      </c>
      <c r="K36" s="48">
        <v>0</v>
      </c>
      <c r="L36" s="46" t="s">
        <v>75</v>
      </c>
      <c r="M36" s="49" t="str">
        <f t="shared" si="1"/>
        <v>&lt; 10</v>
      </c>
      <c r="N36" s="50" t="s">
        <v>12</v>
      </c>
      <c r="O36" s="50" t="s">
        <v>116</v>
      </c>
      <c r="P36" s="405"/>
      <c r="Q36" s="70"/>
      <c r="R36" s="71"/>
      <c r="S36" s="71"/>
      <c r="T36" s="71"/>
      <c r="U36" s="71"/>
      <c r="V36" s="71"/>
      <c r="W36" s="71"/>
      <c r="X36" s="71"/>
      <c r="Y36" s="71"/>
      <c r="Z36" s="71"/>
      <c r="AA36" s="71"/>
      <c r="AB36" s="71"/>
      <c r="AC36" s="71"/>
      <c r="AD36" s="71"/>
      <c r="AE36" s="71"/>
    </row>
    <row r="37" spans="1:31" ht="15.75" customHeight="1">
      <c r="A37" s="55" t="s">
        <v>117</v>
      </c>
      <c r="B37" s="44">
        <v>45484</v>
      </c>
      <c r="C37" s="69">
        <v>0.33541666666666664</v>
      </c>
      <c r="D37" s="44">
        <v>45484</v>
      </c>
      <c r="E37" s="68">
        <v>0.54513888888888884</v>
      </c>
      <c r="F37" s="46">
        <v>41</v>
      </c>
      <c r="G37" s="44">
        <v>45485</v>
      </c>
      <c r="H37" s="68">
        <v>0.54513888888888884</v>
      </c>
      <c r="I37" s="47">
        <v>41</v>
      </c>
      <c r="J37" s="48">
        <v>0</v>
      </c>
      <c r="K37" s="48">
        <v>0</v>
      </c>
      <c r="L37" s="46" t="s">
        <v>75</v>
      </c>
      <c r="M37" s="49" t="str">
        <f t="shared" si="1"/>
        <v>&lt; 10</v>
      </c>
      <c r="N37" s="50" t="s">
        <v>12</v>
      </c>
      <c r="O37" s="50" t="s">
        <v>116</v>
      </c>
      <c r="P37" s="405"/>
      <c r="Q37" s="70"/>
      <c r="R37" s="71"/>
      <c r="S37" s="71"/>
      <c r="T37" s="71"/>
      <c r="U37" s="71"/>
      <c r="V37" s="71"/>
      <c r="W37" s="71"/>
      <c r="X37" s="71"/>
      <c r="Y37" s="71"/>
      <c r="Z37" s="71"/>
      <c r="AA37" s="71"/>
      <c r="AB37" s="71"/>
      <c r="AC37" s="71"/>
      <c r="AD37" s="71"/>
      <c r="AE37" s="71"/>
    </row>
    <row r="38" spans="1:31" ht="15.75" customHeight="1">
      <c r="A38" s="55" t="s">
        <v>118</v>
      </c>
      <c r="B38" s="44">
        <v>45484</v>
      </c>
      <c r="C38" s="69">
        <v>0.35694444444444445</v>
      </c>
      <c r="D38" s="44">
        <v>45484</v>
      </c>
      <c r="E38" s="68">
        <v>0.55138888888888893</v>
      </c>
      <c r="F38" s="46">
        <v>41</v>
      </c>
      <c r="G38" s="44">
        <v>45485</v>
      </c>
      <c r="H38" s="68">
        <v>0.55138888888888893</v>
      </c>
      <c r="I38" s="47">
        <v>41</v>
      </c>
      <c r="J38" s="48">
        <v>0</v>
      </c>
      <c r="K38" s="48">
        <v>0</v>
      </c>
      <c r="L38" s="46" t="s">
        <v>75</v>
      </c>
      <c r="M38" s="49" t="str">
        <f t="shared" si="1"/>
        <v>&lt; 10</v>
      </c>
      <c r="N38" s="50" t="s">
        <v>12</v>
      </c>
      <c r="O38" s="50" t="s">
        <v>116</v>
      </c>
      <c r="P38" s="405"/>
      <c r="Q38" s="70"/>
      <c r="R38" s="71"/>
      <c r="S38" s="71"/>
      <c r="T38" s="71"/>
      <c r="U38" s="71"/>
      <c r="V38" s="71"/>
      <c r="W38" s="71"/>
      <c r="X38" s="71"/>
      <c r="Y38" s="71"/>
      <c r="Z38" s="71"/>
      <c r="AA38" s="71"/>
      <c r="AB38" s="71"/>
      <c r="AC38" s="71"/>
      <c r="AD38" s="71"/>
      <c r="AE38" s="71"/>
    </row>
    <row r="39" spans="1:31" ht="15.75" customHeight="1">
      <c r="A39" s="72" t="s">
        <v>119</v>
      </c>
      <c r="B39" s="44">
        <v>45484</v>
      </c>
      <c r="C39" s="69">
        <v>0.40277777777777779</v>
      </c>
      <c r="D39" s="44">
        <v>45484</v>
      </c>
      <c r="E39" s="68">
        <v>0.5541666666666667</v>
      </c>
      <c r="F39" s="46">
        <v>41</v>
      </c>
      <c r="G39" s="44">
        <v>45485</v>
      </c>
      <c r="H39" s="68">
        <v>0.5541666666666667</v>
      </c>
      <c r="I39" s="47">
        <v>41</v>
      </c>
      <c r="J39" s="48">
        <v>0</v>
      </c>
      <c r="K39" s="48">
        <v>0</v>
      </c>
      <c r="L39" s="46" t="s">
        <v>75</v>
      </c>
      <c r="M39" s="49" t="str">
        <f t="shared" si="1"/>
        <v>&lt; 10</v>
      </c>
      <c r="N39" s="50" t="s">
        <v>12</v>
      </c>
      <c r="O39" s="50" t="s">
        <v>116</v>
      </c>
      <c r="P39" s="405"/>
      <c r="Q39" s="70"/>
      <c r="R39" s="71"/>
      <c r="S39" s="71"/>
      <c r="T39" s="71"/>
      <c r="U39" s="71"/>
      <c r="V39" s="71"/>
      <c r="W39" s="71"/>
      <c r="X39" s="71"/>
      <c r="Y39" s="71"/>
      <c r="Z39" s="71"/>
      <c r="AA39" s="71"/>
      <c r="AB39" s="71"/>
      <c r="AC39" s="71"/>
      <c r="AD39" s="71"/>
      <c r="AE39" s="71"/>
    </row>
    <row r="40" spans="1:31" ht="15.75" customHeight="1">
      <c r="A40" s="55" t="s">
        <v>120</v>
      </c>
      <c r="B40" s="44">
        <v>45484</v>
      </c>
      <c r="C40" s="69">
        <v>0.43055555555555558</v>
      </c>
      <c r="D40" s="44">
        <v>45484</v>
      </c>
      <c r="E40" s="45">
        <v>0.56458333333333333</v>
      </c>
      <c r="F40" s="46">
        <v>41</v>
      </c>
      <c r="G40" s="44">
        <v>45485</v>
      </c>
      <c r="H40" s="45">
        <v>0.56458333333333333</v>
      </c>
      <c r="I40" s="47">
        <v>41</v>
      </c>
      <c r="J40" s="48">
        <v>0</v>
      </c>
      <c r="K40" s="48">
        <v>0</v>
      </c>
      <c r="L40" s="46" t="s">
        <v>75</v>
      </c>
      <c r="M40" s="49" t="str">
        <f t="shared" si="1"/>
        <v>&lt; 10</v>
      </c>
      <c r="N40" s="50" t="s">
        <v>12</v>
      </c>
      <c r="O40" s="50" t="s">
        <v>116</v>
      </c>
      <c r="P40" s="405"/>
      <c r="Q40" s="70"/>
      <c r="R40" s="71"/>
      <c r="S40" s="71"/>
      <c r="T40" s="71"/>
      <c r="U40" s="71"/>
      <c r="V40" s="71"/>
      <c r="W40" s="71"/>
      <c r="X40" s="71"/>
      <c r="Y40" s="71"/>
      <c r="Z40" s="71"/>
      <c r="AA40" s="71"/>
      <c r="AB40" s="71"/>
      <c r="AC40" s="71"/>
      <c r="AD40" s="71"/>
      <c r="AE40" s="71"/>
    </row>
    <row r="41" spans="1:31" ht="15.75" customHeight="1">
      <c r="A41" s="55" t="s">
        <v>121</v>
      </c>
      <c r="B41" s="44">
        <v>45484</v>
      </c>
      <c r="C41" s="69">
        <v>0.4597222222222222</v>
      </c>
      <c r="D41" s="44">
        <v>45484</v>
      </c>
      <c r="E41" s="45">
        <v>0.56666666666666665</v>
      </c>
      <c r="F41" s="46">
        <v>41</v>
      </c>
      <c r="G41" s="44">
        <v>45485</v>
      </c>
      <c r="H41" s="45">
        <v>0.56666666666666665</v>
      </c>
      <c r="I41" s="47">
        <v>41</v>
      </c>
      <c r="J41" s="48">
        <v>0</v>
      </c>
      <c r="K41" s="48">
        <v>0</v>
      </c>
      <c r="L41" s="46" t="s">
        <v>75</v>
      </c>
      <c r="M41" s="49" t="str">
        <f t="shared" si="1"/>
        <v>&lt; 10</v>
      </c>
      <c r="N41" s="50" t="s">
        <v>12</v>
      </c>
      <c r="O41" s="50" t="s">
        <v>116</v>
      </c>
      <c r="P41" s="405"/>
      <c r="Q41" s="70"/>
      <c r="R41" s="71"/>
      <c r="S41" s="71"/>
      <c r="T41" s="71"/>
      <c r="U41" s="71"/>
      <c r="V41" s="71"/>
      <c r="W41" s="71"/>
      <c r="X41" s="71"/>
      <c r="Y41" s="71"/>
      <c r="Z41" s="71"/>
      <c r="AA41" s="71"/>
      <c r="AB41" s="71"/>
      <c r="AC41" s="71"/>
      <c r="AD41" s="71"/>
      <c r="AE41" s="71"/>
    </row>
    <row r="42" spans="1:31" ht="15.75" customHeight="1">
      <c r="A42" s="55" t="s">
        <v>122</v>
      </c>
      <c r="B42" s="73">
        <v>45489</v>
      </c>
      <c r="C42" s="45">
        <v>0.35347222222222224</v>
      </c>
      <c r="D42" s="73">
        <v>45489</v>
      </c>
      <c r="E42" s="74">
        <v>0.55972222222222223</v>
      </c>
      <c r="F42" s="46">
        <v>41</v>
      </c>
      <c r="G42" s="75">
        <v>45490</v>
      </c>
      <c r="H42" s="74">
        <v>0.55972222222222223</v>
      </c>
      <c r="I42" s="47">
        <v>41</v>
      </c>
      <c r="J42" s="48">
        <v>8</v>
      </c>
      <c r="K42" s="48">
        <v>0</v>
      </c>
      <c r="L42" s="46">
        <v>8.6</v>
      </c>
      <c r="M42" s="49">
        <f t="shared" ref="M42:M46" si="2">L42*10</f>
        <v>86</v>
      </c>
      <c r="N42" s="50" t="s">
        <v>12</v>
      </c>
      <c r="O42" s="76" t="s">
        <v>13</v>
      </c>
      <c r="P42" s="405"/>
      <c r="Q42" s="70"/>
      <c r="R42" s="71"/>
      <c r="S42" s="71"/>
      <c r="T42" s="71"/>
      <c r="U42" s="71"/>
      <c r="V42" s="71"/>
      <c r="W42" s="71"/>
      <c r="X42" s="71"/>
      <c r="Y42" s="71"/>
      <c r="Z42" s="71"/>
      <c r="AA42" s="71"/>
      <c r="AB42" s="71"/>
      <c r="AC42" s="71"/>
      <c r="AD42" s="71"/>
      <c r="AE42" s="71"/>
    </row>
    <row r="43" spans="1:31" ht="15.75" customHeight="1">
      <c r="A43" s="55" t="s">
        <v>123</v>
      </c>
      <c r="B43" s="73">
        <v>45489</v>
      </c>
      <c r="C43" s="45">
        <v>0.38472222222222224</v>
      </c>
      <c r="D43" s="73">
        <v>45489</v>
      </c>
      <c r="E43" s="45">
        <v>0.59513888888888888</v>
      </c>
      <c r="F43" s="46">
        <v>41</v>
      </c>
      <c r="G43" s="75">
        <v>45490</v>
      </c>
      <c r="H43" s="45">
        <v>0.59513888888888888</v>
      </c>
      <c r="I43" s="47">
        <v>41</v>
      </c>
      <c r="J43" s="48">
        <v>9</v>
      </c>
      <c r="K43" s="48">
        <v>1</v>
      </c>
      <c r="L43" s="46">
        <v>9.8000000000000007</v>
      </c>
      <c r="M43" s="49">
        <f t="shared" si="2"/>
        <v>98</v>
      </c>
      <c r="N43" s="50" t="s">
        <v>12</v>
      </c>
      <c r="O43" s="76" t="s">
        <v>13</v>
      </c>
      <c r="P43" s="405"/>
      <c r="Q43" s="70"/>
      <c r="R43" s="71"/>
      <c r="S43" s="71"/>
      <c r="T43" s="71"/>
      <c r="U43" s="71"/>
      <c r="V43" s="71"/>
      <c r="W43" s="71"/>
      <c r="X43" s="71"/>
      <c r="Y43" s="71"/>
      <c r="Z43" s="71"/>
      <c r="AA43" s="71"/>
      <c r="AB43" s="71"/>
      <c r="AC43" s="71"/>
      <c r="AD43" s="71"/>
      <c r="AE43" s="71"/>
    </row>
    <row r="44" spans="1:31" ht="15.75" customHeight="1">
      <c r="A44" s="55" t="s">
        <v>124</v>
      </c>
      <c r="B44" s="73">
        <v>45489</v>
      </c>
      <c r="C44" s="45">
        <v>0.42430555555555555</v>
      </c>
      <c r="D44" s="73">
        <v>45489</v>
      </c>
      <c r="E44" s="45">
        <v>0.59930555555555554</v>
      </c>
      <c r="F44" s="46">
        <v>41</v>
      </c>
      <c r="G44" s="75">
        <v>45490</v>
      </c>
      <c r="H44" s="45">
        <v>0.59930555555555554</v>
      </c>
      <c r="I44" s="47">
        <v>41</v>
      </c>
      <c r="J44" s="48">
        <v>3</v>
      </c>
      <c r="K44" s="48">
        <v>0</v>
      </c>
      <c r="L44" s="46">
        <v>3.1</v>
      </c>
      <c r="M44" s="49">
        <f t="shared" si="2"/>
        <v>31</v>
      </c>
      <c r="N44" s="50" t="s">
        <v>12</v>
      </c>
      <c r="O44" s="76" t="s">
        <v>13</v>
      </c>
      <c r="P44" s="405"/>
      <c r="Q44" s="70"/>
      <c r="R44" s="71"/>
      <c r="S44" s="71"/>
      <c r="T44" s="71"/>
      <c r="U44" s="71"/>
      <c r="V44" s="71"/>
      <c r="W44" s="71"/>
      <c r="X44" s="71"/>
      <c r="Y44" s="71"/>
      <c r="Z44" s="71"/>
      <c r="AA44" s="71"/>
      <c r="AB44" s="71"/>
      <c r="AC44" s="71"/>
      <c r="AD44" s="71"/>
      <c r="AE44" s="71"/>
    </row>
    <row r="45" spans="1:31" ht="15.75" customHeight="1">
      <c r="A45" s="55" t="s">
        <v>125</v>
      </c>
      <c r="B45" s="73">
        <v>45489</v>
      </c>
      <c r="C45" s="45">
        <v>0.45069444444444445</v>
      </c>
      <c r="D45" s="73">
        <v>45489</v>
      </c>
      <c r="E45" s="45">
        <v>0.60555555555555551</v>
      </c>
      <c r="F45" s="46">
        <v>41</v>
      </c>
      <c r="G45" s="75">
        <v>45490</v>
      </c>
      <c r="H45" s="45">
        <v>0.60555555555555551</v>
      </c>
      <c r="I45" s="47">
        <v>41</v>
      </c>
      <c r="J45" s="48">
        <v>5</v>
      </c>
      <c r="K45" s="48">
        <v>2</v>
      </c>
      <c r="L45" s="46">
        <v>7.3</v>
      </c>
      <c r="M45" s="49">
        <f t="shared" si="2"/>
        <v>73</v>
      </c>
      <c r="N45" s="50" t="s">
        <v>12</v>
      </c>
      <c r="O45" s="76" t="s">
        <v>13</v>
      </c>
      <c r="P45" s="405"/>
      <c r="Q45" s="51"/>
    </row>
    <row r="46" spans="1:31" ht="15.75" customHeight="1">
      <c r="A46" s="77" t="s">
        <v>126</v>
      </c>
      <c r="B46" s="73">
        <v>45489</v>
      </c>
      <c r="C46" s="69">
        <v>0.47986111111111113</v>
      </c>
      <c r="D46" s="73">
        <v>45489</v>
      </c>
      <c r="E46" s="45">
        <v>0.6069444444444444</v>
      </c>
      <c r="F46" s="46">
        <v>41</v>
      </c>
      <c r="G46" s="75">
        <v>45490</v>
      </c>
      <c r="H46" s="45">
        <v>0.6069444444444444</v>
      </c>
      <c r="I46" s="47">
        <v>41</v>
      </c>
      <c r="J46" s="48">
        <v>1</v>
      </c>
      <c r="K46" s="48">
        <v>0</v>
      </c>
      <c r="L46" s="46">
        <v>1</v>
      </c>
      <c r="M46" s="49">
        <f t="shared" si="2"/>
        <v>10</v>
      </c>
      <c r="N46" s="50" t="s">
        <v>12</v>
      </c>
      <c r="O46" s="76" t="s">
        <v>13</v>
      </c>
      <c r="P46" s="405"/>
      <c r="Q46" s="51"/>
    </row>
    <row r="47" spans="1:31" ht="15.75" customHeight="1">
      <c r="A47" s="77" t="s">
        <v>127</v>
      </c>
      <c r="B47" s="73">
        <v>45489</v>
      </c>
      <c r="C47" s="69">
        <v>0.49375000000000002</v>
      </c>
      <c r="D47" s="73">
        <v>45489</v>
      </c>
      <c r="E47" s="45">
        <v>0.60833333333333328</v>
      </c>
      <c r="F47" s="46">
        <v>41</v>
      </c>
      <c r="G47" s="75">
        <v>45490</v>
      </c>
      <c r="H47" s="45">
        <v>0.60833333333333328</v>
      </c>
      <c r="I47" s="47">
        <v>41</v>
      </c>
      <c r="J47" s="48">
        <v>0</v>
      </c>
      <c r="K47" s="48">
        <v>0</v>
      </c>
      <c r="L47" s="46" t="s">
        <v>75</v>
      </c>
      <c r="M47" s="49" t="str">
        <f>IF(L47="&lt; 1","&lt; 10",IF(L47="&gt; 2419.6","&gt; 24196",L47*10))</f>
        <v>&lt; 10</v>
      </c>
      <c r="N47" s="50" t="s">
        <v>12</v>
      </c>
      <c r="O47" s="76" t="s">
        <v>13</v>
      </c>
      <c r="P47" s="405"/>
      <c r="Q47" s="51"/>
    </row>
    <row r="48" spans="1:31" ht="15.75" customHeight="1">
      <c r="A48" s="77" t="s">
        <v>128</v>
      </c>
      <c r="B48" s="73">
        <v>45489</v>
      </c>
      <c r="C48" s="69">
        <v>0.50763888888888886</v>
      </c>
      <c r="D48" s="73">
        <v>45489</v>
      </c>
      <c r="E48" s="45">
        <v>0.60972222222222228</v>
      </c>
      <c r="F48" s="46">
        <v>41</v>
      </c>
      <c r="G48" s="75">
        <v>45490</v>
      </c>
      <c r="H48" s="45">
        <v>0.60972222222222228</v>
      </c>
      <c r="I48" s="47">
        <v>41</v>
      </c>
      <c r="J48" s="48">
        <v>5</v>
      </c>
      <c r="K48" s="48">
        <v>0</v>
      </c>
      <c r="L48" s="46">
        <v>5.2</v>
      </c>
      <c r="M48" s="49">
        <f t="shared" ref="M48:M51" si="3">L48*10</f>
        <v>52</v>
      </c>
      <c r="N48" s="50" t="s">
        <v>12</v>
      </c>
      <c r="O48" s="76" t="s">
        <v>13</v>
      </c>
      <c r="P48" s="405"/>
      <c r="Q48" s="51"/>
    </row>
    <row r="49" spans="1:17" ht="15.75" customHeight="1">
      <c r="A49" s="55" t="s">
        <v>129</v>
      </c>
      <c r="B49" s="75">
        <v>45491</v>
      </c>
      <c r="C49" s="45">
        <v>0.32430555555555557</v>
      </c>
      <c r="D49" s="75">
        <v>45491</v>
      </c>
      <c r="E49" s="45">
        <v>0.53333333333333333</v>
      </c>
      <c r="F49" s="46">
        <v>41</v>
      </c>
      <c r="G49" s="75">
        <v>45492</v>
      </c>
      <c r="H49" s="45">
        <v>0.53333333333333333</v>
      </c>
      <c r="I49" s="47">
        <v>41</v>
      </c>
      <c r="J49" s="48">
        <v>11</v>
      </c>
      <c r="K49" s="48">
        <v>1</v>
      </c>
      <c r="L49" s="46">
        <v>13.4</v>
      </c>
      <c r="M49" s="49">
        <f t="shared" si="3"/>
        <v>134</v>
      </c>
      <c r="N49" s="50" t="s">
        <v>12</v>
      </c>
      <c r="O49" s="76" t="s">
        <v>13</v>
      </c>
      <c r="P49" s="405"/>
      <c r="Q49" s="51"/>
    </row>
    <row r="50" spans="1:17" ht="15.75" customHeight="1">
      <c r="A50" s="55" t="s">
        <v>130</v>
      </c>
      <c r="B50" s="75">
        <v>45491</v>
      </c>
      <c r="C50" s="45">
        <v>0.33611111111111114</v>
      </c>
      <c r="D50" s="75">
        <v>45491</v>
      </c>
      <c r="E50" s="78">
        <v>0.53541666666666665</v>
      </c>
      <c r="F50" s="46">
        <v>41</v>
      </c>
      <c r="G50" s="75">
        <v>45492</v>
      </c>
      <c r="H50" s="78">
        <v>0.53541666666666665</v>
      </c>
      <c r="I50" s="47">
        <v>41</v>
      </c>
      <c r="J50" s="48">
        <v>10</v>
      </c>
      <c r="K50" s="48">
        <v>1</v>
      </c>
      <c r="L50" s="46">
        <v>12.1</v>
      </c>
      <c r="M50" s="49">
        <f t="shared" si="3"/>
        <v>121</v>
      </c>
      <c r="N50" s="50" t="s">
        <v>12</v>
      </c>
      <c r="O50" s="76" t="s">
        <v>13</v>
      </c>
      <c r="P50" s="405"/>
      <c r="Q50" s="51"/>
    </row>
    <row r="51" spans="1:17" ht="15.75" customHeight="1">
      <c r="A51" s="53" t="s">
        <v>131</v>
      </c>
      <c r="B51" s="75">
        <v>45504</v>
      </c>
      <c r="C51" s="45">
        <v>0.28263888888888888</v>
      </c>
      <c r="D51" s="75">
        <v>45504</v>
      </c>
      <c r="E51" s="78">
        <v>0.51944444444444449</v>
      </c>
      <c r="F51" s="46">
        <v>41</v>
      </c>
      <c r="G51" s="75">
        <v>45505</v>
      </c>
      <c r="H51" s="78">
        <v>0.51944444444444449</v>
      </c>
      <c r="I51" s="47">
        <v>41</v>
      </c>
      <c r="J51" s="48">
        <v>0</v>
      </c>
      <c r="K51" s="48">
        <v>1</v>
      </c>
      <c r="L51" s="46">
        <v>1</v>
      </c>
      <c r="M51" s="49">
        <f t="shared" si="3"/>
        <v>10</v>
      </c>
      <c r="N51" s="50" t="s">
        <v>12</v>
      </c>
      <c r="O51" s="76" t="s">
        <v>13</v>
      </c>
      <c r="P51" s="405"/>
      <c r="Q51" s="51"/>
    </row>
    <row r="52" spans="1:17" ht="15.75" customHeight="1">
      <c r="A52" s="53" t="s">
        <v>132</v>
      </c>
      <c r="B52" s="75">
        <v>45504</v>
      </c>
      <c r="C52" s="79">
        <v>0.2986111111111111</v>
      </c>
      <c r="D52" s="75">
        <v>45504</v>
      </c>
      <c r="E52" s="78">
        <v>0.52222222222222225</v>
      </c>
      <c r="F52" s="46">
        <v>41</v>
      </c>
      <c r="G52" s="75">
        <v>45505</v>
      </c>
      <c r="H52" s="78">
        <v>0.52222222222222225</v>
      </c>
      <c r="I52" s="47">
        <v>41</v>
      </c>
      <c r="J52" s="48">
        <v>0</v>
      </c>
      <c r="K52" s="48">
        <v>0</v>
      </c>
      <c r="L52" s="46" t="s">
        <v>75</v>
      </c>
      <c r="M52" s="49" t="str">
        <f>IF(L52="&lt; 1","&lt; 10",IF(L52="&gt; 2419.6","&gt; 24196",L52*10))</f>
        <v>&lt; 10</v>
      </c>
      <c r="N52" s="50" t="s">
        <v>12</v>
      </c>
      <c r="O52" s="76" t="s">
        <v>13</v>
      </c>
      <c r="P52" s="406"/>
      <c r="Q52" s="51"/>
    </row>
    <row r="53" spans="1:17" ht="15.75" customHeight="1">
      <c r="A53" s="80"/>
      <c r="B53" s="81"/>
      <c r="C53" s="82"/>
      <c r="D53" s="81"/>
      <c r="E53" s="82"/>
      <c r="F53" s="83"/>
      <c r="G53" s="81"/>
      <c r="H53" s="82"/>
      <c r="I53" s="84"/>
      <c r="J53" s="84"/>
      <c r="K53" s="84"/>
      <c r="L53" s="83"/>
      <c r="M53" s="85"/>
      <c r="N53" s="84"/>
      <c r="O53" s="84"/>
      <c r="P53" s="84"/>
    </row>
    <row r="54" spans="1:17" ht="15.75" customHeight="1">
      <c r="A54" s="80"/>
      <c r="B54" s="81"/>
      <c r="C54" s="82"/>
      <c r="D54" s="81"/>
      <c r="E54" s="82"/>
      <c r="F54" s="83"/>
      <c r="G54" s="81"/>
      <c r="H54" s="82"/>
      <c r="I54" s="84"/>
      <c r="J54" s="84"/>
      <c r="K54" s="84"/>
      <c r="L54" s="83"/>
      <c r="M54" s="85"/>
      <c r="N54" s="84"/>
      <c r="O54" s="84"/>
      <c r="P54" s="84"/>
    </row>
    <row r="55" spans="1:17" ht="15.75" customHeight="1">
      <c r="A55" s="80"/>
      <c r="B55" s="81"/>
      <c r="C55" s="82"/>
      <c r="D55" s="81"/>
      <c r="E55" s="82"/>
      <c r="F55" s="83"/>
      <c r="G55" s="81"/>
      <c r="H55" s="82"/>
      <c r="I55" s="84"/>
      <c r="J55" s="84"/>
      <c r="K55" s="84"/>
      <c r="L55" s="83"/>
      <c r="M55" s="85"/>
      <c r="N55" s="84"/>
      <c r="O55" s="84"/>
      <c r="P55" s="84"/>
    </row>
    <row r="56" spans="1:17" ht="15.75" customHeight="1">
      <c r="A56" s="80"/>
      <c r="B56" s="81"/>
      <c r="C56" s="82"/>
      <c r="D56" s="81"/>
      <c r="E56" s="82"/>
      <c r="F56" s="83"/>
      <c r="G56" s="81"/>
      <c r="H56" s="82"/>
      <c r="I56" s="84"/>
      <c r="J56" s="84"/>
      <c r="K56" s="84"/>
      <c r="L56" s="83"/>
      <c r="M56" s="85"/>
      <c r="N56" s="84"/>
      <c r="O56" s="84"/>
      <c r="P56" s="84"/>
    </row>
    <row r="57" spans="1:17" ht="15.75" customHeight="1">
      <c r="A57" s="80"/>
      <c r="B57" s="81"/>
      <c r="C57" s="82"/>
      <c r="D57" s="81"/>
      <c r="E57" s="82"/>
      <c r="F57" s="83"/>
      <c r="G57" s="81"/>
      <c r="H57" s="82"/>
      <c r="I57" s="84"/>
      <c r="J57" s="84"/>
      <c r="K57" s="84"/>
      <c r="L57" s="83"/>
      <c r="M57" s="85"/>
      <c r="N57" s="84"/>
      <c r="O57" s="84"/>
      <c r="P57" s="84"/>
    </row>
    <row r="58" spans="1:17" ht="15.75" customHeight="1">
      <c r="A58" s="80"/>
      <c r="B58" s="81"/>
      <c r="C58" s="82"/>
      <c r="D58" s="81"/>
      <c r="E58" s="82"/>
      <c r="F58" s="83"/>
      <c r="G58" s="81"/>
      <c r="H58" s="82"/>
      <c r="I58" s="84"/>
      <c r="J58" s="84"/>
      <c r="K58" s="84"/>
      <c r="L58" s="83"/>
      <c r="M58" s="85"/>
      <c r="N58" s="84"/>
      <c r="O58" s="84"/>
      <c r="P58" s="84"/>
    </row>
    <row r="59" spans="1:17" ht="15.75" customHeight="1">
      <c r="A59" s="80"/>
      <c r="B59" s="81"/>
      <c r="C59" s="82"/>
      <c r="D59" s="81"/>
      <c r="E59" s="82"/>
      <c r="F59" s="83"/>
      <c r="G59" s="81"/>
      <c r="H59" s="82"/>
      <c r="I59" s="84"/>
      <c r="J59" s="84"/>
      <c r="K59" s="84"/>
      <c r="L59" s="83"/>
      <c r="M59" s="85"/>
      <c r="N59" s="84"/>
      <c r="O59" s="84"/>
      <c r="P59" s="84"/>
    </row>
    <row r="60" spans="1:17" ht="15.75" customHeight="1">
      <c r="A60" s="80"/>
      <c r="B60" s="81"/>
      <c r="C60" s="82"/>
      <c r="D60" s="81"/>
      <c r="E60" s="82"/>
      <c r="F60" s="83"/>
      <c r="G60" s="81"/>
      <c r="H60" s="82"/>
      <c r="I60" s="84"/>
      <c r="J60" s="84"/>
      <c r="K60" s="84"/>
      <c r="L60" s="83"/>
      <c r="M60" s="85"/>
      <c r="N60" s="84"/>
      <c r="O60" s="84"/>
      <c r="P60" s="84"/>
    </row>
    <row r="61" spans="1:17" ht="15.75" customHeight="1">
      <c r="A61" s="80"/>
      <c r="B61" s="81"/>
      <c r="C61" s="82"/>
      <c r="D61" s="81"/>
      <c r="E61" s="82"/>
      <c r="F61" s="83"/>
      <c r="G61" s="81"/>
      <c r="H61" s="82"/>
      <c r="I61" s="84"/>
      <c r="J61" s="84"/>
      <c r="K61" s="84"/>
      <c r="L61" s="83"/>
      <c r="M61" s="85"/>
      <c r="N61" s="84"/>
      <c r="O61" s="84"/>
      <c r="P61" s="84"/>
    </row>
    <row r="62" spans="1:17" ht="15.75" customHeight="1">
      <c r="A62" s="80"/>
      <c r="B62" s="81"/>
      <c r="C62" s="82"/>
      <c r="D62" s="81"/>
      <c r="E62" s="82"/>
      <c r="F62" s="83"/>
      <c r="G62" s="81"/>
      <c r="H62" s="82"/>
      <c r="I62" s="84"/>
      <c r="J62" s="84"/>
      <c r="K62" s="84"/>
      <c r="L62" s="83"/>
      <c r="M62" s="85"/>
      <c r="N62" s="84"/>
      <c r="O62" s="84"/>
      <c r="P62" s="84"/>
    </row>
    <row r="63" spans="1:17" ht="15.75" customHeight="1">
      <c r="A63" s="80"/>
      <c r="B63" s="81"/>
      <c r="C63" s="82"/>
      <c r="D63" s="81"/>
      <c r="E63" s="82"/>
      <c r="F63" s="83"/>
      <c r="G63" s="81"/>
      <c r="H63" s="82"/>
      <c r="I63" s="84"/>
      <c r="J63" s="84"/>
      <c r="K63" s="84"/>
      <c r="L63" s="83"/>
      <c r="M63" s="85"/>
      <c r="N63" s="84"/>
      <c r="O63" s="84"/>
      <c r="P63" s="84"/>
    </row>
    <row r="64" spans="1:17" ht="15.75" customHeight="1">
      <c r="A64" s="80"/>
      <c r="B64" s="81"/>
      <c r="C64" s="82"/>
      <c r="D64" s="81"/>
      <c r="E64" s="82"/>
      <c r="F64" s="83"/>
      <c r="G64" s="81"/>
      <c r="H64" s="82"/>
      <c r="I64" s="84"/>
      <c r="J64" s="84"/>
      <c r="K64" s="84"/>
      <c r="L64" s="83"/>
      <c r="M64" s="85"/>
      <c r="N64" s="84"/>
      <c r="O64" s="84"/>
      <c r="P64" s="84"/>
    </row>
    <row r="65" spans="1:16" ht="15.75" customHeight="1">
      <c r="A65" s="80"/>
      <c r="B65" s="81"/>
      <c r="C65" s="82"/>
      <c r="D65" s="81"/>
      <c r="E65" s="82"/>
      <c r="F65" s="83"/>
      <c r="G65" s="81"/>
      <c r="H65" s="82"/>
      <c r="I65" s="84"/>
      <c r="J65" s="84"/>
      <c r="K65" s="84"/>
      <c r="L65" s="83"/>
      <c r="M65" s="85"/>
      <c r="N65" s="84"/>
      <c r="O65" s="84"/>
      <c r="P65" s="84"/>
    </row>
    <row r="66" spans="1:16" ht="15.75" customHeight="1">
      <c r="A66" s="80"/>
      <c r="B66" s="81"/>
      <c r="C66" s="82"/>
      <c r="D66" s="81"/>
      <c r="E66" s="82"/>
      <c r="F66" s="83"/>
      <c r="G66" s="81"/>
      <c r="H66" s="82"/>
      <c r="I66" s="84"/>
      <c r="J66" s="84"/>
      <c r="K66" s="84"/>
      <c r="L66" s="83"/>
      <c r="M66" s="85"/>
      <c r="N66" s="84"/>
      <c r="O66" s="84"/>
      <c r="P66" s="84"/>
    </row>
    <row r="67" spans="1:16" ht="15.75" customHeight="1">
      <c r="A67" s="80"/>
      <c r="B67" s="81"/>
      <c r="C67" s="82"/>
      <c r="D67" s="81"/>
      <c r="E67" s="82"/>
      <c r="F67" s="83"/>
      <c r="G67" s="81"/>
      <c r="H67" s="82"/>
      <c r="I67" s="84"/>
      <c r="J67" s="84"/>
      <c r="K67" s="84"/>
      <c r="L67" s="83"/>
      <c r="M67" s="85"/>
      <c r="N67" s="84"/>
      <c r="O67" s="84"/>
      <c r="P67" s="84"/>
    </row>
    <row r="68" spans="1:16" ht="15.75" customHeight="1">
      <c r="A68" s="80"/>
      <c r="B68" s="81"/>
      <c r="C68" s="82"/>
      <c r="D68" s="81"/>
      <c r="E68" s="82"/>
      <c r="F68" s="83"/>
      <c r="G68" s="81"/>
      <c r="H68" s="82"/>
      <c r="I68" s="84"/>
      <c r="J68" s="84"/>
      <c r="K68" s="84"/>
      <c r="L68" s="83"/>
      <c r="M68" s="85"/>
      <c r="N68" s="84"/>
      <c r="O68" s="84"/>
      <c r="P68" s="84"/>
    </row>
    <row r="69" spans="1:16" ht="15.75" customHeight="1">
      <c r="A69" s="80"/>
      <c r="B69" s="81"/>
      <c r="C69" s="82"/>
      <c r="D69" s="81"/>
      <c r="E69" s="82"/>
      <c r="F69" s="83"/>
      <c r="G69" s="81"/>
      <c r="H69" s="82"/>
      <c r="I69" s="84"/>
      <c r="J69" s="84"/>
      <c r="K69" s="84"/>
      <c r="L69" s="83"/>
      <c r="M69" s="85"/>
      <c r="N69" s="84"/>
      <c r="O69" s="84"/>
      <c r="P69" s="84"/>
    </row>
    <row r="70" spans="1:16" ht="15.75" customHeight="1">
      <c r="A70" s="80"/>
      <c r="B70" s="81"/>
      <c r="C70" s="82"/>
      <c r="D70" s="81"/>
      <c r="E70" s="82"/>
      <c r="F70" s="83"/>
      <c r="G70" s="81"/>
      <c r="H70" s="82"/>
      <c r="I70" s="84"/>
      <c r="J70" s="84"/>
      <c r="K70" s="84"/>
      <c r="L70" s="83"/>
      <c r="M70" s="85"/>
      <c r="N70" s="84"/>
      <c r="O70" s="84"/>
      <c r="P70" s="84"/>
    </row>
    <row r="71" spans="1:16" ht="15.75" customHeight="1">
      <c r="A71" s="80"/>
      <c r="B71" s="81"/>
      <c r="C71" s="82"/>
      <c r="D71" s="81"/>
      <c r="E71" s="82"/>
      <c r="F71" s="83"/>
      <c r="G71" s="81"/>
      <c r="H71" s="82"/>
      <c r="I71" s="84"/>
      <c r="J71" s="84"/>
      <c r="K71" s="84"/>
      <c r="L71" s="83"/>
      <c r="M71" s="85"/>
      <c r="N71" s="84"/>
      <c r="O71" s="84"/>
      <c r="P71" s="84"/>
    </row>
    <row r="72" spans="1:16" ht="15.75" customHeight="1">
      <c r="A72" s="80"/>
      <c r="B72" s="81"/>
      <c r="C72" s="82"/>
      <c r="D72" s="81"/>
      <c r="E72" s="82"/>
      <c r="F72" s="83"/>
      <c r="G72" s="81"/>
      <c r="H72" s="82"/>
      <c r="I72" s="84"/>
      <c r="J72" s="84"/>
      <c r="K72" s="84"/>
      <c r="L72" s="83"/>
      <c r="M72" s="85"/>
      <c r="N72" s="84"/>
      <c r="O72" s="84"/>
      <c r="P72" s="84"/>
    </row>
    <row r="73" spans="1:16" ht="15.75" customHeight="1">
      <c r="A73" s="80"/>
      <c r="B73" s="81"/>
      <c r="C73" s="82"/>
      <c r="D73" s="81"/>
      <c r="E73" s="82"/>
      <c r="F73" s="83"/>
      <c r="G73" s="81"/>
      <c r="H73" s="82"/>
      <c r="I73" s="84"/>
      <c r="J73" s="84"/>
      <c r="K73" s="84"/>
      <c r="L73" s="83"/>
      <c r="M73" s="85"/>
      <c r="N73" s="84"/>
      <c r="O73" s="84"/>
      <c r="P73" s="84"/>
    </row>
    <row r="74" spans="1:16" ht="15.75" customHeight="1">
      <c r="A74" s="80"/>
      <c r="B74" s="81"/>
      <c r="C74" s="82"/>
      <c r="D74" s="81"/>
      <c r="E74" s="82"/>
      <c r="F74" s="83"/>
      <c r="G74" s="81"/>
      <c r="H74" s="82"/>
      <c r="I74" s="84"/>
      <c r="J74" s="84"/>
      <c r="K74" s="84"/>
      <c r="L74" s="83"/>
      <c r="M74" s="85"/>
      <c r="N74" s="84"/>
      <c r="O74" s="84"/>
      <c r="P74" s="84"/>
    </row>
    <row r="75" spans="1:16" ht="15.75" customHeight="1">
      <c r="A75" s="80"/>
      <c r="B75" s="81"/>
      <c r="C75" s="82"/>
      <c r="D75" s="81"/>
      <c r="E75" s="82"/>
      <c r="F75" s="83"/>
      <c r="G75" s="81"/>
      <c r="H75" s="82"/>
      <c r="I75" s="84"/>
      <c r="J75" s="84"/>
      <c r="K75" s="84"/>
      <c r="L75" s="83"/>
      <c r="M75" s="85"/>
      <c r="N75" s="84"/>
      <c r="O75" s="84"/>
      <c r="P75" s="84"/>
    </row>
    <row r="76" spans="1:16" ht="15.75" customHeight="1">
      <c r="A76" s="80"/>
      <c r="B76" s="81"/>
      <c r="C76" s="82"/>
      <c r="D76" s="81"/>
      <c r="E76" s="82"/>
      <c r="F76" s="83"/>
      <c r="G76" s="81"/>
      <c r="H76" s="82"/>
      <c r="I76" s="84"/>
      <c r="J76" s="84"/>
      <c r="K76" s="84"/>
      <c r="L76" s="83"/>
      <c r="M76" s="85"/>
      <c r="N76" s="84"/>
      <c r="O76" s="84"/>
      <c r="P76" s="84"/>
    </row>
    <row r="77" spans="1:16" ht="15.75" customHeight="1">
      <c r="A77" s="80"/>
      <c r="B77" s="81"/>
      <c r="C77" s="82"/>
      <c r="D77" s="81"/>
      <c r="E77" s="82"/>
      <c r="F77" s="83"/>
      <c r="G77" s="81"/>
      <c r="H77" s="82"/>
      <c r="I77" s="84"/>
      <c r="J77" s="84"/>
      <c r="K77" s="84"/>
      <c r="L77" s="83"/>
      <c r="M77" s="85"/>
      <c r="N77" s="84"/>
      <c r="O77" s="84"/>
      <c r="P77" s="84"/>
    </row>
    <row r="78" spans="1:16" ht="15.75" customHeight="1">
      <c r="A78" s="80"/>
      <c r="B78" s="81"/>
      <c r="C78" s="82"/>
      <c r="D78" s="81"/>
      <c r="E78" s="82"/>
      <c r="F78" s="83"/>
      <c r="G78" s="81"/>
      <c r="H78" s="82"/>
      <c r="I78" s="84"/>
      <c r="J78" s="84"/>
      <c r="K78" s="84"/>
      <c r="L78" s="83"/>
      <c r="M78" s="85"/>
      <c r="N78" s="84"/>
      <c r="O78" s="84"/>
      <c r="P78" s="84"/>
    </row>
    <row r="79" spans="1:16" ht="15.75" customHeight="1">
      <c r="A79" s="80"/>
      <c r="B79" s="81"/>
      <c r="C79" s="82"/>
      <c r="D79" s="81"/>
      <c r="E79" s="82"/>
      <c r="F79" s="83"/>
      <c r="G79" s="81"/>
      <c r="H79" s="82"/>
      <c r="I79" s="84"/>
      <c r="J79" s="84"/>
      <c r="K79" s="84"/>
      <c r="L79" s="83"/>
      <c r="M79" s="85"/>
      <c r="N79" s="84"/>
      <c r="O79" s="84"/>
      <c r="P79" s="84"/>
    </row>
    <row r="80" spans="1:16" ht="15.75" customHeight="1">
      <c r="A80" s="80"/>
      <c r="B80" s="81"/>
      <c r="C80" s="82"/>
      <c r="D80" s="81"/>
      <c r="E80" s="82"/>
      <c r="F80" s="83"/>
      <c r="G80" s="81"/>
      <c r="H80" s="82"/>
      <c r="I80" s="84"/>
      <c r="J80" s="84"/>
      <c r="K80" s="84"/>
      <c r="L80" s="83"/>
      <c r="M80" s="85"/>
      <c r="N80" s="84"/>
      <c r="O80" s="84"/>
      <c r="P80" s="84"/>
    </row>
    <row r="81" spans="1:16" ht="15.75" customHeight="1">
      <c r="A81" s="80"/>
      <c r="B81" s="81"/>
      <c r="C81" s="82"/>
      <c r="D81" s="81"/>
      <c r="E81" s="82"/>
      <c r="F81" s="83"/>
      <c r="G81" s="81"/>
      <c r="H81" s="82"/>
      <c r="I81" s="84"/>
      <c r="J81" s="84"/>
      <c r="K81" s="84"/>
      <c r="L81" s="83"/>
      <c r="M81" s="85"/>
      <c r="N81" s="84"/>
      <c r="O81" s="84"/>
      <c r="P81" s="84"/>
    </row>
    <row r="82" spans="1:16" ht="15.75" customHeight="1">
      <c r="A82" s="80"/>
      <c r="B82" s="81"/>
      <c r="C82" s="82"/>
      <c r="D82" s="81"/>
      <c r="E82" s="82"/>
      <c r="F82" s="83"/>
      <c r="G82" s="81"/>
      <c r="H82" s="82"/>
      <c r="I82" s="84"/>
      <c r="J82" s="84"/>
      <c r="K82" s="84"/>
      <c r="L82" s="83"/>
      <c r="M82" s="85"/>
      <c r="N82" s="84"/>
      <c r="O82" s="84"/>
      <c r="P82" s="84"/>
    </row>
    <row r="83" spans="1:16" ht="15.75" customHeight="1">
      <c r="A83" s="80"/>
      <c r="B83" s="81"/>
      <c r="C83" s="82"/>
      <c r="D83" s="81"/>
      <c r="E83" s="82"/>
      <c r="F83" s="83"/>
      <c r="G83" s="81"/>
      <c r="H83" s="82"/>
      <c r="I83" s="84"/>
      <c r="J83" s="84"/>
      <c r="K83" s="84"/>
      <c r="L83" s="83"/>
      <c r="M83" s="85"/>
      <c r="N83" s="84"/>
      <c r="O83" s="84"/>
      <c r="P83" s="84"/>
    </row>
    <row r="84" spans="1:16" ht="15.75" customHeight="1">
      <c r="A84" s="80"/>
      <c r="B84" s="81"/>
      <c r="C84" s="82"/>
      <c r="D84" s="81"/>
      <c r="E84" s="82"/>
      <c r="F84" s="83"/>
      <c r="G84" s="81"/>
      <c r="H84" s="82"/>
      <c r="I84" s="84"/>
      <c r="J84" s="84"/>
      <c r="K84" s="84"/>
      <c r="L84" s="83"/>
      <c r="M84" s="85"/>
      <c r="N84" s="84"/>
      <c r="O84" s="84"/>
      <c r="P84" s="84"/>
    </row>
    <row r="85" spans="1:16" ht="15.75" customHeight="1">
      <c r="A85" s="80"/>
      <c r="B85" s="81"/>
      <c r="C85" s="82"/>
      <c r="D85" s="81"/>
      <c r="E85" s="82"/>
      <c r="F85" s="83"/>
      <c r="G85" s="81"/>
      <c r="H85" s="82"/>
      <c r="I85" s="84"/>
      <c r="J85" s="84"/>
      <c r="K85" s="84"/>
      <c r="L85" s="83"/>
      <c r="M85" s="85"/>
      <c r="N85" s="84"/>
      <c r="O85" s="84"/>
      <c r="P85" s="84"/>
    </row>
    <row r="86" spans="1:16" ht="15.75" customHeight="1">
      <c r="A86" s="80"/>
      <c r="B86" s="81"/>
      <c r="C86" s="82"/>
      <c r="D86" s="81"/>
      <c r="E86" s="82"/>
      <c r="F86" s="83"/>
      <c r="G86" s="81"/>
      <c r="H86" s="82"/>
      <c r="I86" s="84"/>
      <c r="J86" s="84"/>
      <c r="K86" s="84"/>
      <c r="L86" s="83"/>
      <c r="M86" s="85"/>
      <c r="N86" s="84"/>
      <c r="O86" s="84"/>
      <c r="P86" s="84"/>
    </row>
    <row r="87" spans="1:16" ht="15.75" customHeight="1">
      <c r="A87" s="80"/>
      <c r="B87" s="81"/>
      <c r="C87" s="82"/>
      <c r="D87" s="81"/>
      <c r="E87" s="82"/>
      <c r="F87" s="83"/>
      <c r="G87" s="81"/>
      <c r="H87" s="82"/>
      <c r="I87" s="84"/>
      <c r="J87" s="84"/>
      <c r="K87" s="84"/>
      <c r="L87" s="83"/>
      <c r="M87" s="85"/>
      <c r="N87" s="84"/>
      <c r="O87" s="84"/>
      <c r="P87" s="84"/>
    </row>
    <row r="88" spans="1:16" ht="15.75" customHeight="1">
      <c r="A88" s="80"/>
      <c r="B88" s="81"/>
      <c r="C88" s="82"/>
      <c r="D88" s="81"/>
      <c r="E88" s="82"/>
      <c r="F88" s="83"/>
      <c r="G88" s="81"/>
      <c r="H88" s="82"/>
      <c r="I88" s="84"/>
      <c r="J88" s="84"/>
      <c r="K88" s="84"/>
      <c r="L88" s="83"/>
      <c r="M88" s="85"/>
      <c r="N88" s="84"/>
      <c r="O88" s="84"/>
      <c r="P88" s="84"/>
    </row>
    <row r="89" spans="1:16" ht="15.75" customHeight="1">
      <c r="A89" s="80"/>
      <c r="B89" s="81"/>
      <c r="C89" s="82"/>
      <c r="D89" s="81"/>
      <c r="E89" s="82"/>
      <c r="F89" s="83"/>
      <c r="G89" s="81"/>
      <c r="H89" s="82"/>
      <c r="I89" s="84"/>
      <c r="J89" s="84"/>
      <c r="K89" s="84"/>
      <c r="L89" s="83"/>
      <c r="M89" s="85"/>
      <c r="N89" s="84"/>
      <c r="O89" s="84"/>
      <c r="P89" s="84"/>
    </row>
    <row r="90" spans="1:16" ht="15.75" customHeight="1">
      <c r="A90" s="80"/>
      <c r="B90" s="81"/>
      <c r="C90" s="82"/>
      <c r="D90" s="81"/>
      <c r="E90" s="82"/>
      <c r="F90" s="83"/>
      <c r="G90" s="81"/>
      <c r="H90" s="82"/>
      <c r="I90" s="84"/>
      <c r="J90" s="84"/>
      <c r="K90" s="84"/>
      <c r="L90" s="83"/>
      <c r="M90" s="85"/>
      <c r="N90" s="84"/>
      <c r="O90" s="84"/>
      <c r="P90" s="84"/>
    </row>
    <row r="91" spans="1:16" ht="15.75" customHeight="1">
      <c r="A91" s="80"/>
      <c r="B91" s="81"/>
      <c r="C91" s="82"/>
      <c r="D91" s="81"/>
      <c r="E91" s="82"/>
      <c r="F91" s="83"/>
      <c r="G91" s="81"/>
      <c r="H91" s="82"/>
      <c r="I91" s="84"/>
      <c r="J91" s="84"/>
      <c r="K91" s="84"/>
      <c r="L91" s="83"/>
      <c r="M91" s="85"/>
      <c r="N91" s="84"/>
      <c r="O91" s="84"/>
      <c r="P91" s="84"/>
    </row>
    <row r="92" spans="1:16" ht="15.75" customHeight="1">
      <c r="A92" s="80"/>
      <c r="B92" s="81"/>
      <c r="C92" s="82"/>
      <c r="D92" s="81"/>
      <c r="E92" s="82"/>
      <c r="F92" s="83"/>
      <c r="G92" s="81"/>
      <c r="H92" s="82"/>
      <c r="I92" s="84"/>
      <c r="J92" s="84"/>
      <c r="K92" s="84"/>
      <c r="L92" s="83"/>
      <c r="M92" s="85"/>
      <c r="N92" s="84"/>
      <c r="O92" s="84"/>
      <c r="P92" s="84"/>
    </row>
    <row r="93" spans="1:16" ht="15.75" customHeight="1">
      <c r="A93" s="80"/>
      <c r="B93" s="81"/>
      <c r="C93" s="82"/>
      <c r="D93" s="81"/>
      <c r="E93" s="82"/>
      <c r="F93" s="83"/>
      <c r="G93" s="81"/>
      <c r="H93" s="82"/>
      <c r="I93" s="84"/>
      <c r="J93" s="84"/>
      <c r="K93" s="84"/>
      <c r="L93" s="83"/>
      <c r="M93" s="85"/>
      <c r="N93" s="84"/>
      <c r="O93" s="84"/>
      <c r="P93" s="84"/>
    </row>
    <row r="94" spans="1:16" ht="15.75" customHeight="1">
      <c r="A94" s="80"/>
      <c r="B94" s="81"/>
      <c r="C94" s="82"/>
      <c r="D94" s="81"/>
      <c r="E94" s="82"/>
      <c r="F94" s="83"/>
      <c r="G94" s="81"/>
      <c r="H94" s="82"/>
      <c r="I94" s="84"/>
      <c r="J94" s="84"/>
      <c r="K94" s="84"/>
      <c r="L94" s="83"/>
      <c r="M94" s="85"/>
      <c r="N94" s="84"/>
      <c r="O94" s="84"/>
      <c r="P94" s="84"/>
    </row>
    <row r="95" spans="1:16" ht="15.75" customHeight="1">
      <c r="A95" s="80"/>
      <c r="B95" s="81"/>
      <c r="C95" s="82"/>
      <c r="D95" s="81"/>
      <c r="E95" s="82"/>
      <c r="F95" s="83"/>
      <c r="G95" s="81"/>
      <c r="H95" s="82"/>
      <c r="I95" s="84"/>
      <c r="J95" s="84"/>
      <c r="K95" s="84"/>
      <c r="L95" s="83"/>
      <c r="M95" s="85"/>
      <c r="N95" s="84"/>
      <c r="O95" s="84"/>
      <c r="P95" s="84"/>
    </row>
    <row r="96" spans="1:16" ht="15.75" customHeight="1">
      <c r="A96" s="80"/>
      <c r="B96" s="81"/>
      <c r="C96" s="82"/>
      <c r="D96" s="81"/>
      <c r="E96" s="82"/>
      <c r="F96" s="83"/>
      <c r="G96" s="81"/>
      <c r="H96" s="82"/>
      <c r="I96" s="84"/>
      <c r="J96" s="84"/>
      <c r="K96" s="84"/>
      <c r="L96" s="83"/>
      <c r="M96" s="85"/>
      <c r="N96" s="84"/>
      <c r="O96" s="84"/>
      <c r="P96" s="84"/>
    </row>
    <row r="97" spans="1:16" ht="15.75" customHeight="1">
      <c r="A97" s="80"/>
      <c r="B97" s="81"/>
      <c r="C97" s="82"/>
      <c r="D97" s="81"/>
      <c r="E97" s="82"/>
      <c r="F97" s="83"/>
      <c r="G97" s="81"/>
      <c r="H97" s="82"/>
      <c r="I97" s="84"/>
      <c r="J97" s="84"/>
      <c r="K97" s="84"/>
      <c r="L97" s="83"/>
      <c r="M97" s="85"/>
      <c r="N97" s="84"/>
      <c r="O97" s="84"/>
      <c r="P97" s="84"/>
    </row>
    <row r="98" spans="1:16" ht="15.75" customHeight="1">
      <c r="A98" s="80"/>
      <c r="B98" s="81"/>
      <c r="C98" s="82"/>
      <c r="D98" s="81"/>
      <c r="E98" s="82"/>
      <c r="F98" s="83"/>
      <c r="G98" s="81"/>
      <c r="H98" s="82"/>
      <c r="I98" s="84"/>
      <c r="J98" s="84"/>
      <c r="K98" s="84"/>
      <c r="L98" s="83"/>
      <c r="M98" s="85"/>
      <c r="N98" s="84"/>
      <c r="O98" s="84"/>
      <c r="P98" s="84"/>
    </row>
    <row r="99" spans="1:16" ht="15.75" customHeight="1">
      <c r="A99" s="80"/>
      <c r="B99" s="81"/>
      <c r="C99" s="82"/>
      <c r="D99" s="81"/>
      <c r="E99" s="82"/>
      <c r="F99" s="83"/>
      <c r="G99" s="81"/>
      <c r="H99" s="82"/>
      <c r="I99" s="84"/>
      <c r="J99" s="84"/>
      <c r="K99" s="84"/>
      <c r="L99" s="83"/>
      <c r="M99" s="85"/>
      <c r="N99" s="84"/>
      <c r="O99" s="84"/>
      <c r="P99" s="84"/>
    </row>
    <row r="100" spans="1:16" ht="15.75" customHeight="1">
      <c r="A100" s="80"/>
      <c r="B100" s="81"/>
      <c r="C100" s="82"/>
      <c r="D100" s="81"/>
      <c r="E100" s="82"/>
      <c r="F100" s="83"/>
      <c r="G100" s="81"/>
      <c r="H100" s="82"/>
      <c r="I100" s="84"/>
      <c r="J100" s="84"/>
      <c r="K100" s="84"/>
      <c r="L100" s="83"/>
      <c r="M100" s="85"/>
      <c r="N100" s="84"/>
      <c r="O100" s="84"/>
      <c r="P100" s="84"/>
    </row>
    <row r="101" spans="1:16" ht="15.75" customHeight="1">
      <c r="A101" s="80"/>
      <c r="B101" s="81"/>
      <c r="C101" s="82"/>
      <c r="D101" s="81"/>
      <c r="E101" s="82"/>
      <c r="F101" s="83"/>
      <c r="G101" s="81"/>
      <c r="H101" s="82"/>
      <c r="I101" s="84"/>
      <c r="J101" s="84"/>
      <c r="K101" s="84"/>
      <c r="L101" s="83"/>
      <c r="M101" s="85"/>
      <c r="N101" s="84"/>
      <c r="O101" s="84"/>
      <c r="P101" s="84"/>
    </row>
    <row r="102" spans="1:16" ht="15.75" customHeight="1">
      <c r="A102" s="80"/>
      <c r="B102" s="81"/>
      <c r="C102" s="82"/>
      <c r="D102" s="81"/>
      <c r="E102" s="82"/>
      <c r="F102" s="83"/>
      <c r="G102" s="81"/>
      <c r="H102" s="82"/>
      <c r="I102" s="84"/>
      <c r="J102" s="84"/>
      <c r="K102" s="84"/>
      <c r="L102" s="83"/>
      <c r="M102" s="85"/>
      <c r="N102" s="84"/>
      <c r="O102" s="84"/>
      <c r="P102" s="84"/>
    </row>
    <row r="103" spans="1:16" ht="15.75" customHeight="1">
      <c r="A103" s="80"/>
      <c r="B103" s="81"/>
      <c r="C103" s="82"/>
      <c r="D103" s="81"/>
      <c r="E103" s="82"/>
      <c r="F103" s="83"/>
      <c r="G103" s="81"/>
      <c r="H103" s="82"/>
      <c r="I103" s="84"/>
      <c r="J103" s="84"/>
      <c r="K103" s="84"/>
      <c r="L103" s="83"/>
      <c r="M103" s="85"/>
      <c r="N103" s="84"/>
      <c r="O103" s="84"/>
      <c r="P103" s="84"/>
    </row>
    <row r="104" spans="1:16" ht="15.75" customHeight="1">
      <c r="A104" s="80"/>
      <c r="B104" s="81"/>
      <c r="C104" s="82"/>
      <c r="D104" s="81"/>
      <c r="E104" s="82"/>
      <c r="F104" s="83"/>
      <c r="G104" s="81"/>
      <c r="H104" s="82"/>
      <c r="I104" s="84"/>
      <c r="J104" s="84"/>
      <c r="K104" s="84"/>
      <c r="L104" s="83"/>
      <c r="M104" s="85"/>
      <c r="N104" s="84"/>
      <c r="O104" s="84"/>
      <c r="P104" s="84"/>
    </row>
    <row r="105" spans="1:16" ht="15.75" customHeight="1">
      <c r="A105" s="80"/>
      <c r="B105" s="81"/>
      <c r="C105" s="82"/>
      <c r="D105" s="81"/>
      <c r="E105" s="82"/>
      <c r="F105" s="83"/>
      <c r="G105" s="81"/>
      <c r="H105" s="82"/>
      <c r="I105" s="84"/>
      <c r="J105" s="84"/>
      <c r="K105" s="84"/>
      <c r="L105" s="83"/>
      <c r="M105" s="85"/>
      <c r="N105" s="84"/>
      <c r="O105" s="84"/>
      <c r="P105" s="84"/>
    </row>
    <row r="106" spans="1:16" ht="15.75" customHeight="1">
      <c r="A106" s="80"/>
      <c r="B106" s="81"/>
      <c r="C106" s="82"/>
      <c r="D106" s="81"/>
      <c r="E106" s="82"/>
      <c r="F106" s="83"/>
      <c r="G106" s="81"/>
      <c r="H106" s="82"/>
      <c r="I106" s="84"/>
      <c r="J106" s="84"/>
      <c r="K106" s="84"/>
      <c r="L106" s="83"/>
      <c r="M106" s="85"/>
      <c r="N106" s="84"/>
      <c r="O106" s="84"/>
      <c r="P106" s="84"/>
    </row>
    <row r="107" spans="1:16" ht="15.75" customHeight="1">
      <c r="A107" s="80"/>
      <c r="B107" s="81"/>
      <c r="C107" s="82"/>
      <c r="D107" s="81"/>
      <c r="E107" s="82"/>
      <c r="F107" s="83"/>
      <c r="G107" s="81"/>
      <c r="H107" s="82"/>
      <c r="I107" s="84"/>
      <c r="J107" s="84"/>
      <c r="K107" s="84"/>
      <c r="L107" s="83"/>
      <c r="M107" s="85"/>
      <c r="N107" s="84"/>
      <c r="O107" s="84"/>
      <c r="P107" s="84"/>
    </row>
    <row r="108" spans="1:16" ht="15.75" customHeight="1">
      <c r="A108" s="80"/>
      <c r="B108" s="81"/>
      <c r="C108" s="82"/>
      <c r="D108" s="81"/>
      <c r="E108" s="82"/>
      <c r="F108" s="83"/>
      <c r="G108" s="81"/>
      <c r="H108" s="82"/>
      <c r="I108" s="84"/>
      <c r="J108" s="84"/>
      <c r="K108" s="84"/>
      <c r="L108" s="83"/>
      <c r="M108" s="85"/>
      <c r="N108" s="84"/>
      <c r="O108" s="84"/>
      <c r="P108" s="84"/>
    </row>
    <row r="109" spans="1:16" ht="15.75" customHeight="1">
      <c r="A109" s="80"/>
      <c r="B109" s="81"/>
      <c r="C109" s="82"/>
      <c r="D109" s="81"/>
      <c r="E109" s="82"/>
      <c r="F109" s="83"/>
      <c r="G109" s="81"/>
      <c r="H109" s="82"/>
      <c r="I109" s="84"/>
      <c r="J109" s="84"/>
      <c r="K109" s="84"/>
      <c r="L109" s="83"/>
      <c r="M109" s="85"/>
      <c r="N109" s="84"/>
      <c r="O109" s="84"/>
      <c r="P109" s="84"/>
    </row>
    <row r="110" spans="1:16" ht="15.75" customHeight="1">
      <c r="A110" s="80"/>
      <c r="B110" s="81"/>
      <c r="C110" s="82"/>
      <c r="D110" s="81"/>
      <c r="E110" s="82"/>
      <c r="F110" s="83"/>
      <c r="G110" s="81"/>
      <c r="H110" s="82"/>
      <c r="I110" s="84"/>
      <c r="J110" s="84"/>
      <c r="K110" s="84"/>
      <c r="L110" s="83"/>
      <c r="M110" s="85"/>
      <c r="N110" s="84"/>
      <c r="O110" s="84"/>
      <c r="P110" s="84"/>
    </row>
    <row r="111" spans="1:16" ht="15.75" customHeight="1">
      <c r="A111" s="80"/>
      <c r="B111" s="81"/>
      <c r="C111" s="82"/>
      <c r="D111" s="81"/>
      <c r="E111" s="82"/>
      <c r="F111" s="83"/>
      <c r="G111" s="81"/>
      <c r="H111" s="82"/>
      <c r="I111" s="84"/>
      <c r="J111" s="84"/>
      <c r="K111" s="84"/>
      <c r="L111" s="83"/>
      <c r="M111" s="85"/>
      <c r="N111" s="84"/>
      <c r="O111" s="84"/>
      <c r="P111" s="84"/>
    </row>
    <row r="112" spans="1:16" ht="15.75" customHeight="1">
      <c r="A112" s="80"/>
      <c r="B112" s="81"/>
      <c r="C112" s="82"/>
      <c r="D112" s="81"/>
      <c r="E112" s="82"/>
      <c r="F112" s="83"/>
      <c r="G112" s="81"/>
      <c r="H112" s="82"/>
      <c r="I112" s="84"/>
      <c r="J112" s="84"/>
      <c r="K112" s="84"/>
      <c r="L112" s="83"/>
      <c r="M112" s="85"/>
      <c r="N112" s="84"/>
      <c r="O112" s="84"/>
      <c r="P112" s="84"/>
    </row>
    <row r="113" spans="1:16" ht="15.75" customHeight="1">
      <c r="A113" s="80"/>
      <c r="B113" s="81"/>
      <c r="C113" s="82"/>
      <c r="D113" s="81"/>
      <c r="E113" s="82"/>
      <c r="F113" s="83"/>
      <c r="G113" s="81"/>
      <c r="H113" s="82"/>
      <c r="I113" s="84"/>
      <c r="J113" s="84"/>
      <c r="K113" s="84"/>
      <c r="L113" s="83"/>
      <c r="M113" s="85"/>
      <c r="N113" s="84"/>
      <c r="O113" s="84"/>
      <c r="P113" s="84"/>
    </row>
    <row r="114" spans="1:16" ht="15.75" customHeight="1">
      <c r="A114" s="80"/>
      <c r="B114" s="81"/>
      <c r="C114" s="82"/>
      <c r="D114" s="81"/>
      <c r="E114" s="82"/>
      <c r="F114" s="83"/>
      <c r="G114" s="81"/>
      <c r="H114" s="82"/>
      <c r="I114" s="84"/>
      <c r="J114" s="84"/>
      <c r="K114" s="84"/>
      <c r="L114" s="83"/>
      <c r="M114" s="85"/>
      <c r="N114" s="84"/>
      <c r="O114" s="84"/>
      <c r="P114" s="84"/>
    </row>
    <row r="115" spans="1:16" ht="15.75" customHeight="1">
      <c r="A115" s="80"/>
      <c r="B115" s="81"/>
      <c r="C115" s="82"/>
      <c r="D115" s="81"/>
      <c r="E115" s="82"/>
      <c r="F115" s="83"/>
      <c r="G115" s="81"/>
      <c r="H115" s="82"/>
      <c r="I115" s="84"/>
      <c r="J115" s="84"/>
      <c r="K115" s="84"/>
      <c r="L115" s="83"/>
      <c r="M115" s="85"/>
      <c r="N115" s="84"/>
      <c r="O115" s="84"/>
      <c r="P115" s="84"/>
    </row>
    <row r="116" spans="1:16" ht="15.75" customHeight="1">
      <c r="A116" s="80"/>
      <c r="B116" s="81"/>
      <c r="C116" s="82"/>
      <c r="D116" s="81"/>
      <c r="E116" s="82"/>
      <c r="F116" s="83"/>
      <c r="G116" s="81"/>
      <c r="H116" s="82"/>
      <c r="I116" s="84"/>
      <c r="J116" s="84"/>
      <c r="K116" s="84"/>
      <c r="L116" s="83"/>
      <c r="M116" s="85"/>
      <c r="N116" s="84"/>
      <c r="O116" s="84"/>
      <c r="P116" s="84"/>
    </row>
    <row r="117" spans="1:16" ht="15.75" customHeight="1">
      <c r="A117" s="80"/>
      <c r="B117" s="81"/>
      <c r="C117" s="82"/>
      <c r="D117" s="81"/>
      <c r="E117" s="82"/>
      <c r="F117" s="83"/>
      <c r="G117" s="81"/>
      <c r="H117" s="82"/>
      <c r="I117" s="84"/>
      <c r="J117" s="84"/>
      <c r="K117" s="84"/>
      <c r="L117" s="83"/>
      <c r="M117" s="85"/>
      <c r="N117" s="84"/>
      <c r="O117" s="84"/>
      <c r="P117" s="84"/>
    </row>
    <row r="118" spans="1:16" ht="15.75" customHeight="1">
      <c r="A118" s="80"/>
      <c r="B118" s="81"/>
      <c r="C118" s="82"/>
      <c r="D118" s="81"/>
      <c r="E118" s="82"/>
      <c r="F118" s="83"/>
      <c r="G118" s="81"/>
      <c r="H118" s="82"/>
      <c r="I118" s="84"/>
      <c r="J118" s="84"/>
      <c r="K118" s="84"/>
      <c r="L118" s="83"/>
      <c r="M118" s="85"/>
      <c r="N118" s="84"/>
      <c r="O118" s="84"/>
      <c r="P118" s="84"/>
    </row>
    <row r="119" spans="1:16" ht="15.75" customHeight="1">
      <c r="A119" s="80"/>
      <c r="B119" s="81"/>
      <c r="C119" s="82"/>
      <c r="D119" s="81"/>
      <c r="E119" s="82"/>
      <c r="F119" s="83"/>
      <c r="G119" s="81"/>
      <c r="H119" s="82"/>
      <c r="I119" s="84"/>
      <c r="J119" s="84"/>
      <c r="K119" s="84"/>
      <c r="L119" s="83"/>
      <c r="M119" s="85"/>
      <c r="N119" s="84"/>
      <c r="O119" s="84"/>
      <c r="P119" s="84"/>
    </row>
    <row r="120" spans="1:16" ht="15.75" customHeight="1">
      <c r="A120" s="80"/>
      <c r="B120" s="81"/>
      <c r="C120" s="82"/>
      <c r="D120" s="81"/>
      <c r="E120" s="82"/>
      <c r="F120" s="83"/>
      <c r="G120" s="81"/>
      <c r="H120" s="82"/>
      <c r="I120" s="84"/>
      <c r="J120" s="84"/>
      <c r="K120" s="84"/>
      <c r="L120" s="83"/>
      <c r="M120" s="85"/>
      <c r="N120" s="84"/>
      <c r="O120" s="84"/>
      <c r="P120" s="84"/>
    </row>
    <row r="121" spans="1:16" ht="15.75" customHeight="1">
      <c r="A121" s="80"/>
      <c r="B121" s="81"/>
      <c r="C121" s="82"/>
      <c r="D121" s="81"/>
      <c r="E121" s="82"/>
      <c r="F121" s="83"/>
      <c r="G121" s="81"/>
      <c r="H121" s="82"/>
      <c r="I121" s="84"/>
      <c r="J121" s="84"/>
      <c r="K121" s="84"/>
      <c r="L121" s="83"/>
      <c r="M121" s="85"/>
      <c r="N121" s="84"/>
      <c r="O121" s="84"/>
      <c r="P121" s="84"/>
    </row>
    <row r="122" spans="1:16" ht="15.75" customHeight="1">
      <c r="A122" s="80"/>
      <c r="B122" s="81"/>
      <c r="C122" s="82"/>
      <c r="D122" s="81"/>
      <c r="E122" s="82"/>
      <c r="F122" s="83"/>
      <c r="G122" s="81"/>
      <c r="H122" s="82"/>
      <c r="I122" s="84"/>
      <c r="J122" s="84"/>
      <c r="K122" s="84"/>
      <c r="L122" s="83"/>
      <c r="M122" s="85"/>
      <c r="N122" s="84"/>
      <c r="O122" s="84"/>
      <c r="P122" s="84"/>
    </row>
    <row r="123" spans="1:16" ht="15.75" customHeight="1">
      <c r="A123" s="80"/>
      <c r="B123" s="81"/>
      <c r="C123" s="82"/>
      <c r="D123" s="81"/>
      <c r="E123" s="82"/>
      <c r="F123" s="83"/>
      <c r="G123" s="81"/>
      <c r="H123" s="82"/>
      <c r="I123" s="84"/>
      <c r="J123" s="84"/>
      <c r="K123" s="84"/>
      <c r="L123" s="83"/>
      <c r="M123" s="85"/>
      <c r="N123" s="84"/>
      <c r="O123" s="84"/>
      <c r="P123" s="84"/>
    </row>
    <row r="124" spans="1:16" ht="15.75" customHeight="1">
      <c r="A124" s="80"/>
      <c r="B124" s="81"/>
      <c r="C124" s="82"/>
      <c r="D124" s="81"/>
      <c r="E124" s="82"/>
      <c r="F124" s="83"/>
      <c r="G124" s="81"/>
      <c r="H124" s="82"/>
      <c r="I124" s="84"/>
      <c r="J124" s="84"/>
      <c r="K124" s="84"/>
      <c r="L124" s="83"/>
      <c r="M124" s="85"/>
      <c r="N124" s="84"/>
      <c r="O124" s="84"/>
      <c r="P124" s="84"/>
    </row>
    <row r="125" spans="1:16" ht="15.75" customHeight="1">
      <c r="A125" s="80"/>
      <c r="B125" s="81"/>
      <c r="C125" s="82"/>
      <c r="D125" s="81"/>
      <c r="E125" s="82"/>
      <c r="F125" s="83"/>
      <c r="G125" s="81"/>
      <c r="H125" s="82"/>
      <c r="I125" s="84"/>
      <c r="J125" s="84"/>
      <c r="K125" s="84"/>
      <c r="L125" s="83"/>
      <c r="M125" s="85"/>
      <c r="N125" s="84"/>
      <c r="O125" s="84"/>
      <c r="P125" s="84"/>
    </row>
    <row r="126" spans="1:16" ht="15.75" customHeight="1">
      <c r="A126" s="80"/>
      <c r="B126" s="81"/>
      <c r="C126" s="82"/>
      <c r="D126" s="81"/>
      <c r="E126" s="82"/>
      <c r="F126" s="83"/>
      <c r="G126" s="81"/>
      <c r="H126" s="82"/>
      <c r="I126" s="84"/>
      <c r="J126" s="84"/>
      <c r="K126" s="84"/>
      <c r="L126" s="83"/>
      <c r="M126" s="85"/>
      <c r="N126" s="84"/>
      <c r="O126" s="84"/>
      <c r="P126" s="84"/>
    </row>
    <row r="127" spans="1:16" ht="15.75" customHeight="1">
      <c r="A127" s="80"/>
      <c r="B127" s="81"/>
      <c r="C127" s="82"/>
      <c r="D127" s="81"/>
      <c r="E127" s="82"/>
      <c r="F127" s="83"/>
      <c r="G127" s="81"/>
      <c r="H127" s="82"/>
      <c r="I127" s="84"/>
      <c r="J127" s="84"/>
      <c r="K127" s="84"/>
      <c r="L127" s="83"/>
      <c r="M127" s="85"/>
      <c r="N127" s="84"/>
      <c r="O127" s="84"/>
      <c r="P127" s="84"/>
    </row>
    <row r="128" spans="1:16" ht="15.75" customHeight="1">
      <c r="A128" s="80"/>
      <c r="B128" s="81"/>
      <c r="C128" s="82"/>
      <c r="D128" s="81"/>
      <c r="E128" s="82"/>
      <c r="F128" s="83"/>
      <c r="G128" s="81"/>
      <c r="H128" s="82"/>
      <c r="I128" s="84"/>
      <c r="J128" s="84"/>
      <c r="K128" s="84"/>
      <c r="L128" s="83"/>
      <c r="M128" s="85"/>
      <c r="N128" s="84"/>
      <c r="O128" s="84"/>
      <c r="P128" s="84"/>
    </row>
    <row r="129" spans="1:16" ht="15.75" customHeight="1">
      <c r="A129" s="80"/>
      <c r="B129" s="81"/>
      <c r="C129" s="82"/>
      <c r="D129" s="81"/>
      <c r="E129" s="82"/>
      <c r="F129" s="83"/>
      <c r="G129" s="81"/>
      <c r="H129" s="82"/>
      <c r="I129" s="84"/>
      <c r="J129" s="84"/>
      <c r="K129" s="84"/>
      <c r="L129" s="83"/>
      <c r="M129" s="85"/>
      <c r="N129" s="84"/>
      <c r="O129" s="84"/>
      <c r="P129" s="84"/>
    </row>
    <row r="130" spans="1:16" ht="15.75" customHeight="1">
      <c r="A130" s="80"/>
      <c r="B130" s="81"/>
      <c r="C130" s="82"/>
      <c r="D130" s="81"/>
      <c r="E130" s="82"/>
      <c r="F130" s="83"/>
      <c r="G130" s="81"/>
      <c r="H130" s="82"/>
      <c r="I130" s="84"/>
      <c r="J130" s="84"/>
      <c r="K130" s="84"/>
      <c r="L130" s="83"/>
      <c r="M130" s="85"/>
      <c r="N130" s="84"/>
      <c r="O130" s="84"/>
      <c r="P130" s="84"/>
    </row>
    <row r="131" spans="1:16" ht="15.75" customHeight="1">
      <c r="A131" s="80"/>
      <c r="B131" s="81"/>
      <c r="C131" s="82"/>
      <c r="D131" s="81"/>
      <c r="E131" s="82"/>
      <c r="F131" s="83"/>
      <c r="G131" s="81"/>
      <c r="H131" s="82"/>
      <c r="I131" s="84"/>
      <c r="J131" s="84"/>
      <c r="K131" s="84"/>
      <c r="L131" s="83"/>
      <c r="M131" s="85"/>
      <c r="N131" s="84"/>
      <c r="O131" s="84"/>
      <c r="P131" s="84"/>
    </row>
    <row r="132" spans="1:16" ht="15.75" customHeight="1">
      <c r="A132" s="80"/>
      <c r="B132" s="81"/>
      <c r="C132" s="82"/>
      <c r="D132" s="81"/>
      <c r="E132" s="82"/>
      <c r="F132" s="83"/>
      <c r="G132" s="81"/>
      <c r="H132" s="82"/>
      <c r="I132" s="84"/>
      <c r="J132" s="84"/>
      <c r="K132" s="84"/>
      <c r="L132" s="83"/>
      <c r="M132" s="85"/>
      <c r="N132" s="84"/>
      <c r="O132" s="84"/>
      <c r="P132" s="84"/>
    </row>
    <row r="133" spans="1:16" ht="15.75" customHeight="1">
      <c r="A133" s="80"/>
      <c r="B133" s="81"/>
      <c r="C133" s="82"/>
      <c r="D133" s="81"/>
      <c r="E133" s="82"/>
      <c r="F133" s="83"/>
      <c r="G133" s="81"/>
      <c r="H133" s="82"/>
      <c r="I133" s="84"/>
      <c r="J133" s="84"/>
      <c r="K133" s="84"/>
      <c r="L133" s="83"/>
      <c r="M133" s="85"/>
      <c r="N133" s="84"/>
      <c r="O133" s="84"/>
      <c r="P133" s="84"/>
    </row>
    <row r="134" spans="1:16" ht="15.75" customHeight="1">
      <c r="A134" s="80"/>
      <c r="B134" s="81"/>
      <c r="C134" s="82"/>
      <c r="D134" s="81"/>
      <c r="E134" s="82"/>
      <c r="F134" s="83"/>
      <c r="G134" s="81"/>
      <c r="H134" s="82"/>
      <c r="I134" s="84"/>
      <c r="J134" s="84"/>
      <c r="K134" s="84"/>
      <c r="L134" s="83"/>
      <c r="M134" s="85"/>
      <c r="N134" s="84"/>
      <c r="O134" s="84"/>
      <c r="P134" s="84"/>
    </row>
    <row r="135" spans="1:16" ht="15.75" customHeight="1">
      <c r="A135" s="80"/>
      <c r="B135" s="81"/>
      <c r="C135" s="82"/>
      <c r="D135" s="81"/>
      <c r="E135" s="82"/>
      <c r="F135" s="83"/>
      <c r="G135" s="81"/>
      <c r="H135" s="82"/>
      <c r="I135" s="84"/>
      <c r="J135" s="84"/>
      <c r="K135" s="84"/>
      <c r="L135" s="83"/>
      <c r="M135" s="85"/>
      <c r="N135" s="84"/>
      <c r="O135" s="84"/>
      <c r="P135" s="84"/>
    </row>
    <row r="136" spans="1:16" ht="15.75" customHeight="1">
      <c r="A136" s="80"/>
      <c r="B136" s="81"/>
      <c r="C136" s="82"/>
      <c r="D136" s="81"/>
      <c r="E136" s="82"/>
      <c r="F136" s="83"/>
      <c r="G136" s="81"/>
      <c r="H136" s="82"/>
      <c r="I136" s="84"/>
      <c r="J136" s="84"/>
      <c r="K136" s="84"/>
      <c r="L136" s="83"/>
      <c r="M136" s="85"/>
      <c r="N136" s="84"/>
      <c r="O136" s="84"/>
      <c r="P136" s="84"/>
    </row>
    <row r="137" spans="1:16" ht="15.75" customHeight="1">
      <c r="A137" s="80"/>
      <c r="B137" s="81"/>
      <c r="C137" s="82"/>
      <c r="D137" s="81"/>
      <c r="E137" s="82"/>
      <c r="F137" s="83"/>
      <c r="G137" s="81"/>
      <c r="H137" s="82"/>
      <c r="I137" s="84"/>
      <c r="J137" s="84"/>
      <c r="K137" s="84"/>
      <c r="L137" s="83"/>
      <c r="M137" s="85"/>
      <c r="N137" s="84"/>
      <c r="O137" s="84"/>
      <c r="P137" s="84"/>
    </row>
    <row r="138" spans="1:16" ht="15.75" customHeight="1">
      <c r="A138" s="80"/>
      <c r="B138" s="81"/>
      <c r="C138" s="82"/>
      <c r="D138" s="81"/>
      <c r="E138" s="82"/>
      <c r="F138" s="83"/>
      <c r="G138" s="81"/>
      <c r="H138" s="82"/>
      <c r="I138" s="84"/>
      <c r="J138" s="84"/>
      <c r="K138" s="84"/>
      <c r="L138" s="83"/>
      <c r="M138" s="85"/>
      <c r="N138" s="84"/>
      <c r="O138" s="84"/>
      <c r="P138" s="84"/>
    </row>
    <row r="139" spans="1:16" ht="15.75" customHeight="1">
      <c r="A139" s="80"/>
      <c r="B139" s="81"/>
      <c r="C139" s="82"/>
      <c r="D139" s="81"/>
      <c r="E139" s="82"/>
      <c r="F139" s="83"/>
      <c r="G139" s="81"/>
      <c r="H139" s="82"/>
      <c r="I139" s="84"/>
      <c r="J139" s="84"/>
      <c r="K139" s="84"/>
      <c r="L139" s="83"/>
      <c r="M139" s="85"/>
      <c r="N139" s="84"/>
      <c r="O139" s="84"/>
      <c r="P139" s="84"/>
    </row>
    <row r="140" spans="1:16" ht="15.75" customHeight="1">
      <c r="A140" s="80"/>
      <c r="B140" s="81"/>
      <c r="C140" s="82"/>
      <c r="D140" s="81"/>
      <c r="E140" s="82"/>
      <c r="F140" s="83"/>
      <c r="G140" s="81"/>
      <c r="H140" s="82"/>
      <c r="I140" s="84"/>
      <c r="J140" s="84"/>
      <c r="K140" s="84"/>
      <c r="L140" s="83"/>
      <c r="M140" s="85"/>
      <c r="N140" s="84"/>
      <c r="O140" s="84"/>
      <c r="P140" s="84"/>
    </row>
    <row r="141" spans="1:16" ht="15.75" customHeight="1">
      <c r="A141" s="80"/>
      <c r="B141" s="81"/>
      <c r="C141" s="82"/>
      <c r="D141" s="81"/>
      <c r="E141" s="82"/>
      <c r="F141" s="83"/>
      <c r="G141" s="81"/>
      <c r="H141" s="82"/>
      <c r="I141" s="84"/>
      <c r="J141" s="84"/>
      <c r="K141" s="84"/>
      <c r="L141" s="83"/>
      <c r="M141" s="85"/>
      <c r="N141" s="84"/>
      <c r="O141" s="84"/>
      <c r="P141" s="84"/>
    </row>
    <row r="142" spans="1:16" ht="15.75" customHeight="1">
      <c r="A142" s="80"/>
      <c r="B142" s="81"/>
      <c r="C142" s="82"/>
      <c r="D142" s="81"/>
      <c r="E142" s="82"/>
      <c r="F142" s="83"/>
      <c r="G142" s="81"/>
      <c r="H142" s="82"/>
      <c r="I142" s="84"/>
      <c r="J142" s="84"/>
      <c r="K142" s="84"/>
      <c r="L142" s="83"/>
      <c r="M142" s="85"/>
      <c r="N142" s="84"/>
      <c r="O142" s="84"/>
      <c r="P142" s="84"/>
    </row>
    <row r="143" spans="1:16" ht="15.75" customHeight="1">
      <c r="A143" s="80"/>
      <c r="B143" s="81"/>
      <c r="C143" s="82"/>
      <c r="D143" s="81"/>
      <c r="E143" s="82"/>
      <c r="F143" s="83"/>
      <c r="G143" s="81"/>
      <c r="H143" s="82"/>
      <c r="I143" s="84"/>
      <c r="J143" s="84"/>
      <c r="K143" s="84"/>
      <c r="L143" s="83"/>
      <c r="M143" s="85"/>
      <c r="N143" s="84"/>
      <c r="O143" s="84"/>
      <c r="P143" s="84"/>
    </row>
    <row r="144" spans="1:16" ht="15.75" customHeight="1">
      <c r="A144" s="80"/>
      <c r="B144" s="81"/>
      <c r="C144" s="82"/>
      <c r="D144" s="81"/>
      <c r="E144" s="82"/>
      <c r="F144" s="83"/>
      <c r="G144" s="81"/>
      <c r="H144" s="82"/>
      <c r="I144" s="84"/>
      <c r="J144" s="84"/>
      <c r="K144" s="84"/>
      <c r="L144" s="83"/>
      <c r="M144" s="85"/>
      <c r="N144" s="84"/>
      <c r="O144" s="84"/>
      <c r="P144" s="84"/>
    </row>
    <row r="145" spans="1:16" ht="15.75" customHeight="1">
      <c r="A145" s="80"/>
      <c r="B145" s="81"/>
      <c r="C145" s="82"/>
      <c r="D145" s="81"/>
      <c r="E145" s="82"/>
      <c r="F145" s="83"/>
      <c r="G145" s="81"/>
      <c r="H145" s="82"/>
      <c r="I145" s="84"/>
      <c r="J145" s="84"/>
      <c r="K145" s="84"/>
      <c r="L145" s="83"/>
      <c r="M145" s="85"/>
      <c r="N145" s="84"/>
      <c r="O145" s="84"/>
      <c r="P145" s="84"/>
    </row>
    <row r="146" spans="1:16" ht="15.75" customHeight="1">
      <c r="A146" s="80"/>
      <c r="B146" s="81"/>
      <c r="C146" s="82"/>
      <c r="D146" s="81"/>
      <c r="E146" s="82"/>
      <c r="F146" s="83"/>
      <c r="G146" s="81"/>
      <c r="H146" s="82"/>
      <c r="I146" s="84"/>
      <c r="J146" s="84"/>
      <c r="K146" s="84"/>
      <c r="L146" s="83"/>
      <c r="M146" s="85"/>
      <c r="N146" s="84"/>
      <c r="O146" s="84"/>
      <c r="P146" s="84"/>
    </row>
    <row r="147" spans="1:16" ht="15.75" customHeight="1">
      <c r="A147" s="80"/>
      <c r="B147" s="81"/>
      <c r="C147" s="82"/>
      <c r="D147" s="81"/>
      <c r="E147" s="82"/>
      <c r="F147" s="83"/>
      <c r="G147" s="81"/>
      <c r="H147" s="82"/>
      <c r="I147" s="84"/>
      <c r="J147" s="84"/>
      <c r="K147" s="84"/>
      <c r="L147" s="83"/>
      <c r="M147" s="85"/>
      <c r="N147" s="84"/>
      <c r="O147" s="84"/>
      <c r="P147" s="84"/>
    </row>
    <row r="148" spans="1:16" ht="15.75" customHeight="1">
      <c r="A148" s="80"/>
      <c r="B148" s="81"/>
      <c r="C148" s="82"/>
      <c r="D148" s="81"/>
      <c r="E148" s="82"/>
      <c r="F148" s="83"/>
      <c r="G148" s="81"/>
      <c r="H148" s="82"/>
      <c r="I148" s="84"/>
      <c r="J148" s="84"/>
      <c r="K148" s="84"/>
      <c r="L148" s="83"/>
      <c r="M148" s="85"/>
      <c r="N148" s="84"/>
      <c r="O148" s="84"/>
      <c r="P148" s="84"/>
    </row>
    <row r="149" spans="1:16" ht="15.75" customHeight="1">
      <c r="A149" s="80"/>
      <c r="B149" s="81"/>
      <c r="C149" s="82"/>
      <c r="D149" s="81"/>
      <c r="E149" s="82"/>
      <c r="F149" s="83"/>
      <c r="G149" s="81"/>
      <c r="H149" s="82"/>
      <c r="I149" s="84"/>
      <c r="J149" s="84"/>
      <c r="K149" s="84"/>
      <c r="L149" s="83"/>
      <c r="M149" s="85"/>
      <c r="N149" s="84"/>
      <c r="O149" s="84"/>
      <c r="P149" s="84"/>
    </row>
    <row r="150" spans="1:16" ht="15.75" customHeight="1">
      <c r="A150" s="80"/>
      <c r="B150" s="81"/>
      <c r="C150" s="82"/>
      <c r="D150" s="81"/>
      <c r="E150" s="82"/>
      <c r="F150" s="83"/>
      <c r="G150" s="81"/>
      <c r="H150" s="82"/>
      <c r="I150" s="84"/>
      <c r="J150" s="84"/>
      <c r="K150" s="84"/>
      <c r="L150" s="83"/>
      <c r="M150" s="85"/>
      <c r="N150" s="84"/>
      <c r="O150" s="84"/>
      <c r="P150" s="84"/>
    </row>
    <row r="151" spans="1:16" ht="15.75" customHeight="1">
      <c r="A151" s="80"/>
      <c r="B151" s="81"/>
      <c r="C151" s="82"/>
      <c r="D151" s="81"/>
      <c r="E151" s="82"/>
      <c r="F151" s="83"/>
      <c r="G151" s="81"/>
      <c r="H151" s="82"/>
      <c r="I151" s="84"/>
      <c r="J151" s="84"/>
      <c r="K151" s="84"/>
      <c r="L151" s="83"/>
      <c r="M151" s="85"/>
      <c r="N151" s="84"/>
      <c r="O151" s="84"/>
      <c r="P151" s="84"/>
    </row>
    <row r="152" spans="1:16" ht="15.75" customHeight="1">
      <c r="A152" s="80"/>
      <c r="B152" s="81"/>
      <c r="C152" s="82"/>
      <c r="D152" s="81"/>
      <c r="E152" s="82"/>
      <c r="F152" s="83"/>
      <c r="G152" s="81"/>
      <c r="H152" s="82"/>
      <c r="I152" s="84"/>
      <c r="J152" s="84"/>
      <c r="K152" s="84"/>
      <c r="L152" s="83"/>
      <c r="M152" s="85"/>
      <c r="N152" s="84"/>
      <c r="O152" s="84"/>
      <c r="P152" s="84"/>
    </row>
    <row r="153" spans="1:16" ht="15.75" customHeight="1">
      <c r="A153" s="80"/>
      <c r="B153" s="81"/>
      <c r="C153" s="82"/>
      <c r="D153" s="81"/>
      <c r="E153" s="82"/>
      <c r="F153" s="83"/>
      <c r="G153" s="81"/>
      <c r="H153" s="82"/>
      <c r="I153" s="84"/>
      <c r="J153" s="84"/>
      <c r="K153" s="84"/>
      <c r="L153" s="83"/>
      <c r="M153" s="85"/>
      <c r="N153" s="84"/>
      <c r="O153" s="84"/>
      <c r="P153" s="84"/>
    </row>
    <row r="154" spans="1:16" ht="15.75" customHeight="1">
      <c r="A154" s="80"/>
      <c r="B154" s="81"/>
      <c r="C154" s="82"/>
      <c r="D154" s="81"/>
      <c r="E154" s="82"/>
      <c r="F154" s="83"/>
      <c r="G154" s="81"/>
      <c r="H154" s="82"/>
      <c r="I154" s="84"/>
      <c r="J154" s="84"/>
      <c r="K154" s="84"/>
      <c r="L154" s="83"/>
      <c r="M154" s="85"/>
      <c r="N154" s="84"/>
      <c r="O154" s="84"/>
      <c r="P154" s="84"/>
    </row>
    <row r="155" spans="1:16" ht="15.75" customHeight="1">
      <c r="A155" s="80"/>
      <c r="B155" s="81"/>
      <c r="C155" s="82"/>
      <c r="D155" s="81"/>
      <c r="E155" s="82"/>
      <c r="F155" s="83"/>
      <c r="G155" s="81"/>
      <c r="H155" s="82"/>
      <c r="I155" s="84"/>
      <c r="J155" s="84"/>
      <c r="K155" s="84"/>
      <c r="L155" s="83"/>
      <c r="M155" s="85"/>
      <c r="N155" s="84"/>
      <c r="O155" s="84"/>
      <c r="P155" s="84"/>
    </row>
    <row r="156" spans="1:16" ht="15.75" customHeight="1">
      <c r="A156" s="80"/>
      <c r="B156" s="81"/>
      <c r="C156" s="82"/>
      <c r="D156" s="81"/>
      <c r="E156" s="82"/>
      <c r="F156" s="83"/>
      <c r="G156" s="81"/>
      <c r="H156" s="82"/>
      <c r="I156" s="84"/>
      <c r="J156" s="84"/>
      <c r="K156" s="84"/>
      <c r="L156" s="83"/>
      <c r="M156" s="85"/>
      <c r="N156" s="84"/>
      <c r="O156" s="84"/>
      <c r="P156" s="84"/>
    </row>
    <row r="157" spans="1:16" ht="15.75" customHeight="1">
      <c r="A157" s="80"/>
      <c r="B157" s="81"/>
      <c r="C157" s="82"/>
      <c r="D157" s="81"/>
      <c r="E157" s="82"/>
      <c r="F157" s="83"/>
      <c r="G157" s="81"/>
      <c r="H157" s="82"/>
      <c r="I157" s="84"/>
      <c r="J157" s="84"/>
      <c r="K157" s="84"/>
      <c r="L157" s="83"/>
      <c r="M157" s="85"/>
      <c r="N157" s="84"/>
      <c r="O157" s="84"/>
      <c r="P157" s="84"/>
    </row>
    <row r="158" spans="1:16" ht="15.75" customHeight="1">
      <c r="A158" s="80"/>
      <c r="B158" s="81"/>
      <c r="C158" s="82"/>
      <c r="D158" s="81"/>
      <c r="E158" s="82"/>
      <c r="F158" s="83"/>
      <c r="G158" s="81"/>
      <c r="H158" s="82"/>
      <c r="I158" s="84"/>
      <c r="J158" s="84"/>
      <c r="K158" s="84"/>
      <c r="L158" s="83"/>
      <c r="M158" s="85"/>
      <c r="N158" s="84"/>
      <c r="O158" s="84"/>
      <c r="P158" s="84"/>
    </row>
    <row r="159" spans="1:16" ht="15.75" customHeight="1">
      <c r="A159" s="80"/>
      <c r="B159" s="81"/>
      <c r="C159" s="82"/>
      <c r="D159" s="81"/>
      <c r="E159" s="82"/>
      <c r="F159" s="83"/>
      <c r="G159" s="81"/>
      <c r="H159" s="82"/>
      <c r="I159" s="84"/>
      <c r="J159" s="84"/>
      <c r="K159" s="84"/>
      <c r="L159" s="83"/>
      <c r="M159" s="85"/>
      <c r="N159" s="84"/>
      <c r="O159" s="84"/>
      <c r="P159" s="84"/>
    </row>
    <row r="160" spans="1:16" ht="15.75" customHeight="1">
      <c r="A160" s="80"/>
      <c r="B160" s="81"/>
      <c r="C160" s="82"/>
      <c r="D160" s="81"/>
      <c r="E160" s="82"/>
      <c r="F160" s="83"/>
      <c r="G160" s="81"/>
      <c r="H160" s="82"/>
      <c r="I160" s="84"/>
      <c r="J160" s="84"/>
      <c r="K160" s="84"/>
      <c r="L160" s="83"/>
      <c r="M160" s="85"/>
      <c r="N160" s="84"/>
      <c r="O160" s="84"/>
      <c r="P160" s="84"/>
    </row>
    <row r="161" spans="1:16" ht="15.75" customHeight="1">
      <c r="A161" s="80"/>
      <c r="B161" s="81"/>
      <c r="C161" s="82"/>
      <c r="D161" s="81"/>
      <c r="E161" s="82"/>
      <c r="F161" s="83"/>
      <c r="G161" s="81"/>
      <c r="H161" s="82"/>
      <c r="I161" s="84"/>
      <c r="J161" s="84"/>
      <c r="K161" s="84"/>
      <c r="L161" s="83"/>
      <c r="M161" s="85"/>
      <c r="N161" s="84"/>
      <c r="O161" s="84"/>
      <c r="P161" s="84"/>
    </row>
    <row r="162" spans="1:16" ht="15.75" customHeight="1">
      <c r="A162" s="80"/>
      <c r="B162" s="81"/>
      <c r="C162" s="82"/>
      <c r="D162" s="81"/>
      <c r="E162" s="82"/>
      <c r="F162" s="83"/>
      <c r="G162" s="81"/>
      <c r="H162" s="82"/>
      <c r="I162" s="84"/>
      <c r="J162" s="84"/>
      <c r="K162" s="84"/>
      <c r="L162" s="83"/>
      <c r="M162" s="85"/>
      <c r="N162" s="84"/>
      <c r="O162" s="84"/>
      <c r="P162" s="84"/>
    </row>
    <row r="163" spans="1:16" ht="15.75" customHeight="1">
      <c r="A163" s="80"/>
      <c r="B163" s="81"/>
      <c r="C163" s="82"/>
      <c r="D163" s="81"/>
      <c r="E163" s="82"/>
      <c r="F163" s="83"/>
      <c r="G163" s="81"/>
      <c r="H163" s="82"/>
      <c r="I163" s="84"/>
      <c r="J163" s="84"/>
      <c r="K163" s="84"/>
      <c r="L163" s="83"/>
      <c r="M163" s="85"/>
      <c r="N163" s="84"/>
      <c r="O163" s="84"/>
      <c r="P163" s="84"/>
    </row>
    <row r="164" spans="1:16" ht="15.75" customHeight="1">
      <c r="A164" s="80"/>
      <c r="B164" s="81"/>
      <c r="C164" s="82"/>
      <c r="D164" s="81"/>
      <c r="E164" s="82"/>
      <c r="F164" s="83"/>
      <c r="G164" s="81"/>
      <c r="H164" s="82"/>
      <c r="I164" s="84"/>
      <c r="J164" s="84"/>
      <c r="K164" s="84"/>
      <c r="L164" s="83"/>
      <c r="M164" s="85"/>
      <c r="N164" s="84"/>
      <c r="O164" s="84"/>
      <c r="P164" s="84"/>
    </row>
    <row r="165" spans="1:16" ht="15.75" customHeight="1">
      <c r="A165" s="80"/>
      <c r="B165" s="81"/>
      <c r="C165" s="82"/>
      <c r="D165" s="81"/>
      <c r="E165" s="82"/>
      <c r="F165" s="83"/>
      <c r="G165" s="81"/>
      <c r="H165" s="82"/>
      <c r="I165" s="84"/>
      <c r="J165" s="84"/>
      <c r="K165" s="84"/>
      <c r="L165" s="83"/>
      <c r="M165" s="85"/>
      <c r="N165" s="84"/>
      <c r="O165" s="84"/>
      <c r="P165" s="84"/>
    </row>
    <row r="166" spans="1:16" ht="15.75" customHeight="1">
      <c r="A166" s="80"/>
      <c r="B166" s="81"/>
      <c r="C166" s="82"/>
      <c r="D166" s="81"/>
      <c r="E166" s="82"/>
      <c r="F166" s="83"/>
      <c r="G166" s="81"/>
      <c r="H166" s="82"/>
      <c r="I166" s="84"/>
      <c r="J166" s="84"/>
      <c r="K166" s="84"/>
      <c r="L166" s="83"/>
      <c r="M166" s="85"/>
      <c r="N166" s="84"/>
      <c r="O166" s="84"/>
      <c r="P166" s="84"/>
    </row>
    <row r="167" spans="1:16" ht="15.75" customHeight="1">
      <c r="A167" s="80"/>
      <c r="B167" s="81"/>
      <c r="C167" s="82"/>
      <c r="D167" s="81"/>
      <c r="E167" s="82"/>
      <c r="F167" s="83"/>
      <c r="G167" s="81"/>
      <c r="H167" s="82"/>
      <c r="I167" s="84"/>
      <c r="J167" s="84"/>
      <c r="K167" s="84"/>
      <c r="L167" s="83"/>
      <c r="M167" s="85"/>
      <c r="N167" s="84"/>
      <c r="O167" s="84"/>
      <c r="P167" s="84"/>
    </row>
    <row r="168" spans="1:16" ht="15.75" customHeight="1">
      <c r="A168" s="80"/>
      <c r="B168" s="81"/>
      <c r="C168" s="82"/>
      <c r="D168" s="81"/>
      <c r="E168" s="82"/>
      <c r="F168" s="83"/>
      <c r="G168" s="81"/>
      <c r="H168" s="82"/>
      <c r="I168" s="84"/>
      <c r="J168" s="84"/>
      <c r="K168" s="84"/>
      <c r="L168" s="83"/>
      <c r="M168" s="85"/>
      <c r="N168" s="84"/>
      <c r="O168" s="84"/>
      <c r="P168" s="84"/>
    </row>
    <row r="169" spans="1:16" ht="15.75" customHeight="1">
      <c r="A169" s="80"/>
      <c r="B169" s="81"/>
      <c r="C169" s="82"/>
      <c r="D169" s="81"/>
      <c r="E169" s="82"/>
      <c r="F169" s="83"/>
      <c r="G169" s="81"/>
      <c r="H169" s="82"/>
      <c r="I169" s="84"/>
      <c r="J169" s="84"/>
      <c r="K169" s="84"/>
      <c r="L169" s="83"/>
      <c r="M169" s="85"/>
      <c r="N169" s="84"/>
      <c r="O169" s="84"/>
      <c r="P169" s="84"/>
    </row>
    <row r="170" spans="1:16" ht="15.75" customHeight="1">
      <c r="A170" s="80"/>
      <c r="B170" s="81"/>
      <c r="C170" s="82"/>
      <c r="D170" s="81"/>
      <c r="E170" s="82"/>
      <c r="F170" s="83"/>
      <c r="G170" s="81"/>
      <c r="H170" s="82"/>
      <c r="I170" s="84"/>
      <c r="J170" s="84"/>
      <c r="K170" s="84"/>
      <c r="L170" s="83"/>
      <c r="M170" s="85"/>
      <c r="N170" s="84"/>
      <c r="O170" s="84"/>
      <c r="P170" s="84"/>
    </row>
    <row r="171" spans="1:16" ht="15.75" customHeight="1">
      <c r="A171" s="80"/>
      <c r="B171" s="81"/>
      <c r="C171" s="82"/>
      <c r="D171" s="81"/>
      <c r="E171" s="82"/>
      <c r="F171" s="83"/>
      <c r="G171" s="81"/>
      <c r="H171" s="82"/>
      <c r="I171" s="84"/>
      <c r="J171" s="84"/>
      <c r="K171" s="84"/>
      <c r="L171" s="83"/>
      <c r="M171" s="85"/>
      <c r="N171" s="84"/>
      <c r="O171" s="84"/>
      <c r="P171" s="84"/>
    </row>
    <row r="172" spans="1:16" ht="15.75" customHeight="1">
      <c r="A172" s="80"/>
      <c r="B172" s="81"/>
      <c r="C172" s="82"/>
      <c r="D172" s="81"/>
      <c r="E172" s="82"/>
      <c r="F172" s="83"/>
      <c r="G172" s="81"/>
      <c r="H172" s="82"/>
      <c r="I172" s="84"/>
      <c r="J172" s="84"/>
      <c r="K172" s="84"/>
      <c r="L172" s="83"/>
      <c r="M172" s="85"/>
      <c r="N172" s="84"/>
      <c r="O172" s="84"/>
      <c r="P172" s="84"/>
    </row>
    <row r="173" spans="1:16" ht="15.75" customHeight="1">
      <c r="A173" s="80"/>
      <c r="B173" s="81"/>
      <c r="C173" s="82"/>
      <c r="D173" s="81"/>
      <c r="E173" s="82"/>
      <c r="F173" s="83"/>
      <c r="G173" s="81"/>
      <c r="H173" s="82"/>
      <c r="I173" s="84"/>
      <c r="J173" s="84"/>
      <c r="K173" s="84"/>
      <c r="L173" s="83"/>
      <c r="M173" s="85"/>
      <c r="N173" s="84"/>
      <c r="O173" s="84"/>
      <c r="P173" s="84"/>
    </row>
    <row r="174" spans="1:16" ht="15.75" customHeight="1">
      <c r="A174" s="80"/>
      <c r="B174" s="81"/>
      <c r="C174" s="82"/>
      <c r="D174" s="81"/>
      <c r="E174" s="82"/>
      <c r="F174" s="83"/>
      <c r="G174" s="81"/>
      <c r="H174" s="82"/>
      <c r="I174" s="84"/>
      <c r="J174" s="84"/>
      <c r="K174" s="84"/>
      <c r="L174" s="83"/>
      <c r="M174" s="85"/>
      <c r="N174" s="84"/>
      <c r="O174" s="84"/>
      <c r="P174" s="84"/>
    </row>
    <row r="175" spans="1:16" ht="15.75" customHeight="1">
      <c r="A175" s="80"/>
      <c r="B175" s="81"/>
      <c r="C175" s="82"/>
      <c r="D175" s="81"/>
      <c r="E175" s="82"/>
      <c r="F175" s="83"/>
      <c r="G175" s="81"/>
      <c r="H175" s="82"/>
      <c r="I175" s="84"/>
      <c r="J175" s="84"/>
      <c r="K175" s="84"/>
      <c r="L175" s="83"/>
      <c r="M175" s="85"/>
      <c r="N175" s="84"/>
      <c r="O175" s="84"/>
      <c r="P175" s="84"/>
    </row>
    <row r="176" spans="1:16" ht="15.75" customHeight="1">
      <c r="A176" s="80"/>
      <c r="B176" s="81"/>
      <c r="C176" s="82"/>
      <c r="D176" s="81"/>
      <c r="E176" s="82"/>
      <c r="F176" s="83"/>
      <c r="G176" s="81"/>
      <c r="H176" s="82"/>
      <c r="I176" s="84"/>
      <c r="J176" s="84"/>
      <c r="K176" s="84"/>
      <c r="L176" s="83"/>
      <c r="M176" s="85"/>
      <c r="N176" s="84"/>
      <c r="O176" s="84"/>
      <c r="P176" s="84"/>
    </row>
    <row r="177" spans="1:16" ht="15.75" customHeight="1">
      <c r="A177" s="80"/>
      <c r="B177" s="81"/>
      <c r="C177" s="82"/>
      <c r="D177" s="81"/>
      <c r="E177" s="82"/>
      <c r="F177" s="83"/>
      <c r="G177" s="81"/>
      <c r="H177" s="82"/>
      <c r="I177" s="84"/>
      <c r="J177" s="84"/>
      <c r="K177" s="84"/>
      <c r="L177" s="83"/>
      <c r="M177" s="85"/>
      <c r="N177" s="84"/>
      <c r="O177" s="84"/>
      <c r="P177" s="84"/>
    </row>
    <row r="178" spans="1:16" ht="15.75" customHeight="1">
      <c r="A178" s="80"/>
      <c r="B178" s="81"/>
      <c r="C178" s="82"/>
      <c r="D178" s="81"/>
      <c r="E178" s="82"/>
      <c r="F178" s="83"/>
      <c r="G178" s="81"/>
      <c r="H178" s="82"/>
      <c r="I178" s="84"/>
      <c r="J178" s="84"/>
      <c r="K178" s="84"/>
      <c r="L178" s="83"/>
      <c r="M178" s="85"/>
      <c r="N178" s="84"/>
      <c r="O178" s="84"/>
      <c r="P178" s="84"/>
    </row>
    <row r="179" spans="1:16" ht="15.75" customHeight="1">
      <c r="A179" s="80"/>
      <c r="B179" s="81"/>
      <c r="C179" s="82"/>
      <c r="D179" s="81"/>
      <c r="E179" s="82"/>
      <c r="F179" s="83"/>
      <c r="G179" s="81"/>
      <c r="H179" s="82"/>
      <c r="I179" s="84"/>
      <c r="J179" s="84"/>
      <c r="K179" s="84"/>
      <c r="L179" s="83"/>
      <c r="M179" s="85"/>
      <c r="N179" s="84"/>
      <c r="O179" s="84"/>
      <c r="P179" s="84"/>
    </row>
    <row r="180" spans="1:16" ht="15.75" customHeight="1">
      <c r="A180" s="80"/>
      <c r="B180" s="81"/>
      <c r="C180" s="82"/>
      <c r="D180" s="81"/>
      <c r="E180" s="82"/>
      <c r="F180" s="83"/>
      <c r="G180" s="81"/>
      <c r="H180" s="82"/>
      <c r="I180" s="84"/>
      <c r="J180" s="84"/>
      <c r="K180" s="84"/>
      <c r="L180" s="83"/>
      <c r="M180" s="85"/>
      <c r="N180" s="84"/>
      <c r="O180" s="84"/>
      <c r="P180" s="84"/>
    </row>
    <row r="181" spans="1:16" ht="15.75" customHeight="1">
      <c r="A181" s="80"/>
      <c r="B181" s="81"/>
      <c r="C181" s="82"/>
      <c r="D181" s="81"/>
      <c r="E181" s="82"/>
      <c r="F181" s="83"/>
      <c r="G181" s="81"/>
      <c r="H181" s="82"/>
      <c r="I181" s="84"/>
      <c r="J181" s="84"/>
      <c r="K181" s="84"/>
      <c r="L181" s="83"/>
      <c r="M181" s="85"/>
      <c r="N181" s="84"/>
      <c r="O181" s="84"/>
      <c r="P181" s="84"/>
    </row>
    <row r="182" spans="1:16" ht="15.75" customHeight="1">
      <c r="A182" s="80"/>
      <c r="B182" s="81"/>
      <c r="C182" s="82"/>
      <c r="D182" s="81"/>
      <c r="E182" s="82"/>
      <c r="F182" s="83"/>
      <c r="G182" s="81"/>
      <c r="H182" s="82"/>
      <c r="I182" s="84"/>
      <c r="J182" s="84"/>
      <c r="K182" s="84"/>
      <c r="L182" s="83"/>
      <c r="M182" s="85"/>
      <c r="N182" s="84"/>
      <c r="O182" s="84"/>
      <c r="P182" s="84"/>
    </row>
    <row r="183" spans="1:16" ht="15.75" customHeight="1">
      <c r="A183" s="80"/>
      <c r="B183" s="81"/>
      <c r="C183" s="82"/>
      <c r="D183" s="81"/>
      <c r="E183" s="82"/>
      <c r="F183" s="83"/>
      <c r="G183" s="81"/>
      <c r="H183" s="82"/>
      <c r="I183" s="84"/>
      <c r="J183" s="84"/>
      <c r="K183" s="84"/>
      <c r="L183" s="83"/>
      <c r="M183" s="85"/>
      <c r="N183" s="84"/>
      <c r="O183" s="84"/>
      <c r="P183" s="84"/>
    </row>
    <row r="184" spans="1:16" ht="15.75" customHeight="1">
      <c r="A184" s="80"/>
      <c r="B184" s="81"/>
      <c r="C184" s="82"/>
      <c r="D184" s="81"/>
      <c r="E184" s="82"/>
      <c r="F184" s="83"/>
      <c r="G184" s="81"/>
      <c r="H184" s="82"/>
      <c r="I184" s="84"/>
      <c r="J184" s="84"/>
      <c r="K184" s="84"/>
      <c r="L184" s="83"/>
      <c r="M184" s="85"/>
      <c r="N184" s="84"/>
      <c r="O184" s="84"/>
      <c r="P184" s="84"/>
    </row>
    <row r="185" spans="1:16" ht="15.75" customHeight="1">
      <c r="A185" s="80"/>
      <c r="B185" s="81"/>
      <c r="C185" s="82"/>
      <c r="D185" s="81"/>
      <c r="E185" s="82"/>
      <c r="F185" s="83"/>
      <c r="G185" s="81"/>
      <c r="H185" s="82"/>
      <c r="I185" s="84"/>
      <c r="J185" s="84"/>
      <c r="K185" s="84"/>
      <c r="L185" s="83"/>
      <c r="M185" s="85"/>
      <c r="N185" s="84"/>
      <c r="O185" s="84"/>
      <c r="P185" s="84"/>
    </row>
    <row r="186" spans="1:16" ht="15.75" customHeight="1">
      <c r="A186" s="80"/>
      <c r="B186" s="81"/>
      <c r="C186" s="82"/>
      <c r="D186" s="81"/>
      <c r="E186" s="82"/>
      <c r="F186" s="83"/>
      <c r="G186" s="81"/>
      <c r="H186" s="82"/>
      <c r="I186" s="84"/>
      <c r="J186" s="84"/>
      <c r="K186" s="84"/>
      <c r="L186" s="83"/>
      <c r="M186" s="85"/>
      <c r="N186" s="84"/>
      <c r="O186" s="84"/>
      <c r="P186" s="84"/>
    </row>
    <row r="187" spans="1:16" ht="15.75" customHeight="1">
      <c r="A187" s="80"/>
      <c r="B187" s="81"/>
      <c r="C187" s="82"/>
      <c r="D187" s="81"/>
      <c r="E187" s="82"/>
      <c r="F187" s="83"/>
      <c r="G187" s="81"/>
      <c r="H187" s="82"/>
      <c r="I187" s="84"/>
      <c r="J187" s="84"/>
      <c r="K187" s="84"/>
      <c r="L187" s="83"/>
      <c r="M187" s="85"/>
      <c r="N187" s="84"/>
      <c r="O187" s="84"/>
      <c r="P187" s="84"/>
    </row>
    <row r="188" spans="1:16" ht="15.75" customHeight="1">
      <c r="A188" s="80"/>
      <c r="B188" s="81"/>
      <c r="C188" s="82"/>
      <c r="D188" s="81"/>
      <c r="E188" s="82"/>
      <c r="F188" s="83"/>
      <c r="G188" s="81"/>
      <c r="H188" s="82"/>
      <c r="I188" s="84"/>
      <c r="J188" s="84"/>
      <c r="K188" s="84"/>
      <c r="L188" s="83"/>
      <c r="M188" s="85"/>
      <c r="N188" s="84"/>
      <c r="O188" s="84"/>
      <c r="P188" s="84"/>
    </row>
    <row r="189" spans="1:16" ht="15.75" customHeight="1">
      <c r="A189" s="80"/>
      <c r="B189" s="81"/>
      <c r="C189" s="82"/>
      <c r="D189" s="81"/>
      <c r="E189" s="82"/>
      <c r="F189" s="83"/>
      <c r="G189" s="81"/>
      <c r="H189" s="82"/>
      <c r="I189" s="84"/>
      <c r="J189" s="84"/>
      <c r="K189" s="84"/>
      <c r="L189" s="83"/>
      <c r="M189" s="85"/>
      <c r="N189" s="84"/>
      <c r="O189" s="84"/>
      <c r="P189" s="84"/>
    </row>
    <row r="190" spans="1:16" ht="15.75" customHeight="1">
      <c r="A190" s="80"/>
      <c r="B190" s="81"/>
      <c r="C190" s="82"/>
      <c r="D190" s="81"/>
      <c r="E190" s="82"/>
      <c r="F190" s="83"/>
      <c r="G190" s="81"/>
      <c r="H190" s="82"/>
      <c r="I190" s="84"/>
      <c r="J190" s="84"/>
      <c r="K190" s="84"/>
      <c r="L190" s="83"/>
      <c r="M190" s="85"/>
      <c r="N190" s="84"/>
      <c r="O190" s="84"/>
      <c r="P190" s="84"/>
    </row>
    <row r="191" spans="1:16" ht="15.75" customHeight="1">
      <c r="A191" s="80"/>
      <c r="B191" s="81"/>
      <c r="C191" s="82"/>
      <c r="D191" s="81"/>
      <c r="E191" s="82"/>
      <c r="F191" s="83"/>
      <c r="G191" s="81"/>
      <c r="H191" s="82"/>
      <c r="I191" s="84"/>
      <c r="J191" s="84"/>
      <c r="K191" s="84"/>
      <c r="L191" s="83"/>
      <c r="M191" s="85"/>
      <c r="N191" s="84"/>
      <c r="O191" s="84"/>
      <c r="P191" s="84"/>
    </row>
    <row r="192" spans="1:16" ht="15.75" customHeight="1">
      <c r="A192" s="80"/>
      <c r="B192" s="81"/>
      <c r="C192" s="82"/>
      <c r="D192" s="81"/>
      <c r="E192" s="82"/>
      <c r="F192" s="83"/>
      <c r="G192" s="81"/>
      <c r="H192" s="82"/>
      <c r="I192" s="84"/>
      <c r="J192" s="84"/>
      <c r="K192" s="84"/>
      <c r="L192" s="83"/>
      <c r="M192" s="85"/>
      <c r="N192" s="84"/>
      <c r="O192" s="84"/>
      <c r="P192" s="84"/>
    </row>
    <row r="193" spans="1:16" ht="15.75" customHeight="1">
      <c r="A193" s="80"/>
      <c r="B193" s="81"/>
      <c r="C193" s="82"/>
      <c r="D193" s="81"/>
      <c r="E193" s="82"/>
      <c r="F193" s="83"/>
      <c r="G193" s="81"/>
      <c r="H193" s="82"/>
      <c r="I193" s="84"/>
      <c r="J193" s="84"/>
      <c r="K193" s="84"/>
      <c r="L193" s="83"/>
      <c r="M193" s="85"/>
      <c r="N193" s="84"/>
      <c r="O193" s="84"/>
      <c r="P193" s="84"/>
    </row>
    <row r="194" spans="1:16" ht="15.75" customHeight="1">
      <c r="A194" s="80"/>
      <c r="B194" s="81"/>
      <c r="C194" s="82"/>
      <c r="D194" s="81"/>
      <c r="E194" s="82"/>
      <c r="F194" s="83"/>
      <c r="G194" s="81"/>
      <c r="H194" s="82"/>
      <c r="I194" s="84"/>
      <c r="J194" s="84"/>
      <c r="K194" s="84"/>
      <c r="L194" s="83"/>
      <c r="M194" s="85"/>
      <c r="N194" s="84"/>
      <c r="O194" s="84"/>
      <c r="P194" s="84"/>
    </row>
    <row r="195" spans="1:16" ht="15.75" customHeight="1">
      <c r="A195" s="80"/>
      <c r="B195" s="81"/>
      <c r="C195" s="82"/>
      <c r="D195" s="81"/>
      <c r="E195" s="82"/>
      <c r="F195" s="83"/>
      <c r="G195" s="81"/>
      <c r="H195" s="82"/>
      <c r="I195" s="84"/>
      <c r="J195" s="84"/>
      <c r="K195" s="84"/>
      <c r="L195" s="83"/>
      <c r="M195" s="85"/>
      <c r="N195" s="84"/>
      <c r="O195" s="84"/>
      <c r="P195" s="84"/>
    </row>
    <row r="196" spans="1:16" ht="15.75" customHeight="1">
      <c r="A196" s="80"/>
      <c r="B196" s="81"/>
      <c r="C196" s="82"/>
      <c r="D196" s="81"/>
      <c r="E196" s="82"/>
      <c r="F196" s="83"/>
      <c r="G196" s="81"/>
      <c r="H196" s="82"/>
      <c r="I196" s="84"/>
      <c r="J196" s="84"/>
      <c r="K196" s="84"/>
      <c r="L196" s="83"/>
      <c r="M196" s="85"/>
      <c r="N196" s="84"/>
      <c r="O196" s="84"/>
      <c r="P196" s="84"/>
    </row>
    <row r="197" spans="1:16" ht="15.75" customHeight="1">
      <c r="A197" s="80"/>
      <c r="B197" s="81"/>
      <c r="C197" s="82"/>
      <c r="D197" s="81"/>
      <c r="E197" s="82"/>
      <c r="F197" s="83"/>
      <c r="G197" s="81"/>
      <c r="H197" s="82"/>
      <c r="I197" s="84"/>
      <c r="J197" s="84"/>
      <c r="K197" s="84"/>
      <c r="L197" s="83"/>
      <c r="M197" s="85"/>
      <c r="N197" s="84"/>
      <c r="O197" s="84"/>
      <c r="P197" s="84"/>
    </row>
    <row r="198" spans="1:16" ht="15.75" customHeight="1">
      <c r="A198" s="80"/>
      <c r="B198" s="81"/>
      <c r="C198" s="82"/>
      <c r="D198" s="81"/>
      <c r="E198" s="82"/>
      <c r="F198" s="83"/>
      <c r="G198" s="81"/>
      <c r="H198" s="82"/>
      <c r="I198" s="84"/>
      <c r="J198" s="84"/>
      <c r="K198" s="84"/>
      <c r="L198" s="83"/>
      <c r="M198" s="85"/>
      <c r="N198" s="84"/>
      <c r="O198" s="84"/>
      <c r="P198" s="84"/>
    </row>
    <row r="199" spans="1:16" ht="15.75" customHeight="1">
      <c r="A199" s="80"/>
      <c r="B199" s="81"/>
      <c r="C199" s="82"/>
      <c r="D199" s="81"/>
      <c r="E199" s="82"/>
      <c r="F199" s="83"/>
      <c r="G199" s="81"/>
      <c r="H199" s="82"/>
      <c r="I199" s="84"/>
      <c r="J199" s="84"/>
      <c r="K199" s="84"/>
      <c r="L199" s="83"/>
      <c r="M199" s="85"/>
      <c r="N199" s="84"/>
      <c r="O199" s="84"/>
      <c r="P199" s="84"/>
    </row>
    <row r="200" spans="1:16" ht="15.75" customHeight="1">
      <c r="A200" s="80"/>
      <c r="B200" s="81"/>
      <c r="C200" s="82"/>
      <c r="D200" s="81"/>
      <c r="E200" s="82"/>
      <c r="F200" s="83"/>
      <c r="G200" s="81"/>
      <c r="H200" s="82"/>
      <c r="I200" s="84"/>
      <c r="J200" s="84"/>
      <c r="K200" s="84"/>
      <c r="L200" s="83"/>
      <c r="M200" s="85"/>
      <c r="N200" s="84"/>
      <c r="O200" s="84"/>
      <c r="P200" s="84"/>
    </row>
    <row r="201" spans="1:16" ht="15.75" customHeight="1">
      <c r="A201" s="80"/>
      <c r="B201" s="81"/>
      <c r="C201" s="82"/>
      <c r="D201" s="81"/>
      <c r="E201" s="82"/>
      <c r="F201" s="83"/>
      <c r="G201" s="81"/>
      <c r="H201" s="82"/>
      <c r="I201" s="84"/>
      <c r="J201" s="84"/>
      <c r="K201" s="84"/>
      <c r="L201" s="83"/>
      <c r="M201" s="85"/>
      <c r="N201" s="84"/>
      <c r="O201" s="84"/>
      <c r="P201" s="84"/>
    </row>
    <row r="202" spans="1:16" ht="15.75" customHeight="1">
      <c r="A202" s="80"/>
      <c r="B202" s="81"/>
      <c r="C202" s="82"/>
      <c r="D202" s="81"/>
      <c r="E202" s="82"/>
      <c r="F202" s="83"/>
      <c r="G202" s="81"/>
      <c r="H202" s="82"/>
      <c r="I202" s="84"/>
      <c r="J202" s="84"/>
      <c r="K202" s="84"/>
      <c r="L202" s="83"/>
      <c r="M202" s="85"/>
      <c r="N202" s="84"/>
      <c r="O202" s="84"/>
      <c r="P202" s="84"/>
    </row>
    <row r="203" spans="1:16" ht="15.75" customHeight="1">
      <c r="A203" s="80"/>
      <c r="B203" s="81"/>
      <c r="C203" s="82"/>
      <c r="D203" s="81"/>
      <c r="E203" s="82"/>
      <c r="F203" s="83"/>
      <c r="G203" s="81"/>
      <c r="H203" s="82"/>
      <c r="I203" s="84"/>
      <c r="J203" s="84"/>
      <c r="K203" s="84"/>
      <c r="L203" s="83"/>
      <c r="M203" s="85"/>
      <c r="N203" s="84"/>
      <c r="O203" s="84"/>
      <c r="P203" s="84"/>
    </row>
    <row r="204" spans="1:16" ht="15.75" customHeight="1">
      <c r="A204" s="80"/>
      <c r="B204" s="81"/>
      <c r="C204" s="82"/>
      <c r="D204" s="81"/>
      <c r="E204" s="82"/>
      <c r="F204" s="83"/>
      <c r="G204" s="81"/>
      <c r="H204" s="82"/>
      <c r="I204" s="84"/>
      <c r="J204" s="84"/>
      <c r="K204" s="84"/>
      <c r="L204" s="83"/>
      <c r="M204" s="85"/>
      <c r="N204" s="84"/>
      <c r="O204" s="84"/>
      <c r="P204" s="84"/>
    </row>
    <row r="205" spans="1:16" ht="15.75" customHeight="1">
      <c r="A205" s="80"/>
      <c r="B205" s="81"/>
      <c r="C205" s="82"/>
      <c r="D205" s="81"/>
      <c r="E205" s="82"/>
      <c r="F205" s="83"/>
      <c r="G205" s="81"/>
      <c r="H205" s="82"/>
      <c r="I205" s="84"/>
      <c r="J205" s="84"/>
      <c r="K205" s="84"/>
      <c r="L205" s="83"/>
      <c r="M205" s="85"/>
      <c r="N205" s="84"/>
      <c r="O205" s="84"/>
      <c r="P205" s="84"/>
    </row>
    <row r="206" spans="1:16" ht="15.75" customHeight="1">
      <c r="A206" s="80"/>
      <c r="B206" s="81"/>
      <c r="C206" s="82"/>
      <c r="D206" s="81"/>
      <c r="E206" s="82"/>
      <c r="F206" s="83"/>
      <c r="G206" s="81"/>
      <c r="H206" s="82"/>
      <c r="I206" s="84"/>
      <c r="J206" s="84"/>
      <c r="K206" s="84"/>
      <c r="L206" s="83"/>
      <c r="M206" s="85"/>
      <c r="N206" s="84"/>
      <c r="O206" s="84"/>
      <c r="P206" s="84"/>
    </row>
    <row r="207" spans="1:16" ht="15.75" customHeight="1">
      <c r="A207" s="80"/>
      <c r="B207" s="81"/>
      <c r="C207" s="82"/>
      <c r="D207" s="81"/>
      <c r="E207" s="82"/>
      <c r="F207" s="83"/>
      <c r="G207" s="81"/>
      <c r="H207" s="82"/>
      <c r="I207" s="84"/>
      <c r="J207" s="84"/>
      <c r="K207" s="84"/>
      <c r="L207" s="83"/>
      <c r="M207" s="85"/>
      <c r="N207" s="84"/>
      <c r="O207" s="84"/>
      <c r="P207" s="84"/>
    </row>
    <row r="208" spans="1:16" ht="15.75" customHeight="1">
      <c r="A208" s="80"/>
      <c r="B208" s="81"/>
      <c r="C208" s="82"/>
      <c r="D208" s="81"/>
      <c r="E208" s="82"/>
      <c r="F208" s="83"/>
      <c r="G208" s="81"/>
      <c r="H208" s="82"/>
      <c r="I208" s="84"/>
      <c r="J208" s="84"/>
      <c r="K208" s="84"/>
      <c r="L208" s="83"/>
      <c r="M208" s="85"/>
      <c r="N208" s="84"/>
      <c r="O208" s="84"/>
      <c r="P208" s="84"/>
    </row>
    <row r="209" spans="1:16" ht="15.75" customHeight="1">
      <c r="A209" s="80"/>
      <c r="B209" s="81"/>
      <c r="C209" s="82"/>
      <c r="D209" s="81"/>
      <c r="E209" s="82"/>
      <c r="F209" s="83"/>
      <c r="G209" s="81"/>
      <c r="H209" s="82"/>
      <c r="I209" s="84"/>
      <c r="J209" s="84"/>
      <c r="K209" s="84"/>
      <c r="L209" s="83"/>
      <c r="M209" s="85"/>
      <c r="N209" s="84"/>
      <c r="O209" s="84"/>
      <c r="P209" s="84"/>
    </row>
    <row r="210" spans="1:16" ht="15.75" customHeight="1">
      <c r="A210" s="80"/>
      <c r="B210" s="81"/>
      <c r="C210" s="82"/>
      <c r="D210" s="81"/>
      <c r="E210" s="82"/>
      <c r="F210" s="83"/>
      <c r="G210" s="81"/>
      <c r="H210" s="82"/>
      <c r="I210" s="84"/>
      <c r="J210" s="84"/>
      <c r="K210" s="84"/>
      <c r="L210" s="83"/>
      <c r="M210" s="85"/>
      <c r="N210" s="84"/>
      <c r="O210" s="84"/>
      <c r="P210" s="84"/>
    </row>
    <row r="211" spans="1:16" ht="15.75" customHeight="1">
      <c r="A211" s="80"/>
      <c r="B211" s="81"/>
      <c r="C211" s="82"/>
      <c r="D211" s="81"/>
      <c r="E211" s="82"/>
      <c r="F211" s="83"/>
      <c r="G211" s="81"/>
      <c r="H211" s="82"/>
      <c r="I211" s="84"/>
      <c r="J211" s="84"/>
      <c r="K211" s="84"/>
      <c r="L211" s="83"/>
      <c r="M211" s="85"/>
      <c r="N211" s="84"/>
      <c r="O211" s="84"/>
      <c r="P211" s="84"/>
    </row>
    <row r="212" spans="1:16" ht="15.75" customHeight="1">
      <c r="A212" s="80"/>
      <c r="B212" s="81"/>
      <c r="C212" s="82"/>
      <c r="D212" s="81"/>
      <c r="E212" s="82"/>
      <c r="F212" s="83"/>
      <c r="G212" s="81"/>
      <c r="H212" s="82"/>
      <c r="I212" s="84"/>
      <c r="J212" s="84"/>
      <c r="K212" s="84"/>
      <c r="L212" s="83"/>
      <c r="M212" s="85"/>
      <c r="N212" s="84"/>
      <c r="O212" s="84"/>
      <c r="P212" s="84"/>
    </row>
    <row r="213" spans="1:16" ht="15.75" customHeight="1">
      <c r="A213" s="80"/>
      <c r="B213" s="81"/>
      <c r="C213" s="82"/>
      <c r="D213" s="81"/>
      <c r="E213" s="82"/>
      <c r="F213" s="83"/>
      <c r="G213" s="81"/>
      <c r="H213" s="82"/>
      <c r="I213" s="84"/>
      <c r="J213" s="84"/>
      <c r="K213" s="84"/>
      <c r="L213" s="83"/>
      <c r="M213" s="85"/>
      <c r="N213" s="84"/>
      <c r="O213" s="84"/>
      <c r="P213" s="84"/>
    </row>
    <row r="214" spans="1:16" ht="15.75" customHeight="1">
      <c r="A214" s="80"/>
      <c r="B214" s="81"/>
      <c r="C214" s="82"/>
      <c r="D214" s="81"/>
      <c r="E214" s="82"/>
      <c r="F214" s="83"/>
      <c r="G214" s="81"/>
      <c r="H214" s="82"/>
      <c r="I214" s="84"/>
      <c r="J214" s="84"/>
      <c r="K214" s="84"/>
      <c r="L214" s="83"/>
      <c r="M214" s="85"/>
      <c r="N214" s="84"/>
      <c r="O214" s="84"/>
      <c r="P214" s="84"/>
    </row>
    <row r="215" spans="1:16" ht="15.75" customHeight="1">
      <c r="A215" s="80"/>
      <c r="B215" s="81"/>
      <c r="C215" s="82"/>
      <c r="D215" s="81"/>
      <c r="E215" s="82"/>
      <c r="F215" s="83"/>
      <c r="G215" s="81"/>
      <c r="H215" s="82"/>
      <c r="I215" s="84"/>
      <c r="J215" s="84"/>
      <c r="K215" s="84"/>
      <c r="L215" s="83"/>
      <c r="M215" s="85"/>
      <c r="N215" s="84"/>
      <c r="O215" s="84"/>
      <c r="P215" s="84"/>
    </row>
    <row r="216" spans="1:16" ht="15.75" customHeight="1">
      <c r="A216" s="80"/>
      <c r="B216" s="81"/>
      <c r="C216" s="82"/>
      <c r="D216" s="81"/>
      <c r="E216" s="82"/>
      <c r="F216" s="83"/>
      <c r="G216" s="81"/>
      <c r="H216" s="82"/>
      <c r="I216" s="84"/>
      <c r="J216" s="84"/>
      <c r="K216" s="84"/>
      <c r="L216" s="83"/>
      <c r="M216" s="85"/>
      <c r="N216" s="84"/>
      <c r="O216" s="84"/>
      <c r="P216" s="84"/>
    </row>
    <row r="217" spans="1:16" ht="15.75" customHeight="1">
      <c r="A217" s="80"/>
      <c r="B217" s="81"/>
      <c r="C217" s="82"/>
      <c r="D217" s="81"/>
      <c r="E217" s="82"/>
      <c r="F217" s="83"/>
      <c r="G217" s="81"/>
      <c r="H217" s="82"/>
      <c r="I217" s="84"/>
      <c r="J217" s="84"/>
      <c r="K217" s="84"/>
      <c r="L217" s="83"/>
      <c r="M217" s="85"/>
      <c r="N217" s="84"/>
      <c r="O217" s="84"/>
      <c r="P217" s="84"/>
    </row>
    <row r="218" spans="1:16" ht="15.75" customHeight="1">
      <c r="A218" s="80"/>
      <c r="B218" s="81"/>
      <c r="C218" s="82"/>
      <c r="D218" s="81"/>
      <c r="E218" s="82"/>
      <c r="F218" s="83"/>
      <c r="G218" s="81"/>
      <c r="H218" s="82"/>
      <c r="I218" s="84"/>
      <c r="J218" s="84"/>
      <c r="K218" s="84"/>
      <c r="L218" s="83"/>
      <c r="M218" s="85"/>
      <c r="N218" s="84"/>
      <c r="O218" s="84"/>
      <c r="P218" s="84"/>
    </row>
    <row r="219" spans="1:16" ht="15.75" customHeight="1">
      <c r="A219" s="80"/>
      <c r="B219" s="81"/>
      <c r="C219" s="82"/>
      <c r="D219" s="81"/>
      <c r="E219" s="82"/>
      <c r="F219" s="83"/>
      <c r="G219" s="81"/>
      <c r="H219" s="82"/>
      <c r="I219" s="84"/>
      <c r="J219" s="84"/>
      <c r="K219" s="84"/>
      <c r="L219" s="83"/>
      <c r="M219" s="85"/>
      <c r="N219" s="84"/>
      <c r="O219" s="84"/>
      <c r="P219" s="84"/>
    </row>
    <row r="220" spans="1:16" ht="15.75" customHeight="1">
      <c r="A220" s="80"/>
      <c r="B220" s="81"/>
      <c r="C220" s="82"/>
      <c r="D220" s="81"/>
      <c r="E220" s="82"/>
      <c r="F220" s="83"/>
      <c r="G220" s="81"/>
      <c r="H220" s="82"/>
      <c r="I220" s="84"/>
      <c r="J220" s="84"/>
      <c r="K220" s="84"/>
      <c r="L220" s="83"/>
      <c r="M220" s="85"/>
      <c r="N220" s="84"/>
      <c r="O220" s="84"/>
      <c r="P220" s="84"/>
    </row>
    <row r="221" spans="1:16" ht="15.75" customHeight="1">
      <c r="A221" s="80"/>
      <c r="B221" s="81"/>
      <c r="C221" s="82"/>
      <c r="D221" s="81"/>
      <c r="E221" s="82"/>
      <c r="F221" s="83"/>
      <c r="G221" s="81"/>
      <c r="H221" s="82"/>
      <c r="I221" s="84"/>
      <c r="J221" s="84"/>
      <c r="K221" s="84"/>
      <c r="L221" s="83"/>
      <c r="M221" s="85"/>
      <c r="N221" s="84"/>
      <c r="O221" s="84"/>
      <c r="P221" s="84"/>
    </row>
    <row r="222" spans="1:16" ht="15.75" customHeight="1">
      <c r="A222" s="80"/>
      <c r="B222" s="81"/>
      <c r="C222" s="82"/>
      <c r="D222" s="81"/>
      <c r="E222" s="82"/>
      <c r="F222" s="83"/>
      <c r="G222" s="81"/>
      <c r="H222" s="82"/>
      <c r="I222" s="84"/>
      <c r="J222" s="84"/>
      <c r="K222" s="84"/>
      <c r="L222" s="83"/>
      <c r="M222" s="85"/>
      <c r="N222" s="84"/>
      <c r="O222" s="84"/>
      <c r="P222" s="84"/>
    </row>
    <row r="223" spans="1:16" ht="15.75" customHeight="1">
      <c r="A223" s="80"/>
      <c r="B223" s="81"/>
      <c r="C223" s="82"/>
      <c r="D223" s="81"/>
      <c r="E223" s="82"/>
      <c r="F223" s="83"/>
      <c r="G223" s="81"/>
      <c r="H223" s="82"/>
      <c r="I223" s="84"/>
      <c r="J223" s="84"/>
      <c r="K223" s="84"/>
      <c r="L223" s="83"/>
      <c r="M223" s="85"/>
      <c r="N223" s="84"/>
      <c r="O223" s="84"/>
      <c r="P223" s="84"/>
    </row>
    <row r="224" spans="1:16" ht="15.75" customHeight="1">
      <c r="A224" s="80"/>
      <c r="B224" s="81"/>
      <c r="C224" s="82"/>
      <c r="D224" s="81"/>
      <c r="E224" s="82"/>
      <c r="F224" s="83"/>
      <c r="G224" s="81"/>
      <c r="H224" s="82"/>
      <c r="I224" s="84"/>
      <c r="J224" s="84"/>
      <c r="K224" s="84"/>
      <c r="L224" s="83"/>
      <c r="M224" s="85"/>
      <c r="N224" s="84"/>
      <c r="O224" s="84"/>
      <c r="P224" s="84"/>
    </row>
    <row r="225" spans="1:16" ht="15.75" customHeight="1">
      <c r="A225" s="80"/>
      <c r="B225" s="81"/>
      <c r="C225" s="82"/>
      <c r="D225" s="81"/>
      <c r="E225" s="82"/>
      <c r="F225" s="83"/>
      <c r="G225" s="81"/>
      <c r="H225" s="82"/>
      <c r="I225" s="84"/>
      <c r="J225" s="84"/>
      <c r="K225" s="84"/>
      <c r="L225" s="83"/>
      <c r="M225" s="85"/>
      <c r="N225" s="84"/>
      <c r="O225" s="84"/>
      <c r="P225" s="84"/>
    </row>
    <row r="226" spans="1:16" ht="15.75" customHeight="1">
      <c r="A226" s="80"/>
      <c r="B226" s="81"/>
      <c r="C226" s="82"/>
      <c r="D226" s="81"/>
      <c r="E226" s="82"/>
      <c r="F226" s="83"/>
      <c r="G226" s="81"/>
      <c r="H226" s="82"/>
      <c r="I226" s="84"/>
      <c r="J226" s="84"/>
      <c r="K226" s="84"/>
      <c r="L226" s="83"/>
      <c r="M226" s="85"/>
      <c r="N226" s="84"/>
      <c r="O226" s="84"/>
      <c r="P226" s="84"/>
    </row>
    <row r="227" spans="1:16" ht="15.75" customHeight="1">
      <c r="A227" s="80"/>
      <c r="B227" s="81"/>
      <c r="C227" s="82"/>
      <c r="D227" s="81"/>
      <c r="E227" s="82"/>
      <c r="F227" s="83"/>
      <c r="G227" s="81"/>
      <c r="H227" s="82"/>
      <c r="I227" s="84"/>
      <c r="J227" s="84"/>
      <c r="K227" s="84"/>
      <c r="L227" s="83"/>
      <c r="M227" s="85"/>
      <c r="N227" s="84"/>
      <c r="O227" s="84"/>
      <c r="P227" s="84"/>
    </row>
    <row r="228" spans="1:16" ht="15.75" customHeight="1">
      <c r="A228" s="80"/>
      <c r="B228" s="81"/>
      <c r="C228" s="82"/>
      <c r="D228" s="81"/>
      <c r="E228" s="82"/>
      <c r="F228" s="83"/>
      <c r="G228" s="81"/>
      <c r="H228" s="82"/>
      <c r="I228" s="84"/>
      <c r="J228" s="84"/>
      <c r="K228" s="84"/>
      <c r="L228" s="83"/>
      <c r="M228" s="85"/>
      <c r="N228" s="84"/>
      <c r="O228" s="84"/>
      <c r="P228" s="84"/>
    </row>
    <row r="229" spans="1:16" ht="15.75" customHeight="1">
      <c r="A229" s="80"/>
      <c r="B229" s="81"/>
      <c r="C229" s="82"/>
      <c r="D229" s="81"/>
      <c r="E229" s="82"/>
      <c r="F229" s="83"/>
      <c r="G229" s="81"/>
      <c r="H229" s="82"/>
      <c r="I229" s="84"/>
      <c r="J229" s="84"/>
      <c r="K229" s="84"/>
      <c r="L229" s="83"/>
      <c r="M229" s="85"/>
      <c r="N229" s="84"/>
      <c r="O229" s="84"/>
      <c r="P229" s="84"/>
    </row>
    <row r="230" spans="1:16" ht="15.75" customHeight="1">
      <c r="A230" s="80"/>
      <c r="B230" s="81"/>
      <c r="C230" s="82"/>
      <c r="D230" s="81"/>
      <c r="E230" s="82"/>
      <c r="F230" s="83"/>
      <c r="G230" s="81"/>
      <c r="H230" s="82"/>
      <c r="I230" s="84"/>
      <c r="J230" s="84"/>
      <c r="K230" s="84"/>
      <c r="L230" s="83"/>
      <c r="M230" s="85"/>
      <c r="N230" s="84"/>
      <c r="O230" s="84"/>
      <c r="P230" s="84"/>
    </row>
    <row r="231" spans="1:16" ht="15.75" customHeight="1">
      <c r="A231" s="80"/>
      <c r="B231" s="81"/>
      <c r="C231" s="82"/>
      <c r="D231" s="81"/>
      <c r="E231" s="82"/>
      <c r="F231" s="83"/>
      <c r="G231" s="81"/>
      <c r="H231" s="82"/>
      <c r="I231" s="84"/>
      <c r="J231" s="84"/>
      <c r="K231" s="84"/>
      <c r="L231" s="83"/>
      <c r="M231" s="85"/>
      <c r="N231" s="84"/>
      <c r="O231" s="84"/>
      <c r="P231" s="84"/>
    </row>
    <row r="232" spans="1:16" ht="15.75" customHeight="1">
      <c r="A232" s="80"/>
      <c r="B232" s="81"/>
      <c r="C232" s="82"/>
      <c r="D232" s="81"/>
      <c r="E232" s="82"/>
      <c r="F232" s="83"/>
      <c r="G232" s="81"/>
      <c r="H232" s="82"/>
      <c r="I232" s="84"/>
      <c r="J232" s="84"/>
      <c r="K232" s="84"/>
      <c r="L232" s="83"/>
      <c r="M232" s="85"/>
      <c r="N232" s="84"/>
      <c r="O232" s="84"/>
      <c r="P232" s="84"/>
    </row>
    <row r="233" spans="1:16" ht="15.75" customHeight="1">
      <c r="A233" s="80"/>
      <c r="B233" s="81"/>
      <c r="C233" s="82"/>
      <c r="D233" s="81"/>
      <c r="E233" s="82"/>
      <c r="F233" s="83"/>
      <c r="G233" s="81"/>
      <c r="H233" s="82"/>
      <c r="I233" s="84"/>
      <c r="J233" s="84"/>
      <c r="K233" s="84"/>
      <c r="L233" s="83"/>
      <c r="M233" s="85"/>
      <c r="N233" s="84"/>
      <c r="O233" s="84"/>
      <c r="P233" s="84"/>
    </row>
    <row r="234" spans="1:16" ht="15.75" customHeight="1">
      <c r="A234" s="80"/>
      <c r="B234" s="81"/>
      <c r="C234" s="82"/>
      <c r="D234" s="81"/>
      <c r="E234" s="82"/>
      <c r="F234" s="83"/>
      <c r="G234" s="81"/>
      <c r="H234" s="82"/>
      <c r="I234" s="84"/>
      <c r="J234" s="84"/>
      <c r="K234" s="84"/>
      <c r="L234" s="83"/>
      <c r="M234" s="85"/>
      <c r="N234" s="84"/>
      <c r="O234" s="84"/>
      <c r="P234" s="84"/>
    </row>
    <row r="235" spans="1:16" ht="15.75" customHeight="1">
      <c r="A235" s="80"/>
      <c r="B235" s="81"/>
      <c r="C235" s="82"/>
      <c r="D235" s="81"/>
      <c r="E235" s="82"/>
      <c r="F235" s="83"/>
      <c r="G235" s="81"/>
      <c r="H235" s="82"/>
      <c r="I235" s="84"/>
      <c r="J235" s="84"/>
      <c r="K235" s="84"/>
      <c r="L235" s="83"/>
      <c r="M235" s="85"/>
      <c r="N235" s="84"/>
      <c r="O235" s="84"/>
      <c r="P235" s="84"/>
    </row>
    <row r="236" spans="1:16" ht="15.75" customHeight="1">
      <c r="A236" s="80"/>
      <c r="B236" s="81"/>
      <c r="C236" s="82"/>
      <c r="D236" s="81"/>
      <c r="E236" s="82"/>
      <c r="F236" s="83"/>
      <c r="G236" s="81"/>
      <c r="H236" s="82"/>
      <c r="I236" s="84"/>
      <c r="J236" s="84"/>
      <c r="K236" s="84"/>
      <c r="L236" s="83"/>
      <c r="M236" s="85"/>
      <c r="N236" s="84"/>
      <c r="O236" s="84"/>
      <c r="P236" s="84"/>
    </row>
    <row r="237" spans="1:16" ht="15.75" customHeight="1">
      <c r="A237" s="80"/>
      <c r="B237" s="81"/>
      <c r="C237" s="82"/>
      <c r="D237" s="81"/>
      <c r="E237" s="82"/>
      <c r="F237" s="83"/>
      <c r="G237" s="81"/>
      <c r="H237" s="82"/>
      <c r="I237" s="84"/>
      <c r="J237" s="84"/>
      <c r="K237" s="84"/>
      <c r="L237" s="83"/>
      <c r="M237" s="85"/>
      <c r="N237" s="84"/>
      <c r="O237" s="84"/>
      <c r="P237" s="84"/>
    </row>
    <row r="238" spans="1:16" ht="15.75" customHeight="1">
      <c r="A238" s="80"/>
      <c r="B238" s="81"/>
      <c r="C238" s="82"/>
      <c r="D238" s="81"/>
      <c r="E238" s="82"/>
      <c r="F238" s="83"/>
      <c r="G238" s="81"/>
      <c r="H238" s="82"/>
      <c r="I238" s="84"/>
      <c r="J238" s="84"/>
      <c r="K238" s="84"/>
      <c r="L238" s="83"/>
      <c r="M238" s="85"/>
      <c r="N238" s="84"/>
      <c r="O238" s="84"/>
      <c r="P238" s="84"/>
    </row>
    <row r="239" spans="1:16" ht="15.75" customHeight="1">
      <c r="A239" s="80"/>
      <c r="B239" s="81"/>
      <c r="C239" s="82"/>
      <c r="D239" s="81"/>
      <c r="E239" s="82"/>
      <c r="F239" s="83"/>
      <c r="G239" s="81"/>
      <c r="H239" s="82"/>
      <c r="I239" s="84"/>
      <c r="J239" s="84"/>
      <c r="K239" s="84"/>
      <c r="L239" s="83"/>
      <c r="M239" s="85"/>
      <c r="N239" s="84"/>
      <c r="O239" s="84"/>
      <c r="P239" s="84"/>
    </row>
    <row r="240" spans="1:16" ht="15.75" customHeight="1">
      <c r="A240" s="80"/>
      <c r="B240" s="81"/>
      <c r="C240" s="82"/>
      <c r="D240" s="81"/>
      <c r="E240" s="82"/>
      <c r="F240" s="83"/>
      <c r="G240" s="81"/>
      <c r="H240" s="82"/>
      <c r="I240" s="84"/>
      <c r="J240" s="84"/>
      <c r="K240" s="84"/>
      <c r="L240" s="83"/>
      <c r="M240" s="85"/>
      <c r="N240" s="84"/>
      <c r="O240" s="84"/>
      <c r="P240" s="84"/>
    </row>
    <row r="241" spans="1:16" ht="15.75" customHeight="1">
      <c r="A241" s="80"/>
      <c r="B241" s="81"/>
      <c r="C241" s="82"/>
      <c r="D241" s="81"/>
      <c r="E241" s="82"/>
      <c r="F241" s="83"/>
      <c r="G241" s="81"/>
      <c r="H241" s="82"/>
      <c r="I241" s="84"/>
      <c r="J241" s="84"/>
      <c r="K241" s="84"/>
      <c r="L241" s="83"/>
      <c r="M241" s="85"/>
      <c r="N241" s="84"/>
      <c r="O241" s="84"/>
      <c r="P241" s="84"/>
    </row>
    <row r="242" spans="1:16" ht="15.75" customHeight="1">
      <c r="A242" s="80"/>
      <c r="B242" s="81"/>
      <c r="C242" s="82"/>
      <c r="D242" s="81"/>
      <c r="E242" s="82"/>
      <c r="F242" s="83"/>
      <c r="G242" s="81"/>
      <c r="H242" s="82"/>
      <c r="I242" s="84"/>
      <c r="J242" s="84"/>
      <c r="K242" s="84"/>
      <c r="L242" s="83"/>
      <c r="M242" s="85"/>
      <c r="N242" s="84"/>
      <c r="O242" s="84"/>
      <c r="P242" s="84"/>
    </row>
    <row r="243" spans="1:16" ht="15.75" customHeight="1">
      <c r="A243" s="80"/>
      <c r="B243" s="81"/>
      <c r="C243" s="82"/>
      <c r="D243" s="81"/>
      <c r="E243" s="82"/>
      <c r="F243" s="83"/>
      <c r="G243" s="81"/>
      <c r="H243" s="82"/>
      <c r="I243" s="84"/>
      <c r="J243" s="84"/>
      <c r="K243" s="84"/>
      <c r="L243" s="83"/>
      <c r="M243" s="85"/>
      <c r="N243" s="84"/>
      <c r="O243" s="84"/>
      <c r="P243" s="84"/>
    </row>
    <row r="244" spans="1:16" ht="15.75" customHeight="1">
      <c r="A244" s="80"/>
      <c r="B244" s="81"/>
      <c r="C244" s="82"/>
      <c r="D244" s="81"/>
      <c r="E244" s="82"/>
      <c r="F244" s="83"/>
      <c r="G244" s="81"/>
      <c r="H244" s="82"/>
      <c r="I244" s="84"/>
      <c r="J244" s="84"/>
      <c r="K244" s="84"/>
      <c r="L244" s="83"/>
      <c r="M244" s="85"/>
      <c r="N244" s="84"/>
      <c r="O244" s="84"/>
      <c r="P244" s="84"/>
    </row>
    <row r="245" spans="1:16" ht="15.75" customHeight="1">
      <c r="A245" s="80"/>
      <c r="B245" s="81"/>
      <c r="C245" s="82"/>
      <c r="D245" s="81"/>
      <c r="E245" s="82"/>
      <c r="F245" s="83"/>
      <c r="G245" s="81"/>
      <c r="H245" s="82"/>
      <c r="I245" s="84"/>
      <c r="J245" s="84"/>
      <c r="K245" s="84"/>
      <c r="L245" s="83"/>
      <c r="M245" s="85"/>
      <c r="N245" s="84"/>
      <c r="O245" s="84"/>
      <c r="P245" s="84"/>
    </row>
    <row r="246" spans="1:16" ht="15.75" customHeight="1">
      <c r="A246" s="80"/>
      <c r="B246" s="81"/>
      <c r="C246" s="82"/>
      <c r="D246" s="81"/>
      <c r="E246" s="82"/>
      <c r="F246" s="83"/>
      <c r="G246" s="81"/>
      <c r="H246" s="82"/>
      <c r="I246" s="84"/>
      <c r="J246" s="84"/>
      <c r="K246" s="84"/>
      <c r="L246" s="83"/>
      <c r="M246" s="85"/>
      <c r="N246" s="84"/>
      <c r="O246" s="84"/>
      <c r="P246" s="84"/>
    </row>
    <row r="247" spans="1:16" ht="15.75" customHeight="1">
      <c r="A247" s="80"/>
      <c r="B247" s="81"/>
      <c r="C247" s="82"/>
      <c r="D247" s="81"/>
      <c r="E247" s="82"/>
      <c r="F247" s="83"/>
      <c r="G247" s="81"/>
      <c r="H247" s="82"/>
      <c r="I247" s="84"/>
      <c r="J247" s="84"/>
      <c r="K247" s="84"/>
      <c r="L247" s="83"/>
      <c r="M247" s="85"/>
      <c r="N247" s="84"/>
      <c r="O247" s="84"/>
      <c r="P247" s="84"/>
    </row>
    <row r="248" spans="1:16" ht="15.75" customHeight="1">
      <c r="A248" s="80"/>
      <c r="B248" s="81"/>
      <c r="C248" s="82"/>
      <c r="D248" s="81"/>
      <c r="E248" s="82"/>
      <c r="F248" s="83"/>
      <c r="G248" s="81"/>
      <c r="H248" s="82"/>
      <c r="I248" s="84"/>
      <c r="J248" s="84"/>
      <c r="K248" s="84"/>
      <c r="L248" s="83"/>
      <c r="M248" s="85"/>
      <c r="N248" s="84"/>
      <c r="O248" s="84"/>
      <c r="P248" s="84"/>
    </row>
    <row r="249" spans="1:16" ht="15.75" customHeight="1">
      <c r="A249" s="80"/>
      <c r="B249" s="81"/>
      <c r="C249" s="82"/>
      <c r="D249" s="81"/>
      <c r="E249" s="82"/>
      <c r="F249" s="83"/>
      <c r="G249" s="81"/>
      <c r="H249" s="82"/>
      <c r="I249" s="84"/>
      <c r="J249" s="84"/>
      <c r="K249" s="84"/>
      <c r="L249" s="83"/>
      <c r="M249" s="85"/>
      <c r="N249" s="84"/>
      <c r="O249" s="84"/>
      <c r="P249" s="84"/>
    </row>
    <row r="250" spans="1:16" ht="15.75" customHeight="1">
      <c r="A250" s="80"/>
      <c r="B250" s="81"/>
      <c r="C250" s="82"/>
      <c r="D250" s="81"/>
      <c r="E250" s="82"/>
      <c r="F250" s="83"/>
      <c r="G250" s="81"/>
      <c r="H250" s="82"/>
      <c r="I250" s="84"/>
      <c r="J250" s="84"/>
      <c r="K250" s="84"/>
      <c r="L250" s="83"/>
      <c r="M250" s="85"/>
      <c r="N250" s="84"/>
      <c r="O250" s="84"/>
      <c r="P250" s="84"/>
    </row>
    <row r="251" spans="1:16" ht="15.75" customHeight="1">
      <c r="A251" s="80"/>
      <c r="B251" s="81"/>
      <c r="C251" s="82"/>
      <c r="D251" s="81"/>
      <c r="E251" s="82"/>
      <c r="F251" s="83"/>
      <c r="G251" s="81"/>
      <c r="H251" s="82"/>
      <c r="I251" s="84"/>
      <c r="J251" s="84"/>
      <c r="K251" s="84"/>
      <c r="L251" s="83"/>
      <c r="M251" s="85"/>
      <c r="N251" s="84"/>
      <c r="O251" s="84"/>
      <c r="P251" s="84"/>
    </row>
    <row r="252" spans="1:16" ht="15.75" customHeight="1">
      <c r="A252" s="80"/>
      <c r="B252" s="81"/>
      <c r="C252" s="82"/>
      <c r="D252" s="81"/>
      <c r="E252" s="82"/>
      <c r="F252" s="83"/>
      <c r="G252" s="81"/>
      <c r="H252" s="82"/>
      <c r="I252" s="84"/>
      <c r="J252" s="84"/>
      <c r="K252" s="84"/>
      <c r="L252" s="83"/>
      <c r="M252" s="85"/>
      <c r="N252" s="84"/>
      <c r="O252" s="84"/>
      <c r="P252" s="84"/>
    </row>
    <row r="253" spans="1:16" ht="15.75" customHeight="1">
      <c r="A253" s="80"/>
      <c r="B253" s="81"/>
      <c r="C253" s="82"/>
      <c r="D253" s="81"/>
      <c r="E253" s="82"/>
      <c r="F253" s="83"/>
      <c r="G253" s="81"/>
      <c r="H253" s="82"/>
      <c r="I253" s="84"/>
      <c r="J253" s="84"/>
      <c r="K253" s="84"/>
      <c r="L253" s="83"/>
      <c r="M253" s="85"/>
      <c r="N253" s="84"/>
      <c r="O253" s="84"/>
      <c r="P253" s="84"/>
    </row>
    <row r="254" spans="1:16" ht="15.75" customHeight="1">
      <c r="A254" s="80"/>
      <c r="B254" s="81"/>
      <c r="C254" s="82"/>
      <c r="D254" s="81"/>
      <c r="E254" s="82"/>
      <c r="F254" s="83"/>
      <c r="G254" s="81"/>
      <c r="H254" s="82"/>
      <c r="I254" s="84"/>
      <c r="J254" s="84"/>
      <c r="K254" s="84"/>
      <c r="L254" s="83"/>
      <c r="M254" s="85"/>
      <c r="N254" s="84"/>
      <c r="O254" s="84"/>
      <c r="P254" s="84"/>
    </row>
    <row r="255" spans="1:16" ht="15.75" customHeight="1">
      <c r="A255" s="80"/>
      <c r="B255" s="81"/>
      <c r="C255" s="82"/>
      <c r="D255" s="81"/>
      <c r="E255" s="82"/>
      <c r="F255" s="83"/>
      <c r="G255" s="81"/>
      <c r="H255" s="82"/>
      <c r="I255" s="84"/>
      <c r="J255" s="84"/>
      <c r="K255" s="84"/>
      <c r="L255" s="83"/>
      <c r="M255" s="85"/>
      <c r="N255" s="84"/>
      <c r="O255" s="84"/>
      <c r="P255" s="84"/>
    </row>
    <row r="256" spans="1:16" ht="15.75" customHeight="1">
      <c r="A256" s="80"/>
      <c r="B256" s="81"/>
      <c r="C256" s="82"/>
      <c r="D256" s="81"/>
      <c r="E256" s="82"/>
      <c r="F256" s="83"/>
      <c r="G256" s="81"/>
      <c r="H256" s="82"/>
      <c r="I256" s="84"/>
      <c r="J256" s="84"/>
      <c r="K256" s="84"/>
      <c r="L256" s="83"/>
      <c r="M256" s="85"/>
      <c r="N256" s="84"/>
      <c r="O256" s="84"/>
      <c r="P256" s="84"/>
    </row>
    <row r="257" spans="1:16" ht="15.75" customHeight="1">
      <c r="A257" s="80"/>
      <c r="B257" s="81"/>
      <c r="C257" s="82"/>
      <c r="D257" s="81"/>
      <c r="E257" s="82"/>
      <c r="F257" s="83"/>
      <c r="G257" s="81"/>
      <c r="H257" s="82"/>
      <c r="I257" s="84"/>
      <c r="J257" s="84"/>
      <c r="K257" s="84"/>
      <c r="L257" s="83"/>
      <c r="M257" s="85"/>
      <c r="N257" s="84"/>
      <c r="O257" s="84"/>
      <c r="P257" s="84"/>
    </row>
    <row r="258" spans="1:16" ht="15.75" customHeight="1">
      <c r="A258" s="80"/>
      <c r="B258" s="81"/>
      <c r="C258" s="82"/>
      <c r="D258" s="81"/>
      <c r="E258" s="82"/>
      <c r="F258" s="83"/>
      <c r="G258" s="81"/>
      <c r="H258" s="82"/>
      <c r="I258" s="84"/>
      <c r="J258" s="84"/>
      <c r="K258" s="84"/>
      <c r="L258" s="83"/>
      <c r="M258" s="85"/>
      <c r="N258" s="84"/>
      <c r="O258" s="84"/>
      <c r="P258" s="84"/>
    </row>
    <row r="259" spans="1:16" ht="15.75" customHeight="1">
      <c r="A259" s="80"/>
      <c r="B259" s="81"/>
      <c r="C259" s="82"/>
      <c r="D259" s="81"/>
      <c r="E259" s="82"/>
      <c r="F259" s="83"/>
      <c r="G259" s="81"/>
      <c r="H259" s="82"/>
      <c r="I259" s="84"/>
      <c r="J259" s="84"/>
      <c r="K259" s="84"/>
      <c r="L259" s="83"/>
      <c r="M259" s="85"/>
      <c r="N259" s="84"/>
      <c r="O259" s="84"/>
      <c r="P259" s="84"/>
    </row>
    <row r="260" spans="1:16" ht="15.75" customHeight="1">
      <c r="A260" s="80"/>
      <c r="B260" s="81"/>
      <c r="C260" s="82"/>
      <c r="D260" s="81"/>
      <c r="E260" s="82"/>
      <c r="F260" s="83"/>
      <c r="G260" s="81"/>
      <c r="H260" s="82"/>
      <c r="I260" s="84"/>
      <c r="J260" s="84"/>
      <c r="K260" s="84"/>
      <c r="L260" s="83"/>
      <c r="M260" s="85"/>
      <c r="N260" s="84"/>
      <c r="O260" s="84"/>
      <c r="P260" s="84"/>
    </row>
    <row r="261" spans="1:16" ht="15.75" customHeight="1">
      <c r="A261" s="80"/>
      <c r="B261" s="81"/>
      <c r="C261" s="82"/>
      <c r="D261" s="81"/>
      <c r="E261" s="82"/>
      <c r="F261" s="83"/>
      <c r="G261" s="81"/>
      <c r="H261" s="82"/>
      <c r="I261" s="84"/>
      <c r="J261" s="84"/>
      <c r="K261" s="84"/>
      <c r="L261" s="83"/>
      <c r="M261" s="85"/>
      <c r="N261" s="84"/>
      <c r="O261" s="84"/>
      <c r="P261" s="84"/>
    </row>
    <row r="262" spans="1:16" ht="15.75" customHeight="1">
      <c r="A262" s="80"/>
      <c r="B262" s="81"/>
      <c r="C262" s="82"/>
      <c r="D262" s="81"/>
      <c r="E262" s="82"/>
      <c r="F262" s="83"/>
      <c r="G262" s="81"/>
      <c r="H262" s="82"/>
      <c r="I262" s="84"/>
      <c r="J262" s="84"/>
      <c r="K262" s="84"/>
      <c r="L262" s="83"/>
      <c r="M262" s="85"/>
      <c r="N262" s="84"/>
      <c r="O262" s="84"/>
      <c r="P262" s="84"/>
    </row>
    <row r="263" spans="1:16" ht="15.75" customHeight="1">
      <c r="A263" s="80"/>
      <c r="B263" s="81"/>
      <c r="C263" s="82"/>
      <c r="D263" s="81"/>
      <c r="E263" s="82"/>
      <c r="F263" s="83"/>
      <c r="G263" s="81"/>
      <c r="H263" s="82"/>
      <c r="I263" s="84"/>
      <c r="J263" s="84"/>
      <c r="K263" s="84"/>
      <c r="L263" s="83"/>
      <c r="M263" s="85"/>
      <c r="N263" s="84"/>
      <c r="O263" s="84"/>
      <c r="P263" s="84"/>
    </row>
    <row r="264" spans="1:16" ht="15.75" customHeight="1">
      <c r="A264" s="80"/>
      <c r="B264" s="81"/>
      <c r="C264" s="82"/>
      <c r="D264" s="81"/>
      <c r="E264" s="82"/>
      <c r="F264" s="83"/>
      <c r="G264" s="81"/>
      <c r="H264" s="82"/>
      <c r="I264" s="84"/>
      <c r="J264" s="84"/>
      <c r="K264" s="84"/>
      <c r="L264" s="83"/>
      <c r="M264" s="85"/>
      <c r="N264" s="84"/>
      <c r="O264" s="84"/>
      <c r="P264" s="84"/>
    </row>
    <row r="265" spans="1:16" ht="15.75" customHeight="1">
      <c r="A265" s="80"/>
      <c r="B265" s="81"/>
      <c r="C265" s="82"/>
      <c r="D265" s="81"/>
      <c r="E265" s="82"/>
      <c r="F265" s="83"/>
      <c r="G265" s="81"/>
      <c r="H265" s="82"/>
      <c r="I265" s="84"/>
      <c r="J265" s="84"/>
      <c r="K265" s="84"/>
      <c r="L265" s="83"/>
      <c r="M265" s="85"/>
      <c r="N265" s="84"/>
      <c r="O265" s="84"/>
      <c r="P265" s="84"/>
    </row>
    <row r="266" spans="1:16" ht="15.75" customHeight="1">
      <c r="A266" s="80"/>
      <c r="B266" s="81"/>
      <c r="C266" s="82"/>
      <c r="D266" s="81"/>
      <c r="E266" s="82"/>
      <c r="F266" s="83"/>
      <c r="G266" s="81"/>
      <c r="H266" s="82"/>
      <c r="I266" s="84"/>
      <c r="J266" s="84"/>
      <c r="K266" s="84"/>
      <c r="L266" s="83"/>
      <c r="M266" s="85"/>
      <c r="N266" s="84"/>
      <c r="O266" s="84"/>
      <c r="P266" s="84"/>
    </row>
    <row r="267" spans="1:16" ht="15.75" customHeight="1">
      <c r="A267" s="80"/>
      <c r="B267" s="81"/>
      <c r="C267" s="82"/>
      <c r="D267" s="81"/>
      <c r="E267" s="82"/>
      <c r="F267" s="83"/>
      <c r="G267" s="81"/>
      <c r="H267" s="82"/>
      <c r="I267" s="84"/>
      <c r="J267" s="84"/>
      <c r="K267" s="84"/>
      <c r="L267" s="83"/>
      <c r="M267" s="85"/>
      <c r="N267" s="84"/>
      <c r="O267" s="84"/>
      <c r="P267" s="84"/>
    </row>
    <row r="268" spans="1:16" ht="15.75" customHeight="1">
      <c r="A268" s="80"/>
      <c r="B268" s="81"/>
      <c r="C268" s="82"/>
      <c r="D268" s="81"/>
      <c r="E268" s="82"/>
      <c r="F268" s="83"/>
      <c r="G268" s="81"/>
      <c r="H268" s="82"/>
      <c r="I268" s="84"/>
      <c r="J268" s="84"/>
      <c r="K268" s="84"/>
      <c r="L268" s="83"/>
      <c r="M268" s="85"/>
      <c r="N268" s="84"/>
      <c r="O268" s="84"/>
      <c r="P268" s="84"/>
    </row>
    <row r="269" spans="1:16" ht="15.75" customHeight="1">
      <c r="A269" s="80"/>
      <c r="B269" s="81"/>
      <c r="C269" s="82"/>
      <c r="D269" s="81"/>
      <c r="E269" s="82"/>
      <c r="F269" s="83"/>
      <c r="G269" s="81"/>
      <c r="H269" s="82"/>
      <c r="I269" s="84"/>
      <c r="J269" s="84"/>
      <c r="K269" s="84"/>
      <c r="L269" s="83"/>
      <c r="M269" s="85"/>
      <c r="N269" s="84"/>
      <c r="O269" s="84"/>
      <c r="P269" s="84"/>
    </row>
    <row r="270" spans="1:16" ht="15.75" customHeight="1">
      <c r="A270" s="80"/>
      <c r="B270" s="81"/>
      <c r="C270" s="82"/>
      <c r="D270" s="81"/>
      <c r="E270" s="82"/>
      <c r="F270" s="83"/>
      <c r="G270" s="81"/>
      <c r="H270" s="82"/>
      <c r="I270" s="84"/>
      <c r="J270" s="84"/>
      <c r="K270" s="84"/>
      <c r="L270" s="83"/>
      <c r="M270" s="85"/>
      <c r="N270" s="84"/>
      <c r="O270" s="84"/>
      <c r="P270" s="84"/>
    </row>
    <row r="271" spans="1:16" ht="15.75" customHeight="1">
      <c r="A271" s="80"/>
      <c r="B271" s="81"/>
      <c r="C271" s="82"/>
      <c r="D271" s="81"/>
      <c r="E271" s="82"/>
      <c r="F271" s="83"/>
      <c r="G271" s="81"/>
      <c r="H271" s="82"/>
      <c r="I271" s="84"/>
      <c r="J271" s="84"/>
      <c r="K271" s="84"/>
      <c r="L271" s="83"/>
      <c r="M271" s="85"/>
      <c r="N271" s="84"/>
      <c r="O271" s="84"/>
      <c r="P271" s="84"/>
    </row>
    <row r="272" spans="1:16" ht="15.75" customHeight="1">
      <c r="A272" s="80"/>
      <c r="B272" s="81"/>
      <c r="C272" s="82"/>
      <c r="D272" s="81"/>
      <c r="E272" s="82"/>
      <c r="F272" s="83"/>
      <c r="G272" s="81"/>
      <c r="H272" s="82"/>
      <c r="I272" s="84"/>
      <c r="J272" s="84"/>
      <c r="K272" s="84"/>
      <c r="L272" s="83"/>
      <c r="M272" s="85"/>
      <c r="N272" s="84"/>
      <c r="O272" s="84"/>
      <c r="P272" s="84"/>
    </row>
    <row r="273" spans="1:16" ht="15.75" customHeight="1">
      <c r="A273" s="80"/>
      <c r="B273" s="81"/>
      <c r="C273" s="82"/>
      <c r="D273" s="81"/>
      <c r="E273" s="82"/>
      <c r="F273" s="83"/>
      <c r="G273" s="81"/>
      <c r="H273" s="82"/>
      <c r="I273" s="84"/>
      <c r="J273" s="84"/>
      <c r="K273" s="84"/>
      <c r="L273" s="83"/>
      <c r="M273" s="85"/>
      <c r="N273" s="84"/>
      <c r="O273" s="84"/>
      <c r="P273" s="84"/>
    </row>
    <row r="274" spans="1:16" ht="15.75" customHeight="1">
      <c r="A274" s="80"/>
      <c r="B274" s="81"/>
      <c r="C274" s="82"/>
      <c r="D274" s="81"/>
      <c r="E274" s="82"/>
      <c r="F274" s="83"/>
      <c r="G274" s="81"/>
      <c r="H274" s="82"/>
      <c r="I274" s="84"/>
      <c r="J274" s="84"/>
      <c r="K274" s="84"/>
      <c r="L274" s="83"/>
      <c r="M274" s="85"/>
      <c r="N274" s="84"/>
      <c r="O274" s="84"/>
      <c r="P274" s="84"/>
    </row>
    <row r="275" spans="1:16" ht="15.75" customHeight="1">
      <c r="A275" s="80"/>
      <c r="B275" s="81"/>
      <c r="C275" s="82"/>
      <c r="D275" s="81"/>
      <c r="E275" s="82"/>
      <c r="F275" s="83"/>
      <c r="G275" s="81"/>
      <c r="H275" s="82"/>
      <c r="I275" s="84"/>
      <c r="J275" s="84"/>
      <c r="K275" s="84"/>
      <c r="L275" s="83"/>
      <c r="M275" s="85"/>
      <c r="N275" s="84"/>
      <c r="O275" s="84"/>
      <c r="P275" s="84"/>
    </row>
    <row r="276" spans="1:16" ht="15.75" customHeight="1">
      <c r="A276" s="80"/>
      <c r="B276" s="81"/>
      <c r="C276" s="82"/>
      <c r="D276" s="81"/>
      <c r="E276" s="82"/>
      <c r="F276" s="83"/>
      <c r="G276" s="81"/>
      <c r="H276" s="82"/>
      <c r="I276" s="84"/>
      <c r="J276" s="84"/>
      <c r="K276" s="84"/>
      <c r="L276" s="83"/>
      <c r="M276" s="85"/>
      <c r="N276" s="84"/>
      <c r="O276" s="84"/>
      <c r="P276" s="84"/>
    </row>
    <row r="277" spans="1:16" ht="15.75" customHeight="1">
      <c r="A277" s="80"/>
      <c r="B277" s="81"/>
      <c r="C277" s="82"/>
      <c r="D277" s="81"/>
      <c r="E277" s="82"/>
      <c r="F277" s="83"/>
      <c r="G277" s="81"/>
      <c r="H277" s="82"/>
      <c r="I277" s="84"/>
      <c r="J277" s="84"/>
      <c r="K277" s="84"/>
      <c r="L277" s="83"/>
      <c r="M277" s="85"/>
      <c r="N277" s="84"/>
      <c r="O277" s="84"/>
      <c r="P277" s="84"/>
    </row>
    <row r="278" spans="1:16" ht="15.75" customHeight="1">
      <c r="A278" s="80"/>
      <c r="B278" s="81"/>
      <c r="C278" s="82"/>
      <c r="D278" s="81"/>
      <c r="E278" s="82"/>
      <c r="F278" s="83"/>
      <c r="G278" s="81"/>
      <c r="H278" s="82"/>
      <c r="I278" s="84"/>
      <c r="J278" s="84"/>
      <c r="K278" s="84"/>
      <c r="L278" s="83"/>
      <c r="M278" s="85"/>
      <c r="N278" s="84"/>
      <c r="O278" s="84"/>
      <c r="P278" s="84"/>
    </row>
    <row r="279" spans="1:16" ht="15.75" customHeight="1">
      <c r="A279" s="80"/>
      <c r="B279" s="81"/>
      <c r="C279" s="82"/>
      <c r="D279" s="81"/>
      <c r="E279" s="82"/>
      <c r="F279" s="83"/>
      <c r="G279" s="81"/>
      <c r="H279" s="82"/>
      <c r="I279" s="84"/>
      <c r="J279" s="84"/>
      <c r="K279" s="84"/>
      <c r="L279" s="83"/>
      <c r="M279" s="85"/>
      <c r="N279" s="84"/>
      <c r="O279" s="84"/>
      <c r="P279" s="84"/>
    </row>
    <row r="280" spans="1:16" ht="15.75" customHeight="1">
      <c r="A280" s="80"/>
      <c r="B280" s="81"/>
      <c r="C280" s="82"/>
      <c r="D280" s="81"/>
      <c r="E280" s="82"/>
      <c r="F280" s="83"/>
      <c r="G280" s="81"/>
      <c r="H280" s="82"/>
      <c r="I280" s="84"/>
      <c r="J280" s="84"/>
      <c r="K280" s="84"/>
      <c r="L280" s="83"/>
      <c r="M280" s="85"/>
      <c r="N280" s="84"/>
      <c r="O280" s="84"/>
      <c r="P280" s="84"/>
    </row>
    <row r="281" spans="1:16" ht="15.75" customHeight="1">
      <c r="A281" s="80"/>
      <c r="B281" s="81"/>
      <c r="C281" s="82"/>
      <c r="D281" s="81"/>
      <c r="E281" s="82"/>
      <c r="F281" s="83"/>
      <c r="G281" s="81"/>
      <c r="H281" s="82"/>
      <c r="I281" s="84"/>
      <c r="J281" s="84"/>
      <c r="K281" s="84"/>
      <c r="L281" s="83"/>
      <c r="M281" s="85"/>
      <c r="N281" s="84"/>
      <c r="O281" s="84"/>
      <c r="P281" s="84"/>
    </row>
    <row r="282" spans="1:16" ht="15.75" customHeight="1">
      <c r="A282" s="80"/>
      <c r="B282" s="81"/>
      <c r="C282" s="82"/>
      <c r="D282" s="81"/>
      <c r="E282" s="82"/>
      <c r="F282" s="83"/>
      <c r="G282" s="81"/>
      <c r="H282" s="82"/>
      <c r="I282" s="84"/>
      <c r="J282" s="84"/>
      <c r="K282" s="84"/>
      <c r="L282" s="83"/>
      <c r="M282" s="85"/>
      <c r="N282" s="84"/>
      <c r="O282" s="84"/>
      <c r="P282" s="84"/>
    </row>
    <row r="283" spans="1:16" ht="15.75" customHeight="1">
      <c r="A283" s="80"/>
      <c r="B283" s="81"/>
      <c r="C283" s="82"/>
      <c r="D283" s="81"/>
      <c r="E283" s="82"/>
      <c r="F283" s="83"/>
      <c r="G283" s="81"/>
      <c r="H283" s="82"/>
      <c r="I283" s="84"/>
      <c r="J283" s="84"/>
      <c r="K283" s="84"/>
      <c r="L283" s="83"/>
      <c r="M283" s="85"/>
      <c r="N283" s="84"/>
      <c r="O283" s="84"/>
      <c r="P283" s="84"/>
    </row>
    <row r="284" spans="1:16" ht="15.75" customHeight="1">
      <c r="A284" s="80"/>
      <c r="B284" s="81"/>
      <c r="C284" s="82"/>
      <c r="D284" s="81"/>
      <c r="E284" s="82"/>
      <c r="F284" s="83"/>
      <c r="G284" s="81"/>
      <c r="H284" s="82"/>
      <c r="I284" s="84"/>
      <c r="J284" s="84"/>
      <c r="K284" s="84"/>
      <c r="L284" s="83"/>
      <c r="M284" s="85"/>
      <c r="N284" s="84"/>
      <c r="O284" s="84"/>
      <c r="P284" s="84"/>
    </row>
    <row r="285" spans="1:16" ht="15.75" customHeight="1">
      <c r="A285" s="80"/>
      <c r="B285" s="81"/>
      <c r="C285" s="82"/>
      <c r="D285" s="81"/>
      <c r="E285" s="82"/>
      <c r="F285" s="83"/>
      <c r="G285" s="81"/>
      <c r="H285" s="82"/>
      <c r="I285" s="84"/>
      <c r="J285" s="84"/>
      <c r="K285" s="84"/>
      <c r="L285" s="83"/>
      <c r="M285" s="85"/>
      <c r="N285" s="84"/>
      <c r="O285" s="84"/>
      <c r="P285" s="84"/>
    </row>
    <row r="286" spans="1:16" ht="15.75" customHeight="1">
      <c r="A286" s="80"/>
      <c r="B286" s="81"/>
      <c r="C286" s="82"/>
      <c r="D286" s="81"/>
      <c r="E286" s="82"/>
      <c r="F286" s="83"/>
      <c r="G286" s="81"/>
      <c r="H286" s="82"/>
      <c r="I286" s="84"/>
      <c r="J286" s="84"/>
      <c r="K286" s="84"/>
      <c r="L286" s="83"/>
      <c r="M286" s="85"/>
      <c r="N286" s="84"/>
      <c r="O286" s="84"/>
      <c r="P286" s="84"/>
    </row>
    <row r="287" spans="1:16" ht="15.75" customHeight="1">
      <c r="A287" s="80"/>
      <c r="B287" s="81"/>
      <c r="C287" s="82"/>
      <c r="D287" s="81"/>
      <c r="E287" s="82"/>
      <c r="F287" s="83"/>
      <c r="G287" s="81"/>
      <c r="H287" s="82"/>
      <c r="I287" s="84"/>
      <c r="J287" s="84"/>
      <c r="K287" s="84"/>
      <c r="L287" s="83"/>
      <c r="M287" s="85"/>
      <c r="N287" s="84"/>
      <c r="O287" s="84"/>
      <c r="P287" s="84"/>
    </row>
    <row r="288" spans="1:16" ht="15.75" customHeight="1">
      <c r="A288" s="80"/>
      <c r="B288" s="81"/>
      <c r="C288" s="82"/>
      <c r="D288" s="81"/>
      <c r="E288" s="82"/>
      <c r="F288" s="83"/>
      <c r="G288" s="81"/>
      <c r="H288" s="82"/>
      <c r="I288" s="84"/>
      <c r="J288" s="84"/>
      <c r="K288" s="84"/>
      <c r="L288" s="83"/>
      <c r="M288" s="85"/>
      <c r="N288" s="84"/>
      <c r="O288" s="84"/>
      <c r="P288" s="84"/>
    </row>
    <row r="289" spans="1:16" ht="15.75" customHeight="1">
      <c r="A289" s="80"/>
      <c r="B289" s="81"/>
      <c r="C289" s="82"/>
      <c r="D289" s="81"/>
      <c r="E289" s="82"/>
      <c r="F289" s="83"/>
      <c r="G289" s="81"/>
      <c r="H289" s="82"/>
      <c r="I289" s="84"/>
      <c r="J289" s="84"/>
      <c r="K289" s="84"/>
      <c r="L289" s="83"/>
      <c r="M289" s="85"/>
      <c r="N289" s="84"/>
      <c r="O289" s="84"/>
      <c r="P289" s="84"/>
    </row>
    <row r="290" spans="1:16" ht="15.75" customHeight="1">
      <c r="A290" s="80"/>
      <c r="B290" s="81"/>
      <c r="C290" s="82"/>
      <c r="D290" s="81"/>
      <c r="E290" s="82"/>
      <c r="F290" s="83"/>
      <c r="G290" s="81"/>
      <c r="H290" s="82"/>
      <c r="I290" s="84"/>
      <c r="J290" s="84"/>
      <c r="K290" s="84"/>
      <c r="L290" s="83"/>
      <c r="M290" s="85"/>
      <c r="N290" s="84"/>
      <c r="O290" s="84"/>
      <c r="P290" s="84"/>
    </row>
    <row r="291" spans="1:16" ht="15.75" customHeight="1">
      <c r="A291" s="80"/>
      <c r="B291" s="81"/>
      <c r="C291" s="82"/>
      <c r="D291" s="81"/>
      <c r="E291" s="82"/>
      <c r="F291" s="83"/>
      <c r="G291" s="81"/>
      <c r="H291" s="82"/>
      <c r="I291" s="84"/>
      <c r="J291" s="84"/>
      <c r="K291" s="84"/>
      <c r="L291" s="83"/>
      <c r="M291" s="85"/>
      <c r="N291" s="84"/>
      <c r="O291" s="84"/>
      <c r="P291" s="84"/>
    </row>
    <row r="292" spans="1:16" ht="15.75" customHeight="1">
      <c r="A292" s="80"/>
      <c r="B292" s="81"/>
      <c r="C292" s="82"/>
      <c r="D292" s="81"/>
      <c r="E292" s="82"/>
      <c r="F292" s="83"/>
      <c r="G292" s="81"/>
      <c r="H292" s="82"/>
      <c r="I292" s="84"/>
      <c r="J292" s="84"/>
      <c r="K292" s="84"/>
      <c r="L292" s="83"/>
      <c r="M292" s="85"/>
      <c r="N292" s="84"/>
      <c r="O292" s="84"/>
      <c r="P292" s="84"/>
    </row>
    <row r="293" spans="1:16" ht="15.75" customHeight="1">
      <c r="A293" s="80"/>
      <c r="B293" s="81"/>
      <c r="C293" s="82"/>
      <c r="D293" s="81"/>
      <c r="E293" s="82"/>
      <c r="F293" s="83"/>
      <c r="G293" s="81"/>
      <c r="H293" s="82"/>
      <c r="I293" s="84"/>
      <c r="J293" s="84"/>
      <c r="K293" s="84"/>
      <c r="L293" s="83"/>
      <c r="M293" s="85"/>
      <c r="N293" s="84"/>
      <c r="O293" s="84"/>
      <c r="P293" s="84"/>
    </row>
    <row r="294" spans="1:16" ht="15.75" customHeight="1">
      <c r="A294" s="80"/>
      <c r="B294" s="81"/>
      <c r="C294" s="82"/>
      <c r="D294" s="81"/>
      <c r="E294" s="82"/>
      <c r="F294" s="83"/>
      <c r="G294" s="81"/>
      <c r="H294" s="82"/>
      <c r="I294" s="84"/>
      <c r="J294" s="84"/>
      <c r="K294" s="84"/>
      <c r="L294" s="83"/>
      <c r="M294" s="85"/>
      <c r="N294" s="84"/>
      <c r="O294" s="84"/>
      <c r="P294" s="84"/>
    </row>
    <row r="295" spans="1:16" ht="15.75" customHeight="1">
      <c r="A295" s="80"/>
      <c r="B295" s="81"/>
      <c r="C295" s="82"/>
      <c r="D295" s="81"/>
      <c r="E295" s="82"/>
      <c r="F295" s="83"/>
      <c r="G295" s="81"/>
      <c r="H295" s="82"/>
      <c r="I295" s="84"/>
      <c r="J295" s="84"/>
      <c r="K295" s="84"/>
      <c r="L295" s="83"/>
      <c r="M295" s="85"/>
      <c r="N295" s="84"/>
      <c r="O295" s="84"/>
      <c r="P295" s="84"/>
    </row>
    <row r="296" spans="1:16" ht="15.75" customHeight="1">
      <c r="A296" s="80"/>
      <c r="B296" s="81"/>
      <c r="C296" s="82"/>
      <c r="D296" s="81"/>
      <c r="E296" s="82"/>
      <c r="F296" s="83"/>
      <c r="G296" s="81"/>
      <c r="H296" s="82"/>
      <c r="I296" s="84"/>
      <c r="J296" s="84"/>
      <c r="K296" s="84"/>
      <c r="L296" s="83"/>
      <c r="M296" s="85"/>
      <c r="N296" s="84"/>
      <c r="O296" s="84"/>
      <c r="P296" s="84"/>
    </row>
    <row r="297" spans="1:16" ht="15.75" customHeight="1">
      <c r="A297" s="80"/>
      <c r="B297" s="81"/>
      <c r="C297" s="82"/>
      <c r="D297" s="81"/>
      <c r="E297" s="82"/>
      <c r="F297" s="83"/>
      <c r="G297" s="81"/>
      <c r="H297" s="82"/>
      <c r="I297" s="84"/>
      <c r="J297" s="84"/>
      <c r="K297" s="84"/>
      <c r="L297" s="83"/>
      <c r="M297" s="85"/>
      <c r="N297" s="84"/>
      <c r="O297" s="84"/>
      <c r="P297" s="84"/>
    </row>
    <row r="298" spans="1:16" ht="15.75" customHeight="1">
      <c r="A298" s="80"/>
      <c r="B298" s="81"/>
      <c r="C298" s="82"/>
      <c r="D298" s="81"/>
      <c r="E298" s="82"/>
      <c r="F298" s="83"/>
      <c r="G298" s="81"/>
      <c r="H298" s="82"/>
      <c r="I298" s="84"/>
      <c r="J298" s="84"/>
      <c r="K298" s="84"/>
      <c r="L298" s="83"/>
      <c r="M298" s="85"/>
      <c r="N298" s="84"/>
      <c r="O298" s="84"/>
      <c r="P298" s="84"/>
    </row>
    <row r="299" spans="1:16" ht="15.75" customHeight="1">
      <c r="A299" s="80"/>
      <c r="B299" s="81"/>
      <c r="C299" s="82"/>
      <c r="D299" s="81"/>
      <c r="E299" s="82"/>
      <c r="F299" s="83"/>
      <c r="G299" s="81"/>
      <c r="H299" s="82"/>
      <c r="I299" s="84"/>
      <c r="J299" s="84"/>
      <c r="K299" s="84"/>
      <c r="L299" s="83"/>
      <c r="M299" s="85"/>
      <c r="N299" s="84"/>
      <c r="O299" s="84"/>
      <c r="P299" s="84"/>
    </row>
    <row r="300" spans="1:16" ht="15.75" customHeight="1">
      <c r="A300" s="80"/>
      <c r="B300" s="81"/>
      <c r="C300" s="82"/>
      <c r="D300" s="81"/>
      <c r="E300" s="82"/>
      <c r="F300" s="83"/>
      <c r="G300" s="81"/>
      <c r="H300" s="82"/>
      <c r="I300" s="84"/>
      <c r="J300" s="84"/>
      <c r="K300" s="84"/>
      <c r="L300" s="83"/>
      <c r="M300" s="85"/>
      <c r="N300" s="84"/>
      <c r="O300" s="84"/>
      <c r="P300" s="84"/>
    </row>
    <row r="301" spans="1:16" ht="15.75" customHeight="1">
      <c r="A301" s="80"/>
      <c r="B301" s="81"/>
      <c r="C301" s="82"/>
      <c r="D301" s="81"/>
      <c r="E301" s="82"/>
      <c r="F301" s="83"/>
      <c r="G301" s="81"/>
      <c r="H301" s="82"/>
      <c r="I301" s="84"/>
      <c r="J301" s="84"/>
      <c r="K301" s="84"/>
      <c r="L301" s="83"/>
      <c r="M301" s="85"/>
      <c r="N301" s="84"/>
      <c r="O301" s="84"/>
      <c r="P301" s="84"/>
    </row>
    <row r="302" spans="1:16" ht="15.75" customHeight="1">
      <c r="A302" s="80"/>
      <c r="B302" s="81"/>
      <c r="C302" s="82"/>
      <c r="D302" s="81"/>
      <c r="E302" s="82"/>
      <c r="F302" s="83"/>
      <c r="G302" s="81"/>
      <c r="H302" s="82"/>
      <c r="I302" s="84"/>
      <c r="J302" s="84"/>
      <c r="K302" s="84"/>
      <c r="L302" s="83"/>
      <c r="M302" s="85"/>
      <c r="N302" s="84"/>
      <c r="O302" s="84"/>
      <c r="P302" s="84"/>
    </row>
    <row r="303" spans="1:16" ht="15.75" customHeight="1">
      <c r="A303" s="80"/>
      <c r="B303" s="81"/>
      <c r="C303" s="82"/>
      <c r="D303" s="81"/>
      <c r="E303" s="82"/>
      <c r="F303" s="83"/>
      <c r="G303" s="81"/>
      <c r="H303" s="82"/>
      <c r="I303" s="84"/>
      <c r="J303" s="84"/>
      <c r="K303" s="84"/>
      <c r="L303" s="83"/>
      <c r="M303" s="85"/>
      <c r="N303" s="84"/>
      <c r="O303" s="84"/>
      <c r="P303" s="84"/>
    </row>
    <row r="304" spans="1:16" ht="15.75" customHeight="1">
      <c r="A304" s="80"/>
      <c r="B304" s="81"/>
      <c r="C304" s="82"/>
      <c r="D304" s="81"/>
      <c r="E304" s="82"/>
      <c r="F304" s="83"/>
      <c r="G304" s="81"/>
      <c r="H304" s="82"/>
      <c r="I304" s="84"/>
      <c r="J304" s="84"/>
      <c r="K304" s="84"/>
      <c r="L304" s="83"/>
      <c r="M304" s="85"/>
      <c r="N304" s="84"/>
      <c r="O304" s="84"/>
      <c r="P304" s="84"/>
    </row>
    <row r="305" spans="1:16" ht="15.75" customHeight="1">
      <c r="A305" s="80"/>
      <c r="B305" s="81"/>
      <c r="C305" s="82"/>
      <c r="D305" s="81"/>
      <c r="E305" s="82"/>
      <c r="F305" s="83"/>
      <c r="G305" s="81"/>
      <c r="H305" s="82"/>
      <c r="I305" s="84"/>
      <c r="J305" s="84"/>
      <c r="K305" s="84"/>
      <c r="L305" s="83"/>
      <c r="M305" s="85"/>
      <c r="N305" s="84"/>
      <c r="O305" s="84"/>
      <c r="P305" s="84"/>
    </row>
    <row r="306" spans="1:16" ht="15.75" customHeight="1">
      <c r="A306" s="80"/>
      <c r="B306" s="81"/>
      <c r="C306" s="82"/>
      <c r="D306" s="81"/>
      <c r="E306" s="82"/>
      <c r="F306" s="83"/>
      <c r="G306" s="81"/>
      <c r="H306" s="82"/>
      <c r="I306" s="84"/>
      <c r="J306" s="84"/>
      <c r="K306" s="84"/>
      <c r="L306" s="83"/>
      <c r="M306" s="85"/>
      <c r="N306" s="84"/>
      <c r="O306" s="84"/>
      <c r="P306" s="84"/>
    </row>
    <row r="307" spans="1:16" ht="15.75" customHeight="1">
      <c r="A307" s="80"/>
      <c r="B307" s="81"/>
      <c r="C307" s="82"/>
      <c r="D307" s="81"/>
      <c r="E307" s="82"/>
      <c r="F307" s="83"/>
      <c r="G307" s="81"/>
      <c r="H307" s="82"/>
      <c r="I307" s="84"/>
      <c r="J307" s="84"/>
      <c r="K307" s="84"/>
      <c r="L307" s="83"/>
      <c r="M307" s="85"/>
      <c r="N307" s="84"/>
      <c r="O307" s="84"/>
      <c r="P307" s="84"/>
    </row>
    <row r="308" spans="1:16" ht="15.75" customHeight="1">
      <c r="A308" s="80"/>
      <c r="B308" s="81"/>
      <c r="C308" s="82"/>
      <c r="D308" s="81"/>
      <c r="E308" s="82"/>
      <c r="F308" s="83"/>
      <c r="G308" s="81"/>
      <c r="H308" s="82"/>
      <c r="I308" s="84"/>
      <c r="J308" s="84"/>
      <c r="K308" s="84"/>
      <c r="L308" s="83"/>
      <c r="M308" s="85"/>
      <c r="N308" s="84"/>
      <c r="O308" s="84"/>
      <c r="P308" s="84"/>
    </row>
    <row r="309" spans="1:16" ht="15.75" customHeight="1">
      <c r="A309" s="80"/>
      <c r="B309" s="81"/>
      <c r="C309" s="82"/>
      <c r="D309" s="81"/>
      <c r="E309" s="82"/>
      <c r="F309" s="83"/>
      <c r="G309" s="81"/>
      <c r="H309" s="82"/>
      <c r="I309" s="84"/>
      <c r="J309" s="84"/>
      <c r="K309" s="84"/>
      <c r="L309" s="83"/>
      <c r="M309" s="85"/>
      <c r="N309" s="84"/>
      <c r="O309" s="84"/>
      <c r="P309" s="84"/>
    </row>
    <row r="310" spans="1:16" ht="15.75" customHeight="1">
      <c r="A310" s="80"/>
      <c r="B310" s="81"/>
      <c r="C310" s="82"/>
      <c r="D310" s="81"/>
      <c r="E310" s="82"/>
      <c r="F310" s="83"/>
      <c r="G310" s="81"/>
      <c r="H310" s="82"/>
      <c r="I310" s="84"/>
      <c r="J310" s="84"/>
      <c r="K310" s="84"/>
      <c r="L310" s="83"/>
      <c r="M310" s="85"/>
      <c r="N310" s="84"/>
      <c r="O310" s="84"/>
      <c r="P310" s="84"/>
    </row>
    <row r="311" spans="1:16" ht="15.75" customHeight="1">
      <c r="A311" s="80"/>
      <c r="B311" s="81"/>
      <c r="C311" s="82"/>
      <c r="D311" s="81"/>
      <c r="E311" s="82"/>
      <c r="F311" s="83"/>
      <c r="G311" s="81"/>
      <c r="H311" s="82"/>
      <c r="I311" s="84"/>
      <c r="J311" s="84"/>
      <c r="K311" s="84"/>
      <c r="L311" s="83"/>
      <c r="M311" s="85"/>
      <c r="N311" s="84"/>
      <c r="O311" s="84"/>
      <c r="P311" s="84"/>
    </row>
    <row r="312" spans="1:16" ht="15.75" customHeight="1">
      <c r="A312" s="80"/>
      <c r="B312" s="81"/>
      <c r="C312" s="82"/>
      <c r="D312" s="81"/>
      <c r="E312" s="82"/>
      <c r="F312" s="83"/>
      <c r="G312" s="81"/>
      <c r="H312" s="82"/>
      <c r="I312" s="84"/>
      <c r="J312" s="84"/>
      <c r="K312" s="84"/>
      <c r="L312" s="83"/>
      <c r="M312" s="85"/>
      <c r="N312" s="84"/>
      <c r="O312" s="84"/>
      <c r="P312" s="84"/>
    </row>
    <row r="313" spans="1:16" ht="15.75" customHeight="1">
      <c r="A313" s="80"/>
      <c r="B313" s="81"/>
      <c r="C313" s="82"/>
      <c r="D313" s="81"/>
      <c r="E313" s="82"/>
      <c r="F313" s="83"/>
      <c r="G313" s="81"/>
      <c r="H313" s="82"/>
      <c r="I313" s="84"/>
      <c r="J313" s="84"/>
      <c r="K313" s="84"/>
      <c r="L313" s="83"/>
      <c r="M313" s="85"/>
      <c r="N313" s="84"/>
      <c r="O313" s="84"/>
      <c r="P313" s="84"/>
    </row>
    <row r="314" spans="1:16" ht="15.75" customHeight="1">
      <c r="A314" s="80"/>
      <c r="B314" s="81"/>
      <c r="C314" s="82"/>
      <c r="D314" s="81"/>
      <c r="E314" s="82"/>
      <c r="F314" s="83"/>
      <c r="G314" s="81"/>
      <c r="H314" s="82"/>
      <c r="I314" s="84"/>
      <c r="J314" s="84"/>
      <c r="K314" s="84"/>
      <c r="L314" s="83"/>
      <c r="M314" s="85"/>
      <c r="N314" s="84"/>
      <c r="O314" s="84"/>
      <c r="P314" s="84"/>
    </row>
    <row r="315" spans="1:16" ht="15.75" customHeight="1">
      <c r="A315" s="80"/>
      <c r="B315" s="81"/>
      <c r="C315" s="82"/>
      <c r="D315" s="81"/>
      <c r="E315" s="82"/>
      <c r="F315" s="83"/>
      <c r="G315" s="81"/>
      <c r="H315" s="82"/>
      <c r="I315" s="84"/>
      <c r="J315" s="84"/>
      <c r="K315" s="84"/>
      <c r="L315" s="83"/>
      <c r="M315" s="85"/>
      <c r="N315" s="84"/>
      <c r="O315" s="84"/>
      <c r="P315" s="84"/>
    </row>
    <row r="316" spans="1:16" ht="15.75" customHeight="1">
      <c r="A316" s="80"/>
      <c r="B316" s="81"/>
      <c r="C316" s="82"/>
      <c r="D316" s="81"/>
      <c r="E316" s="82"/>
      <c r="F316" s="83"/>
      <c r="G316" s="81"/>
      <c r="H316" s="82"/>
      <c r="I316" s="84"/>
      <c r="J316" s="84"/>
      <c r="K316" s="84"/>
      <c r="L316" s="83"/>
      <c r="M316" s="85"/>
      <c r="N316" s="84"/>
      <c r="O316" s="84"/>
      <c r="P316" s="84"/>
    </row>
    <row r="317" spans="1:16" ht="15.75" customHeight="1">
      <c r="A317" s="80"/>
      <c r="B317" s="81"/>
      <c r="C317" s="82"/>
      <c r="D317" s="81"/>
      <c r="E317" s="82"/>
      <c r="F317" s="83"/>
      <c r="G317" s="81"/>
      <c r="H317" s="82"/>
      <c r="I317" s="84"/>
      <c r="J317" s="84"/>
      <c r="K317" s="84"/>
      <c r="L317" s="83"/>
      <c r="M317" s="85"/>
      <c r="N317" s="84"/>
      <c r="O317" s="84"/>
      <c r="P317" s="84"/>
    </row>
    <row r="318" spans="1:16" ht="15.75" customHeight="1">
      <c r="A318" s="80"/>
      <c r="B318" s="81"/>
      <c r="C318" s="82"/>
      <c r="D318" s="81"/>
      <c r="E318" s="82"/>
      <c r="F318" s="83"/>
      <c r="G318" s="81"/>
      <c r="H318" s="82"/>
      <c r="I318" s="84"/>
      <c r="J318" s="84"/>
      <c r="K318" s="84"/>
      <c r="L318" s="83"/>
      <c r="M318" s="85"/>
      <c r="N318" s="84"/>
      <c r="O318" s="84"/>
      <c r="P318" s="84"/>
    </row>
    <row r="319" spans="1:16" ht="15.75" customHeight="1">
      <c r="A319" s="80"/>
      <c r="B319" s="81"/>
      <c r="C319" s="82"/>
      <c r="D319" s="81"/>
      <c r="E319" s="82"/>
      <c r="F319" s="83"/>
      <c r="G319" s="81"/>
      <c r="H319" s="82"/>
      <c r="I319" s="84"/>
      <c r="J319" s="84"/>
      <c r="K319" s="84"/>
      <c r="L319" s="83"/>
      <c r="M319" s="85"/>
      <c r="N319" s="84"/>
      <c r="O319" s="84"/>
      <c r="P319" s="84"/>
    </row>
    <row r="320" spans="1:16" ht="15.75" customHeight="1">
      <c r="A320" s="80"/>
      <c r="B320" s="81"/>
      <c r="C320" s="82"/>
      <c r="D320" s="81"/>
      <c r="E320" s="82"/>
      <c r="F320" s="83"/>
      <c r="G320" s="81"/>
      <c r="H320" s="82"/>
      <c r="I320" s="84"/>
      <c r="J320" s="84"/>
      <c r="K320" s="84"/>
      <c r="L320" s="83"/>
      <c r="M320" s="85"/>
      <c r="N320" s="84"/>
      <c r="O320" s="84"/>
      <c r="P320" s="84"/>
    </row>
    <row r="321" spans="1:16" ht="15.75" customHeight="1">
      <c r="A321" s="80"/>
      <c r="B321" s="81"/>
      <c r="C321" s="82"/>
      <c r="D321" s="81"/>
      <c r="E321" s="82"/>
      <c r="F321" s="83"/>
      <c r="G321" s="81"/>
      <c r="H321" s="82"/>
      <c r="I321" s="84"/>
      <c r="J321" s="84"/>
      <c r="K321" s="84"/>
      <c r="L321" s="83"/>
      <c r="M321" s="85"/>
      <c r="N321" s="84"/>
      <c r="O321" s="84"/>
      <c r="P321" s="84"/>
    </row>
    <row r="322" spans="1:16" ht="15.75" customHeight="1">
      <c r="A322" s="80"/>
      <c r="B322" s="81"/>
      <c r="C322" s="82"/>
      <c r="D322" s="81"/>
      <c r="E322" s="82"/>
      <c r="F322" s="83"/>
      <c r="G322" s="81"/>
      <c r="H322" s="82"/>
      <c r="I322" s="84"/>
      <c r="J322" s="84"/>
      <c r="K322" s="84"/>
      <c r="L322" s="83"/>
      <c r="M322" s="85"/>
      <c r="N322" s="84"/>
      <c r="O322" s="84"/>
      <c r="P322" s="84"/>
    </row>
    <row r="323" spans="1:16" ht="15.75" customHeight="1">
      <c r="A323" s="80"/>
      <c r="B323" s="81"/>
      <c r="C323" s="82"/>
      <c r="D323" s="81"/>
      <c r="E323" s="82"/>
      <c r="F323" s="83"/>
      <c r="G323" s="81"/>
      <c r="H323" s="82"/>
      <c r="I323" s="84"/>
      <c r="J323" s="84"/>
      <c r="K323" s="84"/>
      <c r="L323" s="83"/>
      <c r="M323" s="85"/>
      <c r="N323" s="84"/>
      <c r="O323" s="84"/>
      <c r="P323" s="84"/>
    </row>
    <row r="324" spans="1:16" ht="15.75" customHeight="1">
      <c r="A324" s="80"/>
      <c r="B324" s="81"/>
      <c r="C324" s="82"/>
      <c r="D324" s="81"/>
      <c r="E324" s="82"/>
      <c r="F324" s="83"/>
      <c r="G324" s="81"/>
      <c r="H324" s="82"/>
      <c r="I324" s="84"/>
      <c r="J324" s="84"/>
      <c r="K324" s="84"/>
      <c r="L324" s="83"/>
      <c r="M324" s="85"/>
      <c r="N324" s="84"/>
      <c r="O324" s="84"/>
      <c r="P324" s="84"/>
    </row>
    <row r="325" spans="1:16" ht="15.75" customHeight="1">
      <c r="A325" s="80"/>
      <c r="B325" s="81"/>
      <c r="C325" s="82"/>
      <c r="D325" s="81"/>
      <c r="E325" s="82"/>
      <c r="F325" s="83"/>
      <c r="G325" s="81"/>
      <c r="H325" s="82"/>
      <c r="I325" s="84"/>
      <c r="J325" s="84"/>
      <c r="K325" s="84"/>
      <c r="L325" s="83"/>
      <c r="M325" s="85"/>
      <c r="N325" s="84"/>
      <c r="O325" s="84"/>
      <c r="P325" s="84"/>
    </row>
    <row r="326" spans="1:16" ht="15.75" customHeight="1">
      <c r="A326" s="80"/>
      <c r="B326" s="81"/>
      <c r="C326" s="82"/>
      <c r="D326" s="81"/>
      <c r="E326" s="82"/>
      <c r="F326" s="83"/>
      <c r="G326" s="81"/>
      <c r="H326" s="82"/>
      <c r="I326" s="84"/>
      <c r="J326" s="84"/>
      <c r="K326" s="84"/>
      <c r="L326" s="83"/>
      <c r="M326" s="85"/>
      <c r="N326" s="84"/>
      <c r="O326" s="84"/>
      <c r="P326" s="84"/>
    </row>
    <row r="327" spans="1:16" ht="15.75" customHeight="1">
      <c r="A327" s="80"/>
      <c r="B327" s="81"/>
      <c r="C327" s="82"/>
      <c r="D327" s="81"/>
      <c r="E327" s="82"/>
      <c r="F327" s="83"/>
      <c r="G327" s="81"/>
      <c r="H327" s="82"/>
      <c r="I327" s="84"/>
      <c r="J327" s="84"/>
      <c r="K327" s="84"/>
      <c r="L327" s="83"/>
      <c r="M327" s="85"/>
      <c r="N327" s="84"/>
      <c r="O327" s="84"/>
      <c r="P327" s="84"/>
    </row>
    <row r="328" spans="1:16" ht="15.75" customHeight="1">
      <c r="A328" s="80"/>
      <c r="B328" s="81"/>
      <c r="C328" s="82"/>
      <c r="D328" s="81"/>
      <c r="E328" s="82"/>
      <c r="F328" s="83"/>
      <c r="G328" s="81"/>
      <c r="H328" s="82"/>
      <c r="I328" s="84"/>
      <c r="J328" s="84"/>
      <c r="K328" s="84"/>
      <c r="L328" s="83"/>
      <c r="M328" s="85"/>
      <c r="N328" s="84"/>
      <c r="O328" s="84"/>
      <c r="P328" s="84"/>
    </row>
    <row r="329" spans="1:16" ht="15.75" customHeight="1">
      <c r="A329" s="80"/>
      <c r="B329" s="81"/>
      <c r="C329" s="82"/>
      <c r="D329" s="81"/>
      <c r="E329" s="82"/>
      <c r="F329" s="83"/>
      <c r="G329" s="81"/>
      <c r="H329" s="82"/>
      <c r="I329" s="84"/>
      <c r="J329" s="84"/>
      <c r="K329" s="84"/>
      <c r="L329" s="83"/>
      <c r="M329" s="85"/>
      <c r="N329" s="84"/>
      <c r="O329" s="84"/>
      <c r="P329" s="84"/>
    </row>
    <row r="330" spans="1:16" ht="15.75" customHeight="1">
      <c r="A330" s="80"/>
      <c r="B330" s="81"/>
      <c r="C330" s="82"/>
      <c r="D330" s="81"/>
      <c r="E330" s="82"/>
      <c r="F330" s="83"/>
      <c r="G330" s="81"/>
      <c r="H330" s="82"/>
      <c r="I330" s="84"/>
      <c r="J330" s="84"/>
      <c r="K330" s="84"/>
      <c r="L330" s="83"/>
      <c r="M330" s="85"/>
      <c r="N330" s="84"/>
      <c r="O330" s="84"/>
      <c r="P330" s="84"/>
    </row>
    <row r="331" spans="1:16" ht="15.75" customHeight="1">
      <c r="A331" s="80"/>
      <c r="B331" s="81"/>
      <c r="C331" s="82"/>
      <c r="D331" s="81"/>
      <c r="E331" s="82"/>
      <c r="F331" s="83"/>
      <c r="G331" s="81"/>
      <c r="H331" s="82"/>
      <c r="I331" s="84"/>
      <c r="J331" s="84"/>
      <c r="K331" s="84"/>
      <c r="L331" s="83"/>
      <c r="M331" s="85"/>
      <c r="N331" s="84"/>
      <c r="O331" s="84"/>
      <c r="P331" s="84"/>
    </row>
    <row r="332" spans="1:16" ht="15.75" customHeight="1">
      <c r="A332" s="80"/>
      <c r="B332" s="81"/>
      <c r="C332" s="82"/>
      <c r="D332" s="81"/>
      <c r="E332" s="82"/>
      <c r="F332" s="83"/>
      <c r="G332" s="81"/>
      <c r="H332" s="82"/>
      <c r="I332" s="84"/>
      <c r="J332" s="84"/>
      <c r="K332" s="84"/>
      <c r="L332" s="83"/>
      <c r="M332" s="85"/>
      <c r="N332" s="84"/>
      <c r="O332" s="84"/>
      <c r="P332" s="84"/>
    </row>
    <row r="333" spans="1:16" ht="15.75" customHeight="1">
      <c r="A333" s="80"/>
      <c r="B333" s="81"/>
      <c r="C333" s="82"/>
      <c r="D333" s="81"/>
      <c r="E333" s="82"/>
      <c r="F333" s="83"/>
      <c r="G333" s="81"/>
      <c r="H333" s="82"/>
      <c r="I333" s="84"/>
      <c r="J333" s="84"/>
      <c r="K333" s="84"/>
      <c r="L333" s="83"/>
      <c r="M333" s="85"/>
      <c r="N333" s="84"/>
      <c r="O333" s="84"/>
      <c r="P333" s="84"/>
    </row>
    <row r="334" spans="1:16" ht="15.75" customHeight="1">
      <c r="A334" s="80"/>
      <c r="B334" s="81"/>
      <c r="C334" s="82"/>
      <c r="D334" s="81"/>
      <c r="E334" s="82"/>
      <c r="F334" s="83"/>
      <c r="G334" s="81"/>
      <c r="H334" s="82"/>
      <c r="I334" s="84"/>
      <c r="J334" s="84"/>
      <c r="K334" s="84"/>
      <c r="L334" s="83"/>
      <c r="M334" s="85"/>
      <c r="N334" s="84"/>
      <c r="O334" s="84"/>
      <c r="P334" s="84"/>
    </row>
    <row r="335" spans="1:16" ht="15.75" customHeight="1">
      <c r="A335" s="80"/>
      <c r="B335" s="81"/>
      <c r="C335" s="82"/>
      <c r="D335" s="81"/>
      <c r="E335" s="82"/>
      <c r="F335" s="83"/>
      <c r="G335" s="81"/>
      <c r="H335" s="82"/>
      <c r="I335" s="84"/>
      <c r="J335" s="84"/>
      <c r="K335" s="84"/>
      <c r="L335" s="83"/>
      <c r="M335" s="85"/>
      <c r="N335" s="84"/>
      <c r="O335" s="84"/>
      <c r="P335" s="84"/>
    </row>
    <row r="336" spans="1:16" ht="15.75" customHeight="1">
      <c r="A336" s="80"/>
      <c r="B336" s="81"/>
      <c r="C336" s="82"/>
      <c r="D336" s="81"/>
      <c r="E336" s="82"/>
      <c r="F336" s="83"/>
      <c r="G336" s="81"/>
      <c r="H336" s="82"/>
      <c r="I336" s="84"/>
      <c r="J336" s="84"/>
      <c r="K336" s="84"/>
      <c r="L336" s="83"/>
      <c r="M336" s="85"/>
      <c r="N336" s="84"/>
      <c r="O336" s="84"/>
      <c r="P336" s="84"/>
    </row>
    <row r="337" spans="1:16" ht="15.75" customHeight="1">
      <c r="A337" s="80"/>
      <c r="B337" s="81"/>
      <c r="C337" s="82"/>
      <c r="D337" s="81"/>
      <c r="E337" s="82"/>
      <c r="F337" s="83"/>
      <c r="G337" s="81"/>
      <c r="H337" s="82"/>
      <c r="I337" s="84"/>
      <c r="J337" s="84"/>
      <c r="K337" s="84"/>
      <c r="L337" s="83"/>
      <c r="M337" s="85"/>
      <c r="N337" s="84"/>
      <c r="O337" s="84"/>
      <c r="P337" s="84"/>
    </row>
    <row r="338" spans="1:16" ht="15.75" customHeight="1">
      <c r="A338" s="80"/>
      <c r="B338" s="81"/>
      <c r="C338" s="82"/>
      <c r="D338" s="81"/>
      <c r="E338" s="82"/>
      <c r="F338" s="83"/>
      <c r="G338" s="81"/>
      <c r="H338" s="82"/>
      <c r="I338" s="84"/>
      <c r="J338" s="84"/>
      <c r="K338" s="84"/>
      <c r="L338" s="83"/>
      <c r="M338" s="85"/>
      <c r="N338" s="84"/>
      <c r="O338" s="84"/>
      <c r="P338" s="84"/>
    </row>
    <row r="339" spans="1:16" ht="15.75" customHeight="1">
      <c r="A339" s="80"/>
      <c r="B339" s="81"/>
      <c r="C339" s="82"/>
      <c r="D339" s="81"/>
      <c r="E339" s="82"/>
      <c r="F339" s="83"/>
      <c r="G339" s="81"/>
      <c r="H339" s="82"/>
      <c r="I339" s="84"/>
      <c r="J339" s="84"/>
      <c r="K339" s="84"/>
      <c r="L339" s="83"/>
      <c r="M339" s="85"/>
      <c r="N339" s="84"/>
      <c r="O339" s="84"/>
      <c r="P339" s="84"/>
    </row>
    <row r="340" spans="1:16" ht="15.75" customHeight="1">
      <c r="A340" s="80"/>
      <c r="B340" s="81"/>
      <c r="C340" s="82"/>
      <c r="D340" s="81"/>
      <c r="E340" s="82"/>
      <c r="F340" s="83"/>
      <c r="G340" s="81"/>
      <c r="H340" s="82"/>
      <c r="I340" s="84"/>
      <c r="J340" s="84"/>
      <c r="K340" s="84"/>
      <c r="L340" s="83"/>
      <c r="M340" s="85"/>
      <c r="N340" s="84"/>
      <c r="O340" s="84"/>
      <c r="P340" s="84"/>
    </row>
    <row r="341" spans="1:16" ht="15.75" customHeight="1">
      <c r="A341" s="80"/>
      <c r="B341" s="81"/>
      <c r="C341" s="82"/>
      <c r="D341" s="81"/>
      <c r="E341" s="82"/>
      <c r="F341" s="83"/>
      <c r="G341" s="81"/>
      <c r="H341" s="82"/>
      <c r="I341" s="84"/>
      <c r="J341" s="84"/>
      <c r="K341" s="84"/>
      <c r="L341" s="83"/>
      <c r="M341" s="85"/>
      <c r="N341" s="84"/>
      <c r="O341" s="84"/>
      <c r="P341" s="84"/>
    </row>
    <row r="342" spans="1:16" ht="15.75" customHeight="1">
      <c r="A342" s="80"/>
      <c r="B342" s="81"/>
      <c r="C342" s="82"/>
      <c r="D342" s="81"/>
      <c r="E342" s="82"/>
      <c r="F342" s="83"/>
      <c r="G342" s="81"/>
      <c r="H342" s="82"/>
      <c r="I342" s="84"/>
      <c r="J342" s="84"/>
      <c r="K342" s="84"/>
      <c r="L342" s="83"/>
      <c r="M342" s="85"/>
      <c r="N342" s="84"/>
      <c r="O342" s="84"/>
      <c r="P342" s="84"/>
    </row>
    <row r="343" spans="1:16" ht="15.75" customHeight="1">
      <c r="A343" s="80"/>
      <c r="B343" s="81"/>
      <c r="C343" s="82"/>
      <c r="D343" s="81"/>
      <c r="E343" s="82"/>
      <c r="F343" s="83"/>
      <c r="G343" s="81"/>
      <c r="H343" s="82"/>
      <c r="I343" s="84"/>
      <c r="J343" s="84"/>
      <c r="K343" s="84"/>
      <c r="L343" s="83"/>
      <c r="M343" s="85"/>
      <c r="N343" s="84"/>
      <c r="O343" s="84"/>
      <c r="P343" s="84"/>
    </row>
    <row r="344" spans="1:16" ht="15.75" customHeight="1">
      <c r="A344" s="80"/>
      <c r="B344" s="81"/>
      <c r="C344" s="82"/>
      <c r="D344" s="81"/>
      <c r="E344" s="82"/>
      <c r="F344" s="83"/>
      <c r="G344" s="81"/>
      <c r="H344" s="82"/>
      <c r="I344" s="84"/>
      <c r="J344" s="84"/>
      <c r="K344" s="84"/>
      <c r="L344" s="83"/>
      <c r="M344" s="85"/>
      <c r="N344" s="84"/>
      <c r="O344" s="84"/>
      <c r="P344" s="84"/>
    </row>
    <row r="345" spans="1:16" ht="15.75" customHeight="1">
      <c r="A345" s="80"/>
      <c r="B345" s="81"/>
      <c r="C345" s="82"/>
      <c r="D345" s="81"/>
      <c r="E345" s="82"/>
      <c r="F345" s="83"/>
      <c r="G345" s="81"/>
      <c r="H345" s="82"/>
      <c r="I345" s="84"/>
      <c r="J345" s="84"/>
      <c r="K345" s="84"/>
      <c r="L345" s="83"/>
      <c r="M345" s="85"/>
      <c r="N345" s="84"/>
      <c r="O345" s="84"/>
      <c r="P345" s="84"/>
    </row>
    <row r="346" spans="1:16" ht="15.75" customHeight="1">
      <c r="A346" s="80"/>
      <c r="B346" s="81"/>
      <c r="C346" s="82"/>
      <c r="D346" s="81"/>
      <c r="E346" s="82"/>
      <c r="F346" s="83"/>
      <c r="G346" s="81"/>
      <c r="H346" s="82"/>
      <c r="I346" s="84"/>
      <c r="J346" s="84"/>
      <c r="K346" s="84"/>
      <c r="L346" s="83"/>
      <c r="M346" s="85"/>
      <c r="N346" s="84"/>
      <c r="O346" s="84"/>
      <c r="P346" s="84"/>
    </row>
    <row r="347" spans="1:16" ht="15.75" customHeight="1">
      <c r="A347" s="80"/>
      <c r="B347" s="81"/>
      <c r="C347" s="82"/>
      <c r="D347" s="81"/>
      <c r="E347" s="82"/>
      <c r="F347" s="83"/>
      <c r="G347" s="81"/>
      <c r="H347" s="82"/>
      <c r="I347" s="84"/>
      <c r="J347" s="84"/>
      <c r="K347" s="84"/>
      <c r="L347" s="83"/>
      <c r="M347" s="85"/>
      <c r="N347" s="84"/>
      <c r="O347" s="84"/>
      <c r="P347" s="84"/>
    </row>
    <row r="348" spans="1:16" ht="15.75" customHeight="1">
      <c r="A348" s="80"/>
      <c r="B348" s="81"/>
      <c r="C348" s="82"/>
      <c r="D348" s="81"/>
      <c r="E348" s="82"/>
      <c r="F348" s="83"/>
      <c r="G348" s="81"/>
      <c r="H348" s="82"/>
      <c r="I348" s="84"/>
      <c r="J348" s="84"/>
      <c r="K348" s="84"/>
      <c r="L348" s="83"/>
      <c r="M348" s="85"/>
      <c r="N348" s="84"/>
      <c r="O348" s="84"/>
      <c r="P348" s="84"/>
    </row>
    <row r="349" spans="1:16" ht="15.75" customHeight="1">
      <c r="A349" s="80"/>
      <c r="B349" s="81"/>
      <c r="C349" s="82"/>
      <c r="D349" s="81"/>
      <c r="E349" s="82"/>
      <c r="F349" s="83"/>
      <c r="G349" s="81"/>
      <c r="H349" s="82"/>
      <c r="I349" s="84"/>
      <c r="J349" s="84"/>
      <c r="K349" s="84"/>
      <c r="L349" s="83"/>
      <c r="M349" s="85"/>
      <c r="N349" s="84"/>
      <c r="O349" s="84"/>
      <c r="P349" s="84"/>
    </row>
    <row r="350" spans="1:16" ht="15.75" customHeight="1">
      <c r="A350" s="80"/>
      <c r="B350" s="81"/>
      <c r="C350" s="82"/>
      <c r="D350" s="81"/>
      <c r="E350" s="82"/>
      <c r="F350" s="83"/>
      <c r="G350" s="81"/>
      <c r="H350" s="82"/>
      <c r="I350" s="84"/>
      <c r="J350" s="84"/>
      <c r="K350" s="84"/>
      <c r="L350" s="83"/>
      <c r="M350" s="85"/>
      <c r="N350" s="84"/>
      <c r="O350" s="84"/>
      <c r="P350" s="84"/>
    </row>
    <row r="351" spans="1:16" ht="15.75" customHeight="1">
      <c r="A351" s="80"/>
      <c r="B351" s="81"/>
      <c r="C351" s="82"/>
      <c r="D351" s="81"/>
      <c r="E351" s="82"/>
      <c r="F351" s="83"/>
      <c r="G351" s="81"/>
      <c r="H351" s="82"/>
      <c r="I351" s="84"/>
      <c r="J351" s="84"/>
      <c r="K351" s="84"/>
      <c r="L351" s="83"/>
      <c r="M351" s="85"/>
      <c r="N351" s="84"/>
      <c r="O351" s="84"/>
      <c r="P351" s="84"/>
    </row>
    <row r="352" spans="1:16" ht="15.75" customHeight="1">
      <c r="A352" s="80"/>
      <c r="B352" s="81"/>
      <c r="C352" s="82"/>
      <c r="D352" s="81"/>
      <c r="E352" s="82"/>
      <c r="F352" s="83"/>
      <c r="G352" s="81"/>
      <c r="H352" s="82"/>
      <c r="I352" s="84"/>
      <c r="J352" s="84"/>
      <c r="K352" s="84"/>
      <c r="L352" s="83"/>
      <c r="M352" s="85"/>
      <c r="N352" s="84"/>
      <c r="O352" s="84"/>
      <c r="P352" s="84"/>
    </row>
    <row r="353" spans="1:16" ht="15.75" customHeight="1">
      <c r="A353" s="80"/>
      <c r="B353" s="81"/>
      <c r="C353" s="82"/>
      <c r="D353" s="81"/>
      <c r="E353" s="82"/>
      <c r="F353" s="83"/>
      <c r="G353" s="81"/>
      <c r="H353" s="82"/>
      <c r="I353" s="84"/>
      <c r="J353" s="84"/>
      <c r="K353" s="84"/>
      <c r="L353" s="83"/>
      <c r="M353" s="85"/>
      <c r="N353" s="84"/>
      <c r="O353" s="84"/>
      <c r="P353" s="84"/>
    </row>
    <row r="354" spans="1:16" ht="15.75" customHeight="1">
      <c r="A354" s="80"/>
      <c r="B354" s="81"/>
      <c r="C354" s="82"/>
      <c r="D354" s="81"/>
      <c r="E354" s="82"/>
      <c r="F354" s="83"/>
      <c r="G354" s="81"/>
      <c r="H354" s="82"/>
      <c r="I354" s="84"/>
      <c r="J354" s="84"/>
      <c r="K354" s="84"/>
      <c r="L354" s="83"/>
      <c r="M354" s="85"/>
      <c r="N354" s="84"/>
      <c r="O354" s="84"/>
      <c r="P354" s="84"/>
    </row>
    <row r="355" spans="1:16" ht="15.75" customHeight="1">
      <c r="A355" s="80"/>
      <c r="B355" s="81"/>
      <c r="C355" s="82"/>
      <c r="D355" s="81"/>
      <c r="E355" s="82"/>
      <c r="F355" s="83"/>
      <c r="G355" s="81"/>
      <c r="H355" s="82"/>
      <c r="I355" s="84"/>
      <c r="J355" s="84"/>
      <c r="K355" s="84"/>
      <c r="L355" s="83"/>
      <c r="M355" s="85"/>
      <c r="N355" s="84"/>
      <c r="O355" s="84"/>
      <c r="P355" s="84"/>
    </row>
    <row r="356" spans="1:16" ht="15.75" customHeight="1">
      <c r="A356" s="80"/>
      <c r="B356" s="81"/>
      <c r="C356" s="82"/>
      <c r="D356" s="81"/>
      <c r="E356" s="82"/>
      <c r="F356" s="83"/>
      <c r="G356" s="81"/>
      <c r="H356" s="82"/>
      <c r="I356" s="84"/>
      <c r="J356" s="84"/>
      <c r="K356" s="84"/>
      <c r="L356" s="83"/>
      <c r="M356" s="85"/>
      <c r="N356" s="84"/>
      <c r="O356" s="84"/>
      <c r="P356" s="84"/>
    </row>
    <row r="357" spans="1:16" ht="15.75" customHeight="1">
      <c r="A357" s="80"/>
      <c r="B357" s="81"/>
      <c r="C357" s="82"/>
      <c r="D357" s="81"/>
      <c r="E357" s="82"/>
      <c r="F357" s="83"/>
      <c r="G357" s="81"/>
      <c r="H357" s="82"/>
      <c r="I357" s="84"/>
      <c r="J357" s="84"/>
      <c r="K357" s="84"/>
      <c r="L357" s="83"/>
      <c r="M357" s="85"/>
      <c r="N357" s="84"/>
      <c r="O357" s="84"/>
      <c r="P357" s="84"/>
    </row>
    <row r="358" spans="1:16" ht="15.75" customHeight="1">
      <c r="A358" s="80"/>
      <c r="B358" s="81"/>
      <c r="C358" s="82"/>
      <c r="D358" s="81"/>
      <c r="E358" s="82"/>
      <c r="F358" s="83"/>
      <c r="G358" s="81"/>
      <c r="H358" s="82"/>
      <c r="I358" s="84"/>
      <c r="J358" s="84"/>
      <c r="K358" s="84"/>
      <c r="L358" s="83"/>
      <c r="M358" s="85"/>
      <c r="N358" s="84"/>
      <c r="O358" s="84"/>
      <c r="P358" s="84"/>
    </row>
    <row r="359" spans="1:16" ht="15.75" customHeight="1">
      <c r="A359" s="80"/>
      <c r="B359" s="81"/>
      <c r="C359" s="82"/>
      <c r="D359" s="81"/>
      <c r="E359" s="82"/>
      <c r="F359" s="83"/>
      <c r="G359" s="81"/>
      <c r="H359" s="82"/>
      <c r="I359" s="84"/>
      <c r="J359" s="84"/>
      <c r="K359" s="84"/>
      <c r="L359" s="83"/>
      <c r="M359" s="85"/>
      <c r="N359" s="84"/>
      <c r="O359" s="84"/>
      <c r="P359" s="84"/>
    </row>
    <row r="360" spans="1:16" ht="15.75" customHeight="1">
      <c r="A360" s="80"/>
      <c r="B360" s="81"/>
      <c r="C360" s="82"/>
      <c r="D360" s="81"/>
      <c r="E360" s="82"/>
      <c r="F360" s="83"/>
      <c r="G360" s="81"/>
      <c r="H360" s="82"/>
      <c r="I360" s="84"/>
      <c r="J360" s="84"/>
      <c r="K360" s="84"/>
      <c r="L360" s="83"/>
      <c r="M360" s="85"/>
      <c r="N360" s="84"/>
      <c r="O360" s="84"/>
      <c r="P360" s="84"/>
    </row>
    <row r="361" spans="1:16" ht="15.75" customHeight="1">
      <c r="A361" s="80"/>
      <c r="B361" s="81"/>
      <c r="C361" s="82"/>
      <c r="D361" s="81"/>
      <c r="E361" s="82"/>
      <c r="F361" s="83"/>
      <c r="G361" s="81"/>
      <c r="H361" s="82"/>
      <c r="I361" s="84"/>
      <c r="J361" s="84"/>
      <c r="K361" s="84"/>
      <c r="L361" s="83"/>
      <c r="M361" s="85"/>
      <c r="N361" s="84"/>
      <c r="O361" s="84"/>
      <c r="P361" s="84"/>
    </row>
    <row r="362" spans="1:16" ht="15.75" customHeight="1">
      <c r="A362" s="80"/>
      <c r="B362" s="81"/>
      <c r="C362" s="82"/>
      <c r="D362" s="81"/>
      <c r="E362" s="82"/>
      <c r="F362" s="83"/>
      <c r="G362" s="81"/>
      <c r="H362" s="82"/>
      <c r="I362" s="84"/>
      <c r="J362" s="84"/>
      <c r="K362" s="84"/>
      <c r="L362" s="83"/>
      <c r="M362" s="85"/>
      <c r="N362" s="84"/>
      <c r="O362" s="84"/>
      <c r="P362" s="84"/>
    </row>
    <row r="363" spans="1:16" ht="15.75" customHeight="1">
      <c r="A363" s="80"/>
      <c r="B363" s="81"/>
      <c r="C363" s="82"/>
      <c r="D363" s="81"/>
      <c r="E363" s="82"/>
      <c r="F363" s="83"/>
      <c r="G363" s="81"/>
      <c r="H363" s="82"/>
      <c r="I363" s="84"/>
      <c r="J363" s="84"/>
      <c r="K363" s="84"/>
      <c r="L363" s="83"/>
      <c r="M363" s="85"/>
      <c r="N363" s="84"/>
      <c r="O363" s="84"/>
      <c r="P363" s="84"/>
    </row>
    <row r="364" spans="1:16" ht="15.75" customHeight="1">
      <c r="A364" s="80"/>
      <c r="B364" s="81"/>
      <c r="C364" s="82"/>
      <c r="D364" s="81"/>
      <c r="E364" s="82"/>
      <c r="F364" s="83"/>
      <c r="G364" s="81"/>
      <c r="H364" s="82"/>
      <c r="I364" s="84"/>
      <c r="J364" s="84"/>
      <c r="K364" s="84"/>
      <c r="L364" s="83"/>
      <c r="M364" s="85"/>
      <c r="N364" s="84"/>
      <c r="O364" s="84"/>
      <c r="P364" s="84"/>
    </row>
    <row r="365" spans="1:16" ht="15.75" customHeight="1">
      <c r="A365" s="80"/>
      <c r="B365" s="81"/>
      <c r="C365" s="82"/>
      <c r="D365" s="81"/>
      <c r="E365" s="82"/>
      <c r="F365" s="83"/>
      <c r="G365" s="81"/>
      <c r="H365" s="82"/>
      <c r="I365" s="84"/>
      <c r="J365" s="84"/>
      <c r="K365" s="84"/>
      <c r="L365" s="83"/>
      <c r="M365" s="85"/>
      <c r="N365" s="84"/>
      <c r="O365" s="84"/>
      <c r="P365" s="84"/>
    </row>
    <row r="366" spans="1:16" ht="15.75" customHeight="1">
      <c r="A366" s="80"/>
      <c r="B366" s="81"/>
      <c r="C366" s="82"/>
      <c r="D366" s="81"/>
      <c r="E366" s="82"/>
      <c r="F366" s="83"/>
      <c r="G366" s="81"/>
      <c r="H366" s="82"/>
      <c r="I366" s="84"/>
      <c r="J366" s="84"/>
      <c r="K366" s="84"/>
      <c r="L366" s="83"/>
      <c r="M366" s="85"/>
      <c r="N366" s="84"/>
      <c r="O366" s="84"/>
      <c r="P366" s="84"/>
    </row>
    <row r="367" spans="1:16" ht="15.75" customHeight="1">
      <c r="A367" s="80"/>
      <c r="B367" s="81"/>
      <c r="C367" s="82"/>
      <c r="D367" s="81"/>
      <c r="E367" s="82"/>
      <c r="F367" s="83"/>
      <c r="G367" s="81"/>
      <c r="H367" s="82"/>
      <c r="I367" s="84"/>
      <c r="J367" s="84"/>
      <c r="K367" s="84"/>
      <c r="L367" s="83"/>
      <c r="M367" s="85"/>
      <c r="N367" s="84"/>
      <c r="O367" s="84"/>
      <c r="P367" s="84"/>
    </row>
    <row r="368" spans="1:16" ht="15.75" customHeight="1">
      <c r="A368" s="80"/>
      <c r="B368" s="81"/>
      <c r="C368" s="82"/>
      <c r="D368" s="81"/>
      <c r="E368" s="82"/>
      <c r="F368" s="83"/>
      <c r="G368" s="81"/>
      <c r="H368" s="82"/>
      <c r="I368" s="84"/>
      <c r="J368" s="84"/>
      <c r="K368" s="84"/>
      <c r="L368" s="83"/>
      <c r="M368" s="85"/>
      <c r="N368" s="84"/>
      <c r="O368" s="84"/>
      <c r="P368" s="84"/>
    </row>
    <row r="369" spans="1:16" ht="15.75" customHeight="1">
      <c r="A369" s="80"/>
      <c r="B369" s="81"/>
      <c r="C369" s="82"/>
      <c r="D369" s="81"/>
      <c r="E369" s="82"/>
      <c r="F369" s="83"/>
      <c r="G369" s="81"/>
      <c r="H369" s="82"/>
      <c r="I369" s="84"/>
      <c r="J369" s="84"/>
      <c r="K369" s="84"/>
      <c r="L369" s="83"/>
      <c r="M369" s="85"/>
      <c r="N369" s="84"/>
      <c r="O369" s="84"/>
      <c r="P369" s="84"/>
    </row>
    <row r="370" spans="1:16" ht="15.75" customHeight="1">
      <c r="A370" s="80"/>
      <c r="B370" s="81"/>
      <c r="C370" s="82"/>
      <c r="D370" s="81"/>
      <c r="E370" s="82"/>
      <c r="F370" s="83"/>
      <c r="G370" s="81"/>
      <c r="H370" s="82"/>
      <c r="I370" s="84"/>
      <c r="J370" s="84"/>
      <c r="K370" s="84"/>
      <c r="L370" s="83"/>
      <c r="M370" s="85"/>
      <c r="N370" s="84"/>
      <c r="O370" s="84"/>
      <c r="P370" s="84"/>
    </row>
    <row r="371" spans="1:16" ht="15.75" customHeight="1">
      <c r="A371" s="80"/>
      <c r="B371" s="81"/>
      <c r="C371" s="82"/>
      <c r="D371" s="81"/>
      <c r="E371" s="82"/>
      <c r="F371" s="83"/>
      <c r="G371" s="81"/>
      <c r="H371" s="82"/>
      <c r="I371" s="84"/>
      <c r="J371" s="84"/>
      <c r="K371" s="84"/>
      <c r="L371" s="83"/>
      <c r="M371" s="85"/>
      <c r="N371" s="84"/>
      <c r="O371" s="84"/>
      <c r="P371" s="84"/>
    </row>
    <row r="372" spans="1:16" ht="15.75" customHeight="1">
      <c r="A372" s="80"/>
      <c r="B372" s="81"/>
      <c r="C372" s="82"/>
      <c r="D372" s="81"/>
      <c r="E372" s="82"/>
      <c r="F372" s="83"/>
      <c r="G372" s="81"/>
      <c r="H372" s="82"/>
      <c r="I372" s="84"/>
      <c r="J372" s="84"/>
      <c r="K372" s="84"/>
      <c r="L372" s="83"/>
      <c r="M372" s="85"/>
      <c r="N372" s="84"/>
      <c r="O372" s="84"/>
      <c r="P372" s="84"/>
    </row>
    <row r="373" spans="1:16" ht="15.75" customHeight="1">
      <c r="A373" s="80"/>
      <c r="B373" s="81"/>
      <c r="C373" s="82"/>
      <c r="D373" s="81"/>
      <c r="E373" s="82"/>
      <c r="F373" s="83"/>
      <c r="G373" s="81"/>
      <c r="H373" s="82"/>
      <c r="I373" s="84"/>
      <c r="J373" s="84"/>
      <c r="K373" s="84"/>
      <c r="L373" s="83"/>
      <c r="M373" s="85"/>
      <c r="N373" s="84"/>
      <c r="O373" s="84"/>
      <c r="P373" s="84"/>
    </row>
    <row r="374" spans="1:16" ht="15.75" customHeight="1">
      <c r="A374" s="80"/>
      <c r="B374" s="81"/>
      <c r="C374" s="82"/>
      <c r="D374" s="81"/>
      <c r="E374" s="82"/>
      <c r="F374" s="83"/>
      <c r="G374" s="81"/>
      <c r="H374" s="82"/>
      <c r="I374" s="84"/>
      <c r="J374" s="84"/>
      <c r="K374" s="84"/>
      <c r="L374" s="83"/>
      <c r="M374" s="85"/>
      <c r="N374" s="84"/>
      <c r="O374" s="84"/>
      <c r="P374" s="84"/>
    </row>
    <row r="375" spans="1:16" ht="15.75" customHeight="1">
      <c r="A375" s="80"/>
      <c r="B375" s="81"/>
      <c r="C375" s="82"/>
      <c r="D375" s="81"/>
      <c r="E375" s="82"/>
      <c r="F375" s="83"/>
      <c r="G375" s="81"/>
      <c r="H375" s="82"/>
      <c r="I375" s="84"/>
      <c r="J375" s="84"/>
      <c r="K375" s="84"/>
      <c r="L375" s="83"/>
      <c r="M375" s="85"/>
      <c r="N375" s="84"/>
      <c r="O375" s="84"/>
      <c r="P375" s="84"/>
    </row>
    <row r="376" spans="1:16" ht="15.75" customHeight="1">
      <c r="A376" s="80"/>
      <c r="B376" s="81"/>
      <c r="C376" s="82"/>
      <c r="D376" s="81"/>
      <c r="E376" s="82"/>
      <c r="F376" s="83"/>
      <c r="G376" s="81"/>
      <c r="H376" s="82"/>
      <c r="I376" s="84"/>
      <c r="J376" s="84"/>
      <c r="K376" s="84"/>
      <c r="L376" s="83"/>
      <c r="M376" s="85"/>
      <c r="N376" s="84"/>
      <c r="O376" s="84"/>
      <c r="P376" s="84"/>
    </row>
    <row r="377" spans="1:16" ht="15.75" customHeight="1">
      <c r="A377" s="80"/>
      <c r="B377" s="81"/>
      <c r="C377" s="82"/>
      <c r="D377" s="81"/>
      <c r="E377" s="82"/>
      <c r="F377" s="83"/>
      <c r="G377" s="81"/>
      <c r="H377" s="82"/>
      <c r="I377" s="84"/>
      <c r="J377" s="84"/>
      <c r="K377" s="84"/>
      <c r="L377" s="83"/>
      <c r="M377" s="85"/>
      <c r="N377" s="84"/>
      <c r="O377" s="84"/>
      <c r="P377" s="84"/>
    </row>
    <row r="378" spans="1:16" ht="15.75" customHeight="1">
      <c r="A378" s="80"/>
      <c r="B378" s="81"/>
      <c r="C378" s="82"/>
      <c r="D378" s="81"/>
      <c r="E378" s="82"/>
      <c r="F378" s="83"/>
      <c r="G378" s="81"/>
      <c r="H378" s="82"/>
      <c r="I378" s="84"/>
      <c r="J378" s="84"/>
      <c r="K378" s="84"/>
      <c r="L378" s="83"/>
      <c r="M378" s="85"/>
      <c r="N378" s="84"/>
      <c r="O378" s="84"/>
      <c r="P378" s="84"/>
    </row>
    <row r="379" spans="1:16" ht="15.75" customHeight="1">
      <c r="A379" s="80"/>
      <c r="B379" s="81"/>
      <c r="C379" s="82"/>
      <c r="D379" s="81"/>
      <c r="E379" s="82"/>
      <c r="F379" s="83"/>
      <c r="G379" s="81"/>
      <c r="H379" s="82"/>
      <c r="I379" s="84"/>
      <c r="J379" s="84"/>
      <c r="K379" s="84"/>
      <c r="L379" s="83"/>
      <c r="M379" s="85"/>
      <c r="N379" s="84"/>
      <c r="O379" s="84"/>
      <c r="P379" s="84"/>
    </row>
    <row r="380" spans="1:16" ht="15.75" customHeight="1">
      <c r="A380" s="80"/>
      <c r="B380" s="81"/>
      <c r="C380" s="82"/>
      <c r="D380" s="81"/>
      <c r="E380" s="82"/>
      <c r="F380" s="83"/>
      <c r="G380" s="81"/>
      <c r="H380" s="82"/>
      <c r="I380" s="84"/>
      <c r="J380" s="84"/>
      <c r="K380" s="84"/>
      <c r="L380" s="83"/>
      <c r="M380" s="85"/>
      <c r="N380" s="84"/>
      <c r="O380" s="84"/>
      <c r="P380" s="84"/>
    </row>
    <row r="381" spans="1:16" ht="15.75" customHeight="1">
      <c r="A381" s="80"/>
      <c r="B381" s="81"/>
      <c r="C381" s="82"/>
      <c r="D381" s="81"/>
      <c r="E381" s="82"/>
      <c r="F381" s="83"/>
      <c r="G381" s="81"/>
      <c r="H381" s="82"/>
      <c r="I381" s="84"/>
      <c r="J381" s="84"/>
      <c r="K381" s="84"/>
      <c r="L381" s="83"/>
      <c r="M381" s="85"/>
      <c r="N381" s="84"/>
      <c r="O381" s="84"/>
      <c r="P381" s="84"/>
    </row>
    <row r="382" spans="1:16" ht="15.75" customHeight="1">
      <c r="A382" s="80"/>
      <c r="B382" s="81"/>
      <c r="C382" s="82"/>
      <c r="D382" s="81"/>
      <c r="E382" s="82"/>
      <c r="F382" s="83"/>
      <c r="G382" s="81"/>
      <c r="H382" s="82"/>
      <c r="I382" s="84"/>
      <c r="J382" s="84"/>
      <c r="K382" s="84"/>
      <c r="L382" s="83"/>
      <c r="M382" s="85"/>
      <c r="N382" s="84"/>
      <c r="O382" s="84"/>
      <c r="P382" s="84"/>
    </row>
    <row r="383" spans="1:16" ht="15.75" customHeight="1">
      <c r="A383" s="80"/>
      <c r="B383" s="81"/>
      <c r="C383" s="82"/>
      <c r="D383" s="81"/>
      <c r="E383" s="82"/>
      <c r="F383" s="83"/>
      <c r="G383" s="81"/>
      <c r="H383" s="82"/>
      <c r="I383" s="84"/>
      <c r="J383" s="84"/>
      <c r="K383" s="84"/>
      <c r="L383" s="83"/>
      <c r="M383" s="85"/>
      <c r="N383" s="84"/>
      <c r="O383" s="84"/>
      <c r="P383" s="84"/>
    </row>
    <row r="384" spans="1:16" ht="15.75" customHeight="1">
      <c r="A384" s="80"/>
      <c r="B384" s="81"/>
      <c r="C384" s="82"/>
      <c r="D384" s="81"/>
      <c r="E384" s="82"/>
      <c r="F384" s="83"/>
      <c r="G384" s="81"/>
      <c r="H384" s="82"/>
      <c r="I384" s="84"/>
      <c r="J384" s="84"/>
      <c r="K384" s="84"/>
      <c r="L384" s="83"/>
      <c r="M384" s="85"/>
      <c r="N384" s="84"/>
      <c r="O384" s="84"/>
      <c r="P384" s="84"/>
    </row>
    <row r="385" spans="1:16" ht="15.75" customHeight="1">
      <c r="A385" s="80"/>
      <c r="B385" s="81"/>
      <c r="C385" s="82"/>
      <c r="D385" s="81"/>
      <c r="E385" s="82"/>
      <c r="F385" s="83"/>
      <c r="G385" s="81"/>
      <c r="H385" s="82"/>
      <c r="I385" s="84"/>
      <c r="J385" s="84"/>
      <c r="K385" s="84"/>
      <c r="L385" s="83"/>
      <c r="M385" s="85"/>
      <c r="N385" s="84"/>
      <c r="O385" s="84"/>
      <c r="P385" s="84"/>
    </row>
    <row r="386" spans="1:16" ht="15.75" customHeight="1">
      <c r="A386" s="80"/>
      <c r="B386" s="81"/>
      <c r="C386" s="82"/>
      <c r="D386" s="81"/>
      <c r="E386" s="82"/>
      <c r="F386" s="83"/>
      <c r="G386" s="81"/>
      <c r="H386" s="82"/>
      <c r="I386" s="84"/>
      <c r="J386" s="84"/>
      <c r="K386" s="84"/>
      <c r="L386" s="83"/>
      <c r="M386" s="85"/>
      <c r="N386" s="84"/>
      <c r="O386" s="84"/>
      <c r="P386" s="84"/>
    </row>
    <row r="387" spans="1:16" ht="15.75" customHeight="1">
      <c r="A387" s="80"/>
      <c r="B387" s="81"/>
      <c r="C387" s="82"/>
      <c r="D387" s="81"/>
      <c r="E387" s="82"/>
      <c r="F387" s="83"/>
      <c r="G387" s="81"/>
      <c r="H387" s="82"/>
      <c r="I387" s="84"/>
      <c r="J387" s="84"/>
      <c r="K387" s="84"/>
      <c r="L387" s="83"/>
      <c r="M387" s="85"/>
      <c r="N387" s="84"/>
      <c r="O387" s="84"/>
      <c r="P387" s="84"/>
    </row>
    <row r="388" spans="1:16" ht="15.75" customHeight="1">
      <c r="A388" s="80"/>
      <c r="B388" s="81"/>
      <c r="C388" s="82"/>
      <c r="D388" s="81"/>
      <c r="E388" s="82"/>
      <c r="F388" s="83"/>
      <c r="G388" s="81"/>
      <c r="H388" s="82"/>
      <c r="I388" s="84"/>
      <c r="J388" s="84"/>
      <c r="K388" s="84"/>
      <c r="L388" s="83"/>
      <c r="M388" s="85"/>
      <c r="N388" s="84"/>
      <c r="O388" s="84"/>
      <c r="P388" s="84"/>
    </row>
    <row r="389" spans="1:16" ht="15.75" customHeight="1">
      <c r="A389" s="80"/>
      <c r="B389" s="81"/>
      <c r="C389" s="82"/>
      <c r="D389" s="81"/>
      <c r="E389" s="82"/>
      <c r="F389" s="83"/>
      <c r="G389" s="81"/>
      <c r="H389" s="82"/>
      <c r="I389" s="84"/>
      <c r="J389" s="84"/>
      <c r="K389" s="84"/>
      <c r="L389" s="83"/>
      <c r="M389" s="85"/>
      <c r="N389" s="84"/>
      <c r="O389" s="84"/>
      <c r="P389" s="84"/>
    </row>
    <row r="390" spans="1:16" ht="15.75" customHeight="1">
      <c r="A390" s="80"/>
      <c r="B390" s="81"/>
      <c r="C390" s="82"/>
      <c r="D390" s="81"/>
      <c r="E390" s="82"/>
      <c r="F390" s="83"/>
      <c r="G390" s="81"/>
      <c r="H390" s="82"/>
      <c r="I390" s="84"/>
      <c r="J390" s="84"/>
      <c r="K390" s="84"/>
      <c r="L390" s="83"/>
      <c r="M390" s="85"/>
      <c r="N390" s="84"/>
      <c r="O390" s="84"/>
      <c r="P390" s="84"/>
    </row>
    <row r="391" spans="1:16" ht="15.75" customHeight="1">
      <c r="A391" s="80"/>
      <c r="B391" s="81"/>
      <c r="C391" s="82"/>
      <c r="D391" s="81"/>
      <c r="E391" s="82"/>
      <c r="F391" s="83"/>
      <c r="G391" s="81"/>
      <c r="H391" s="82"/>
      <c r="I391" s="84"/>
      <c r="J391" s="84"/>
      <c r="K391" s="84"/>
      <c r="L391" s="83"/>
      <c r="M391" s="85"/>
      <c r="N391" s="84"/>
      <c r="O391" s="84"/>
      <c r="P391" s="84"/>
    </row>
    <row r="392" spans="1:16" ht="15.75" customHeight="1">
      <c r="A392" s="80"/>
      <c r="B392" s="81"/>
      <c r="C392" s="82"/>
      <c r="D392" s="81"/>
      <c r="E392" s="82"/>
      <c r="F392" s="83"/>
      <c r="G392" s="81"/>
      <c r="H392" s="82"/>
      <c r="I392" s="84"/>
      <c r="J392" s="84"/>
      <c r="K392" s="84"/>
      <c r="L392" s="83"/>
      <c r="M392" s="85"/>
      <c r="N392" s="84"/>
      <c r="O392" s="84"/>
      <c r="P392" s="84"/>
    </row>
    <row r="393" spans="1:16" ht="15.75" customHeight="1">
      <c r="A393" s="80"/>
      <c r="B393" s="81"/>
      <c r="C393" s="82"/>
      <c r="D393" s="81"/>
      <c r="E393" s="82"/>
      <c r="F393" s="83"/>
      <c r="G393" s="81"/>
      <c r="H393" s="82"/>
      <c r="I393" s="84"/>
      <c r="J393" s="84"/>
      <c r="K393" s="84"/>
      <c r="L393" s="83"/>
      <c r="M393" s="85"/>
      <c r="N393" s="84"/>
      <c r="O393" s="84"/>
      <c r="P393" s="84"/>
    </row>
    <row r="394" spans="1:16" ht="15.75" customHeight="1">
      <c r="A394" s="80"/>
      <c r="B394" s="81"/>
      <c r="C394" s="82"/>
      <c r="D394" s="81"/>
      <c r="E394" s="82"/>
      <c r="F394" s="83"/>
      <c r="G394" s="81"/>
      <c r="H394" s="82"/>
      <c r="I394" s="84"/>
      <c r="J394" s="84"/>
      <c r="K394" s="84"/>
      <c r="L394" s="83"/>
      <c r="M394" s="85"/>
      <c r="N394" s="84"/>
      <c r="O394" s="84"/>
      <c r="P394" s="84"/>
    </row>
    <row r="395" spans="1:16" ht="15.75" customHeight="1">
      <c r="A395" s="80"/>
      <c r="B395" s="81"/>
      <c r="C395" s="82"/>
      <c r="D395" s="81"/>
      <c r="E395" s="82"/>
      <c r="F395" s="83"/>
      <c r="G395" s="81"/>
      <c r="H395" s="82"/>
      <c r="I395" s="84"/>
      <c r="J395" s="84"/>
      <c r="K395" s="84"/>
      <c r="L395" s="83"/>
      <c r="M395" s="85"/>
      <c r="N395" s="84"/>
      <c r="O395" s="84"/>
      <c r="P395" s="84"/>
    </row>
    <row r="396" spans="1:16" ht="15.75" customHeight="1">
      <c r="A396" s="80"/>
      <c r="B396" s="81"/>
      <c r="C396" s="82"/>
      <c r="D396" s="81"/>
      <c r="E396" s="82"/>
      <c r="F396" s="83"/>
      <c r="G396" s="81"/>
      <c r="H396" s="82"/>
      <c r="I396" s="84"/>
      <c r="J396" s="84"/>
      <c r="K396" s="84"/>
      <c r="L396" s="83"/>
      <c r="M396" s="85"/>
      <c r="N396" s="84"/>
      <c r="O396" s="84"/>
      <c r="P396" s="84"/>
    </row>
    <row r="397" spans="1:16" ht="15.75" customHeight="1">
      <c r="A397" s="80"/>
      <c r="B397" s="81"/>
      <c r="C397" s="82"/>
      <c r="D397" s="81"/>
      <c r="E397" s="82"/>
      <c r="F397" s="83"/>
      <c r="G397" s="81"/>
      <c r="H397" s="82"/>
      <c r="I397" s="84"/>
      <c r="J397" s="84"/>
      <c r="K397" s="84"/>
      <c r="L397" s="83"/>
      <c r="M397" s="85"/>
      <c r="N397" s="84"/>
      <c r="O397" s="84"/>
      <c r="P397" s="84"/>
    </row>
    <row r="398" spans="1:16" ht="15.75" customHeight="1">
      <c r="A398" s="80"/>
      <c r="B398" s="81"/>
      <c r="C398" s="82"/>
      <c r="D398" s="81"/>
      <c r="E398" s="82"/>
      <c r="F398" s="83"/>
      <c r="G398" s="81"/>
      <c r="H398" s="82"/>
      <c r="I398" s="84"/>
      <c r="J398" s="84"/>
      <c r="K398" s="84"/>
      <c r="L398" s="83"/>
      <c r="M398" s="85"/>
      <c r="N398" s="84"/>
      <c r="O398" s="84"/>
      <c r="P398" s="84"/>
    </row>
    <row r="399" spans="1:16" ht="15.75" customHeight="1">
      <c r="A399" s="80"/>
      <c r="B399" s="81"/>
      <c r="C399" s="82"/>
      <c r="D399" s="81"/>
      <c r="E399" s="82"/>
      <c r="F399" s="83"/>
      <c r="G399" s="81"/>
      <c r="H399" s="82"/>
      <c r="I399" s="84"/>
      <c r="J399" s="84"/>
      <c r="K399" s="84"/>
      <c r="L399" s="83"/>
      <c r="M399" s="85"/>
      <c r="N399" s="84"/>
      <c r="O399" s="84"/>
      <c r="P399" s="84"/>
    </row>
    <row r="400" spans="1:16" ht="15.75" customHeight="1">
      <c r="A400" s="80"/>
      <c r="B400" s="81"/>
      <c r="C400" s="82"/>
      <c r="D400" s="81"/>
      <c r="E400" s="82"/>
      <c r="F400" s="83"/>
      <c r="G400" s="81"/>
      <c r="H400" s="82"/>
      <c r="I400" s="84"/>
      <c r="J400" s="84"/>
      <c r="K400" s="84"/>
      <c r="L400" s="83"/>
      <c r="M400" s="85"/>
      <c r="N400" s="84"/>
      <c r="O400" s="84"/>
      <c r="P400" s="84"/>
    </row>
    <row r="401" spans="1:16" ht="15.75" customHeight="1">
      <c r="A401" s="80"/>
      <c r="B401" s="81"/>
      <c r="C401" s="82"/>
      <c r="D401" s="81"/>
      <c r="E401" s="82"/>
      <c r="F401" s="83"/>
      <c r="G401" s="81"/>
      <c r="H401" s="82"/>
      <c r="I401" s="84"/>
      <c r="J401" s="84"/>
      <c r="K401" s="84"/>
      <c r="L401" s="83"/>
      <c r="M401" s="85"/>
      <c r="N401" s="84"/>
      <c r="O401" s="84"/>
      <c r="P401" s="84"/>
    </row>
    <row r="402" spans="1:16" ht="15.75" customHeight="1">
      <c r="A402" s="80"/>
      <c r="B402" s="81"/>
      <c r="C402" s="82"/>
      <c r="D402" s="81"/>
      <c r="E402" s="82"/>
      <c r="F402" s="83"/>
      <c r="G402" s="81"/>
      <c r="H402" s="82"/>
      <c r="I402" s="84"/>
      <c r="J402" s="84"/>
      <c r="K402" s="84"/>
      <c r="L402" s="83"/>
      <c r="M402" s="85"/>
      <c r="N402" s="84"/>
      <c r="O402" s="84"/>
      <c r="P402" s="84"/>
    </row>
    <row r="403" spans="1:16" ht="15.75" customHeight="1">
      <c r="A403" s="80"/>
      <c r="B403" s="81"/>
      <c r="C403" s="82"/>
      <c r="D403" s="81"/>
      <c r="E403" s="82"/>
      <c r="F403" s="83"/>
      <c r="G403" s="81"/>
      <c r="H403" s="82"/>
      <c r="I403" s="84"/>
      <c r="J403" s="84"/>
      <c r="K403" s="84"/>
      <c r="L403" s="83"/>
      <c r="M403" s="85"/>
      <c r="N403" s="84"/>
      <c r="O403" s="84"/>
      <c r="P403" s="84"/>
    </row>
    <row r="404" spans="1:16" ht="15.75" customHeight="1">
      <c r="A404" s="80"/>
      <c r="B404" s="81"/>
      <c r="C404" s="82"/>
      <c r="D404" s="81"/>
      <c r="E404" s="82"/>
      <c r="F404" s="83"/>
      <c r="G404" s="81"/>
      <c r="H404" s="82"/>
      <c r="I404" s="84"/>
      <c r="J404" s="84"/>
      <c r="K404" s="84"/>
      <c r="L404" s="83"/>
      <c r="M404" s="85"/>
      <c r="N404" s="84"/>
      <c r="O404" s="84"/>
      <c r="P404" s="84"/>
    </row>
    <row r="405" spans="1:16" ht="15.75" customHeight="1">
      <c r="A405" s="80"/>
      <c r="B405" s="81"/>
      <c r="C405" s="82"/>
      <c r="D405" s="81"/>
      <c r="E405" s="82"/>
      <c r="F405" s="83"/>
      <c r="G405" s="81"/>
      <c r="H405" s="82"/>
      <c r="I405" s="84"/>
      <c r="J405" s="84"/>
      <c r="K405" s="84"/>
      <c r="L405" s="83"/>
      <c r="M405" s="85"/>
      <c r="N405" s="84"/>
      <c r="O405" s="84"/>
      <c r="P405" s="84"/>
    </row>
    <row r="406" spans="1:16" ht="15.75" customHeight="1">
      <c r="A406" s="80"/>
      <c r="B406" s="81"/>
      <c r="C406" s="82"/>
      <c r="D406" s="81"/>
      <c r="E406" s="82"/>
      <c r="F406" s="83"/>
      <c r="G406" s="81"/>
      <c r="H406" s="82"/>
      <c r="I406" s="84"/>
      <c r="J406" s="84"/>
      <c r="K406" s="84"/>
      <c r="L406" s="83"/>
      <c r="M406" s="85"/>
      <c r="N406" s="84"/>
      <c r="O406" s="84"/>
      <c r="P406" s="84"/>
    </row>
    <row r="407" spans="1:16" ht="15.75" customHeight="1">
      <c r="A407" s="80"/>
      <c r="B407" s="81"/>
      <c r="C407" s="82"/>
      <c r="D407" s="81"/>
      <c r="E407" s="82"/>
      <c r="F407" s="83"/>
      <c r="G407" s="81"/>
      <c r="H407" s="82"/>
      <c r="I407" s="84"/>
      <c r="J407" s="84"/>
      <c r="K407" s="84"/>
      <c r="L407" s="83"/>
      <c r="M407" s="85"/>
      <c r="N407" s="84"/>
      <c r="O407" s="84"/>
      <c r="P407" s="84"/>
    </row>
    <row r="408" spans="1:16" ht="15.75" customHeight="1">
      <c r="A408" s="80"/>
      <c r="B408" s="81"/>
      <c r="C408" s="82"/>
      <c r="D408" s="81"/>
      <c r="E408" s="82"/>
      <c r="F408" s="83"/>
      <c r="G408" s="81"/>
      <c r="H408" s="82"/>
      <c r="I408" s="84"/>
      <c r="J408" s="84"/>
      <c r="K408" s="84"/>
      <c r="L408" s="83"/>
      <c r="M408" s="85"/>
      <c r="N408" s="84"/>
      <c r="O408" s="84"/>
      <c r="P408" s="84"/>
    </row>
    <row r="409" spans="1:16" ht="15.75" customHeight="1">
      <c r="A409" s="80"/>
      <c r="B409" s="81"/>
      <c r="C409" s="82"/>
      <c r="D409" s="81"/>
      <c r="E409" s="82"/>
      <c r="F409" s="83"/>
      <c r="G409" s="81"/>
      <c r="H409" s="82"/>
      <c r="I409" s="84"/>
      <c r="J409" s="84"/>
      <c r="K409" s="84"/>
      <c r="L409" s="83"/>
      <c r="M409" s="85"/>
      <c r="N409" s="84"/>
      <c r="O409" s="84"/>
      <c r="P409" s="84"/>
    </row>
    <row r="410" spans="1:16" ht="15.75" customHeight="1">
      <c r="A410" s="80"/>
      <c r="B410" s="81"/>
      <c r="C410" s="82"/>
      <c r="D410" s="81"/>
      <c r="E410" s="82"/>
      <c r="F410" s="83"/>
      <c r="G410" s="81"/>
      <c r="H410" s="82"/>
      <c r="I410" s="84"/>
      <c r="J410" s="84"/>
      <c r="K410" s="84"/>
      <c r="L410" s="83"/>
      <c r="M410" s="85"/>
      <c r="N410" s="84"/>
      <c r="O410" s="84"/>
      <c r="P410" s="84"/>
    </row>
    <row r="411" spans="1:16" ht="15.75" customHeight="1">
      <c r="A411" s="80"/>
      <c r="B411" s="81"/>
      <c r="C411" s="82"/>
      <c r="D411" s="81"/>
      <c r="E411" s="82"/>
      <c r="F411" s="83"/>
      <c r="G411" s="81"/>
      <c r="H411" s="82"/>
      <c r="I411" s="84"/>
      <c r="J411" s="84"/>
      <c r="K411" s="84"/>
      <c r="L411" s="83"/>
      <c r="M411" s="85"/>
      <c r="N411" s="84"/>
      <c r="O411" s="84"/>
      <c r="P411" s="84"/>
    </row>
    <row r="412" spans="1:16" ht="15.75" customHeight="1">
      <c r="A412" s="80"/>
      <c r="B412" s="81"/>
      <c r="C412" s="82"/>
      <c r="D412" s="81"/>
      <c r="E412" s="82"/>
      <c r="F412" s="83"/>
      <c r="G412" s="81"/>
      <c r="H412" s="82"/>
      <c r="I412" s="84"/>
      <c r="J412" s="84"/>
      <c r="K412" s="84"/>
      <c r="L412" s="83"/>
      <c r="M412" s="85"/>
      <c r="N412" s="84"/>
      <c r="O412" s="84"/>
      <c r="P412" s="84"/>
    </row>
    <row r="413" spans="1:16" ht="15.75" customHeight="1">
      <c r="A413" s="80"/>
      <c r="B413" s="81"/>
      <c r="C413" s="82"/>
      <c r="D413" s="81"/>
      <c r="E413" s="82"/>
      <c r="F413" s="83"/>
      <c r="G413" s="81"/>
      <c r="H413" s="82"/>
      <c r="I413" s="84"/>
      <c r="J413" s="84"/>
      <c r="K413" s="84"/>
      <c r="L413" s="83"/>
      <c r="M413" s="85"/>
      <c r="N413" s="84"/>
      <c r="O413" s="84"/>
      <c r="P413" s="84"/>
    </row>
    <row r="414" spans="1:16" ht="15.75" customHeight="1">
      <c r="A414" s="80"/>
      <c r="B414" s="81"/>
      <c r="C414" s="82"/>
      <c r="D414" s="81"/>
      <c r="E414" s="82"/>
      <c r="F414" s="83"/>
      <c r="G414" s="81"/>
      <c r="H414" s="82"/>
      <c r="I414" s="84"/>
      <c r="J414" s="84"/>
      <c r="K414" s="84"/>
      <c r="L414" s="83"/>
      <c r="M414" s="85"/>
      <c r="N414" s="84"/>
      <c r="O414" s="84"/>
      <c r="P414" s="84"/>
    </row>
    <row r="415" spans="1:16" ht="15.75" customHeight="1">
      <c r="A415" s="80"/>
      <c r="B415" s="81"/>
      <c r="C415" s="82"/>
      <c r="D415" s="81"/>
      <c r="E415" s="82"/>
      <c r="F415" s="83"/>
      <c r="G415" s="81"/>
      <c r="H415" s="82"/>
      <c r="I415" s="84"/>
      <c r="J415" s="84"/>
      <c r="K415" s="84"/>
      <c r="L415" s="83"/>
      <c r="M415" s="85"/>
      <c r="N415" s="84"/>
      <c r="O415" s="84"/>
      <c r="P415" s="84"/>
    </row>
    <row r="416" spans="1:16" ht="15.75" customHeight="1">
      <c r="A416" s="80"/>
      <c r="B416" s="81"/>
      <c r="C416" s="82"/>
      <c r="D416" s="81"/>
      <c r="E416" s="82"/>
      <c r="F416" s="83"/>
      <c r="G416" s="81"/>
      <c r="H416" s="82"/>
      <c r="I416" s="84"/>
      <c r="J416" s="84"/>
      <c r="K416" s="84"/>
      <c r="L416" s="83"/>
      <c r="M416" s="85"/>
      <c r="N416" s="84"/>
      <c r="O416" s="84"/>
      <c r="P416" s="84"/>
    </row>
    <row r="417" spans="1:16" ht="15.75" customHeight="1">
      <c r="A417" s="80"/>
      <c r="B417" s="81"/>
      <c r="C417" s="82"/>
      <c r="D417" s="81"/>
      <c r="E417" s="82"/>
      <c r="F417" s="83"/>
      <c r="G417" s="81"/>
      <c r="H417" s="82"/>
      <c r="I417" s="84"/>
      <c r="J417" s="84"/>
      <c r="K417" s="84"/>
      <c r="L417" s="83"/>
      <c r="M417" s="85"/>
      <c r="N417" s="84"/>
      <c r="O417" s="84"/>
      <c r="P417" s="84"/>
    </row>
    <row r="418" spans="1:16" ht="15.75" customHeight="1">
      <c r="A418" s="80"/>
      <c r="B418" s="81"/>
      <c r="C418" s="82"/>
      <c r="D418" s="81"/>
      <c r="E418" s="82"/>
      <c r="F418" s="83"/>
      <c r="G418" s="81"/>
      <c r="H418" s="82"/>
      <c r="I418" s="84"/>
      <c r="J418" s="84"/>
      <c r="K418" s="84"/>
      <c r="L418" s="83"/>
      <c r="M418" s="85"/>
      <c r="N418" s="84"/>
      <c r="O418" s="84"/>
      <c r="P418" s="84"/>
    </row>
    <row r="419" spans="1:16" ht="15.75" customHeight="1">
      <c r="A419" s="80"/>
      <c r="B419" s="81"/>
      <c r="C419" s="82"/>
      <c r="D419" s="81"/>
      <c r="E419" s="82"/>
      <c r="F419" s="83"/>
      <c r="G419" s="81"/>
      <c r="H419" s="82"/>
      <c r="I419" s="84"/>
      <c r="J419" s="84"/>
      <c r="K419" s="84"/>
      <c r="L419" s="83"/>
      <c r="M419" s="85"/>
      <c r="N419" s="84"/>
      <c r="O419" s="84"/>
      <c r="P419" s="84"/>
    </row>
    <row r="420" spans="1:16" ht="15.75" customHeight="1">
      <c r="A420" s="80"/>
      <c r="B420" s="81"/>
      <c r="C420" s="82"/>
      <c r="D420" s="81"/>
      <c r="E420" s="82"/>
      <c r="F420" s="83"/>
      <c r="G420" s="81"/>
      <c r="H420" s="82"/>
      <c r="I420" s="84"/>
      <c r="J420" s="84"/>
      <c r="K420" s="84"/>
      <c r="L420" s="83"/>
      <c r="M420" s="85"/>
      <c r="N420" s="84"/>
      <c r="O420" s="84"/>
      <c r="P420" s="84"/>
    </row>
    <row r="421" spans="1:16" ht="15.75" customHeight="1">
      <c r="A421" s="80"/>
      <c r="B421" s="81"/>
      <c r="C421" s="82"/>
      <c r="D421" s="81"/>
      <c r="E421" s="82"/>
      <c r="F421" s="83"/>
      <c r="G421" s="81"/>
      <c r="H421" s="82"/>
      <c r="I421" s="84"/>
      <c r="J421" s="84"/>
      <c r="K421" s="84"/>
      <c r="L421" s="83"/>
      <c r="M421" s="85"/>
      <c r="N421" s="84"/>
      <c r="O421" s="84"/>
      <c r="P421" s="84"/>
    </row>
    <row r="422" spans="1:16" ht="15.75" customHeight="1">
      <c r="A422" s="80"/>
      <c r="B422" s="81"/>
      <c r="C422" s="82"/>
      <c r="D422" s="81"/>
      <c r="E422" s="82"/>
      <c r="F422" s="83"/>
      <c r="G422" s="81"/>
      <c r="H422" s="82"/>
      <c r="I422" s="84"/>
      <c r="J422" s="84"/>
      <c r="K422" s="84"/>
      <c r="L422" s="83"/>
      <c r="M422" s="85"/>
      <c r="N422" s="84"/>
      <c r="O422" s="84"/>
      <c r="P422" s="84"/>
    </row>
    <row r="423" spans="1:16" ht="15.75" customHeight="1">
      <c r="A423" s="80"/>
      <c r="B423" s="81"/>
      <c r="C423" s="82"/>
      <c r="D423" s="81"/>
      <c r="E423" s="82"/>
      <c r="F423" s="83"/>
      <c r="G423" s="81"/>
      <c r="H423" s="82"/>
      <c r="I423" s="84"/>
      <c r="J423" s="84"/>
      <c r="K423" s="84"/>
      <c r="L423" s="83"/>
      <c r="M423" s="85"/>
      <c r="N423" s="84"/>
      <c r="O423" s="84"/>
      <c r="P423" s="84"/>
    </row>
    <row r="424" spans="1:16" ht="15.75" customHeight="1">
      <c r="A424" s="80"/>
      <c r="B424" s="81"/>
      <c r="C424" s="82"/>
      <c r="D424" s="81"/>
      <c r="E424" s="82"/>
      <c r="F424" s="83"/>
      <c r="G424" s="81"/>
      <c r="H424" s="82"/>
      <c r="I424" s="84"/>
      <c r="J424" s="84"/>
      <c r="K424" s="84"/>
      <c r="L424" s="83"/>
      <c r="M424" s="85"/>
      <c r="N424" s="84"/>
      <c r="O424" s="84"/>
      <c r="P424" s="84"/>
    </row>
    <row r="425" spans="1:16" ht="15.75" customHeight="1">
      <c r="A425" s="80"/>
      <c r="B425" s="81"/>
      <c r="C425" s="82"/>
      <c r="D425" s="81"/>
      <c r="E425" s="82"/>
      <c r="F425" s="83"/>
      <c r="G425" s="81"/>
      <c r="H425" s="82"/>
      <c r="I425" s="84"/>
      <c r="J425" s="84"/>
      <c r="K425" s="84"/>
      <c r="L425" s="83"/>
      <c r="M425" s="85"/>
      <c r="N425" s="84"/>
      <c r="O425" s="84"/>
      <c r="P425" s="84"/>
    </row>
    <row r="426" spans="1:16" ht="15.75" customHeight="1">
      <c r="A426" s="80"/>
      <c r="B426" s="81"/>
      <c r="C426" s="82"/>
      <c r="D426" s="81"/>
      <c r="E426" s="82"/>
      <c r="F426" s="83"/>
      <c r="G426" s="81"/>
      <c r="H426" s="82"/>
      <c r="I426" s="84"/>
      <c r="J426" s="84"/>
      <c r="K426" s="84"/>
      <c r="L426" s="83"/>
      <c r="M426" s="85"/>
      <c r="N426" s="84"/>
      <c r="O426" s="84"/>
      <c r="P426" s="84"/>
    </row>
    <row r="427" spans="1:16" ht="15.75" customHeight="1">
      <c r="A427" s="80"/>
      <c r="B427" s="81"/>
      <c r="C427" s="82"/>
      <c r="D427" s="81"/>
      <c r="E427" s="82"/>
      <c r="F427" s="83"/>
      <c r="G427" s="81"/>
      <c r="H427" s="82"/>
      <c r="I427" s="84"/>
      <c r="J427" s="84"/>
      <c r="K427" s="84"/>
      <c r="L427" s="83"/>
      <c r="M427" s="85"/>
      <c r="N427" s="84"/>
      <c r="O427" s="84"/>
      <c r="P427" s="84"/>
    </row>
    <row r="428" spans="1:16" ht="15.75" customHeight="1">
      <c r="A428" s="80"/>
      <c r="B428" s="81"/>
      <c r="C428" s="82"/>
      <c r="D428" s="81"/>
      <c r="E428" s="82"/>
      <c r="F428" s="83"/>
      <c r="G428" s="81"/>
      <c r="H428" s="82"/>
      <c r="I428" s="84"/>
      <c r="J428" s="84"/>
      <c r="K428" s="84"/>
      <c r="L428" s="83"/>
      <c r="M428" s="85"/>
      <c r="N428" s="84"/>
      <c r="O428" s="84"/>
      <c r="P428" s="84"/>
    </row>
    <row r="429" spans="1:16" ht="15.75" customHeight="1">
      <c r="A429" s="80"/>
      <c r="B429" s="81"/>
      <c r="C429" s="82"/>
      <c r="D429" s="81"/>
      <c r="E429" s="82"/>
      <c r="F429" s="83"/>
      <c r="G429" s="81"/>
      <c r="H429" s="82"/>
      <c r="I429" s="84"/>
      <c r="J429" s="84"/>
      <c r="K429" s="84"/>
      <c r="L429" s="83"/>
      <c r="M429" s="85"/>
      <c r="N429" s="84"/>
      <c r="O429" s="84"/>
      <c r="P429" s="84"/>
    </row>
    <row r="430" spans="1:16" ht="15.75" customHeight="1">
      <c r="A430" s="80"/>
      <c r="B430" s="81"/>
      <c r="C430" s="82"/>
      <c r="D430" s="81"/>
      <c r="E430" s="82"/>
      <c r="F430" s="83"/>
      <c r="G430" s="81"/>
      <c r="H430" s="82"/>
      <c r="I430" s="84"/>
      <c r="J430" s="84"/>
      <c r="K430" s="84"/>
      <c r="L430" s="83"/>
      <c r="M430" s="85"/>
      <c r="N430" s="84"/>
      <c r="O430" s="84"/>
      <c r="P430" s="84"/>
    </row>
    <row r="431" spans="1:16" ht="15.75" customHeight="1">
      <c r="A431" s="80"/>
      <c r="B431" s="81"/>
      <c r="C431" s="82"/>
      <c r="D431" s="81"/>
      <c r="E431" s="82"/>
      <c r="F431" s="83"/>
      <c r="G431" s="81"/>
      <c r="H431" s="82"/>
      <c r="I431" s="84"/>
      <c r="J431" s="84"/>
      <c r="K431" s="84"/>
      <c r="L431" s="83"/>
      <c r="M431" s="85"/>
      <c r="N431" s="84"/>
      <c r="O431" s="84"/>
      <c r="P431" s="84"/>
    </row>
    <row r="432" spans="1:16" ht="15.75" customHeight="1">
      <c r="A432" s="80"/>
      <c r="B432" s="81"/>
      <c r="C432" s="82"/>
      <c r="D432" s="81"/>
      <c r="E432" s="82"/>
      <c r="F432" s="83"/>
      <c r="G432" s="81"/>
      <c r="H432" s="82"/>
      <c r="I432" s="84"/>
      <c r="J432" s="84"/>
      <c r="K432" s="84"/>
      <c r="L432" s="83"/>
      <c r="M432" s="85"/>
      <c r="N432" s="84"/>
      <c r="O432" s="84"/>
      <c r="P432" s="84"/>
    </row>
    <row r="433" spans="1:16" ht="15.75" customHeight="1">
      <c r="A433" s="80"/>
      <c r="B433" s="81"/>
      <c r="C433" s="82"/>
      <c r="D433" s="81"/>
      <c r="E433" s="82"/>
      <c r="F433" s="83"/>
      <c r="G433" s="81"/>
      <c r="H433" s="82"/>
      <c r="I433" s="84"/>
      <c r="J433" s="84"/>
      <c r="K433" s="84"/>
      <c r="L433" s="83"/>
      <c r="M433" s="85"/>
      <c r="N433" s="84"/>
      <c r="O433" s="84"/>
      <c r="P433" s="84"/>
    </row>
    <row r="434" spans="1:16" ht="15.75" customHeight="1">
      <c r="A434" s="80"/>
      <c r="B434" s="81"/>
      <c r="C434" s="82"/>
      <c r="D434" s="81"/>
      <c r="E434" s="82"/>
      <c r="F434" s="83"/>
      <c r="G434" s="81"/>
      <c r="H434" s="82"/>
      <c r="I434" s="84"/>
      <c r="J434" s="84"/>
      <c r="K434" s="84"/>
      <c r="L434" s="83"/>
      <c r="M434" s="85"/>
      <c r="N434" s="84"/>
      <c r="O434" s="84"/>
      <c r="P434" s="84"/>
    </row>
    <row r="435" spans="1:16" ht="15.75" customHeight="1">
      <c r="A435" s="80"/>
      <c r="B435" s="81"/>
      <c r="C435" s="82"/>
      <c r="D435" s="81"/>
      <c r="E435" s="82"/>
      <c r="F435" s="83"/>
      <c r="G435" s="81"/>
      <c r="H435" s="82"/>
      <c r="I435" s="84"/>
      <c r="J435" s="84"/>
      <c r="K435" s="84"/>
      <c r="L435" s="83"/>
      <c r="M435" s="85"/>
      <c r="N435" s="84"/>
      <c r="O435" s="84"/>
      <c r="P435" s="84"/>
    </row>
    <row r="436" spans="1:16" ht="15.75" customHeight="1">
      <c r="A436" s="80"/>
      <c r="B436" s="81"/>
      <c r="C436" s="82"/>
      <c r="D436" s="81"/>
      <c r="E436" s="82"/>
      <c r="F436" s="83"/>
      <c r="G436" s="81"/>
      <c r="H436" s="82"/>
      <c r="I436" s="84"/>
      <c r="J436" s="84"/>
      <c r="K436" s="84"/>
      <c r="L436" s="83"/>
      <c r="M436" s="85"/>
      <c r="N436" s="84"/>
      <c r="O436" s="84"/>
      <c r="P436" s="84"/>
    </row>
    <row r="437" spans="1:16" ht="15.75" customHeight="1">
      <c r="A437" s="80"/>
      <c r="B437" s="81"/>
      <c r="C437" s="82"/>
      <c r="D437" s="81"/>
      <c r="E437" s="82"/>
      <c r="F437" s="83"/>
      <c r="G437" s="81"/>
      <c r="H437" s="82"/>
      <c r="I437" s="84"/>
      <c r="J437" s="84"/>
      <c r="K437" s="84"/>
      <c r="L437" s="83"/>
      <c r="M437" s="85"/>
      <c r="N437" s="84"/>
      <c r="O437" s="84"/>
      <c r="P437" s="84"/>
    </row>
    <row r="438" spans="1:16" ht="15.75" customHeight="1">
      <c r="A438" s="80"/>
      <c r="B438" s="81"/>
      <c r="C438" s="82"/>
      <c r="D438" s="81"/>
      <c r="E438" s="82"/>
      <c r="F438" s="83"/>
      <c r="G438" s="81"/>
      <c r="H438" s="82"/>
      <c r="I438" s="84"/>
      <c r="J438" s="84"/>
      <c r="K438" s="84"/>
      <c r="L438" s="83"/>
      <c r="M438" s="85"/>
      <c r="N438" s="84"/>
      <c r="O438" s="84"/>
      <c r="P438" s="84"/>
    </row>
    <row r="439" spans="1:16" ht="15.75" customHeight="1">
      <c r="A439" s="80"/>
      <c r="B439" s="81"/>
      <c r="C439" s="82"/>
      <c r="D439" s="81"/>
      <c r="E439" s="82"/>
      <c r="F439" s="83"/>
      <c r="G439" s="81"/>
      <c r="H439" s="82"/>
      <c r="I439" s="84"/>
      <c r="J439" s="84"/>
      <c r="K439" s="84"/>
      <c r="L439" s="83"/>
      <c r="M439" s="85"/>
      <c r="N439" s="84"/>
      <c r="O439" s="84"/>
      <c r="P439" s="84"/>
    </row>
    <row r="440" spans="1:16" ht="15.75" customHeight="1">
      <c r="A440" s="80"/>
      <c r="B440" s="81"/>
      <c r="C440" s="82"/>
      <c r="D440" s="81"/>
      <c r="E440" s="82"/>
      <c r="F440" s="83"/>
      <c r="G440" s="81"/>
      <c r="H440" s="82"/>
      <c r="I440" s="84"/>
      <c r="J440" s="84"/>
      <c r="K440" s="84"/>
      <c r="L440" s="83"/>
      <c r="M440" s="85"/>
      <c r="N440" s="84"/>
      <c r="O440" s="84"/>
      <c r="P440" s="84"/>
    </row>
    <row r="441" spans="1:16" ht="15.75" customHeight="1">
      <c r="A441" s="80"/>
      <c r="B441" s="81"/>
      <c r="C441" s="82"/>
      <c r="D441" s="81"/>
      <c r="E441" s="82"/>
      <c r="F441" s="83"/>
      <c r="G441" s="81"/>
      <c r="H441" s="82"/>
      <c r="I441" s="84"/>
      <c r="J441" s="84"/>
      <c r="K441" s="84"/>
      <c r="L441" s="83"/>
      <c r="M441" s="85"/>
      <c r="N441" s="84"/>
      <c r="O441" s="84"/>
      <c r="P441" s="84"/>
    </row>
    <row r="442" spans="1:16" ht="15.75" customHeight="1">
      <c r="A442" s="80"/>
      <c r="B442" s="81"/>
      <c r="C442" s="82"/>
      <c r="D442" s="81"/>
      <c r="E442" s="82"/>
      <c r="F442" s="83"/>
      <c r="G442" s="81"/>
      <c r="H442" s="82"/>
      <c r="I442" s="84"/>
      <c r="J442" s="84"/>
      <c r="K442" s="84"/>
      <c r="L442" s="83"/>
      <c r="M442" s="85"/>
      <c r="N442" s="84"/>
      <c r="O442" s="84"/>
      <c r="P442" s="84"/>
    </row>
    <row r="443" spans="1:16" ht="15.75" customHeight="1">
      <c r="A443" s="80"/>
      <c r="B443" s="81"/>
      <c r="C443" s="82"/>
      <c r="D443" s="81"/>
      <c r="E443" s="82"/>
      <c r="F443" s="83"/>
      <c r="G443" s="81"/>
      <c r="H443" s="82"/>
      <c r="I443" s="84"/>
      <c r="J443" s="84"/>
      <c r="K443" s="84"/>
      <c r="L443" s="83"/>
      <c r="M443" s="85"/>
      <c r="N443" s="84"/>
      <c r="O443" s="84"/>
      <c r="P443" s="84"/>
    </row>
    <row r="444" spans="1:16" ht="15.75" customHeight="1">
      <c r="A444" s="80"/>
      <c r="B444" s="81"/>
      <c r="C444" s="82"/>
      <c r="D444" s="81"/>
      <c r="E444" s="82"/>
      <c r="F444" s="83"/>
      <c r="G444" s="81"/>
      <c r="H444" s="82"/>
      <c r="I444" s="84"/>
      <c r="J444" s="84"/>
      <c r="K444" s="84"/>
      <c r="L444" s="83"/>
      <c r="M444" s="85"/>
      <c r="N444" s="84"/>
      <c r="O444" s="84"/>
      <c r="P444" s="84"/>
    </row>
    <row r="445" spans="1:16" ht="15.75" customHeight="1">
      <c r="A445" s="80"/>
      <c r="B445" s="81"/>
      <c r="C445" s="82"/>
      <c r="D445" s="81"/>
      <c r="E445" s="82"/>
      <c r="F445" s="83"/>
      <c r="G445" s="81"/>
      <c r="H445" s="82"/>
      <c r="I445" s="84"/>
      <c r="J445" s="84"/>
      <c r="K445" s="84"/>
      <c r="L445" s="83"/>
      <c r="M445" s="85"/>
      <c r="N445" s="84"/>
      <c r="O445" s="84"/>
      <c r="P445" s="84"/>
    </row>
    <row r="446" spans="1:16" ht="15.75" customHeight="1">
      <c r="A446" s="80"/>
      <c r="B446" s="81"/>
      <c r="C446" s="82"/>
      <c r="D446" s="81"/>
      <c r="E446" s="82"/>
      <c r="F446" s="83"/>
      <c r="G446" s="81"/>
      <c r="H446" s="82"/>
      <c r="I446" s="84"/>
      <c r="J446" s="84"/>
      <c r="K446" s="84"/>
      <c r="L446" s="83"/>
      <c r="M446" s="85"/>
      <c r="N446" s="84"/>
      <c r="O446" s="84"/>
      <c r="P446" s="84"/>
    </row>
    <row r="447" spans="1:16" ht="15.75" customHeight="1">
      <c r="A447" s="80"/>
      <c r="B447" s="81"/>
      <c r="C447" s="82"/>
      <c r="D447" s="81"/>
      <c r="E447" s="82"/>
      <c r="F447" s="83"/>
      <c r="G447" s="81"/>
      <c r="H447" s="82"/>
      <c r="I447" s="84"/>
      <c r="J447" s="84"/>
      <c r="K447" s="84"/>
      <c r="L447" s="83"/>
      <c r="M447" s="85"/>
      <c r="N447" s="84"/>
      <c r="O447" s="84"/>
      <c r="P447" s="84"/>
    </row>
    <row r="448" spans="1:16" ht="15.75" customHeight="1">
      <c r="A448" s="80"/>
      <c r="B448" s="81"/>
      <c r="C448" s="82"/>
      <c r="D448" s="81"/>
      <c r="E448" s="82"/>
      <c r="F448" s="83"/>
      <c r="G448" s="81"/>
      <c r="H448" s="82"/>
      <c r="I448" s="84"/>
      <c r="J448" s="84"/>
      <c r="K448" s="84"/>
      <c r="L448" s="83"/>
      <c r="M448" s="85"/>
      <c r="N448" s="84"/>
      <c r="O448" s="84"/>
      <c r="P448" s="84"/>
    </row>
    <row r="449" spans="1:16" ht="15.75" customHeight="1">
      <c r="A449" s="80"/>
      <c r="B449" s="81"/>
      <c r="C449" s="82"/>
      <c r="D449" s="81"/>
      <c r="E449" s="82"/>
      <c r="F449" s="83"/>
      <c r="G449" s="81"/>
      <c r="H449" s="82"/>
      <c r="I449" s="84"/>
      <c r="J449" s="84"/>
      <c r="K449" s="84"/>
      <c r="L449" s="83"/>
      <c r="M449" s="85"/>
      <c r="N449" s="84"/>
      <c r="O449" s="84"/>
      <c r="P449" s="84"/>
    </row>
    <row r="450" spans="1:16" ht="15.75" customHeight="1">
      <c r="A450" s="80"/>
      <c r="B450" s="81"/>
      <c r="C450" s="82"/>
      <c r="D450" s="81"/>
      <c r="E450" s="82"/>
      <c r="F450" s="83"/>
      <c r="G450" s="81"/>
      <c r="H450" s="82"/>
      <c r="I450" s="84"/>
      <c r="J450" s="84"/>
      <c r="K450" s="84"/>
      <c r="L450" s="83"/>
      <c r="M450" s="85"/>
      <c r="N450" s="84"/>
      <c r="O450" s="84"/>
      <c r="P450" s="84"/>
    </row>
    <row r="451" spans="1:16" ht="15.75" customHeight="1">
      <c r="A451" s="80"/>
      <c r="B451" s="81"/>
      <c r="C451" s="82"/>
      <c r="D451" s="81"/>
      <c r="E451" s="82"/>
      <c r="F451" s="83"/>
      <c r="G451" s="81"/>
      <c r="H451" s="82"/>
      <c r="I451" s="84"/>
      <c r="J451" s="84"/>
      <c r="K451" s="84"/>
      <c r="L451" s="83"/>
      <c r="M451" s="85"/>
      <c r="N451" s="84"/>
      <c r="O451" s="84"/>
      <c r="P451" s="84"/>
    </row>
    <row r="452" spans="1:16" ht="15.75" customHeight="1">
      <c r="A452" s="80"/>
      <c r="B452" s="81"/>
      <c r="C452" s="82"/>
      <c r="D452" s="81"/>
      <c r="E452" s="82"/>
      <c r="F452" s="83"/>
      <c r="G452" s="81"/>
      <c r="H452" s="82"/>
      <c r="I452" s="84"/>
      <c r="J452" s="84"/>
      <c r="K452" s="84"/>
      <c r="L452" s="83"/>
      <c r="M452" s="85"/>
      <c r="N452" s="84"/>
      <c r="O452" s="84"/>
      <c r="P452" s="84"/>
    </row>
    <row r="453" spans="1:16" ht="15.75" customHeight="1">
      <c r="A453" s="80"/>
      <c r="B453" s="81"/>
      <c r="C453" s="82"/>
      <c r="D453" s="81"/>
      <c r="E453" s="82"/>
      <c r="F453" s="83"/>
      <c r="G453" s="81"/>
      <c r="H453" s="82"/>
      <c r="I453" s="84"/>
      <c r="J453" s="84"/>
      <c r="K453" s="84"/>
      <c r="L453" s="83"/>
      <c r="M453" s="85"/>
      <c r="N453" s="84"/>
      <c r="O453" s="84"/>
      <c r="P453" s="84"/>
    </row>
    <row r="454" spans="1:16" ht="15.75" customHeight="1">
      <c r="A454" s="80"/>
      <c r="B454" s="81"/>
      <c r="C454" s="82"/>
      <c r="D454" s="81"/>
      <c r="E454" s="82"/>
      <c r="F454" s="83"/>
      <c r="G454" s="81"/>
      <c r="H454" s="82"/>
      <c r="I454" s="84"/>
      <c r="J454" s="84"/>
      <c r="K454" s="84"/>
      <c r="L454" s="83"/>
      <c r="M454" s="85"/>
      <c r="N454" s="84"/>
      <c r="O454" s="84"/>
      <c r="P454" s="84"/>
    </row>
    <row r="455" spans="1:16" ht="15.75" customHeight="1">
      <c r="A455" s="80"/>
      <c r="B455" s="81"/>
      <c r="C455" s="82"/>
      <c r="D455" s="81"/>
      <c r="E455" s="82"/>
      <c r="F455" s="83"/>
      <c r="G455" s="81"/>
      <c r="H455" s="82"/>
      <c r="I455" s="84"/>
      <c r="J455" s="84"/>
      <c r="K455" s="84"/>
      <c r="L455" s="83"/>
      <c r="M455" s="85"/>
      <c r="N455" s="84"/>
      <c r="O455" s="84"/>
      <c r="P455" s="84"/>
    </row>
    <row r="456" spans="1:16" ht="15.75" customHeight="1">
      <c r="A456" s="80"/>
      <c r="B456" s="81"/>
      <c r="C456" s="82"/>
      <c r="D456" s="81"/>
      <c r="E456" s="82"/>
      <c r="F456" s="83"/>
      <c r="G456" s="81"/>
      <c r="H456" s="82"/>
      <c r="I456" s="84"/>
      <c r="J456" s="84"/>
      <c r="K456" s="84"/>
      <c r="L456" s="83"/>
      <c r="M456" s="85"/>
      <c r="N456" s="84"/>
      <c r="O456" s="84"/>
      <c r="P456" s="84"/>
    </row>
    <row r="457" spans="1:16" ht="15.75" customHeight="1">
      <c r="A457" s="80"/>
      <c r="B457" s="81"/>
      <c r="C457" s="82"/>
      <c r="D457" s="81"/>
      <c r="E457" s="82"/>
      <c r="F457" s="83"/>
      <c r="G457" s="81"/>
      <c r="H457" s="82"/>
      <c r="I457" s="84"/>
      <c r="J457" s="84"/>
      <c r="K457" s="84"/>
      <c r="L457" s="83"/>
      <c r="M457" s="85"/>
      <c r="N457" s="84"/>
      <c r="O457" s="84"/>
      <c r="P457" s="84"/>
    </row>
    <row r="458" spans="1:16" ht="15.75" customHeight="1">
      <c r="A458" s="80"/>
      <c r="B458" s="81"/>
      <c r="C458" s="82"/>
      <c r="D458" s="81"/>
      <c r="E458" s="82"/>
      <c r="F458" s="83"/>
      <c r="G458" s="81"/>
      <c r="H458" s="82"/>
      <c r="I458" s="84"/>
      <c r="J458" s="84"/>
      <c r="K458" s="84"/>
      <c r="L458" s="83"/>
      <c r="M458" s="85"/>
      <c r="N458" s="84"/>
      <c r="O458" s="84"/>
      <c r="P458" s="84"/>
    </row>
    <row r="459" spans="1:16" ht="15.75" customHeight="1">
      <c r="A459" s="80"/>
      <c r="B459" s="81"/>
      <c r="C459" s="82"/>
      <c r="D459" s="81"/>
      <c r="E459" s="82"/>
      <c r="F459" s="83"/>
      <c r="G459" s="81"/>
      <c r="H459" s="82"/>
      <c r="I459" s="84"/>
      <c r="J459" s="84"/>
      <c r="K459" s="84"/>
      <c r="L459" s="83"/>
      <c r="M459" s="85"/>
      <c r="N459" s="84"/>
      <c r="O459" s="84"/>
      <c r="P459" s="84"/>
    </row>
    <row r="460" spans="1:16" ht="15.75" customHeight="1">
      <c r="A460" s="80"/>
      <c r="B460" s="81"/>
      <c r="C460" s="82"/>
      <c r="D460" s="81"/>
      <c r="E460" s="82"/>
      <c r="F460" s="83"/>
      <c r="G460" s="81"/>
      <c r="H460" s="82"/>
      <c r="I460" s="84"/>
      <c r="J460" s="84"/>
      <c r="K460" s="84"/>
      <c r="L460" s="83"/>
      <c r="M460" s="85"/>
      <c r="N460" s="84"/>
      <c r="O460" s="84"/>
      <c r="P460" s="84"/>
    </row>
    <row r="461" spans="1:16" ht="15.75" customHeight="1">
      <c r="A461" s="80"/>
      <c r="B461" s="81"/>
      <c r="C461" s="82"/>
      <c r="D461" s="81"/>
      <c r="E461" s="82"/>
      <c r="F461" s="83"/>
      <c r="G461" s="81"/>
      <c r="H461" s="82"/>
      <c r="I461" s="84"/>
      <c r="J461" s="84"/>
      <c r="K461" s="84"/>
      <c r="L461" s="83"/>
      <c r="M461" s="85"/>
      <c r="N461" s="84"/>
      <c r="O461" s="84"/>
      <c r="P461" s="84"/>
    </row>
    <row r="462" spans="1:16" ht="15.75" customHeight="1">
      <c r="A462" s="80"/>
      <c r="B462" s="81"/>
      <c r="C462" s="82"/>
      <c r="D462" s="81"/>
      <c r="E462" s="82"/>
      <c r="F462" s="83"/>
      <c r="G462" s="81"/>
      <c r="H462" s="82"/>
      <c r="I462" s="84"/>
      <c r="J462" s="84"/>
      <c r="K462" s="84"/>
      <c r="L462" s="83"/>
      <c r="M462" s="85"/>
      <c r="N462" s="84"/>
      <c r="O462" s="84"/>
      <c r="P462" s="84"/>
    </row>
    <row r="463" spans="1:16" ht="15.75" customHeight="1">
      <c r="A463" s="80"/>
      <c r="B463" s="81"/>
      <c r="C463" s="82"/>
      <c r="D463" s="81"/>
      <c r="E463" s="82"/>
      <c r="F463" s="83"/>
      <c r="G463" s="81"/>
      <c r="H463" s="82"/>
      <c r="I463" s="84"/>
      <c r="J463" s="84"/>
      <c r="K463" s="84"/>
      <c r="L463" s="83"/>
      <c r="M463" s="85"/>
      <c r="N463" s="84"/>
      <c r="O463" s="84"/>
      <c r="P463" s="84"/>
    </row>
    <row r="464" spans="1:16" ht="15.75" customHeight="1">
      <c r="A464" s="80"/>
      <c r="B464" s="81"/>
      <c r="C464" s="82"/>
      <c r="D464" s="81"/>
      <c r="E464" s="82"/>
      <c r="F464" s="83"/>
      <c r="G464" s="81"/>
      <c r="H464" s="82"/>
      <c r="I464" s="84"/>
      <c r="J464" s="84"/>
      <c r="K464" s="84"/>
      <c r="L464" s="83"/>
      <c r="M464" s="85"/>
      <c r="N464" s="84"/>
      <c r="O464" s="84"/>
      <c r="P464" s="84"/>
    </row>
    <row r="465" spans="1:16" ht="15.75" customHeight="1">
      <c r="A465" s="80"/>
      <c r="B465" s="81"/>
      <c r="C465" s="82"/>
      <c r="D465" s="81"/>
      <c r="E465" s="82"/>
      <c r="F465" s="83"/>
      <c r="G465" s="81"/>
      <c r="H465" s="82"/>
      <c r="I465" s="84"/>
      <c r="J465" s="84"/>
      <c r="K465" s="84"/>
      <c r="L465" s="83"/>
      <c r="M465" s="85"/>
      <c r="N465" s="84"/>
      <c r="O465" s="84"/>
      <c r="P465" s="84"/>
    </row>
    <row r="466" spans="1:16" ht="15.75" customHeight="1">
      <c r="A466" s="80"/>
      <c r="B466" s="81"/>
      <c r="C466" s="82"/>
      <c r="D466" s="81"/>
      <c r="E466" s="82"/>
      <c r="F466" s="83"/>
      <c r="G466" s="81"/>
      <c r="H466" s="82"/>
      <c r="I466" s="84"/>
      <c r="J466" s="84"/>
      <c r="K466" s="84"/>
      <c r="L466" s="83"/>
      <c r="M466" s="85"/>
      <c r="N466" s="84"/>
      <c r="O466" s="84"/>
      <c r="P466" s="84"/>
    </row>
    <row r="467" spans="1:16" ht="15.75" customHeight="1">
      <c r="A467" s="80"/>
      <c r="B467" s="81"/>
      <c r="C467" s="82"/>
      <c r="D467" s="81"/>
      <c r="E467" s="82"/>
      <c r="F467" s="83"/>
      <c r="G467" s="81"/>
      <c r="H467" s="82"/>
      <c r="I467" s="84"/>
      <c r="J467" s="84"/>
      <c r="K467" s="84"/>
      <c r="L467" s="83"/>
      <c r="M467" s="85"/>
      <c r="N467" s="84"/>
      <c r="O467" s="84"/>
      <c r="P467" s="84"/>
    </row>
    <row r="468" spans="1:16" ht="15.75" customHeight="1">
      <c r="A468" s="80"/>
      <c r="B468" s="81"/>
      <c r="C468" s="82"/>
      <c r="D468" s="81"/>
      <c r="E468" s="82"/>
      <c r="F468" s="83"/>
      <c r="G468" s="81"/>
      <c r="H468" s="82"/>
      <c r="I468" s="84"/>
      <c r="J468" s="84"/>
      <c r="K468" s="84"/>
      <c r="L468" s="83"/>
      <c r="M468" s="85"/>
      <c r="N468" s="84"/>
      <c r="O468" s="84"/>
      <c r="P468" s="84"/>
    </row>
    <row r="469" spans="1:16" ht="15.75" customHeight="1">
      <c r="A469" s="80"/>
      <c r="B469" s="81"/>
      <c r="C469" s="82"/>
      <c r="D469" s="81"/>
      <c r="E469" s="82"/>
      <c r="F469" s="83"/>
      <c r="G469" s="81"/>
      <c r="H469" s="82"/>
      <c r="I469" s="84"/>
      <c r="J469" s="84"/>
      <c r="K469" s="84"/>
      <c r="L469" s="83"/>
      <c r="M469" s="85"/>
      <c r="N469" s="84"/>
      <c r="O469" s="84"/>
      <c r="P469" s="84"/>
    </row>
    <row r="470" spans="1:16" ht="15.75" customHeight="1">
      <c r="A470" s="80"/>
      <c r="B470" s="81"/>
      <c r="C470" s="82"/>
      <c r="D470" s="81"/>
      <c r="E470" s="82"/>
      <c r="F470" s="83"/>
      <c r="G470" s="81"/>
      <c r="H470" s="82"/>
      <c r="I470" s="84"/>
      <c r="J470" s="84"/>
      <c r="K470" s="84"/>
      <c r="L470" s="83"/>
      <c r="M470" s="85"/>
      <c r="N470" s="84"/>
      <c r="O470" s="84"/>
      <c r="P470" s="84"/>
    </row>
    <row r="471" spans="1:16" ht="15.75" customHeight="1">
      <c r="A471" s="80"/>
      <c r="B471" s="81"/>
      <c r="C471" s="82"/>
      <c r="D471" s="81"/>
      <c r="E471" s="82"/>
      <c r="F471" s="83"/>
      <c r="G471" s="81"/>
      <c r="H471" s="82"/>
      <c r="I471" s="84"/>
      <c r="J471" s="84"/>
      <c r="K471" s="84"/>
      <c r="L471" s="83"/>
      <c r="M471" s="85"/>
      <c r="N471" s="84"/>
      <c r="O471" s="84"/>
      <c r="P471" s="84"/>
    </row>
    <row r="472" spans="1:16" ht="15.75" customHeight="1">
      <c r="A472" s="80"/>
      <c r="B472" s="81"/>
      <c r="C472" s="82"/>
      <c r="D472" s="81"/>
      <c r="E472" s="82"/>
      <c r="F472" s="83"/>
      <c r="G472" s="81"/>
      <c r="H472" s="82"/>
      <c r="I472" s="84"/>
      <c r="J472" s="84"/>
      <c r="K472" s="84"/>
      <c r="L472" s="83"/>
      <c r="M472" s="85"/>
      <c r="N472" s="84"/>
      <c r="O472" s="84"/>
      <c r="P472" s="84"/>
    </row>
    <row r="473" spans="1:16" ht="15.75" customHeight="1">
      <c r="A473" s="80"/>
      <c r="B473" s="81"/>
      <c r="C473" s="82"/>
      <c r="D473" s="81"/>
      <c r="E473" s="82"/>
      <c r="F473" s="83"/>
      <c r="G473" s="81"/>
      <c r="H473" s="82"/>
      <c r="I473" s="84"/>
      <c r="J473" s="84"/>
      <c r="K473" s="84"/>
      <c r="L473" s="83"/>
      <c r="M473" s="85"/>
      <c r="N473" s="84"/>
      <c r="O473" s="84"/>
      <c r="P473" s="84"/>
    </row>
    <row r="474" spans="1:16" ht="15.75" customHeight="1">
      <c r="A474" s="80"/>
      <c r="B474" s="81"/>
      <c r="C474" s="82"/>
      <c r="D474" s="81"/>
      <c r="E474" s="82"/>
      <c r="F474" s="83"/>
      <c r="G474" s="81"/>
      <c r="H474" s="82"/>
      <c r="I474" s="84"/>
      <c r="J474" s="84"/>
      <c r="K474" s="84"/>
      <c r="L474" s="83"/>
      <c r="M474" s="85"/>
      <c r="N474" s="84"/>
      <c r="O474" s="84"/>
      <c r="P474" s="84"/>
    </row>
    <row r="475" spans="1:16" ht="15.75" customHeight="1">
      <c r="A475" s="80"/>
      <c r="B475" s="81"/>
      <c r="C475" s="82"/>
      <c r="D475" s="81"/>
      <c r="E475" s="82"/>
      <c r="F475" s="83"/>
      <c r="G475" s="81"/>
      <c r="H475" s="82"/>
      <c r="I475" s="84"/>
      <c r="J475" s="84"/>
      <c r="K475" s="84"/>
      <c r="L475" s="83"/>
      <c r="M475" s="85"/>
      <c r="N475" s="84"/>
      <c r="O475" s="84"/>
      <c r="P475" s="84"/>
    </row>
    <row r="476" spans="1:16" ht="15.75" customHeight="1">
      <c r="A476" s="80"/>
      <c r="B476" s="81"/>
      <c r="C476" s="82"/>
      <c r="D476" s="81"/>
      <c r="E476" s="82"/>
      <c r="F476" s="83"/>
      <c r="G476" s="81"/>
      <c r="H476" s="82"/>
      <c r="I476" s="84"/>
      <c r="J476" s="84"/>
      <c r="K476" s="84"/>
      <c r="L476" s="83"/>
      <c r="M476" s="85"/>
      <c r="N476" s="84"/>
      <c r="O476" s="84"/>
      <c r="P476" s="84"/>
    </row>
    <row r="477" spans="1:16" ht="15.75" customHeight="1">
      <c r="A477" s="80"/>
      <c r="B477" s="81"/>
      <c r="C477" s="82"/>
      <c r="D477" s="81"/>
      <c r="E477" s="82"/>
      <c r="F477" s="83"/>
      <c r="G477" s="81"/>
      <c r="H477" s="82"/>
      <c r="I477" s="84"/>
      <c r="J477" s="84"/>
      <c r="K477" s="84"/>
      <c r="L477" s="83"/>
      <c r="M477" s="85"/>
      <c r="N477" s="84"/>
      <c r="O477" s="84"/>
      <c r="P477" s="84"/>
    </row>
    <row r="478" spans="1:16" ht="15.75" customHeight="1">
      <c r="A478" s="80"/>
      <c r="B478" s="81"/>
      <c r="C478" s="82"/>
      <c r="D478" s="81"/>
      <c r="E478" s="82"/>
      <c r="F478" s="83"/>
      <c r="G478" s="81"/>
      <c r="H478" s="82"/>
      <c r="I478" s="84"/>
      <c r="J478" s="84"/>
      <c r="K478" s="84"/>
      <c r="L478" s="83"/>
      <c r="M478" s="85"/>
      <c r="N478" s="84"/>
      <c r="O478" s="84"/>
      <c r="P478" s="84"/>
    </row>
    <row r="479" spans="1:16" ht="15.75" customHeight="1">
      <c r="A479" s="80"/>
      <c r="B479" s="81"/>
      <c r="C479" s="82"/>
      <c r="D479" s="81"/>
      <c r="E479" s="82"/>
      <c r="F479" s="83"/>
      <c r="G479" s="81"/>
      <c r="H479" s="82"/>
      <c r="I479" s="84"/>
      <c r="J479" s="84"/>
      <c r="K479" s="84"/>
      <c r="L479" s="83"/>
      <c r="M479" s="85"/>
      <c r="N479" s="84"/>
      <c r="O479" s="84"/>
      <c r="P479" s="84"/>
    </row>
    <row r="480" spans="1:16" ht="15.75" customHeight="1">
      <c r="A480" s="80"/>
      <c r="B480" s="81"/>
      <c r="C480" s="82"/>
      <c r="D480" s="81"/>
      <c r="E480" s="82"/>
      <c r="F480" s="83"/>
      <c r="G480" s="81"/>
      <c r="H480" s="82"/>
      <c r="I480" s="84"/>
      <c r="J480" s="84"/>
      <c r="K480" s="84"/>
      <c r="L480" s="83"/>
      <c r="M480" s="85"/>
      <c r="N480" s="84"/>
      <c r="O480" s="84"/>
      <c r="P480" s="84"/>
    </row>
    <row r="481" spans="1:16" ht="15.75" customHeight="1">
      <c r="A481" s="80"/>
      <c r="B481" s="81"/>
      <c r="C481" s="82"/>
      <c r="D481" s="81"/>
      <c r="E481" s="82"/>
      <c r="F481" s="83"/>
      <c r="G481" s="81"/>
      <c r="H481" s="82"/>
      <c r="I481" s="84"/>
      <c r="J481" s="84"/>
      <c r="K481" s="84"/>
      <c r="L481" s="83"/>
      <c r="M481" s="85"/>
      <c r="N481" s="84"/>
      <c r="O481" s="84"/>
      <c r="P481" s="84"/>
    </row>
    <row r="482" spans="1:16" ht="15.75" customHeight="1">
      <c r="A482" s="80"/>
      <c r="B482" s="81"/>
      <c r="C482" s="82"/>
      <c r="D482" s="81"/>
      <c r="E482" s="82"/>
      <c r="F482" s="83"/>
      <c r="G482" s="81"/>
      <c r="H482" s="82"/>
      <c r="I482" s="84"/>
      <c r="J482" s="84"/>
      <c r="K482" s="84"/>
      <c r="L482" s="83"/>
      <c r="M482" s="85"/>
      <c r="N482" s="84"/>
      <c r="O482" s="84"/>
      <c r="P482" s="84"/>
    </row>
    <row r="483" spans="1:16" ht="15.75" customHeight="1">
      <c r="A483" s="80"/>
      <c r="B483" s="81"/>
      <c r="C483" s="82"/>
      <c r="D483" s="81"/>
      <c r="E483" s="82"/>
      <c r="F483" s="83"/>
      <c r="G483" s="81"/>
      <c r="H483" s="82"/>
      <c r="I483" s="84"/>
      <c r="J483" s="84"/>
      <c r="K483" s="84"/>
      <c r="L483" s="83"/>
      <c r="M483" s="85"/>
      <c r="N483" s="84"/>
      <c r="O483" s="84"/>
      <c r="P483" s="84"/>
    </row>
    <row r="484" spans="1:16" ht="15.75" customHeight="1">
      <c r="A484" s="80"/>
      <c r="B484" s="81"/>
      <c r="C484" s="82"/>
      <c r="D484" s="81"/>
      <c r="E484" s="82"/>
      <c r="F484" s="83"/>
      <c r="G484" s="81"/>
      <c r="H484" s="82"/>
      <c r="I484" s="84"/>
      <c r="J484" s="84"/>
      <c r="K484" s="84"/>
      <c r="L484" s="83"/>
      <c r="M484" s="85"/>
      <c r="N484" s="84"/>
      <c r="O484" s="84"/>
      <c r="P484" s="84"/>
    </row>
    <row r="485" spans="1:16" ht="15.75" customHeight="1">
      <c r="A485" s="80"/>
      <c r="B485" s="81"/>
      <c r="C485" s="82"/>
      <c r="D485" s="81"/>
      <c r="E485" s="82"/>
      <c r="F485" s="83"/>
      <c r="G485" s="81"/>
      <c r="H485" s="82"/>
      <c r="I485" s="84"/>
      <c r="J485" s="84"/>
      <c r="K485" s="84"/>
      <c r="L485" s="83"/>
      <c r="M485" s="85"/>
      <c r="N485" s="84"/>
      <c r="O485" s="84"/>
      <c r="P485" s="84"/>
    </row>
    <row r="486" spans="1:16" ht="15.75" customHeight="1">
      <c r="A486" s="80"/>
      <c r="B486" s="81"/>
      <c r="C486" s="82"/>
      <c r="D486" s="81"/>
      <c r="E486" s="82"/>
      <c r="F486" s="83"/>
      <c r="G486" s="81"/>
      <c r="H486" s="82"/>
      <c r="I486" s="84"/>
      <c r="J486" s="84"/>
      <c r="K486" s="84"/>
      <c r="L486" s="83"/>
      <c r="M486" s="85"/>
      <c r="N486" s="84"/>
      <c r="O486" s="84"/>
      <c r="P486" s="84"/>
    </row>
    <row r="487" spans="1:16" ht="15.75" customHeight="1">
      <c r="A487" s="80"/>
      <c r="B487" s="81"/>
      <c r="C487" s="82"/>
      <c r="D487" s="81"/>
      <c r="E487" s="82"/>
      <c r="F487" s="83"/>
      <c r="G487" s="81"/>
      <c r="H487" s="82"/>
      <c r="I487" s="84"/>
      <c r="J487" s="84"/>
      <c r="K487" s="84"/>
      <c r="L487" s="83"/>
      <c r="M487" s="85"/>
      <c r="N487" s="84"/>
      <c r="O487" s="84"/>
      <c r="P487" s="84"/>
    </row>
    <row r="488" spans="1:16" ht="15.75" customHeight="1">
      <c r="A488" s="80"/>
      <c r="B488" s="81"/>
      <c r="C488" s="82"/>
      <c r="D488" s="81"/>
      <c r="E488" s="82"/>
      <c r="F488" s="83"/>
      <c r="G488" s="81"/>
      <c r="H488" s="82"/>
      <c r="I488" s="84"/>
      <c r="J488" s="84"/>
      <c r="K488" s="84"/>
      <c r="L488" s="83"/>
      <c r="M488" s="85"/>
      <c r="N488" s="84"/>
      <c r="O488" s="84"/>
      <c r="P488" s="84"/>
    </row>
    <row r="489" spans="1:16" ht="15.75" customHeight="1">
      <c r="A489" s="80"/>
      <c r="B489" s="81"/>
      <c r="C489" s="82"/>
      <c r="D489" s="81"/>
      <c r="E489" s="82"/>
      <c r="F489" s="83"/>
      <c r="G489" s="81"/>
      <c r="H489" s="82"/>
      <c r="I489" s="84"/>
      <c r="J489" s="84"/>
      <c r="K489" s="84"/>
      <c r="L489" s="83"/>
      <c r="M489" s="85"/>
      <c r="N489" s="84"/>
      <c r="O489" s="84"/>
      <c r="P489" s="84"/>
    </row>
    <row r="490" spans="1:16" ht="15.75" customHeight="1">
      <c r="A490" s="80"/>
      <c r="B490" s="81"/>
      <c r="C490" s="82"/>
      <c r="D490" s="81"/>
      <c r="E490" s="82"/>
      <c r="F490" s="83"/>
      <c r="G490" s="81"/>
      <c r="H490" s="82"/>
      <c r="I490" s="84"/>
      <c r="J490" s="84"/>
      <c r="K490" s="84"/>
      <c r="L490" s="83"/>
      <c r="M490" s="85"/>
      <c r="N490" s="84"/>
      <c r="O490" s="84"/>
      <c r="P490" s="84"/>
    </row>
    <row r="491" spans="1:16" ht="15.75" customHeight="1">
      <c r="A491" s="80"/>
      <c r="B491" s="81"/>
      <c r="C491" s="82"/>
      <c r="D491" s="81"/>
      <c r="E491" s="82"/>
      <c r="F491" s="83"/>
      <c r="G491" s="81"/>
      <c r="H491" s="82"/>
      <c r="I491" s="84"/>
      <c r="J491" s="84"/>
      <c r="K491" s="84"/>
      <c r="L491" s="83"/>
      <c r="M491" s="85"/>
      <c r="N491" s="84"/>
      <c r="O491" s="84"/>
      <c r="P491" s="84"/>
    </row>
    <row r="492" spans="1:16" ht="15.75" customHeight="1">
      <c r="A492" s="80"/>
      <c r="B492" s="81"/>
      <c r="C492" s="82"/>
      <c r="D492" s="81"/>
      <c r="E492" s="82"/>
      <c r="F492" s="83"/>
      <c r="G492" s="81"/>
      <c r="H492" s="82"/>
      <c r="I492" s="84"/>
      <c r="J492" s="84"/>
      <c r="K492" s="84"/>
      <c r="L492" s="83"/>
      <c r="M492" s="85"/>
      <c r="N492" s="84"/>
      <c r="O492" s="84"/>
      <c r="P492" s="84"/>
    </row>
    <row r="493" spans="1:16" ht="15.75" customHeight="1">
      <c r="A493" s="80"/>
      <c r="B493" s="81"/>
      <c r="C493" s="82"/>
      <c r="D493" s="81"/>
      <c r="E493" s="82"/>
      <c r="F493" s="83"/>
      <c r="G493" s="81"/>
      <c r="H493" s="82"/>
      <c r="I493" s="84"/>
      <c r="J493" s="84"/>
      <c r="K493" s="84"/>
      <c r="L493" s="83"/>
      <c r="M493" s="85"/>
      <c r="N493" s="84"/>
      <c r="O493" s="84"/>
      <c r="P493" s="84"/>
    </row>
    <row r="494" spans="1:16" ht="15.75" customHeight="1">
      <c r="A494" s="80"/>
      <c r="B494" s="81"/>
      <c r="C494" s="82"/>
      <c r="D494" s="81"/>
      <c r="E494" s="82"/>
      <c r="F494" s="83"/>
      <c r="G494" s="81"/>
      <c r="H494" s="82"/>
      <c r="I494" s="84"/>
      <c r="J494" s="84"/>
      <c r="K494" s="84"/>
      <c r="L494" s="83"/>
      <c r="M494" s="85"/>
      <c r="N494" s="84"/>
      <c r="O494" s="84"/>
      <c r="P494" s="84"/>
    </row>
    <row r="495" spans="1:16" ht="15.75" customHeight="1">
      <c r="A495" s="80"/>
      <c r="B495" s="81"/>
      <c r="C495" s="82"/>
      <c r="D495" s="81"/>
      <c r="E495" s="82"/>
      <c r="F495" s="83"/>
      <c r="G495" s="81"/>
      <c r="H495" s="82"/>
      <c r="I495" s="84"/>
      <c r="J495" s="84"/>
      <c r="K495" s="84"/>
      <c r="L495" s="83"/>
      <c r="M495" s="85"/>
      <c r="N495" s="84"/>
      <c r="O495" s="84"/>
      <c r="P495" s="84"/>
    </row>
    <row r="496" spans="1:16" ht="15.75" customHeight="1">
      <c r="A496" s="80"/>
      <c r="B496" s="81"/>
      <c r="C496" s="82"/>
      <c r="D496" s="81"/>
      <c r="E496" s="82"/>
      <c r="F496" s="83"/>
      <c r="G496" s="81"/>
      <c r="H496" s="82"/>
      <c r="I496" s="84"/>
      <c r="J496" s="84"/>
      <c r="K496" s="84"/>
      <c r="L496" s="83"/>
      <c r="M496" s="85"/>
      <c r="N496" s="84"/>
      <c r="O496" s="84"/>
      <c r="P496" s="84"/>
    </row>
    <row r="497" spans="1:16" ht="15.75" customHeight="1">
      <c r="A497" s="80"/>
      <c r="B497" s="81"/>
      <c r="C497" s="82"/>
      <c r="D497" s="81"/>
      <c r="E497" s="82"/>
      <c r="F497" s="83"/>
      <c r="G497" s="81"/>
      <c r="H497" s="82"/>
      <c r="I497" s="84"/>
      <c r="J497" s="84"/>
      <c r="K497" s="84"/>
      <c r="L497" s="83"/>
      <c r="M497" s="85"/>
      <c r="N497" s="84"/>
      <c r="O497" s="84"/>
      <c r="P497" s="84"/>
    </row>
    <row r="498" spans="1:16" ht="15.75" customHeight="1">
      <c r="A498" s="80"/>
      <c r="B498" s="81"/>
      <c r="C498" s="82"/>
      <c r="D498" s="81"/>
      <c r="E498" s="82"/>
      <c r="F498" s="83"/>
      <c r="G498" s="81"/>
      <c r="H498" s="82"/>
      <c r="I498" s="84"/>
      <c r="J498" s="84"/>
      <c r="K498" s="84"/>
      <c r="L498" s="83"/>
      <c r="M498" s="85"/>
      <c r="N498" s="84"/>
      <c r="O498" s="84"/>
      <c r="P498" s="84"/>
    </row>
    <row r="499" spans="1:16" ht="15.75" customHeight="1">
      <c r="A499" s="80"/>
      <c r="B499" s="81"/>
      <c r="C499" s="82"/>
      <c r="D499" s="81"/>
      <c r="E499" s="82"/>
      <c r="F499" s="83"/>
      <c r="G499" s="81"/>
      <c r="H499" s="82"/>
      <c r="I499" s="84"/>
      <c r="J499" s="84"/>
      <c r="K499" s="84"/>
      <c r="L499" s="83"/>
      <c r="M499" s="85"/>
      <c r="N499" s="84"/>
      <c r="O499" s="84"/>
      <c r="P499" s="84"/>
    </row>
    <row r="500" spans="1:16" ht="15.75" customHeight="1">
      <c r="A500" s="80"/>
      <c r="B500" s="81"/>
      <c r="C500" s="82"/>
      <c r="D500" s="81"/>
      <c r="E500" s="82"/>
      <c r="F500" s="83"/>
      <c r="G500" s="81"/>
      <c r="H500" s="82"/>
      <c r="I500" s="84"/>
      <c r="J500" s="84"/>
      <c r="K500" s="84"/>
      <c r="L500" s="83"/>
      <c r="M500" s="85"/>
      <c r="N500" s="84"/>
      <c r="O500" s="84"/>
      <c r="P500" s="84"/>
    </row>
    <row r="501" spans="1:16" ht="15.75" customHeight="1">
      <c r="A501" s="80"/>
      <c r="B501" s="81"/>
      <c r="C501" s="82"/>
      <c r="D501" s="81"/>
      <c r="E501" s="82"/>
      <c r="F501" s="83"/>
      <c r="G501" s="81"/>
      <c r="H501" s="82"/>
      <c r="I501" s="84"/>
      <c r="J501" s="84"/>
      <c r="K501" s="84"/>
      <c r="L501" s="83"/>
      <c r="M501" s="85"/>
      <c r="N501" s="84"/>
      <c r="O501" s="84"/>
      <c r="P501" s="84"/>
    </row>
    <row r="502" spans="1:16" ht="15.75" customHeight="1">
      <c r="A502" s="80"/>
      <c r="B502" s="81"/>
      <c r="C502" s="82"/>
      <c r="D502" s="81"/>
      <c r="E502" s="82"/>
      <c r="F502" s="83"/>
      <c r="G502" s="81"/>
      <c r="H502" s="82"/>
      <c r="I502" s="84"/>
      <c r="J502" s="84"/>
      <c r="K502" s="84"/>
      <c r="L502" s="83"/>
      <c r="M502" s="85"/>
      <c r="N502" s="84"/>
      <c r="O502" s="84"/>
      <c r="P502" s="84"/>
    </row>
    <row r="503" spans="1:16" ht="15.75" customHeight="1">
      <c r="A503" s="80"/>
      <c r="B503" s="81"/>
      <c r="C503" s="82"/>
      <c r="D503" s="81"/>
      <c r="E503" s="82"/>
      <c r="F503" s="83"/>
      <c r="G503" s="81"/>
      <c r="H503" s="82"/>
      <c r="I503" s="84"/>
      <c r="J503" s="84"/>
      <c r="K503" s="84"/>
      <c r="L503" s="83"/>
      <c r="M503" s="85"/>
      <c r="N503" s="84"/>
      <c r="O503" s="84"/>
      <c r="P503" s="84"/>
    </row>
    <row r="504" spans="1:16" ht="15.75" customHeight="1">
      <c r="A504" s="80"/>
      <c r="B504" s="81"/>
      <c r="C504" s="82"/>
      <c r="D504" s="81"/>
      <c r="E504" s="82"/>
      <c r="F504" s="83"/>
      <c r="G504" s="81"/>
      <c r="H504" s="82"/>
      <c r="I504" s="84"/>
      <c r="J504" s="84"/>
      <c r="K504" s="84"/>
      <c r="L504" s="83"/>
      <c r="M504" s="85"/>
      <c r="N504" s="84"/>
      <c r="O504" s="84"/>
      <c r="P504" s="84"/>
    </row>
    <row r="505" spans="1:16" ht="15.75" customHeight="1">
      <c r="A505" s="80"/>
      <c r="B505" s="81"/>
      <c r="C505" s="82"/>
      <c r="D505" s="81"/>
      <c r="E505" s="82"/>
      <c r="F505" s="83"/>
      <c r="G505" s="81"/>
      <c r="H505" s="82"/>
      <c r="I505" s="84"/>
      <c r="J505" s="84"/>
      <c r="K505" s="84"/>
      <c r="L505" s="83"/>
      <c r="M505" s="85"/>
      <c r="N505" s="84"/>
      <c r="O505" s="84"/>
      <c r="P505" s="84"/>
    </row>
    <row r="506" spans="1:16" ht="15.75" customHeight="1">
      <c r="A506" s="80"/>
      <c r="B506" s="81"/>
      <c r="C506" s="82"/>
      <c r="D506" s="81"/>
      <c r="E506" s="82"/>
      <c r="F506" s="83"/>
      <c r="G506" s="81"/>
      <c r="H506" s="82"/>
      <c r="I506" s="84"/>
      <c r="J506" s="84"/>
      <c r="K506" s="84"/>
      <c r="L506" s="83"/>
      <c r="M506" s="85"/>
      <c r="N506" s="84"/>
      <c r="O506" s="84"/>
      <c r="P506" s="84"/>
    </row>
    <row r="507" spans="1:16" ht="15.75" customHeight="1">
      <c r="A507" s="80"/>
      <c r="B507" s="81"/>
      <c r="C507" s="82"/>
      <c r="D507" s="81"/>
      <c r="E507" s="82"/>
      <c r="F507" s="83"/>
      <c r="G507" s="81"/>
      <c r="H507" s="82"/>
      <c r="I507" s="84"/>
      <c r="J507" s="84"/>
      <c r="K507" s="84"/>
      <c r="L507" s="83"/>
      <c r="M507" s="85"/>
      <c r="N507" s="84"/>
      <c r="O507" s="84"/>
      <c r="P507" s="84"/>
    </row>
    <row r="508" spans="1:16" ht="15.75" customHeight="1">
      <c r="A508" s="80"/>
      <c r="B508" s="81"/>
      <c r="C508" s="82"/>
      <c r="D508" s="81"/>
      <c r="E508" s="82"/>
      <c r="F508" s="83"/>
      <c r="G508" s="81"/>
      <c r="H508" s="82"/>
      <c r="I508" s="84"/>
      <c r="J508" s="84"/>
      <c r="K508" s="84"/>
      <c r="L508" s="83"/>
      <c r="M508" s="85"/>
      <c r="N508" s="84"/>
      <c r="O508" s="84"/>
      <c r="P508" s="84"/>
    </row>
    <row r="509" spans="1:16" ht="15.75" customHeight="1">
      <c r="A509" s="80"/>
      <c r="B509" s="81"/>
      <c r="C509" s="82"/>
      <c r="D509" s="81"/>
      <c r="E509" s="82"/>
      <c r="F509" s="83"/>
      <c r="G509" s="81"/>
      <c r="H509" s="82"/>
      <c r="I509" s="84"/>
      <c r="J509" s="84"/>
      <c r="K509" s="84"/>
      <c r="L509" s="83"/>
      <c r="M509" s="85"/>
      <c r="N509" s="84"/>
      <c r="O509" s="84"/>
      <c r="P509" s="84"/>
    </row>
    <row r="510" spans="1:16" ht="15.75" customHeight="1">
      <c r="A510" s="80"/>
      <c r="B510" s="81"/>
      <c r="C510" s="82"/>
      <c r="D510" s="81"/>
      <c r="E510" s="82"/>
      <c r="F510" s="83"/>
      <c r="G510" s="81"/>
      <c r="H510" s="82"/>
      <c r="I510" s="84"/>
      <c r="J510" s="84"/>
      <c r="K510" s="84"/>
      <c r="L510" s="83"/>
      <c r="M510" s="85"/>
      <c r="N510" s="84"/>
      <c r="O510" s="84"/>
      <c r="P510" s="84"/>
    </row>
    <row r="511" spans="1:16" ht="15.75" customHeight="1">
      <c r="A511" s="80"/>
      <c r="B511" s="81"/>
      <c r="C511" s="82"/>
      <c r="D511" s="81"/>
      <c r="E511" s="82"/>
      <c r="F511" s="83"/>
      <c r="G511" s="81"/>
      <c r="H511" s="82"/>
      <c r="I511" s="84"/>
      <c r="J511" s="84"/>
      <c r="K511" s="84"/>
      <c r="L511" s="83"/>
      <c r="M511" s="85"/>
      <c r="N511" s="84"/>
      <c r="O511" s="84"/>
      <c r="P511" s="84"/>
    </row>
    <row r="512" spans="1:16" ht="15.75" customHeight="1">
      <c r="A512" s="80"/>
      <c r="B512" s="81"/>
      <c r="C512" s="82"/>
      <c r="D512" s="81"/>
      <c r="E512" s="82"/>
      <c r="F512" s="83"/>
      <c r="G512" s="81"/>
      <c r="H512" s="82"/>
      <c r="I512" s="84"/>
      <c r="J512" s="84"/>
      <c r="K512" s="84"/>
      <c r="L512" s="83"/>
      <c r="M512" s="85"/>
      <c r="N512" s="84"/>
      <c r="O512" s="84"/>
      <c r="P512" s="84"/>
    </row>
    <row r="513" spans="1:16" ht="15.75" customHeight="1">
      <c r="A513" s="80"/>
      <c r="B513" s="81"/>
      <c r="C513" s="82"/>
      <c r="D513" s="81"/>
      <c r="E513" s="82"/>
      <c r="F513" s="83"/>
      <c r="G513" s="81"/>
      <c r="H513" s="82"/>
      <c r="I513" s="84"/>
      <c r="J513" s="84"/>
      <c r="K513" s="84"/>
      <c r="L513" s="83"/>
      <c r="M513" s="85"/>
      <c r="N513" s="84"/>
      <c r="O513" s="84"/>
      <c r="P513" s="84"/>
    </row>
    <row r="514" spans="1:16" ht="15.75" customHeight="1">
      <c r="A514" s="80"/>
      <c r="B514" s="81"/>
      <c r="C514" s="82"/>
      <c r="D514" s="81"/>
      <c r="E514" s="82"/>
      <c r="F514" s="83"/>
      <c r="G514" s="81"/>
      <c r="H514" s="82"/>
      <c r="I514" s="84"/>
      <c r="J514" s="84"/>
      <c r="K514" s="84"/>
      <c r="L514" s="83"/>
      <c r="M514" s="85"/>
      <c r="N514" s="84"/>
      <c r="O514" s="84"/>
      <c r="P514" s="84"/>
    </row>
    <row r="515" spans="1:16" ht="15.75" customHeight="1">
      <c r="A515" s="80"/>
      <c r="B515" s="81"/>
      <c r="C515" s="82"/>
      <c r="D515" s="81"/>
      <c r="E515" s="82"/>
      <c r="F515" s="83"/>
      <c r="G515" s="81"/>
      <c r="H515" s="82"/>
      <c r="I515" s="84"/>
      <c r="J515" s="84"/>
      <c r="K515" s="84"/>
      <c r="L515" s="83"/>
      <c r="M515" s="85"/>
      <c r="N515" s="84"/>
      <c r="O515" s="84"/>
      <c r="P515" s="84"/>
    </row>
    <row r="516" spans="1:16" ht="15.75" customHeight="1">
      <c r="A516" s="80"/>
      <c r="B516" s="81"/>
      <c r="C516" s="82"/>
      <c r="D516" s="81"/>
      <c r="E516" s="82"/>
      <c r="F516" s="83"/>
      <c r="G516" s="81"/>
      <c r="H516" s="82"/>
      <c r="I516" s="84"/>
      <c r="J516" s="84"/>
      <c r="K516" s="84"/>
      <c r="L516" s="83"/>
      <c r="M516" s="85"/>
      <c r="N516" s="84"/>
      <c r="O516" s="84"/>
      <c r="P516" s="84"/>
    </row>
    <row r="517" spans="1:16" ht="15.75" customHeight="1">
      <c r="A517" s="80"/>
      <c r="B517" s="81"/>
      <c r="C517" s="82"/>
      <c r="D517" s="81"/>
      <c r="E517" s="82"/>
      <c r="F517" s="83"/>
      <c r="G517" s="81"/>
      <c r="H517" s="82"/>
      <c r="I517" s="84"/>
      <c r="J517" s="84"/>
      <c r="K517" s="84"/>
      <c r="L517" s="83"/>
      <c r="M517" s="85"/>
      <c r="N517" s="84"/>
      <c r="O517" s="84"/>
      <c r="P517" s="84"/>
    </row>
    <row r="518" spans="1:16" ht="15.75" customHeight="1">
      <c r="A518" s="80"/>
      <c r="B518" s="81"/>
      <c r="C518" s="82"/>
      <c r="D518" s="81"/>
      <c r="E518" s="82"/>
      <c r="F518" s="83"/>
      <c r="G518" s="81"/>
      <c r="H518" s="82"/>
      <c r="I518" s="84"/>
      <c r="J518" s="84"/>
      <c r="K518" s="84"/>
      <c r="L518" s="83"/>
      <c r="M518" s="85"/>
      <c r="N518" s="84"/>
      <c r="O518" s="84"/>
      <c r="P518" s="84"/>
    </row>
    <row r="519" spans="1:16" ht="15.75" customHeight="1">
      <c r="A519" s="80"/>
      <c r="B519" s="81"/>
      <c r="C519" s="82"/>
      <c r="D519" s="81"/>
      <c r="E519" s="82"/>
      <c r="F519" s="83"/>
      <c r="G519" s="81"/>
      <c r="H519" s="82"/>
      <c r="I519" s="84"/>
      <c r="J519" s="84"/>
      <c r="K519" s="84"/>
      <c r="L519" s="83"/>
      <c r="M519" s="85"/>
      <c r="N519" s="84"/>
      <c r="O519" s="84"/>
      <c r="P519" s="84"/>
    </row>
    <row r="520" spans="1:16" ht="15.75" customHeight="1">
      <c r="A520" s="80"/>
      <c r="B520" s="81"/>
      <c r="C520" s="82"/>
      <c r="D520" s="81"/>
      <c r="E520" s="82"/>
      <c r="F520" s="83"/>
      <c r="G520" s="81"/>
      <c r="H520" s="82"/>
      <c r="I520" s="84"/>
      <c r="J520" s="84"/>
      <c r="K520" s="84"/>
      <c r="L520" s="83"/>
      <c r="M520" s="85"/>
      <c r="N520" s="84"/>
      <c r="O520" s="84"/>
      <c r="P520" s="84"/>
    </row>
    <row r="521" spans="1:16" ht="15.75" customHeight="1">
      <c r="A521" s="80"/>
      <c r="B521" s="81"/>
      <c r="C521" s="82"/>
      <c r="D521" s="81"/>
      <c r="E521" s="82"/>
      <c r="F521" s="83"/>
      <c r="G521" s="81"/>
      <c r="H521" s="82"/>
      <c r="I521" s="84"/>
      <c r="J521" s="84"/>
      <c r="K521" s="84"/>
      <c r="L521" s="83"/>
      <c r="M521" s="85"/>
      <c r="N521" s="84"/>
      <c r="O521" s="84"/>
      <c r="P521" s="84"/>
    </row>
    <row r="522" spans="1:16" ht="15.75" customHeight="1">
      <c r="A522" s="80"/>
      <c r="B522" s="81"/>
      <c r="C522" s="82"/>
      <c r="D522" s="81"/>
      <c r="E522" s="82"/>
      <c r="F522" s="83"/>
      <c r="G522" s="81"/>
      <c r="H522" s="82"/>
      <c r="I522" s="84"/>
      <c r="J522" s="84"/>
      <c r="K522" s="84"/>
      <c r="L522" s="83"/>
      <c r="M522" s="85"/>
      <c r="N522" s="84"/>
      <c r="O522" s="84"/>
      <c r="P522" s="84"/>
    </row>
    <row r="523" spans="1:16" ht="15.75" customHeight="1">
      <c r="A523" s="80"/>
      <c r="B523" s="81"/>
      <c r="C523" s="82"/>
      <c r="D523" s="81"/>
      <c r="E523" s="82"/>
      <c r="F523" s="83"/>
      <c r="G523" s="81"/>
      <c r="H523" s="82"/>
      <c r="I523" s="84"/>
      <c r="J523" s="84"/>
      <c r="K523" s="84"/>
      <c r="L523" s="83"/>
      <c r="M523" s="85"/>
      <c r="N523" s="84"/>
      <c r="O523" s="84"/>
      <c r="P523" s="84"/>
    </row>
    <row r="524" spans="1:16" ht="15.75" customHeight="1">
      <c r="A524" s="80"/>
      <c r="B524" s="81"/>
      <c r="C524" s="82"/>
      <c r="D524" s="81"/>
      <c r="E524" s="82"/>
      <c r="F524" s="83"/>
      <c r="G524" s="81"/>
      <c r="H524" s="82"/>
      <c r="I524" s="84"/>
      <c r="J524" s="84"/>
      <c r="K524" s="84"/>
      <c r="L524" s="83"/>
      <c r="M524" s="85"/>
      <c r="N524" s="84"/>
      <c r="O524" s="84"/>
      <c r="P524" s="84"/>
    </row>
    <row r="525" spans="1:16" ht="15.75" customHeight="1">
      <c r="A525" s="80"/>
      <c r="B525" s="81"/>
      <c r="C525" s="82"/>
      <c r="D525" s="81"/>
      <c r="E525" s="82"/>
      <c r="F525" s="83"/>
      <c r="G525" s="81"/>
      <c r="H525" s="82"/>
      <c r="I525" s="84"/>
      <c r="J525" s="84"/>
      <c r="K525" s="84"/>
      <c r="L525" s="83"/>
      <c r="M525" s="85"/>
      <c r="N525" s="84"/>
      <c r="O525" s="84"/>
      <c r="P525" s="84"/>
    </row>
    <row r="526" spans="1:16" ht="15.75" customHeight="1">
      <c r="A526" s="80"/>
      <c r="B526" s="81"/>
      <c r="C526" s="82"/>
      <c r="D526" s="81"/>
      <c r="E526" s="82"/>
      <c r="F526" s="83"/>
      <c r="G526" s="81"/>
      <c r="H526" s="82"/>
      <c r="I526" s="84"/>
      <c r="J526" s="84"/>
      <c r="K526" s="84"/>
      <c r="L526" s="83"/>
      <c r="M526" s="85"/>
      <c r="N526" s="84"/>
      <c r="O526" s="84"/>
      <c r="P526" s="84"/>
    </row>
    <row r="527" spans="1:16" ht="15.75" customHeight="1">
      <c r="A527" s="80"/>
      <c r="B527" s="81"/>
      <c r="C527" s="82"/>
      <c r="D527" s="81"/>
      <c r="E527" s="82"/>
      <c r="F527" s="83"/>
      <c r="G527" s="81"/>
      <c r="H527" s="82"/>
      <c r="I527" s="84"/>
      <c r="J527" s="84"/>
      <c r="K527" s="84"/>
      <c r="L527" s="83"/>
      <c r="M527" s="85"/>
      <c r="N527" s="84"/>
      <c r="O527" s="84"/>
      <c r="P527" s="84"/>
    </row>
    <row r="528" spans="1:16" ht="15.75" customHeight="1">
      <c r="A528" s="80"/>
      <c r="B528" s="81"/>
      <c r="C528" s="82"/>
      <c r="D528" s="81"/>
      <c r="E528" s="82"/>
      <c r="F528" s="83"/>
      <c r="G528" s="81"/>
      <c r="H528" s="82"/>
      <c r="I528" s="84"/>
      <c r="J528" s="84"/>
      <c r="K528" s="84"/>
      <c r="L528" s="83"/>
      <c r="M528" s="85"/>
      <c r="N528" s="84"/>
      <c r="O528" s="84"/>
      <c r="P528" s="84"/>
    </row>
    <row r="529" spans="1:16" ht="15.75" customHeight="1">
      <c r="A529" s="80"/>
      <c r="B529" s="81"/>
      <c r="C529" s="82"/>
      <c r="D529" s="81"/>
      <c r="E529" s="82"/>
      <c r="F529" s="83"/>
      <c r="G529" s="81"/>
      <c r="H529" s="82"/>
      <c r="I529" s="84"/>
      <c r="J529" s="84"/>
      <c r="K529" s="84"/>
      <c r="L529" s="83"/>
      <c r="M529" s="85"/>
      <c r="N529" s="84"/>
      <c r="O529" s="84"/>
      <c r="P529" s="84"/>
    </row>
    <row r="530" spans="1:16" ht="15.75" customHeight="1">
      <c r="A530" s="80"/>
      <c r="B530" s="81"/>
      <c r="C530" s="82"/>
      <c r="D530" s="81"/>
      <c r="E530" s="82"/>
      <c r="F530" s="83"/>
      <c r="G530" s="81"/>
      <c r="H530" s="82"/>
      <c r="I530" s="84"/>
      <c r="J530" s="84"/>
      <c r="K530" s="84"/>
      <c r="L530" s="83"/>
      <c r="M530" s="85"/>
      <c r="N530" s="84"/>
      <c r="O530" s="84"/>
      <c r="P530" s="84"/>
    </row>
    <row r="531" spans="1:16" ht="15.75" customHeight="1">
      <c r="A531" s="80"/>
      <c r="B531" s="81"/>
      <c r="C531" s="82"/>
      <c r="D531" s="81"/>
      <c r="E531" s="82"/>
      <c r="F531" s="83"/>
      <c r="G531" s="81"/>
      <c r="H531" s="82"/>
      <c r="I531" s="84"/>
      <c r="J531" s="84"/>
      <c r="K531" s="84"/>
      <c r="L531" s="83"/>
      <c r="M531" s="85"/>
      <c r="N531" s="84"/>
      <c r="O531" s="84"/>
      <c r="P531" s="84"/>
    </row>
    <row r="532" spans="1:16" ht="15.75" customHeight="1">
      <c r="A532" s="80"/>
      <c r="B532" s="81"/>
      <c r="C532" s="82"/>
      <c r="D532" s="81"/>
      <c r="E532" s="82"/>
      <c r="F532" s="83"/>
      <c r="G532" s="81"/>
      <c r="H532" s="82"/>
      <c r="I532" s="84"/>
      <c r="J532" s="84"/>
      <c r="K532" s="84"/>
      <c r="L532" s="83"/>
      <c r="M532" s="85"/>
      <c r="N532" s="84"/>
      <c r="O532" s="84"/>
      <c r="P532" s="84"/>
    </row>
    <row r="533" spans="1:16" ht="15.75" customHeight="1">
      <c r="A533" s="80"/>
      <c r="B533" s="81"/>
      <c r="C533" s="82"/>
      <c r="D533" s="81"/>
      <c r="E533" s="82"/>
      <c r="F533" s="83"/>
      <c r="G533" s="81"/>
      <c r="H533" s="82"/>
      <c r="I533" s="84"/>
      <c r="J533" s="84"/>
      <c r="K533" s="84"/>
      <c r="L533" s="83"/>
      <c r="M533" s="85"/>
      <c r="N533" s="84"/>
      <c r="O533" s="84"/>
      <c r="P533" s="84"/>
    </row>
    <row r="534" spans="1:16" ht="15.75" customHeight="1">
      <c r="A534" s="80"/>
      <c r="B534" s="81"/>
      <c r="C534" s="82"/>
      <c r="D534" s="81"/>
      <c r="E534" s="82"/>
      <c r="F534" s="83"/>
      <c r="G534" s="81"/>
      <c r="H534" s="82"/>
      <c r="I534" s="84"/>
      <c r="J534" s="84"/>
      <c r="K534" s="84"/>
      <c r="L534" s="83"/>
      <c r="M534" s="85"/>
      <c r="N534" s="84"/>
      <c r="O534" s="84"/>
      <c r="P534" s="84"/>
    </row>
    <row r="535" spans="1:16" ht="15.75" customHeight="1">
      <c r="A535" s="80"/>
      <c r="B535" s="81"/>
      <c r="C535" s="82"/>
      <c r="D535" s="81"/>
      <c r="E535" s="82"/>
      <c r="F535" s="83"/>
      <c r="G535" s="81"/>
      <c r="H535" s="82"/>
      <c r="I535" s="84"/>
      <c r="J535" s="84"/>
      <c r="K535" s="84"/>
      <c r="L535" s="83"/>
      <c r="M535" s="85"/>
      <c r="N535" s="84"/>
      <c r="O535" s="84"/>
      <c r="P535" s="84"/>
    </row>
    <row r="536" spans="1:16" ht="15.75" customHeight="1">
      <c r="A536" s="80"/>
      <c r="B536" s="81"/>
      <c r="C536" s="82"/>
      <c r="D536" s="81"/>
      <c r="E536" s="82"/>
      <c r="F536" s="83"/>
      <c r="G536" s="81"/>
      <c r="H536" s="82"/>
      <c r="I536" s="84"/>
      <c r="J536" s="84"/>
      <c r="K536" s="84"/>
      <c r="L536" s="83"/>
      <c r="M536" s="85"/>
      <c r="N536" s="84"/>
      <c r="O536" s="84"/>
      <c r="P536" s="84"/>
    </row>
    <row r="537" spans="1:16" ht="15.75" customHeight="1">
      <c r="A537" s="80"/>
      <c r="B537" s="81"/>
      <c r="C537" s="82"/>
      <c r="D537" s="81"/>
      <c r="E537" s="82"/>
      <c r="F537" s="83"/>
      <c r="G537" s="81"/>
      <c r="H537" s="82"/>
      <c r="I537" s="84"/>
      <c r="J537" s="84"/>
      <c r="K537" s="84"/>
      <c r="L537" s="83"/>
      <c r="M537" s="85"/>
      <c r="N537" s="84"/>
      <c r="O537" s="84"/>
      <c r="P537" s="84"/>
    </row>
    <row r="538" spans="1:16" ht="15.75" customHeight="1">
      <c r="A538" s="80"/>
      <c r="B538" s="81"/>
      <c r="C538" s="82"/>
      <c r="D538" s="81"/>
      <c r="E538" s="82"/>
      <c r="F538" s="83"/>
      <c r="G538" s="81"/>
      <c r="H538" s="82"/>
      <c r="I538" s="84"/>
      <c r="J538" s="84"/>
      <c r="K538" s="84"/>
      <c r="L538" s="83"/>
      <c r="M538" s="85"/>
      <c r="N538" s="84"/>
      <c r="O538" s="84"/>
      <c r="P538" s="84"/>
    </row>
    <row r="539" spans="1:16" ht="15.75" customHeight="1">
      <c r="A539" s="80"/>
      <c r="B539" s="81"/>
      <c r="C539" s="82"/>
      <c r="D539" s="81"/>
      <c r="E539" s="82"/>
      <c r="F539" s="83"/>
      <c r="G539" s="81"/>
      <c r="H539" s="82"/>
      <c r="I539" s="84"/>
      <c r="J539" s="84"/>
      <c r="K539" s="84"/>
      <c r="L539" s="83"/>
      <c r="M539" s="85"/>
      <c r="N539" s="84"/>
      <c r="O539" s="84"/>
      <c r="P539" s="84"/>
    </row>
    <row r="540" spans="1:16" ht="15.75" customHeight="1">
      <c r="A540" s="80"/>
      <c r="B540" s="81"/>
      <c r="C540" s="82"/>
      <c r="D540" s="81"/>
      <c r="E540" s="82"/>
      <c r="F540" s="83"/>
      <c r="G540" s="81"/>
      <c r="H540" s="82"/>
      <c r="I540" s="84"/>
      <c r="J540" s="84"/>
      <c r="K540" s="84"/>
      <c r="L540" s="83"/>
      <c r="M540" s="85"/>
      <c r="N540" s="84"/>
      <c r="O540" s="84"/>
      <c r="P540" s="84"/>
    </row>
    <row r="541" spans="1:16" ht="15.75" customHeight="1">
      <c r="A541" s="80"/>
      <c r="B541" s="81"/>
      <c r="C541" s="82"/>
      <c r="D541" s="81"/>
      <c r="E541" s="82"/>
      <c r="F541" s="83"/>
      <c r="G541" s="81"/>
      <c r="H541" s="82"/>
      <c r="I541" s="84"/>
      <c r="J541" s="84"/>
      <c r="K541" s="84"/>
      <c r="L541" s="83"/>
      <c r="M541" s="85"/>
      <c r="N541" s="84"/>
      <c r="O541" s="84"/>
      <c r="P541" s="84"/>
    </row>
    <row r="542" spans="1:16" ht="15.75" customHeight="1">
      <c r="A542" s="80"/>
      <c r="B542" s="81"/>
      <c r="C542" s="82"/>
      <c r="D542" s="81"/>
      <c r="E542" s="82"/>
      <c r="F542" s="83"/>
      <c r="G542" s="81"/>
      <c r="H542" s="82"/>
      <c r="I542" s="84"/>
      <c r="J542" s="84"/>
      <c r="K542" s="84"/>
      <c r="L542" s="83"/>
      <c r="M542" s="85"/>
      <c r="N542" s="84"/>
      <c r="O542" s="84"/>
      <c r="P542" s="84"/>
    </row>
    <row r="543" spans="1:16" ht="15.75" customHeight="1">
      <c r="A543" s="80"/>
      <c r="B543" s="81"/>
      <c r="C543" s="82"/>
      <c r="D543" s="81"/>
      <c r="E543" s="82"/>
      <c r="F543" s="83"/>
      <c r="G543" s="81"/>
      <c r="H543" s="82"/>
      <c r="I543" s="84"/>
      <c r="J543" s="84"/>
      <c r="K543" s="84"/>
      <c r="L543" s="83"/>
      <c r="M543" s="85"/>
      <c r="N543" s="84"/>
      <c r="O543" s="84"/>
      <c r="P543" s="84"/>
    </row>
    <row r="544" spans="1:16" ht="15.75" customHeight="1">
      <c r="A544" s="80"/>
      <c r="B544" s="81"/>
      <c r="C544" s="82"/>
      <c r="D544" s="81"/>
      <c r="E544" s="82"/>
      <c r="F544" s="83"/>
      <c r="G544" s="81"/>
      <c r="H544" s="82"/>
      <c r="I544" s="84"/>
      <c r="J544" s="84"/>
      <c r="K544" s="84"/>
      <c r="L544" s="83"/>
      <c r="M544" s="85"/>
      <c r="N544" s="84"/>
      <c r="O544" s="84"/>
      <c r="P544" s="84"/>
    </row>
    <row r="545" spans="1:16" ht="15.75" customHeight="1">
      <c r="A545" s="80"/>
      <c r="B545" s="81"/>
      <c r="C545" s="82"/>
      <c r="D545" s="81"/>
      <c r="E545" s="82"/>
      <c r="F545" s="83"/>
      <c r="G545" s="81"/>
      <c r="H545" s="82"/>
      <c r="I545" s="84"/>
      <c r="J545" s="84"/>
      <c r="K545" s="84"/>
      <c r="L545" s="83"/>
      <c r="M545" s="85"/>
      <c r="N545" s="84"/>
      <c r="O545" s="84"/>
      <c r="P545" s="84"/>
    </row>
    <row r="546" spans="1:16" ht="15.75" customHeight="1">
      <c r="A546" s="80"/>
      <c r="B546" s="81"/>
      <c r="C546" s="82"/>
      <c r="D546" s="81"/>
      <c r="E546" s="82"/>
      <c r="F546" s="83"/>
      <c r="G546" s="81"/>
      <c r="H546" s="82"/>
      <c r="I546" s="84"/>
      <c r="J546" s="84"/>
      <c r="K546" s="84"/>
      <c r="L546" s="83"/>
      <c r="M546" s="85"/>
      <c r="N546" s="84"/>
      <c r="O546" s="84"/>
      <c r="P546" s="84"/>
    </row>
    <row r="547" spans="1:16" ht="15.75" customHeight="1">
      <c r="A547" s="80"/>
      <c r="B547" s="81"/>
      <c r="C547" s="82"/>
      <c r="D547" s="81"/>
      <c r="E547" s="82"/>
      <c r="F547" s="83"/>
      <c r="G547" s="81"/>
      <c r="H547" s="82"/>
      <c r="I547" s="84"/>
      <c r="J547" s="84"/>
      <c r="K547" s="84"/>
      <c r="L547" s="83"/>
      <c r="M547" s="85"/>
      <c r="N547" s="84"/>
      <c r="O547" s="84"/>
      <c r="P547" s="84"/>
    </row>
    <row r="548" spans="1:16" ht="15.75" customHeight="1">
      <c r="A548" s="80"/>
      <c r="B548" s="81"/>
      <c r="C548" s="82"/>
      <c r="D548" s="81"/>
      <c r="E548" s="82"/>
      <c r="F548" s="83"/>
      <c r="G548" s="81"/>
      <c r="H548" s="82"/>
      <c r="I548" s="84"/>
      <c r="J548" s="84"/>
      <c r="K548" s="84"/>
      <c r="L548" s="83"/>
      <c r="M548" s="85"/>
      <c r="N548" s="84"/>
      <c r="O548" s="84"/>
      <c r="P548" s="84"/>
    </row>
    <row r="549" spans="1:16" ht="15.75" customHeight="1">
      <c r="A549" s="80"/>
      <c r="B549" s="81"/>
      <c r="C549" s="82"/>
      <c r="D549" s="81"/>
      <c r="E549" s="82"/>
      <c r="F549" s="83"/>
      <c r="G549" s="81"/>
      <c r="H549" s="82"/>
      <c r="I549" s="84"/>
      <c r="J549" s="84"/>
      <c r="K549" s="84"/>
      <c r="L549" s="83"/>
      <c r="M549" s="85"/>
      <c r="N549" s="84"/>
      <c r="O549" s="84"/>
      <c r="P549" s="84"/>
    </row>
    <row r="550" spans="1:16" ht="15.75" customHeight="1">
      <c r="A550" s="80"/>
      <c r="B550" s="81"/>
      <c r="C550" s="82"/>
      <c r="D550" s="81"/>
      <c r="E550" s="82"/>
      <c r="F550" s="83"/>
      <c r="G550" s="81"/>
      <c r="H550" s="82"/>
      <c r="I550" s="84"/>
      <c r="J550" s="84"/>
      <c r="K550" s="84"/>
      <c r="L550" s="83"/>
      <c r="M550" s="85"/>
      <c r="N550" s="84"/>
      <c r="O550" s="84"/>
      <c r="P550" s="84"/>
    </row>
    <row r="551" spans="1:16" ht="15.75" customHeight="1">
      <c r="A551" s="80"/>
      <c r="B551" s="81"/>
      <c r="C551" s="82"/>
      <c r="D551" s="81"/>
      <c r="E551" s="82"/>
      <c r="F551" s="83"/>
      <c r="G551" s="81"/>
      <c r="H551" s="82"/>
      <c r="I551" s="84"/>
      <c r="J551" s="84"/>
      <c r="K551" s="84"/>
      <c r="L551" s="83"/>
      <c r="M551" s="85"/>
      <c r="N551" s="84"/>
      <c r="O551" s="84"/>
      <c r="P551" s="84"/>
    </row>
    <row r="552" spans="1:16" ht="15.75" customHeight="1">
      <c r="A552" s="80"/>
      <c r="B552" s="81"/>
      <c r="C552" s="82"/>
      <c r="D552" s="81"/>
      <c r="E552" s="82"/>
      <c r="F552" s="83"/>
      <c r="G552" s="81"/>
      <c r="H552" s="82"/>
      <c r="I552" s="84"/>
      <c r="J552" s="84"/>
      <c r="K552" s="84"/>
      <c r="L552" s="83"/>
      <c r="M552" s="85"/>
      <c r="N552" s="84"/>
      <c r="O552" s="84"/>
      <c r="P552" s="84"/>
    </row>
    <row r="553" spans="1:16" ht="15.75" customHeight="1">
      <c r="A553" s="80"/>
      <c r="B553" s="81"/>
      <c r="C553" s="82"/>
      <c r="D553" s="81"/>
      <c r="E553" s="82"/>
      <c r="F553" s="83"/>
      <c r="G553" s="81"/>
      <c r="H553" s="82"/>
      <c r="I553" s="84"/>
      <c r="J553" s="84"/>
      <c r="K553" s="84"/>
      <c r="L553" s="83"/>
      <c r="M553" s="85"/>
      <c r="N553" s="84"/>
      <c r="O553" s="84"/>
      <c r="P553" s="84"/>
    </row>
    <row r="554" spans="1:16" ht="15.75" customHeight="1">
      <c r="A554" s="80"/>
      <c r="B554" s="81"/>
      <c r="C554" s="82"/>
      <c r="D554" s="81"/>
      <c r="E554" s="82"/>
      <c r="F554" s="83"/>
      <c r="G554" s="81"/>
      <c r="H554" s="82"/>
      <c r="I554" s="84"/>
      <c r="J554" s="84"/>
      <c r="K554" s="84"/>
      <c r="L554" s="83"/>
      <c r="M554" s="85"/>
      <c r="N554" s="84"/>
      <c r="O554" s="84"/>
      <c r="P554" s="84"/>
    </row>
    <row r="555" spans="1:16" ht="15.75" customHeight="1">
      <c r="A555" s="80"/>
      <c r="B555" s="81"/>
      <c r="C555" s="82"/>
      <c r="D555" s="81"/>
      <c r="E555" s="82"/>
      <c r="F555" s="83"/>
      <c r="G555" s="81"/>
      <c r="H555" s="82"/>
      <c r="I555" s="84"/>
      <c r="J555" s="84"/>
      <c r="K555" s="84"/>
      <c r="L555" s="83"/>
      <c r="M555" s="85"/>
      <c r="N555" s="84"/>
      <c r="O555" s="84"/>
      <c r="P555" s="84"/>
    </row>
    <row r="556" spans="1:16" ht="15.75" customHeight="1">
      <c r="A556" s="80"/>
      <c r="B556" s="81"/>
      <c r="C556" s="82"/>
      <c r="D556" s="81"/>
      <c r="E556" s="82"/>
      <c r="F556" s="83"/>
      <c r="G556" s="81"/>
      <c r="H556" s="82"/>
      <c r="I556" s="84"/>
      <c r="J556" s="84"/>
      <c r="K556" s="84"/>
      <c r="L556" s="83"/>
      <c r="M556" s="85"/>
      <c r="N556" s="84"/>
      <c r="O556" s="84"/>
      <c r="P556" s="84"/>
    </row>
    <row r="557" spans="1:16" ht="15.75" customHeight="1">
      <c r="A557" s="80"/>
      <c r="B557" s="81"/>
      <c r="C557" s="82"/>
      <c r="D557" s="81"/>
      <c r="E557" s="82"/>
      <c r="F557" s="83"/>
      <c r="G557" s="81"/>
      <c r="H557" s="82"/>
      <c r="I557" s="84"/>
      <c r="J557" s="84"/>
      <c r="K557" s="84"/>
      <c r="L557" s="83"/>
      <c r="M557" s="85"/>
      <c r="N557" s="84"/>
      <c r="O557" s="84"/>
      <c r="P557" s="84"/>
    </row>
    <row r="558" spans="1:16" ht="15.75" customHeight="1">
      <c r="A558" s="80"/>
      <c r="B558" s="81"/>
      <c r="C558" s="82"/>
      <c r="D558" s="81"/>
      <c r="E558" s="82"/>
      <c r="F558" s="83"/>
      <c r="G558" s="81"/>
      <c r="H558" s="82"/>
      <c r="I558" s="84"/>
      <c r="J558" s="84"/>
      <c r="K558" s="84"/>
      <c r="L558" s="83"/>
      <c r="M558" s="85"/>
      <c r="N558" s="84"/>
      <c r="O558" s="84"/>
      <c r="P558" s="84"/>
    </row>
    <row r="559" spans="1:16" ht="15.75" customHeight="1">
      <c r="A559" s="80"/>
      <c r="B559" s="81"/>
      <c r="C559" s="82"/>
      <c r="D559" s="81"/>
      <c r="E559" s="82"/>
      <c r="F559" s="83"/>
      <c r="G559" s="81"/>
      <c r="H559" s="82"/>
      <c r="I559" s="84"/>
      <c r="J559" s="84"/>
      <c r="K559" s="84"/>
      <c r="L559" s="83"/>
      <c r="M559" s="85"/>
      <c r="N559" s="84"/>
      <c r="O559" s="84"/>
      <c r="P559" s="84"/>
    </row>
    <row r="560" spans="1:16" ht="15.75" customHeight="1">
      <c r="A560" s="80"/>
      <c r="B560" s="81"/>
      <c r="C560" s="82"/>
      <c r="D560" s="81"/>
      <c r="E560" s="82"/>
      <c r="F560" s="83"/>
      <c r="G560" s="81"/>
      <c r="H560" s="82"/>
      <c r="I560" s="84"/>
      <c r="J560" s="84"/>
      <c r="K560" s="84"/>
      <c r="L560" s="83"/>
      <c r="M560" s="85"/>
      <c r="N560" s="84"/>
      <c r="O560" s="84"/>
      <c r="P560" s="84"/>
    </row>
    <row r="561" spans="1:16" ht="15.75" customHeight="1">
      <c r="A561" s="80"/>
      <c r="B561" s="81"/>
      <c r="C561" s="82"/>
      <c r="D561" s="81"/>
      <c r="E561" s="82"/>
      <c r="F561" s="83"/>
      <c r="G561" s="81"/>
      <c r="H561" s="82"/>
      <c r="I561" s="84"/>
      <c r="J561" s="84"/>
      <c r="K561" s="84"/>
      <c r="L561" s="83"/>
      <c r="M561" s="85"/>
      <c r="N561" s="84"/>
      <c r="O561" s="84"/>
      <c r="P561" s="84"/>
    </row>
    <row r="562" spans="1:16" ht="15.75" customHeight="1">
      <c r="A562" s="80"/>
      <c r="B562" s="81"/>
      <c r="C562" s="82"/>
      <c r="D562" s="81"/>
      <c r="E562" s="82"/>
      <c r="F562" s="83"/>
      <c r="G562" s="81"/>
      <c r="H562" s="82"/>
      <c r="I562" s="84"/>
      <c r="J562" s="84"/>
      <c r="K562" s="84"/>
      <c r="L562" s="83"/>
      <c r="M562" s="85"/>
      <c r="N562" s="84"/>
      <c r="O562" s="84"/>
      <c r="P562" s="84"/>
    </row>
    <row r="563" spans="1:16" ht="15.75" customHeight="1">
      <c r="A563" s="80"/>
      <c r="B563" s="81"/>
      <c r="C563" s="82"/>
      <c r="D563" s="81"/>
      <c r="E563" s="82"/>
      <c r="F563" s="83"/>
      <c r="G563" s="81"/>
      <c r="H563" s="82"/>
      <c r="I563" s="84"/>
      <c r="J563" s="84"/>
      <c r="K563" s="84"/>
      <c r="L563" s="83"/>
      <c r="M563" s="85"/>
      <c r="N563" s="84"/>
      <c r="O563" s="84"/>
      <c r="P563" s="84"/>
    </row>
    <row r="564" spans="1:16" ht="15.75" customHeight="1">
      <c r="A564" s="80"/>
      <c r="B564" s="81"/>
      <c r="C564" s="82"/>
      <c r="D564" s="81"/>
      <c r="E564" s="82"/>
      <c r="F564" s="83"/>
      <c r="G564" s="81"/>
      <c r="H564" s="82"/>
      <c r="I564" s="84"/>
      <c r="J564" s="84"/>
      <c r="K564" s="84"/>
      <c r="L564" s="83"/>
      <c r="M564" s="85"/>
      <c r="N564" s="84"/>
      <c r="O564" s="84"/>
      <c r="P564" s="84"/>
    </row>
    <row r="565" spans="1:16" ht="15.75" customHeight="1">
      <c r="A565" s="80"/>
      <c r="B565" s="81"/>
      <c r="C565" s="82"/>
      <c r="D565" s="81"/>
      <c r="E565" s="82"/>
      <c r="F565" s="83"/>
      <c r="G565" s="81"/>
      <c r="H565" s="82"/>
      <c r="I565" s="84"/>
      <c r="J565" s="84"/>
      <c r="K565" s="84"/>
      <c r="L565" s="83"/>
      <c r="M565" s="85"/>
      <c r="N565" s="84"/>
      <c r="O565" s="84"/>
      <c r="P565" s="84"/>
    </row>
    <row r="566" spans="1:16" ht="15.75" customHeight="1">
      <c r="A566" s="80"/>
      <c r="B566" s="81"/>
      <c r="C566" s="82"/>
      <c r="D566" s="81"/>
      <c r="E566" s="82"/>
      <c r="F566" s="83"/>
      <c r="G566" s="81"/>
      <c r="H566" s="82"/>
      <c r="I566" s="84"/>
      <c r="J566" s="84"/>
      <c r="K566" s="84"/>
      <c r="L566" s="83"/>
      <c r="M566" s="85"/>
      <c r="N566" s="84"/>
      <c r="O566" s="84"/>
      <c r="P566" s="84"/>
    </row>
    <row r="567" spans="1:16" ht="15.75" customHeight="1">
      <c r="A567" s="80"/>
      <c r="B567" s="81"/>
      <c r="C567" s="82"/>
      <c r="D567" s="81"/>
      <c r="E567" s="82"/>
      <c r="F567" s="83"/>
      <c r="G567" s="81"/>
      <c r="H567" s="82"/>
      <c r="I567" s="84"/>
      <c r="J567" s="84"/>
      <c r="K567" s="84"/>
      <c r="L567" s="83"/>
      <c r="M567" s="85"/>
      <c r="N567" s="84"/>
      <c r="O567" s="84"/>
      <c r="P567" s="84"/>
    </row>
    <row r="568" spans="1:16" ht="15.75" customHeight="1">
      <c r="A568" s="80"/>
      <c r="B568" s="81"/>
      <c r="C568" s="82"/>
      <c r="D568" s="81"/>
      <c r="E568" s="82"/>
      <c r="F568" s="83"/>
      <c r="G568" s="81"/>
      <c r="H568" s="82"/>
      <c r="I568" s="84"/>
      <c r="J568" s="84"/>
      <c r="K568" s="84"/>
      <c r="L568" s="83"/>
      <c r="M568" s="85"/>
      <c r="N568" s="84"/>
      <c r="O568" s="84"/>
      <c r="P568" s="84"/>
    </row>
    <row r="569" spans="1:16" ht="15.75" customHeight="1">
      <c r="A569" s="80"/>
      <c r="B569" s="81"/>
      <c r="C569" s="82"/>
      <c r="D569" s="81"/>
      <c r="E569" s="82"/>
      <c r="F569" s="83"/>
      <c r="G569" s="81"/>
      <c r="H569" s="82"/>
      <c r="I569" s="84"/>
      <c r="J569" s="84"/>
      <c r="K569" s="84"/>
      <c r="L569" s="83"/>
      <c r="M569" s="85"/>
      <c r="N569" s="84"/>
      <c r="O569" s="84"/>
      <c r="P569" s="84"/>
    </row>
    <row r="570" spans="1:16" ht="15.75" customHeight="1">
      <c r="A570" s="80"/>
      <c r="B570" s="81"/>
      <c r="C570" s="82"/>
      <c r="D570" s="81"/>
      <c r="E570" s="82"/>
      <c r="F570" s="83"/>
      <c r="G570" s="81"/>
      <c r="H570" s="82"/>
      <c r="I570" s="84"/>
      <c r="J570" s="84"/>
      <c r="K570" s="84"/>
      <c r="L570" s="83"/>
      <c r="M570" s="85"/>
      <c r="N570" s="84"/>
      <c r="O570" s="84"/>
      <c r="P570" s="84"/>
    </row>
    <row r="571" spans="1:16" ht="15.75" customHeight="1">
      <c r="A571" s="80"/>
      <c r="B571" s="81"/>
      <c r="C571" s="82"/>
      <c r="D571" s="81"/>
      <c r="E571" s="82"/>
      <c r="F571" s="83"/>
      <c r="G571" s="81"/>
      <c r="H571" s="82"/>
      <c r="I571" s="84"/>
      <c r="J571" s="84"/>
      <c r="K571" s="84"/>
      <c r="L571" s="83"/>
      <c r="M571" s="85"/>
      <c r="N571" s="84"/>
      <c r="O571" s="84"/>
      <c r="P571" s="84"/>
    </row>
    <row r="572" spans="1:16" ht="15.75" customHeight="1">
      <c r="A572" s="80"/>
      <c r="B572" s="81"/>
      <c r="C572" s="82"/>
      <c r="D572" s="81"/>
      <c r="E572" s="82"/>
      <c r="F572" s="83"/>
      <c r="G572" s="81"/>
      <c r="H572" s="82"/>
      <c r="I572" s="84"/>
      <c r="J572" s="84"/>
      <c r="K572" s="84"/>
      <c r="L572" s="83"/>
      <c r="M572" s="85"/>
      <c r="N572" s="84"/>
      <c r="O572" s="84"/>
      <c r="P572" s="84"/>
    </row>
    <row r="573" spans="1:16" ht="15.75" customHeight="1">
      <c r="A573" s="80"/>
      <c r="B573" s="81"/>
      <c r="C573" s="82"/>
      <c r="D573" s="81"/>
      <c r="E573" s="82"/>
      <c r="F573" s="83"/>
      <c r="G573" s="81"/>
      <c r="H573" s="82"/>
      <c r="I573" s="84"/>
      <c r="J573" s="84"/>
      <c r="K573" s="84"/>
      <c r="L573" s="83"/>
      <c r="M573" s="85"/>
      <c r="N573" s="84"/>
      <c r="O573" s="84"/>
      <c r="P573" s="84"/>
    </row>
    <row r="574" spans="1:16" ht="15.75" customHeight="1">
      <c r="A574" s="80"/>
      <c r="B574" s="81"/>
      <c r="C574" s="82"/>
      <c r="D574" s="81"/>
      <c r="E574" s="82"/>
      <c r="F574" s="83"/>
      <c r="G574" s="81"/>
      <c r="H574" s="82"/>
      <c r="I574" s="84"/>
      <c r="J574" s="84"/>
      <c r="K574" s="84"/>
      <c r="L574" s="83"/>
      <c r="M574" s="85"/>
      <c r="N574" s="84"/>
      <c r="O574" s="84"/>
      <c r="P574" s="84"/>
    </row>
    <row r="575" spans="1:16" ht="15.75" customHeight="1">
      <c r="A575" s="80"/>
      <c r="B575" s="81"/>
      <c r="C575" s="82"/>
      <c r="D575" s="81"/>
      <c r="E575" s="82"/>
      <c r="F575" s="83"/>
      <c r="G575" s="81"/>
      <c r="H575" s="82"/>
      <c r="I575" s="84"/>
      <c r="J575" s="84"/>
      <c r="K575" s="84"/>
      <c r="L575" s="83"/>
      <c r="M575" s="85"/>
      <c r="N575" s="84"/>
      <c r="O575" s="84"/>
      <c r="P575" s="84"/>
    </row>
    <row r="576" spans="1:16" ht="15.75" customHeight="1">
      <c r="A576" s="80"/>
      <c r="B576" s="81"/>
      <c r="C576" s="82"/>
      <c r="D576" s="81"/>
      <c r="E576" s="82"/>
      <c r="F576" s="83"/>
      <c r="G576" s="81"/>
      <c r="H576" s="82"/>
      <c r="I576" s="84"/>
      <c r="J576" s="84"/>
      <c r="K576" s="84"/>
      <c r="L576" s="83"/>
      <c r="M576" s="85"/>
      <c r="N576" s="84"/>
      <c r="O576" s="84"/>
      <c r="P576" s="84"/>
    </row>
    <row r="577" spans="1:16" ht="15.75" customHeight="1">
      <c r="A577" s="80"/>
      <c r="B577" s="81"/>
      <c r="C577" s="82"/>
      <c r="D577" s="81"/>
      <c r="E577" s="82"/>
      <c r="F577" s="83"/>
      <c r="G577" s="81"/>
      <c r="H577" s="82"/>
      <c r="I577" s="84"/>
      <c r="J577" s="84"/>
      <c r="K577" s="84"/>
      <c r="L577" s="83"/>
      <c r="M577" s="85"/>
      <c r="N577" s="84"/>
      <c r="O577" s="84"/>
      <c r="P577" s="84"/>
    </row>
    <row r="578" spans="1:16" ht="15.75" customHeight="1">
      <c r="A578" s="80"/>
      <c r="B578" s="81"/>
      <c r="C578" s="82"/>
      <c r="D578" s="81"/>
      <c r="E578" s="82"/>
      <c r="F578" s="83"/>
      <c r="G578" s="81"/>
      <c r="H578" s="82"/>
      <c r="I578" s="84"/>
      <c r="J578" s="84"/>
      <c r="K578" s="84"/>
      <c r="L578" s="83"/>
      <c r="M578" s="85"/>
      <c r="N578" s="84"/>
      <c r="O578" s="84"/>
      <c r="P578" s="84"/>
    </row>
    <row r="579" spans="1:16" ht="15.75" customHeight="1">
      <c r="A579" s="80"/>
      <c r="B579" s="81"/>
      <c r="C579" s="82"/>
      <c r="D579" s="81"/>
      <c r="E579" s="82"/>
      <c r="F579" s="83"/>
      <c r="G579" s="81"/>
      <c r="H579" s="82"/>
      <c r="I579" s="84"/>
      <c r="J579" s="84"/>
      <c r="K579" s="84"/>
      <c r="L579" s="83"/>
      <c r="M579" s="85"/>
      <c r="N579" s="84"/>
      <c r="O579" s="84"/>
      <c r="P579" s="84"/>
    </row>
    <row r="580" spans="1:16" ht="15.75" customHeight="1">
      <c r="A580" s="80"/>
      <c r="B580" s="81"/>
      <c r="C580" s="82"/>
      <c r="D580" s="81"/>
      <c r="E580" s="82"/>
      <c r="F580" s="83"/>
      <c r="G580" s="81"/>
      <c r="H580" s="82"/>
      <c r="I580" s="84"/>
      <c r="J580" s="84"/>
      <c r="K580" s="84"/>
      <c r="L580" s="83"/>
      <c r="M580" s="85"/>
      <c r="N580" s="84"/>
      <c r="O580" s="84"/>
      <c r="P580" s="84"/>
    </row>
    <row r="581" spans="1:16" ht="15.75" customHeight="1">
      <c r="A581" s="80"/>
      <c r="B581" s="81"/>
      <c r="C581" s="82"/>
      <c r="D581" s="81"/>
      <c r="E581" s="82"/>
      <c r="F581" s="83"/>
      <c r="G581" s="81"/>
      <c r="H581" s="82"/>
      <c r="I581" s="84"/>
      <c r="J581" s="84"/>
      <c r="K581" s="84"/>
      <c r="L581" s="83"/>
      <c r="M581" s="85"/>
      <c r="N581" s="84"/>
      <c r="O581" s="84"/>
      <c r="P581" s="84"/>
    </row>
    <row r="582" spans="1:16" ht="15.75" customHeight="1">
      <c r="A582" s="80"/>
      <c r="B582" s="81"/>
      <c r="C582" s="82"/>
      <c r="D582" s="81"/>
      <c r="E582" s="82"/>
      <c r="F582" s="83"/>
      <c r="G582" s="81"/>
      <c r="H582" s="82"/>
      <c r="I582" s="84"/>
      <c r="J582" s="84"/>
      <c r="K582" s="84"/>
      <c r="L582" s="83"/>
      <c r="M582" s="85"/>
      <c r="N582" s="84"/>
      <c r="O582" s="84"/>
      <c r="P582" s="84"/>
    </row>
    <row r="583" spans="1:16" ht="15.75" customHeight="1">
      <c r="A583" s="80"/>
      <c r="B583" s="81"/>
      <c r="C583" s="82"/>
      <c r="D583" s="81"/>
      <c r="E583" s="82"/>
      <c r="F583" s="83"/>
      <c r="G583" s="81"/>
      <c r="H583" s="82"/>
      <c r="I583" s="84"/>
      <c r="J583" s="84"/>
      <c r="K583" s="84"/>
      <c r="L583" s="83"/>
      <c r="M583" s="85"/>
      <c r="N583" s="84"/>
      <c r="O583" s="84"/>
      <c r="P583" s="84"/>
    </row>
    <row r="584" spans="1:16" ht="15.75" customHeight="1">
      <c r="A584" s="80"/>
      <c r="B584" s="81"/>
      <c r="C584" s="82"/>
      <c r="D584" s="81"/>
      <c r="E584" s="82"/>
      <c r="F584" s="83"/>
      <c r="G584" s="81"/>
      <c r="H584" s="82"/>
      <c r="I584" s="84"/>
      <c r="J584" s="84"/>
      <c r="K584" s="84"/>
      <c r="L584" s="83"/>
      <c r="M584" s="85"/>
      <c r="N584" s="84"/>
      <c r="O584" s="84"/>
      <c r="P584" s="84"/>
    </row>
    <row r="585" spans="1:16" ht="15.75" customHeight="1">
      <c r="A585" s="80"/>
      <c r="B585" s="81"/>
      <c r="C585" s="82"/>
      <c r="D585" s="81"/>
      <c r="E585" s="82"/>
      <c r="F585" s="83"/>
      <c r="G585" s="81"/>
      <c r="H585" s="82"/>
      <c r="I585" s="84"/>
      <c r="J585" s="84"/>
      <c r="K585" s="84"/>
      <c r="L585" s="83"/>
      <c r="M585" s="85"/>
      <c r="N585" s="84"/>
      <c r="O585" s="84"/>
      <c r="P585" s="84"/>
    </row>
    <row r="586" spans="1:16" ht="15.75" customHeight="1">
      <c r="A586" s="80"/>
      <c r="B586" s="81"/>
      <c r="C586" s="82"/>
      <c r="D586" s="81"/>
      <c r="E586" s="82"/>
      <c r="F586" s="83"/>
      <c r="G586" s="81"/>
      <c r="H586" s="82"/>
      <c r="I586" s="84"/>
      <c r="J586" s="84"/>
      <c r="K586" s="84"/>
      <c r="L586" s="83"/>
      <c r="M586" s="85"/>
      <c r="N586" s="84"/>
      <c r="O586" s="84"/>
      <c r="P586" s="84"/>
    </row>
    <row r="587" spans="1:16" ht="15.75" customHeight="1">
      <c r="A587" s="80"/>
      <c r="B587" s="81"/>
      <c r="C587" s="82"/>
      <c r="D587" s="81"/>
      <c r="E587" s="82"/>
      <c r="F587" s="83"/>
      <c r="G587" s="81"/>
      <c r="H587" s="82"/>
      <c r="I587" s="84"/>
      <c r="J587" s="84"/>
      <c r="K587" s="84"/>
      <c r="L587" s="83"/>
      <c r="M587" s="85"/>
      <c r="N587" s="84"/>
      <c r="O587" s="84"/>
      <c r="P587" s="84"/>
    </row>
    <row r="588" spans="1:16" ht="15.75" customHeight="1">
      <c r="A588" s="80"/>
      <c r="B588" s="81"/>
      <c r="C588" s="82"/>
      <c r="D588" s="81"/>
      <c r="E588" s="82"/>
      <c r="F588" s="83"/>
      <c r="G588" s="81"/>
      <c r="H588" s="82"/>
      <c r="I588" s="84"/>
      <c r="J588" s="84"/>
      <c r="K588" s="84"/>
      <c r="L588" s="83"/>
      <c r="M588" s="85"/>
      <c r="N588" s="84"/>
      <c r="O588" s="84"/>
      <c r="P588" s="84"/>
    </row>
    <row r="589" spans="1:16" ht="15.75" customHeight="1">
      <c r="A589" s="80"/>
      <c r="B589" s="81"/>
      <c r="C589" s="82"/>
      <c r="D589" s="81"/>
      <c r="E589" s="82"/>
      <c r="F589" s="83"/>
      <c r="G589" s="81"/>
      <c r="H589" s="82"/>
      <c r="I589" s="84"/>
      <c r="J589" s="84"/>
      <c r="K589" s="84"/>
      <c r="L589" s="83"/>
      <c r="M589" s="85"/>
      <c r="N589" s="84"/>
      <c r="O589" s="84"/>
      <c r="P589" s="84"/>
    </row>
    <row r="590" spans="1:16" ht="15.75" customHeight="1">
      <c r="A590" s="80"/>
      <c r="B590" s="81"/>
      <c r="C590" s="82"/>
      <c r="D590" s="81"/>
      <c r="E590" s="82"/>
      <c r="F590" s="83"/>
      <c r="G590" s="81"/>
      <c r="H590" s="82"/>
      <c r="I590" s="84"/>
      <c r="J590" s="84"/>
      <c r="K590" s="84"/>
      <c r="L590" s="83"/>
      <c r="M590" s="85"/>
      <c r="N590" s="84"/>
      <c r="O590" s="84"/>
      <c r="P590" s="84"/>
    </row>
    <row r="591" spans="1:16" ht="15.75" customHeight="1">
      <c r="A591" s="80"/>
      <c r="B591" s="81"/>
      <c r="C591" s="82"/>
      <c r="D591" s="81"/>
      <c r="E591" s="82"/>
      <c r="F591" s="83"/>
      <c r="G591" s="81"/>
      <c r="H591" s="82"/>
      <c r="I591" s="84"/>
      <c r="J591" s="84"/>
      <c r="K591" s="84"/>
      <c r="L591" s="83"/>
      <c r="M591" s="85"/>
      <c r="N591" s="84"/>
      <c r="O591" s="84"/>
      <c r="P591" s="84"/>
    </row>
    <row r="592" spans="1:16" ht="15.75" customHeight="1">
      <c r="A592" s="80"/>
      <c r="B592" s="81"/>
      <c r="C592" s="82"/>
      <c r="D592" s="81"/>
      <c r="E592" s="82"/>
      <c r="F592" s="83"/>
      <c r="G592" s="81"/>
      <c r="H592" s="82"/>
      <c r="I592" s="84"/>
      <c r="J592" s="84"/>
      <c r="K592" s="84"/>
      <c r="L592" s="83"/>
      <c r="M592" s="85"/>
      <c r="N592" s="84"/>
      <c r="O592" s="84"/>
      <c r="P592" s="84"/>
    </row>
    <row r="593" spans="1:16" ht="15.75" customHeight="1">
      <c r="A593" s="80"/>
      <c r="B593" s="81"/>
      <c r="C593" s="82"/>
      <c r="D593" s="81"/>
      <c r="E593" s="82"/>
      <c r="F593" s="83"/>
      <c r="G593" s="81"/>
      <c r="H593" s="82"/>
      <c r="I593" s="84"/>
      <c r="J593" s="84"/>
      <c r="K593" s="84"/>
      <c r="L593" s="83"/>
      <c r="M593" s="85"/>
      <c r="N593" s="84"/>
      <c r="O593" s="84"/>
      <c r="P593" s="84"/>
    </row>
    <row r="594" spans="1:16" ht="15.75" customHeight="1">
      <c r="A594" s="80"/>
      <c r="B594" s="81"/>
      <c r="C594" s="82"/>
      <c r="D594" s="81"/>
      <c r="E594" s="82"/>
      <c r="F594" s="83"/>
      <c r="G594" s="81"/>
      <c r="H594" s="82"/>
      <c r="I594" s="84"/>
      <c r="J594" s="84"/>
      <c r="K594" s="84"/>
      <c r="L594" s="83"/>
      <c r="M594" s="85"/>
      <c r="N594" s="84"/>
      <c r="O594" s="84"/>
      <c r="P594" s="84"/>
    </row>
    <row r="595" spans="1:16" ht="15.75" customHeight="1">
      <c r="A595" s="80"/>
      <c r="B595" s="81"/>
      <c r="C595" s="82"/>
      <c r="D595" s="81"/>
      <c r="E595" s="82"/>
      <c r="F595" s="83"/>
      <c r="G595" s="81"/>
      <c r="H595" s="82"/>
      <c r="I595" s="84"/>
      <c r="J595" s="84"/>
      <c r="K595" s="84"/>
      <c r="L595" s="83"/>
      <c r="M595" s="85"/>
      <c r="N595" s="84"/>
      <c r="O595" s="84"/>
      <c r="P595" s="84"/>
    </row>
    <row r="596" spans="1:16" ht="15.75" customHeight="1">
      <c r="A596" s="80"/>
      <c r="B596" s="81"/>
      <c r="C596" s="82"/>
      <c r="D596" s="81"/>
      <c r="E596" s="82"/>
      <c r="F596" s="83"/>
      <c r="G596" s="81"/>
      <c r="H596" s="82"/>
      <c r="I596" s="84"/>
      <c r="J596" s="84"/>
      <c r="K596" s="84"/>
      <c r="L596" s="83"/>
      <c r="M596" s="85"/>
      <c r="N596" s="84"/>
      <c r="O596" s="84"/>
      <c r="P596" s="84"/>
    </row>
    <row r="597" spans="1:16" ht="15.75" customHeight="1">
      <c r="A597" s="80"/>
      <c r="B597" s="81"/>
      <c r="C597" s="82"/>
      <c r="D597" s="81"/>
      <c r="E597" s="82"/>
      <c r="F597" s="83"/>
      <c r="G597" s="81"/>
      <c r="H597" s="82"/>
      <c r="I597" s="84"/>
      <c r="J597" s="84"/>
      <c r="K597" s="84"/>
      <c r="L597" s="83"/>
      <c r="M597" s="85"/>
      <c r="N597" s="84"/>
      <c r="O597" s="84"/>
      <c r="P597" s="84"/>
    </row>
    <row r="598" spans="1:16" ht="15.75" customHeight="1">
      <c r="A598" s="80"/>
      <c r="B598" s="81"/>
      <c r="C598" s="82"/>
      <c r="D598" s="81"/>
      <c r="E598" s="82"/>
      <c r="F598" s="83"/>
      <c r="G598" s="81"/>
      <c r="H598" s="82"/>
      <c r="I598" s="84"/>
      <c r="J598" s="84"/>
      <c r="K598" s="84"/>
      <c r="L598" s="83"/>
      <c r="M598" s="85"/>
      <c r="N598" s="84"/>
      <c r="O598" s="84"/>
      <c r="P598" s="84"/>
    </row>
    <row r="599" spans="1:16" ht="15.75" customHeight="1">
      <c r="A599" s="80"/>
      <c r="B599" s="81"/>
      <c r="C599" s="82"/>
      <c r="D599" s="81"/>
      <c r="E599" s="82"/>
      <c r="F599" s="83"/>
      <c r="G599" s="81"/>
      <c r="H599" s="82"/>
      <c r="I599" s="84"/>
      <c r="J599" s="84"/>
      <c r="K599" s="84"/>
      <c r="L599" s="83"/>
      <c r="M599" s="85"/>
      <c r="N599" s="84"/>
      <c r="O599" s="84"/>
      <c r="P599" s="84"/>
    </row>
    <row r="600" spans="1:16" ht="15.75" customHeight="1">
      <c r="A600" s="80"/>
      <c r="B600" s="81"/>
      <c r="C600" s="82"/>
      <c r="D600" s="81"/>
      <c r="E600" s="82"/>
      <c r="F600" s="83"/>
      <c r="G600" s="81"/>
      <c r="H600" s="82"/>
      <c r="I600" s="84"/>
      <c r="J600" s="84"/>
      <c r="K600" s="84"/>
      <c r="L600" s="83"/>
      <c r="M600" s="85"/>
      <c r="N600" s="84"/>
      <c r="O600" s="84"/>
      <c r="P600" s="84"/>
    </row>
    <row r="601" spans="1:16" ht="15.75" customHeight="1">
      <c r="A601" s="80"/>
      <c r="B601" s="81"/>
      <c r="C601" s="82"/>
      <c r="D601" s="81"/>
      <c r="E601" s="82"/>
      <c r="F601" s="83"/>
      <c r="G601" s="81"/>
      <c r="H601" s="82"/>
      <c r="I601" s="84"/>
      <c r="J601" s="84"/>
      <c r="K601" s="84"/>
      <c r="L601" s="83"/>
      <c r="M601" s="85"/>
      <c r="N601" s="84"/>
      <c r="O601" s="84"/>
      <c r="P601" s="84"/>
    </row>
    <row r="602" spans="1:16" ht="15.75" customHeight="1">
      <c r="A602" s="80"/>
      <c r="B602" s="81"/>
      <c r="C602" s="82"/>
      <c r="D602" s="81"/>
      <c r="E602" s="82"/>
      <c r="F602" s="83"/>
      <c r="G602" s="81"/>
      <c r="H602" s="82"/>
      <c r="I602" s="84"/>
      <c r="J602" s="84"/>
      <c r="K602" s="84"/>
      <c r="L602" s="83"/>
      <c r="M602" s="85"/>
      <c r="N602" s="84"/>
      <c r="O602" s="84"/>
      <c r="P602" s="84"/>
    </row>
    <row r="603" spans="1:16" ht="15.75" customHeight="1">
      <c r="A603" s="80"/>
      <c r="B603" s="81"/>
      <c r="C603" s="82"/>
      <c r="D603" s="81"/>
      <c r="E603" s="82"/>
      <c r="F603" s="83"/>
      <c r="G603" s="81"/>
      <c r="H603" s="82"/>
      <c r="I603" s="84"/>
      <c r="J603" s="84"/>
      <c r="K603" s="84"/>
      <c r="L603" s="83"/>
      <c r="M603" s="85"/>
      <c r="N603" s="84"/>
      <c r="O603" s="84"/>
      <c r="P603" s="84"/>
    </row>
    <row r="604" spans="1:16" ht="15.75" customHeight="1">
      <c r="A604" s="80"/>
      <c r="B604" s="81"/>
      <c r="C604" s="82"/>
      <c r="D604" s="81"/>
      <c r="E604" s="82"/>
      <c r="F604" s="83"/>
      <c r="G604" s="81"/>
      <c r="H604" s="82"/>
      <c r="I604" s="84"/>
      <c r="J604" s="84"/>
      <c r="K604" s="84"/>
      <c r="L604" s="83"/>
      <c r="M604" s="85"/>
      <c r="N604" s="84"/>
      <c r="O604" s="84"/>
      <c r="P604" s="84"/>
    </row>
    <row r="605" spans="1:16" ht="15.75" customHeight="1">
      <c r="A605" s="80"/>
      <c r="B605" s="81"/>
      <c r="C605" s="82"/>
      <c r="D605" s="81"/>
      <c r="E605" s="82"/>
      <c r="F605" s="83"/>
      <c r="G605" s="81"/>
      <c r="H605" s="82"/>
      <c r="I605" s="84"/>
      <c r="J605" s="84"/>
      <c r="K605" s="84"/>
      <c r="L605" s="83"/>
      <c r="M605" s="85"/>
      <c r="N605" s="84"/>
      <c r="O605" s="84"/>
      <c r="P605" s="84"/>
    </row>
    <row r="606" spans="1:16" ht="15.75" customHeight="1">
      <c r="A606" s="80"/>
      <c r="B606" s="81"/>
      <c r="C606" s="82"/>
      <c r="D606" s="81"/>
      <c r="E606" s="82"/>
      <c r="F606" s="83"/>
      <c r="G606" s="81"/>
      <c r="H606" s="82"/>
      <c r="I606" s="84"/>
      <c r="J606" s="84"/>
      <c r="K606" s="84"/>
      <c r="L606" s="83"/>
      <c r="M606" s="85"/>
      <c r="N606" s="84"/>
      <c r="O606" s="84"/>
      <c r="P606" s="84"/>
    </row>
    <row r="607" spans="1:16" ht="15.75" customHeight="1">
      <c r="A607" s="80"/>
      <c r="B607" s="81"/>
      <c r="C607" s="82"/>
      <c r="D607" s="81"/>
      <c r="E607" s="82"/>
      <c r="F607" s="83"/>
      <c r="G607" s="81"/>
      <c r="H607" s="82"/>
      <c r="I607" s="84"/>
      <c r="J607" s="84"/>
      <c r="K607" s="84"/>
      <c r="L607" s="83"/>
      <c r="M607" s="85"/>
      <c r="N607" s="84"/>
      <c r="O607" s="84"/>
      <c r="P607" s="84"/>
    </row>
    <row r="608" spans="1:16" ht="15.75" customHeight="1">
      <c r="A608" s="80"/>
      <c r="B608" s="81"/>
      <c r="C608" s="82"/>
      <c r="D608" s="81"/>
      <c r="E608" s="82"/>
      <c r="F608" s="83"/>
      <c r="G608" s="81"/>
      <c r="H608" s="82"/>
      <c r="I608" s="84"/>
      <c r="J608" s="84"/>
      <c r="K608" s="84"/>
      <c r="L608" s="83"/>
      <c r="M608" s="85"/>
      <c r="N608" s="84"/>
      <c r="O608" s="84"/>
      <c r="P608" s="84"/>
    </row>
    <row r="609" spans="1:16" ht="15.75" customHeight="1">
      <c r="A609" s="80"/>
      <c r="B609" s="81"/>
      <c r="C609" s="82"/>
      <c r="D609" s="81"/>
      <c r="E609" s="82"/>
      <c r="F609" s="83"/>
      <c r="G609" s="81"/>
      <c r="H609" s="82"/>
      <c r="I609" s="84"/>
      <c r="J609" s="84"/>
      <c r="K609" s="84"/>
      <c r="L609" s="83"/>
      <c r="M609" s="85"/>
      <c r="N609" s="84"/>
      <c r="O609" s="84"/>
      <c r="P609" s="84"/>
    </row>
    <row r="610" spans="1:16" ht="15.75" customHeight="1">
      <c r="A610" s="80"/>
      <c r="B610" s="81"/>
      <c r="C610" s="82"/>
      <c r="D610" s="81"/>
      <c r="E610" s="82"/>
      <c r="F610" s="83"/>
      <c r="G610" s="81"/>
      <c r="H610" s="82"/>
      <c r="I610" s="84"/>
      <c r="J610" s="84"/>
      <c r="K610" s="84"/>
      <c r="L610" s="83"/>
      <c r="M610" s="85"/>
      <c r="N610" s="84"/>
      <c r="O610" s="84"/>
      <c r="P610" s="84"/>
    </row>
    <row r="611" spans="1:16" ht="15.75" customHeight="1">
      <c r="A611" s="80"/>
      <c r="B611" s="81"/>
      <c r="C611" s="82"/>
      <c r="D611" s="81"/>
      <c r="E611" s="82"/>
      <c r="F611" s="83"/>
      <c r="G611" s="81"/>
      <c r="H611" s="82"/>
      <c r="I611" s="84"/>
      <c r="J611" s="84"/>
      <c r="K611" s="84"/>
      <c r="L611" s="83"/>
      <c r="M611" s="85"/>
      <c r="N611" s="84"/>
      <c r="O611" s="84"/>
      <c r="P611" s="84"/>
    </row>
    <row r="612" spans="1:16" ht="15.75" customHeight="1">
      <c r="A612" s="80"/>
      <c r="B612" s="81"/>
      <c r="C612" s="82"/>
      <c r="D612" s="81"/>
      <c r="E612" s="82"/>
      <c r="F612" s="83"/>
      <c r="G612" s="81"/>
      <c r="H612" s="82"/>
      <c r="I612" s="84"/>
      <c r="J612" s="84"/>
      <c r="K612" s="84"/>
      <c r="L612" s="83"/>
      <c r="M612" s="85"/>
      <c r="N612" s="84"/>
      <c r="O612" s="84"/>
      <c r="P612" s="84"/>
    </row>
    <row r="613" spans="1:16" ht="15.75" customHeight="1">
      <c r="A613" s="80"/>
      <c r="B613" s="81"/>
      <c r="C613" s="82"/>
      <c r="D613" s="81"/>
      <c r="E613" s="82"/>
      <c r="F613" s="83"/>
      <c r="G613" s="81"/>
      <c r="H613" s="82"/>
      <c r="I613" s="84"/>
      <c r="J613" s="84"/>
      <c r="K613" s="84"/>
      <c r="L613" s="83"/>
      <c r="M613" s="85"/>
      <c r="N613" s="84"/>
      <c r="O613" s="84"/>
      <c r="P613" s="84"/>
    </row>
    <row r="614" spans="1:16" ht="15.75" customHeight="1">
      <c r="A614" s="80"/>
      <c r="B614" s="81"/>
      <c r="C614" s="82"/>
      <c r="D614" s="81"/>
      <c r="E614" s="82"/>
      <c r="F614" s="83"/>
      <c r="G614" s="81"/>
      <c r="H614" s="82"/>
      <c r="I614" s="84"/>
      <c r="J614" s="84"/>
      <c r="K614" s="84"/>
      <c r="L614" s="83"/>
      <c r="M614" s="85"/>
      <c r="N614" s="84"/>
      <c r="O614" s="84"/>
      <c r="P614" s="84"/>
    </row>
    <row r="615" spans="1:16" ht="15.75" customHeight="1">
      <c r="A615" s="80"/>
      <c r="B615" s="81"/>
      <c r="C615" s="82"/>
      <c r="D615" s="81"/>
      <c r="E615" s="82"/>
      <c r="F615" s="83"/>
      <c r="G615" s="81"/>
      <c r="H615" s="82"/>
      <c r="I615" s="84"/>
      <c r="J615" s="84"/>
      <c r="K615" s="84"/>
      <c r="L615" s="83"/>
      <c r="M615" s="85"/>
      <c r="N615" s="84"/>
      <c r="O615" s="84"/>
      <c r="P615" s="84"/>
    </row>
    <row r="616" spans="1:16" ht="15.75" customHeight="1">
      <c r="A616" s="80"/>
      <c r="B616" s="81"/>
      <c r="C616" s="82"/>
      <c r="D616" s="81"/>
      <c r="E616" s="82"/>
      <c r="F616" s="83"/>
      <c r="G616" s="81"/>
      <c r="H616" s="82"/>
      <c r="I616" s="84"/>
      <c r="J616" s="84"/>
      <c r="K616" s="84"/>
      <c r="L616" s="83"/>
      <c r="M616" s="85"/>
      <c r="N616" s="84"/>
      <c r="O616" s="84"/>
      <c r="P616" s="84"/>
    </row>
    <row r="617" spans="1:16" ht="15.75" customHeight="1">
      <c r="A617" s="80"/>
      <c r="B617" s="81"/>
      <c r="C617" s="82"/>
      <c r="D617" s="81"/>
      <c r="E617" s="82"/>
      <c r="F617" s="83"/>
      <c r="G617" s="81"/>
      <c r="H617" s="82"/>
      <c r="I617" s="84"/>
      <c r="J617" s="84"/>
      <c r="K617" s="84"/>
      <c r="L617" s="83"/>
      <c r="M617" s="85"/>
      <c r="N617" s="84"/>
      <c r="O617" s="84"/>
      <c r="P617" s="84"/>
    </row>
    <row r="618" spans="1:16" ht="15.75" customHeight="1">
      <c r="A618" s="80"/>
      <c r="B618" s="81"/>
      <c r="C618" s="82"/>
      <c r="D618" s="81"/>
      <c r="E618" s="82"/>
      <c r="F618" s="83"/>
      <c r="G618" s="81"/>
      <c r="H618" s="82"/>
      <c r="I618" s="84"/>
      <c r="J618" s="84"/>
      <c r="K618" s="84"/>
      <c r="L618" s="83"/>
      <c r="M618" s="85"/>
      <c r="N618" s="84"/>
      <c r="O618" s="84"/>
      <c r="P618" s="84"/>
    </row>
    <row r="619" spans="1:16" ht="15.75" customHeight="1">
      <c r="A619" s="80"/>
      <c r="B619" s="81"/>
      <c r="C619" s="82"/>
      <c r="D619" s="81"/>
      <c r="E619" s="82"/>
      <c r="F619" s="83"/>
      <c r="G619" s="81"/>
      <c r="H619" s="82"/>
      <c r="I619" s="84"/>
      <c r="J619" s="84"/>
      <c r="K619" s="84"/>
      <c r="L619" s="83"/>
      <c r="M619" s="85"/>
      <c r="N619" s="84"/>
      <c r="O619" s="84"/>
      <c r="P619" s="84"/>
    </row>
    <row r="620" spans="1:16" ht="15.75" customHeight="1">
      <c r="A620" s="80"/>
      <c r="B620" s="81"/>
      <c r="C620" s="82"/>
      <c r="D620" s="81"/>
      <c r="E620" s="82"/>
      <c r="F620" s="83"/>
      <c r="G620" s="81"/>
      <c r="H620" s="82"/>
      <c r="I620" s="84"/>
      <c r="J620" s="84"/>
      <c r="K620" s="84"/>
      <c r="L620" s="83"/>
      <c r="M620" s="85"/>
      <c r="N620" s="84"/>
      <c r="O620" s="84"/>
      <c r="P620" s="84"/>
    </row>
    <row r="621" spans="1:16" ht="15.75" customHeight="1">
      <c r="A621" s="80"/>
      <c r="B621" s="81"/>
      <c r="C621" s="82"/>
      <c r="D621" s="81"/>
      <c r="E621" s="82"/>
      <c r="F621" s="83"/>
      <c r="G621" s="81"/>
      <c r="H621" s="82"/>
      <c r="I621" s="84"/>
      <c r="J621" s="84"/>
      <c r="K621" s="84"/>
      <c r="L621" s="83"/>
      <c r="M621" s="85"/>
      <c r="N621" s="84"/>
      <c r="O621" s="84"/>
      <c r="P621" s="84"/>
    </row>
    <row r="622" spans="1:16" ht="15.75" customHeight="1">
      <c r="A622" s="80"/>
      <c r="B622" s="81"/>
      <c r="C622" s="82"/>
      <c r="D622" s="81"/>
      <c r="E622" s="82"/>
      <c r="F622" s="83"/>
      <c r="G622" s="81"/>
      <c r="H622" s="82"/>
      <c r="I622" s="84"/>
      <c r="J622" s="84"/>
      <c r="K622" s="84"/>
      <c r="L622" s="83"/>
      <c r="M622" s="85"/>
      <c r="N622" s="84"/>
      <c r="O622" s="84"/>
      <c r="P622" s="84"/>
    </row>
    <row r="623" spans="1:16" ht="15.75" customHeight="1">
      <c r="A623" s="80"/>
      <c r="B623" s="81"/>
      <c r="C623" s="82"/>
      <c r="D623" s="81"/>
      <c r="E623" s="82"/>
      <c r="F623" s="83"/>
      <c r="G623" s="81"/>
      <c r="H623" s="82"/>
      <c r="I623" s="84"/>
      <c r="J623" s="84"/>
      <c r="K623" s="84"/>
      <c r="L623" s="83"/>
      <c r="M623" s="85"/>
      <c r="N623" s="84"/>
      <c r="O623" s="84"/>
      <c r="P623" s="84"/>
    </row>
    <row r="624" spans="1:16" ht="15.75" customHeight="1">
      <c r="A624" s="80"/>
      <c r="B624" s="81"/>
      <c r="C624" s="82"/>
      <c r="D624" s="81"/>
      <c r="E624" s="82"/>
      <c r="F624" s="83"/>
      <c r="G624" s="81"/>
      <c r="H624" s="82"/>
      <c r="I624" s="84"/>
      <c r="J624" s="84"/>
      <c r="K624" s="84"/>
      <c r="L624" s="83"/>
      <c r="M624" s="85"/>
      <c r="N624" s="84"/>
      <c r="O624" s="84"/>
      <c r="P624" s="84"/>
    </row>
    <row r="625" spans="1:16" ht="15.75" customHeight="1">
      <c r="A625" s="80"/>
      <c r="B625" s="81"/>
      <c r="C625" s="82"/>
      <c r="D625" s="81"/>
      <c r="E625" s="82"/>
      <c r="F625" s="83"/>
      <c r="G625" s="81"/>
      <c r="H625" s="82"/>
      <c r="I625" s="84"/>
      <c r="J625" s="84"/>
      <c r="K625" s="84"/>
      <c r="L625" s="83"/>
      <c r="M625" s="85"/>
      <c r="N625" s="84"/>
      <c r="O625" s="84"/>
      <c r="P625" s="84"/>
    </row>
    <row r="626" spans="1:16" ht="15.75" customHeight="1">
      <c r="A626" s="80"/>
      <c r="B626" s="81"/>
      <c r="C626" s="82"/>
      <c r="D626" s="81"/>
      <c r="E626" s="82"/>
      <c r="F626" s="83"/>
      <c r="G626" s="81"/>
      <c r="H626" s="82"/>
      <c r="I626" s="84"/>
      <c r="J626" s="84"/>
      <c r="K626" s="84"/>
      <c r="L626" s="83"/>
      <c r="M626" s="85"/>
      <c r="N626" s="84"/>
      <c r="O626" s="84"/>
      <c r="P626" s="84"/>
    </row>
    <row r="627" spans="1:16" ht="15.75" customHeight="1">
      <c r="A627" s="80"/>
      <c r="B627" s="81"/>
      <c r="C627" s="82"/>
      <c r="D627" s="81"/>
      <c r="E627" s="82"/>
      <c r="F627" s="83"/>
      <c r="G627" s="81"/>
      <c r="H627" s="82"/>
      <c r="I627" s="84"/>
      <c r="J627" s="84"/>
      <c r="K627" s="84"/>
      <c r="L627" s="83"/>
      <c r="M627" s="85"/>
      <c r="N627" s="84"/>
      <c r="O627" s="84"/>
      <c r="P627" s="84"/>
    </row>
    <row r="628" spans="1:16" ht="15.75" customHeight="1">
      <c r="A628" s="80"/>
      <c r="B628" s="81"/>
      <c r="C628" s="82"/>
      <c r="D628" s="81"/>
      <c r="E628" s="82"/>
      <c r="F628" s="83"/>
      <c r="G628" s="81"/>
      <c r="H628" s="82"/>
      <c r="I628" s="84"/>
      <c r="J628" s="84"/>
      <c r="K628" s="84"/>
      <c r="L628" s="83"/>
      <c r="M628" s="85"/>
      <c r="N628" s="84"/>
      <c r="O628" s="84"/>
      <c r="P628" s="84"/>
    </row>
    <row r="629" spans="1:16" ht="15.75" customHeight="1">
      <c r="A629" s="80"/>
      <c r="B629" s="81"/>
      <c r="C629" s="82"/>
      <c r="D629" s="81"/>
      <c r="E629" s="82"/>
      <c r="F629" s="83"/>
      <c r="G629" s="81"/>
      <c r="H629" s="82"/>
      <c r="I629" s="84"/>
      <c r="J629" s="84"/>
      <c r="K629" s="84"/>
      <c r="L629" s="83"/>
      <c r="M629" s="85"/>
      <c r="N629" s="84"/>
      <c r="O629" s="84"/>
      <c r="P629" s="84"/>
    </row>
    <row r="630" spans="1:16" ht="15.75" customHeight="1">
      <c r="A630" s="80"/>
      <c r="B630" s="81"/>
      <c r="C630" s="82"/>
      <c r="D630" s="81"/>
      <c r="E630" s="82"/>
      <c r="F630" s="83"/>
      <c r="G630" s="81"/>
      <c r="H630" s="82"/>
      <c r="I630" s="84"/>
      <c r="J630" s="84"/>
      <c r="K630" s="84"/>
      <c r="L630" s="83"/>
      <c r="M630" s="85"/>
      <c r="N630" s="84"/>
      <c r="O630" s="84"/>
      <c r="P630" s="84"/>
    </row>
    <row r="631" spans="1:16" ht="15.75" customHeight="1">
      <c r="A631" s="80"/>
      <c r="B631" s="81"/>
      <c r="C631" s="82"/>
      <c r="D631" s="81"/>
      <c r="E631" s="82"/>
      <c r="F631" s="83"/>
      <c r="G631" s="81"/>
      <c r="H631" s="82"/>
      <c r="I631" s="84"/>
      <c r="J631" s="84"/>
      <c r="K631" s="84"/>
      <c r="L631" s="83"/>
      <c r="M631" s="85"/>
      <c r="N631" s="84"/>
      <c r="O631" s="84"/>
      <c r="P631" s="84"/>
    </row>
    <row r="632" spans="1:16" ht="15.75" customHeight="1">
      <c r="A632" s="80"/>
      <c r="B632" s="81"/>
      <c r="C632" s="82"/>
      <c r="D632" s="81"/>
      <c r="E632" s="82"/>
      <c r="F632" s="83"/>
      <c r="G632" s="81"/>
      <c r="H632" s="82"/>
      <c r="I632" s="84"/>
      <c r="J632" s="84"/>
      <c r="K632" s="84"/>
      <c r="L632" s="83"/>
      <c r="M632" s="85"/>
      <c r="N632" s="84"/>
      <c r="O632" s="84"/>
      <c r="P632" s="84"/>
    </row>
    <row r="633" spans="1:16" ht="15.75" customHeight="1">
      <c r="A633" s="80"/>
      <c r="B633" s="81"/>
      <c r="C633" s="82"/>
      <c r="D633" s="81"/>
      <c r="E633" s="82"/>
      <c r="F633" s="83"/>
      <c r="G633" s="81"/>
      <c r="H633" s="82"/>
      <c r="I633" s="84"/>
      <c r="J633" s="84"/>
      <c r="K633" s="84"/>
      <c r="L633" s="83"/>
      <c r="M633" s="85"/>
      <c r="N633" s="84"/>
      <c r="O633" s="84"/>
      <c r="P633" s="84"/>
    </row>
    <row r="634" spans="1:16" ht="15.75" customHeight="1">
      <c r="A634" s="80"/>
      <c r="B634" s="81"/>
      <c r="C634" s="82"/>
      <c r="D634" s="81"/>
      <c r="E634" s="82"/>
      <c r="F634" s="83"/>
      <c r="G634" s="81"/>
      <c r="H634" s="82"/>
      <c r="I634" s="84"/>
      <c r="J634" s="84"/>
      <c r="K634" s="84"/>
      <c r="L634" s="83"/>
      <c r="M634" s="85"/>
      <c r="N634" s="84"/>
      <c r="O634" s="84"/>
      <c r="P634" s="84"/>
    </row>
    <row r="635" spans="1:16" ht="15.75" customHeight="1">
      <c r="A635" s="80"/>
      <c r="B635" s="81"/>
      <c r="C635" s="82"/>
      <c r="D635" s="81"/>
      <c r="E635" s="82"/>
      <c r="F635" s="83"/>
      <c r="G635" s="81"/>
      <c r="H635" s="82"/>
      <c r="I635" s="84"/>
      <c r="J635" s="84"/>
      <c r="K635" s="84"/>
      <c r="L635" s="83"/>
      <c r="M635" s="85"/>
      <c r="N635" s="84"/>
      <c r="O635" s="84"/>
      <c r="P635" s="84"/>
    </row>
    <row r="636" spans="1:16" ht="15.75" customHeight="1">
      <c r="A636" s="80"/>
      <c r="B636" s="81"/>
      <c r="C636" s="82"/>
      <c r="D636" s="81"/>
      <c r="E636" s="82"/>
      <c r="F636" s="83"/>
      <c r="G636" s="81"/>
      <c r="H636" s="82"/>
      <c r="I636" s="84"/>
      <c r="J636" s="84"/>
      <c r="K636" s="84"/>
      <c r="L636" s="83"/>
      <c r="M636" s="85"/>
      <c r="N636" s="84"/>
      <c r="O636" s="84"/>
      <c r="P636" s="84"/>
    </row>
    <row r="637" spans="1:16" ht="15.75" customHeight="1">
      <c r="A637" s="80"/>
      <c r="B637" s="81"/>
      <c r="C637" s="82"/>
      <c r="D637" s="81"/>
      <c r="E637" s="82"/>
      <c r="F637" s="83"/>
      <c r="G637" s="81"/>
      <c r="H637" s="82"/>
      <c r="I637" s="84"/>
      <c r="J637" s="84"/>
      <c r="K637" s="84"/>
      <c r="L637" s="83"/>
      <c r="M637" s="85"/>
      <c r="N637" s="84"/>
      <c r="O637" s="84"/>
      <c r="P637" s="84"/>
    </row>
    <row r="638" spans="1:16" ht="15.75" customHeight="1">
      <c r="A638" s="80"/>
      <c r="B638" s="81"/>
      <c r="C638" s="82"/>
      <c r="D638" s="81"/>
      <c r="E638" s="82"/>
      <c r="F638" s="83"/>
      <c r="G638" s="81"/>
      <c r="H638" s="82"/>
      <c r="I638" s="84"/>
      <c r="J638" s="84"/>
      <c r="K638" s="84"/>
      <c r="L638" s="83"/>
      <c r="M638" s="85"/>
      <c r="N638" s="84"/>
      <c r="O638" s="84"/>
      <c r="P638" s="84"/>
    </row>
    <row r="639" spans="1:16" ht="15.75" customHeight="1">
      <c r="A639" s="80"/>
      <c r="B639" s="81"/>
      <c r="C639" s="82"/>
      <c r="D639" s="81"/>
      <c r="E639" s="82"/>
      <c r="F639" s="83"/>
      <c r="G639" s="81"/>
      <c r="H639" s="82"/>
      <c r="I639" s="84"/>
      <c r="J639" s="84"/>
      <c r="K639" s="84"/>
      <c r="L639" s="83"/>
      <c r="M639" s="85"/>
      <c r="N639" s="84"/>
      <c r="O639" s="84"/>
      <c r="P639" s="84"/>
    </row>
    <row r="640" spans="1:16" ht="15.75" customHeight="1">
      <c r="A640" s="80"/>
      <c r="B640" s="81"/>
      <c r="C640" s="82"/>
      <c r="D640" s="81"/>
      <c r="E640" s="82"/>
      <c r="F640" s="83"/>
      <c r="G640" s="81"/>
      <c r="H640" s="82"/>
      <c r="I640" s="84"/>
      <c r="J640" s="84"/>
      <c r="K640" s="84"/>
      <c r="L640" s="83"/>
      <c r="M640" s="85"/>
      <c r="N640" s="84"/>
      <c r="O640" s="84"/>
      <c r="P640" s="84"/>
    </row>
    <row r="641" spans="1:16" ht="15.75" customHeight="1">
      <c r="A641" s="80"/>
      <c r="B641" s="81"/>
      <c r="C641" s="82"/>
      <c r="D641" s="81"/>
      <c r="E641" s="82"/>
      <c r="F641" s="83"/>
      <c r="G641" s="81"/>
      <c r="H641" s="82"/>
      <c r="I641" s="84"/>
      <c r="J641" s="84"/>
      <c r="K641" s="84"/>
      <c r="L641" s="83"/>
      <c r="M641" s="85"/>
      <c r="N641" s="84"/>
      <c r="O641" s="84"/>
      <c r="P641" s="84"/>
    </row>
    <row r="642" spans="1:16" ht="15.75" customHeight="1">
      <c r="A642" s="80"/>
      <c r="B642" s="81"/>
      <c r="C642" s="82"/>
      <c r="D642" s="81"/>
      <c r="E642" s="82"/>
      <c r="F642" s="83"/>
      <c r="G642" s="81"/>
      <c r="H642" s="82"/>
      <c r="I642" s="84"/>
      <c r="J642" s="84"/>
      <c r="K642" s="84"/>
      <c r="L642" s="83"/>
      <c r="M642" s="85"/>
      <c r="N642" s="84"/>
      <c r="O642" s="84"/>
      <c r="P642" s="84"/>
    </row>
    <row r="643" spans="1:16" ht="15.75" customHeight="1">
      <c r="A643" s="80"/>
      <c r="B643" s="81"/>
      <c r="C643" s="82"/>
      <c r="D643" s="81"/>
      <c r="E643" s="82"/>
      <c r="F643" s="83"/>
      <c r="G643" s="81"/>
      <c r="H643" s="82"/>
      <c r="I643" s="84"/>
      <c r="J643" s="84"/>
      <c r="K643" s="84"/>
      <c r="L643" s="83"/>
      <c r="M643" s="85"/>
      <c r="N643" s="84"/>
      <c r="O643" s="84"/>
      <c r="P643" s="84"/>
    </row>
    <row r="644" spans="1:16" ht="15.75" customHeight="1">
      <c r="A644" s="80"/>
      <c r="B644" s="81"/>
      <c r="C644" s="82"/>
      <c r="D644" s="81"/>
      <c r="E644" s="82"/>
      <c r="F644" s="83"/>
      <c r="G644" s="81"/>
      <c r="H644" s="82"/>
      <c r="I644" s="84"/>
      <c r="J644" s="84"/>
      <c r="K644" s="84"/>
      <c r="L644" s="83"/>
      <c r="M644" s="85"/>
      <c r="N644" s="84"/>
      <c r="O644" s="84"/>
      <c r="P644" s="84"/>
    </row>
    <row r="645" spans="1:16" ht="15.75" customHeight="1">
      <c r="A645" s="80"/>
      <c r="B645" s="81"/>
      <c r="C645" s="82"/>
      <c r="D645" s="81"/>
      <c r="E645" s="82"/>
      <c r="F645" s="83"/>
      <c r="G645" s="81"/>
      <c r="H645" s="82"/>
      <c r="I645" s="84"/>
      <c r="J645" s="84"/>
      <c r="K645" s="84"/>
      <c r="L645" s="83"/>
      <c r="M645" s="85"/>
      <c r="N645" s="84"/>
      <c r="O645" s="84"/>
      <c r="P645" s="84"/>
    </row>
    <row r="646" spans="1:16" ht="15.75" customHeight="1">
      <c r="A646" s="80"/>
      <c r="B646" s="81"/>
      <c r="C646" s="82"/>
      <c r="D646" s="81"/>
      <c r="E646" s="82"/>
      <c r="F646" s="83"/>
      <c r="G646" s="81"/>
      <c r="H646" s="82"/>
      <c r="I646" s="84"/>
      <c r="J646" s="84"/>
      <c r="K646" s="84"/>
      <c r="L646" s="83"/>
      <c r="M646" s="85"/>
      <c r="N646" s="84"/>
      <c r="O646" s="84"/>
      <c r="P646" s="84"/>
    </row>
    <row r="647" spans="1:16" ht="15.75" customHeight="1">
      <c r="A647" s="80"/>
      <c r="B647" s="81"/>
      <c r="C647" s="82"/>
      <c r="D647" s="81"/>
      <c r="E647" s="82"/>
      <c r="F647" s="83"/>
      <c r="G647" s="81"/>
      <c r="H647" s="82"/>
      <c r="I647" s="84"/>
      <c r="J647" s="84"/>
      <c r="K647" s="84"/>
      <c r="L647" s="83"/>
      <c r="M647" s="85"/>
      <c r="N647" s="84"/>
      <c r="O647" s="84"/>
      <c r="P647" s="84"/>
    </row>
    <row r="648" spans="1:16" ht="15.75" customHeight="1">
      <c r="A648" s="80"/>
      <c r="B648" s="81"/>
      <c r="C648" s="82"/>
      <c r="D648" s="81"/>
      <c r="E648" s="82"/>
      <c r="F648" s="83"/>
      <c r="G648" s="81"/>
      <c r="H648" s="82"/>
      <c r="I648" s="84"/>
      <c r="J648" s="84"/>
      <c r="K648" s="84"/>
      <c r="L648" s="83"/>
      <c r="M648" s="85"/>
      <c r="N648" s="84"/>
      <c r="O648" s="84"/>
      <c r="P648" s="84"/>
    </row>
    <row r="649" spans="1:16" ht="15.75" customHeight="1">
      <c r="A649" s="80"/>
      <c r="B649" s="81"/>
      <c r="C649" s="82"/>
      <c r="D649" s="81"/>
      <c r="E649" s="82"/>
      <c r="F649" s="83"/>
      <c r="G649" s="81"/>
      <c r="H649" s="82"/>
      <c r="I649" s="84"/>
      <c r="J649" s="84"/>
      <c r="K649" s="84"/>
      <c r="L649" s="83"/>
      <c r="M649" s="85"/>
      <c r="N649" s="84"/>
      <c r="O649" s="84"/>
      <c r="P649" s="84"/>
    </row>
    <row r="650" spans="1:16" ht="15.75" customHeight="1">
      <c r="A650" s="80"/>
      <c r="B650" s="81"/>
      <c r="C650" s="82"/>
      <c r="D650" s="81"/>
      <c r="E650" s="82"/>
      <c r="F650" s="83"/>
      <c r="G650" s="81"/>
      <c r="H650" s="82"/>
      <c r="I650" s="84"/>
      <c r="J650" s="84"/>
      <c r="K650" s="84"/>
      <c r="L650" s="83"/>
      <c r="M650" s="85"/>
      <c r="N650" s="84"/>
      <c r="O650" s="84"/>
      <c r="P650" s="84"/>
    </row>
    <row r="651" spans="1:16" ht="15.75" customHeight="1">
      <c r="A651" s="80"/>
      <c r="B651" s="81"/>
      <c r="C651" s="82"/>
      <c r="D651" s="81"/>
      <c r="E651" s="82"/>
      <c r="F651" s="83"/>
      <c r="G651" s="81"/>
      <c r="H651" s="82"/>
      <c r="I651" s="84"/>
      <c r="J651" s="84"/>
      <c r="K651" s="84"/>
      <c r="L651" s="83"/>
      <c r="M651" s="85"/>
      <c r="N651" s="84"/>
      <c r="O651" s="84"/>
      <c r="P651" s="84"/>
    </row>
    <row r="652" spans="1:16" ht="15.75" customHeight="1">
      <c r="A652" s="80"/>
      <c r="B652" s="81"/>
      <c r="C652" s="82"/>
      <c r="D652" s="81"/>
      <c r="E652" s="82"/>
      <c r="F652" s="83"/>
      <c r="G652" s="81"/>
      <c r="H652" s="82"/>
      <c r="I652" s="84"/>
      <c r="J652" s="84"/>
      <c r="K652" s="84"/>
      <c r="L652" s="83"/>
      <c r="M652" s="85"/>
      <c r="N652" s="84"/>
      <c r="O652" s="84"/>
      <c r="P652" s="84"/>
    </row>
    <row r="653" spans="1:16" ht="15.75" customHeight="1">
      <c r="A653" s="80"/>
      <c r="B653" s="81"/>
      <c r="C653" s="82"/>
      <c r="D653" s="81"/>
      <c r="E653" s="82"/>
      <c r="F653" s="83"/>
      <c r="G653" s="81"/>
      <c r="H653" s="82"/>
      <c r="I653" s="84"/>
      <c r="J653" s="84"/>
      <c r="K653" s="84"/>
      <c r="L653" s="83"/>
      <c r="M653" s="85"/>
      <c r="N653" s="84"/>
      <c r="O653" s="84"/>
      <c r="P653" s="84"/>
    </row>
    <row r="654" spans="1:16" ht="15.75" customHeight="1">
      <c r="A654" s="80"/>
      <c r="B654" s="81"/>
      <c r="C654" s="82"/>
      <c r="D654" s="81"/>
      <c r="E654" s="82"/>
      <c r="F654" s="83"/>
      <c r="G654" s="81"/>
      <c r="H654" s="82"/>
      <c r="I654" s="84"/>
      <c r="J654" s="84"/>
      <c r="K654" s="84"/>
      <c r="L654" s="83"/>
      <c r="M654" s="85"/>
      <c r="N654" s="84"/>
      <c r="O654" s="84"/>
      <c r="P654" s="84"/>
    </row>
    <row r="655" spans="1:16" ht="15.75" customHeight="1">
      <c r="A655" s="80"/>
      <c r="B655" s="81"/>
      <c r="C655" s="82"/>
      <c r="D655" s="81"/>
      <c r="E655" s="82"/>
      <c r="F655" s="83"/>
      <c r="G655" s="81"/>
      <c r="H655" s="82"/>
      <c r="I655" s="84"/>
      <c r="J655" s="84"/>
      <c r="K655" s="84"/>
      <c r="L655" s="83"/>
      <c r="M655" s="85"/>
      <c r="N655" s="84"/>
      <c r="O655" s="84"/>
      <c r="P655" s="84"/>
    </row>
    <row r="656" spans="1:16" ht="15.75" customHeight="1">
      <c r="A656" s="80"/>
      <c r="B656" s="81"/>
      <c r="C656" s="82"/>
      <c r="D656" s="81"/>
      <c r="E656" s="82"/>
      <c r="F656" s="83"/>
      <c r="G656" s="81"/>
      <c r="H656" s="82"/>
      <c r="I656" s="84"/>
      <c r="J656" s="84"/>
      <c r="K656" s="84"/>
      <c r="L656" s="83"/>
      <c r="M656" s="85"/>
      <c r="N656" s="84"/>
      <c r="O656" s="84"/>
      <c r="P656" s="84"/>
    </row>
    <row r="657" spans="1:16" ht="15.75" customHeight="1">
      <c r="A657" s="80"/>
      <c r="B657" s="81"/>
      <c r="C657" s="82"/>
      <c r="D657" s="81"/>
      <c r="E657" s="82"/>
      <c r="F657" s="83"/>
      <c r="G657" s="81"/>
      <c r="H657" s="82"/>
      <c r="I657" s="84"/>
      <c r="J657" s="84"/>
      <c r="K657" s="84"/>
      <c r="L657" s="83"/>
      <c r="M657" s="85"/>
      <c r="N657" s="84"/>
      <c r="O657" s="84"/>
      <c r="P657" s="84"/>
    </row>
    <row r="658" spans="1:16" ht="15.75" customHeight="1">
      <c r="A658" s="80"/>
      <c r="B658" s="81"/>
      <c r="C658" s="82"/>
      <c r="D658" s="81"/>
      <c r="E658" s="82"/>
      <c r="F658" s="83"/>
      <c r="G658" s="81"/>
      <c r="H658" s="82"/>
      <c r="I658" s="84"/>
      <c r="J658" s="84"/>
      <c r="K658" s="84"/>
      <c r="L658" s="83"/>
      <c r="M658" s="85"/>
      <c r="N658" s="84"/>
      <c r="O658" s="84"/>
      <c r="P658" s="84"/>
    </row>
    <row r="659" spans="1:16" ht="15.75" customHeight="1">
      <c r="A659" s="80"/>
      <c r="B659" s="81"/>
      <c r="C659" s="82"/>
      <c r="D659" s="81"/>
      <c r="E659" s="82"/>
      <c r="F659" s="83"/>
      <c r="G659" s="81"/>
      <c r="H659" s="82"/>
      <c r="I659" s="84"/>
      <c r="J659" s="84"/>
      <c r="K659" s="84"/>
      <c r="L659" s="83"/>
      <c r="M659" s="85"/>
      <c r="N659" s="84"/>
      <c r="O659" s="84"/>
      <c r="P659" s="84"/>
    </row>
    <row r="660" spans="1:16" ht="15.75" customHeight="1">
      <c r="A660" s="80"/>
      <c r="B660" s="81"/>
      <c r="C660" s="82"/>
      <c r="D660" s="81"/>
      <c r="E660" s="82"/>
      <c r="F660" s="83"/>
      <c r="G660" s="81"/>
      <c r="H660" s="82"/>
      <c r="I660" s="84"/>
      <c r="J660" s="84"/>
      <c r="K660" s="84"/>
      <c r="L660" s="83"/>
      <c r="M660" s="85"/>
      <c r="N660" s="84"/>
      <c r="O660" s="84"/>
      <c r="P660" s="84"/>
    </row>
    <row r="661" spans="1:16" ht="15.75" customHeight="1">
      <c r="A661" s="80"/>
      <c r="B661" s="81"/>
      <c r="C661" s="82"/>
      <c r="D661" s="81"/>
      <c r="E661" s="82"/>
      <c r="F661" s="83"/>
      <c r="G661" s="81"/>
      <c r="H661" s="82"/>
      <c r="I661" s="84"/>
      <c r="J661" s="84"/>
      <c r="K661" s="84"/>
      <c r="L661" s="83"/>
      <c r="M661" s="85"/>
      <c r="N661" s="84"/>
      <c r="O661" s="84"/>
      <c r="P661" s="84"/>
    </row>
    <row r="662" spans="1:16" ht="15.75" customHeight="1">
      <c r="A662" s="80"/>
      <c r="B662" s="81"/>
      <c r="C662" s="82"/>
      <c r="D662" s="81"/>
      <c r="E662" s="82"/>
      <c r="F662" s="83"/>
      <c r="G662" s="81"/>
      <c r="H662" s="82"/>
      <c r="I662" s="84"/>
      <c r="J662" s="84"/>
      <c r="K662" s="84"/>
      <c r="L662" s="83"/>
      <c r="M662" s="85"/>
      <c r="N662" s="84"/>
      <c r="O662" s="84"/>
      <c r="P662" s="84"/>
    </row>
    <row r="663" spans="1:16" ht="15.75" customHeight="1">
      <c r="A663" s="80"/>
      <c r="B663" s="81"/>
      <c r="C663" s="82"/>
      <c r="D663" s="81"/>
      <c r="E663" s="82"/>
      <c r="F663" s="83"/>
      <c r="G663" s="81"/>
      <c r="H663" s="82"/>
      <c r="I663" s="84"/>
      <c r="J663" s="84"/>
      <c r="K663" s="84"/>
      <c r="L663" s="83"/>
      <c r="M663" s="85"/>
      <c r="N663" s="84"/>
      <c r="O663" s="84"/>
      <c r="P663" s="84"/>
    </row>
    <row r="664" spans="1:16" ht="15.75" customHeight="1">
      <c r="A664" s="80"/>
      <c r="B664" s="81"/>
      <c r="C664" s="82"/>
      <c r="D664" s="81"/>
      <c r="E664" s="82"/>
      <c r="F664" s="83"/>
      <c r="G664" s="81"/>
      <c r="H664" s="82"/>
      <c r="I664" s="84"/>
      <c r="J664" s="84"/>
      <c r="K664" s="84"/>
      <c r="L664" s="83"/>
      <c r="M664" s="85"/>
      <c r="N664" s="84"/>
      <c r="O664" s="84"/>
      <c r="P664" s="84"/>
    </row>
    <row r="665" spans="1:16" ht="15.75" customHeight="1">
      <c r="A665" s="80"/>
      <c r="B665" s="81"/>
      <c r="C665" s="82"/>
      <c r="D665" s="81"/>
      <c r="E665" s="82"/>
      <c r="F665" s="83"/>
      <c r="G665" s="81"/>
      <c r="H665" s="82"/>
      <c r="I665" s="84"/>
      <c r="J665" s="84"/>
      <c r="K665" s="84"/>
      <c r="L665" s="83"/>
      <c r="M665" s="85"/>
      <c r="N665" s="84"/>
      <c r="O665" s="84"/>
      <c r="P665" s="84"/>
    </row>
    <row r="666" spans="1:16" ht="15.75" customHeight="1">
      <c r="A666" s="80"/>
      <c r="B666" s="81"/>
      <c r="C666" s="82"/>
      <c r="D666" s="81"/>
      <c r="E666" s="82"/>
      <c r="F666" s="83"/>
      <c r="G666" s="81"/>
      <c r="H666" s="82"/>
      <c r="I666" s="84"/>
      <c r="J666" s="84"/>
      <c r="K666" s="84"/>
      <c r="L666" s="83"/>
      <c r="M666" s="85"/>
      <c r="N666" s="84"/>
      <c r="O666" s="84"/>
      <c r="P666" s="84"/>
    </row>
    <row r="667" spans="1:16" ht="15.75" customHeight="1">
      <c r="A667" s="80"/>
      <c r="B667" s="81"/>
      <c r="C667" s="82"/>
      <c r="D667" s="81"/>
      <c r="E667" s="82"/>
      <c r="F667" s="83"/>
      <c r="G667" s="81"/>
      <c r="H667" s="82"/>
      <c r="I667" s="84"/>
      <c r="J667" s="84"/>
      <c r="K667" s="84"/>
      <c r="L667" s="83"/>
      <c r="M667" s="85"/>
      <c r="N667" s="84"/>
      <c r="O667" s="84"/>
      <c r="P667" s="84"/>
    </row>
    <row r="668" spans="1:16" ht="15.75" customHeight="1">
      <c r="A668" s="80"/>
      <c r="B668" s="81"/>
      <c r="C668" s="82"/>
      <c r="D668" s="81"/>
      <c r="E668" s="82"/>
      <c r="F668" s="83"/>
      <c r="G668" s="81"/>
      <c r="H668" s="82"/>
      <c r="I668" s="84"/>
      <c r="J668" s="84"/>
      <c r="K668" s="84"/>
      <c r="L668" s="83"/>
      <c r="M668" s="85"/>
      <c r="N668" s="84"/>
      <c r="O668" s="84"/>
      <c r="P668" s="84"/>
    </row>
    <row r="669" spans="1:16" ht="15.75" customHeight="1">
      <c r="A669" s="80"/>
      <c r="B669" s="81"/>
      <c r="C669" s="82"/>
      <c r="D669" s="81"/>
      <c r="E669" s="82"/>
      <c r="F669" s="83"/>
      <c r="G669" s="81"/>
      <c r="H669" s="82"/>
      <c r="I669" s="84"/>
      <c r="J669" s="84"/>
      <c r="K669" s="84"/>
      <c r="L669" s="83"/>
      <c r="M669" s="85"/>
      <c r="N669" s="84"/>
      <c r="O669" s="84"/>
      <c r="P669" s="84"/>
    </row>
    <row r="670" spans="1:16" ht="15.75" customHeight="1">
      <c r="A670" s="80"/>
      <c r="B670" s="81"/>
      <c r="C670" s="82"/>
      <c r="D670" s="81"/>
      <c r="E670" s="82"/>
      <c r="F670" s="83"/>
      <c r="G670" s="81"/>
      <c r="H670" s="82"/>
      <c r="I670" s="84"/>
      <c r="J670" s="84"/>
      <c r="K670" s="84"/>
      <c r="L670" s="83"/>
      <c r="M670" s="85"/>
      <c r="N670" s="84"/>
      <c r="O670" s="84"/>
      <c r="P670" s="84"/>
    </row>
    <row r="671" spans="1:16" ht="15.75" customHeight="1">
      <c r="A671" s="80"/>
      <c r="B671" s="81"/>
      <c r="C671" s="82"/>
      <c r="D671" s="81"/>
      <c r="E671" s="82"/>
      <c r="F671" s="83"/>
      <c r="G671" s="81"/>
      <c r="H671" s="82"/>
      <c r="I671" s="84"/>
      <c r="J671" s="84"/>
      <c r="K671" s="84"/>
      <c r="L671" s="83"/>
      <c r="M671" s="85"/>
      <c r="N671" s="84"/>
      <c r="O671" s="84"/>
      <c r="P671" s="84"/>
    </row>
    <row r="672" spans="1:16" ht="15.75" customHeight="1">
      <c r="A672" s="80"/>
      <c r="B672" s="81"/>
      <c r="C672" s="82"/>
      <c r="D672" s="81"/>
      <c r="E672" s="82"/>
      <c r="F672" s="83"/>
      <c r="G672" s="81"/>
      <c r="H672" s="82"/>
      <c r="I672" s="84"/>
      <c r="J672" s="84"/>
      <c r="K672" s="84"/>
      <c r="L672" s="83"/>
      <c r="M672" s="85"/>
      <c r="N672" s="84"/>
      <c r="O672" s="84"/>
      <c r="P672" s="84"/>
    </row>
    <row r="673" spans="1:16" ht="15.75" customHeight="1">
      <c r="A673" s="80"/>
      <c r="B673" s="81"/>
      <c r="C673" s="82"/>
      <c r="D673" s="81"/>
      <c r="E673" s="82"/>
      <c r="F673" s="83"/>
      <c r="G673" s="81"/>
      <c r="H673" s="82"/>
      <c r="I673" s="84"/>
      <c r="J673" s="84"/>
      <c r="K673" s="84"/>
      <c r="L673" s="83"/>
      <c r="M673" s="85"/>
      <c r="N673" s="84"/>
      <c r="O673" s="84"/>
      <c r="P673" s="84"/>
    </row>
    <row r="674" spans="1:16" ht="15.75" customHeight="1">
      <c r="A674" s="80"/>
      <c r="B674" s="81"/>
      <c r="C674" s="82"/>
      <c r="D674" s="81"/>
      <c r="E674" s="82"/>
      <c r="F674" s="83"/>
      <c r="G674" s="81"/>
      <c r="H674" s="82"/>
      <c r="I674" s="84"/>
      <c r="J674" s="84"/>
      <c r="K674" s="84"/>
      <c r="L674" s="83"/>
      <c r="M674" s="85"/>
      <c r="N674" s="84"/>
      <c r="O674" s="84"/>
      <c r="P674" s="84"/>
    </row>
    <row r="675" spans="1:16" ht="15.75" customHeight="1">
      <c r="A675" s="80"/>
      <c r="B675" s="81"/>
      <c r="C675" s="82"/>
      <c r="D675" s="81"/>
      <c r="E675" s="82"/>
      <c r="F675" s="83"/>
      <c r="G675" s="81"/>
      <c r="H675" s="82"/>
      <c r="I675" s="84"/>
      <c r="J675" s="84"/>
      <c r="K675" s="84"/>
      <c r="L675" s="83"/>
      <c r="M675" s="85"/>
      <c r="N675" s="84"/>
      <c r="O675" s="84"/>
      <c r="P675" s="84"/>
    </row>
    <row r="676" spans="1:16" ht="15.75" customHeight="1">
      <c r="A676" s="80"/>
      <c r="B676" s="81"/>
      <c r="C676" s="82"/>
      <c r="D676" s="81"/>
      <c r="E676" s="82"/>
      <c r="F676" s="83"/>
      <c r="G676" s="81"/>
      <c r="H676" s="82"/>
      <c r="I676" s="84"/>
      <c r="J676" s="84"/>
      <c r="K676" s="84"/>
      <c r="L676" s="83"/>
      <c r="M676" s="85"/>
      <c r="N676" s="84"/>
      <c r="O676" s="84"/>
      <c r="P676" s="84"/>
    </row>
    <row r="677" spans="1:16" ht="15.75" customHeight="1">
      <c r="A677" s="80"/>
      <c r="B677" s="81"/>
      <c r="C677" s="82"/>
      <c r="D677" s="81"/>
      <c r="E677" s="82"/>
      <c r="F677" s="83"/>
      <c r="G677" s="81"/>
      <c r="H677" s="82"/>
      <c r="I677" s="84"/>
      <c r="J677" s="84"/>
      <c r="K677" s="84"/>
      <c r="L677" s="83"/>
      <c r="M677" s="85"/>
      <c r="N677" s="84"/>
      <c r="O677" s="84"/>
      <c r="P677" s="84"/>
    </row>
    <row r="678" spans="1:16" ht="15.75" customHeight="1">
      <c r="A678" s="80"/>
      <c r="B678" s="81"/>
      <c r="C678" s="82"/>
      <c r="D678" s="81"/>
      <c r="E678" s="82"/>
      <c r="F678" s="83"/>
      <c r="G678" s="81"/>
      <c r="H678" s="82"/>
      <c r="I678" s="84"/>
      <c r="J678" s="84"/>
      <c r="K678" s="84"/>
      <c r="L678" s="83"/>
      <c r="M678" s="85"/>
      <c r="N678" s="84"/>
      <c r="O678" s="84"/>
      <c r="P678" s="84"/>
    </row>
    <row r="679" spans="1:16" ht="15.75" customHeight="1">
      <c r="A679" s="80"/>
      <c r="B679" s="81"/>
      <c r="C679" s="82"/>
      <c r="D679" s="81"/>
      <c r="E679" s="82"/>
      <c r="F679" s="83"/>
      <c r="G679" s="81"/>
      <c r="H679" s="82"/>
      <c r="I679" s="84"/>
      <c r="J679" s="84"/>
      <c r="K679" s="84"/>
      <c r="L679" s="83"/>
      <c r="M679" s="85"/>
      <c r="N679" s="84"/>
      <c r="O679" s="84"/>
      <c r="P679" s="84"/>
    </row>
    <row r="680" spans="1:16" ht="15.75" customHeight="1">
      <c r="A680" s="80"/>
      <c r="B680" s="81"/>
      <c r="C680" s="82"/>
      <c r="D680" s="81"/>
      <c r="E680" s="82"/>
      <c r="F680" s="83"/>
      <c r="G680" s="81"/>
      <c r="H680" s="82"/>
      <c r="I680" s="84"/>
      <c r="J680" s="84"/>
      <c r="K680" s="84"/>
      <c r="L680" s="83"/>
      <c r="M680" s="85"/>
      <c r="N680" s="84"/>
      <c r="O680" s="84"/>
      <c r="P680" s="84"/>
    </row>
    <row r="681" spans="1:16" ht="15.75" customHeight="1">
      <c r="A681" s="80"/>
      <c r="B681" s="81"/>
      <c r="C681" s="82"/>
      <c r="D681" s="81"/>
      <c r="E681" s="82"/>
      <c r="F681" s="83"/>
      <c r="G681" s="81"/>
      <c r="H681" s="82"/>
      <c r="I681" s="84"/>
      <c r="J681" s="84"/>
      <c r="K681" s="84"/>
      <c r="L681" s="83"/>
      <c r="M681" s="85"/>
      <c r="N681" s="84"/>
      <c r="O681" s="84"/>
      <c r="P681" s="84"/>
    </row>
    <row r="682" spans="1:16" ht="15.75" customHeight="1">
      <c r="A682" s="80"/>
      <c r="B682" s="81"/>
      <c r="C682" s="82"/>
      <c r="D682" s="81"/>
      <c r="E682" s="82"/>
      <c r="F682" s="83"/>
      <c r="G682" s="81"/>
      <c r="H682" s="82"/>
      <c r="I682" s="84"/>
      <c r="J682" s="84"/>
      <c r="K682" s="84"/>
      <c r="L682" s="83"/>
      <c r="M682" s="85"/>
      <c r="N682" s="84"/>
      <c r="O682" s="84"/>
      <c r="P682" s="84"/>
    </row>
    <row r="683" spans="1:16" ht="15.75" customHeight="1">
      <c r="A683" s="80"/>
      <c r="B683" s="81"/>
      <c r="C683" s="82"/>
      <c r="D683" s="81"/>
      <c r="E683" s="82"/>
      <c r="F683" s="83"/>
      <c r="G683" s="81"/>
      <c r="H683" s="82"/>
      <c r="I683" s="84"/>
      <c r="J683" s="84"/>
      <c r="K683" s="84"/>
      <c r="L683" s="83"/>
      <c r="M683" s="85"/>
      <c r="N683" s="84"/>
      <c r="O683" s="84"/>
      <c r="P683" s="84"/>
    </row>
    <row r="684" spans="1:16" ht="15.75" customHeight="1">
      <c r="A684" s="80"/>
      <c r="B684" s="81"/>
      <c r="C684" s="82"/>
      <c r="D684" s="81"/>
      <c r="E684" s="82"/>
      <c r="F684" s="83"/>
      <c r="G684" s="81"/>
      <c r="H684" s="82"/>
      <c r="I684" s="84"/>
      <c r="J684" s="84"/>
      <c r="K684" s="84"/>
      <c r="L684" s="83"/>
      <c r="M684" s="85"/>
      <c r="N684" s="84"/>
      <c r="O684" s="84"/>
      <c r="P684" s="84"/>
    </row>
    <row r="685" spans="1:16" ht="15.75" customHeight="1">
      <c r="A685" s="80"/>
      <c r="B685" s="81"/>
      <c r="C685" s="82"/>
      <c r="D685" s="81"/>
      <c r="E685" s="82"/>
      <c r="F685" s="83"/>
      <c r="G685" s="81"/>
      <c r="H685" s="82"/>
      <c r="I685" s="84"/>
      <c r="J685" s="84"/>
      <c r="K685" s="84"/>
      <c r="L685" s="83"/>
      <c r="M685" s="85"/>
      <c r="N685" s="84"/>
      <c r="O685" s="84"/>
      <c r="P685" s="84"/>
    </row>
    <row r="686" spans="1:16" ht="15.75" customHeight="1">
      <c r="A686" s="80"/>
      <c r="B686" s="81"/>
      <c r="C686" s="82"/>
      <c r="D686" s="81"/>
      <c r="E686" s="82"/>
      <c r="F686" s="83"/>
      <c r="G686" s="81"/>
      <c r="H686" s="82"/>
      <c r="I686" s="84"/>
      <c r="J686" s="84"/>
      <c r="K686" s="84"/>
      <c r="L686" s="83"/>
      <c r="M686" s="85"/>
      <c r="N686" s="84"/>
      <c r="O686" s="84"/>
      <c r="P686" s="84"/>
    </row>
    <row r="687" spans="1:16" ht="15.75" customHeight="1">
      <c r="A687" s="80"/>
      <c r="B687" s="81"/>
      <c r="C687" s="82"/>
      <c r="D687" s="81"/>
      <c r="E687" s="82"/>
      <c r="F687" s="83"/>
      <c r="G687" s="81"/>
      <c r="H687" s="82"/>
      <c r="I687" s="84"/>
      <c r="J687" s="84"/>
      <c r="K687" s="84"/>
      <c r="L687" s="83"/>
      <c r="M687" s="85"/>
      <c r="N687" s="84"/>
      <c r="O687" s="84"/>
      <c r="P687" s="84"/>
    </row>
    <row r="688" spans="1:16" ht="15.75" customHeight="1">
      <c r="A688" s="80"/>
      <c r="B688" s="81"/>
      <c r="C688" s="82"/>
      <c r="D688" s="81"/>
      <c r="E688" s="82"/>
      <c r="F688" s="83"/>
      <c r="G688" s="81"/>
      <c r="H688" s="82"/>
      <c r="I688" s="84"/>
      <c r="J688" s="84"/>
      <c r="K688" s="84"/>
      <c r="L688" s="83"/>
      <c r="M688" s="85"/>
      <c r="N688" s="84"/>
      <c r="O688" s="84"/>
      <c r="P688" s="84"/>
    </row>
    <row r="689" spans="1:16" ht="15.75" customHeight="1">
      <c r="A689" s="80"/>
      <c r="B689" s="81"/>
      <c r="C689" s="82"/>
      <c r="D689" s="81"/>
      <c r="E689" s="82"/>
      <c r="F689" s="83"/>
      <c r="G689" s="81"/>
      <c r="H689" s="82"/>
      <c r="I689" s="84"/>
      <c r="J689" s="84"/>
      <c r="K689" s="84"/>
      <c r="L689" s="83"/>
      <c r="M689" s="85"/>
      <c r="N689" s="84"/>
      <c r="O689" s="84"/>
      <c r="P689" s="84"/>
    </row>
    <row r="690" spans="1:16" ht="15.75" customHeight="1">
      <c r="A690" s="80"/>
      <c r="B690" s="81"/>
      <c r="C690" s="82"/>
      <c r="D690" s="81"/>
      <c r="E690" s="82"/>
      <c r="F690" s="83"/>
      <c r="G690" s="81"/>
      <c r="H690" s="82"/>
      <c r="I690" s="84"/>
      <c r="J690" s="84"/>
      <c r="K690" s="84"/>
      <c r="L690" s="83"/>
      <c r="M690" s="85"/>
      <c r="N690" s="84"/>
      <c r="O690" s="84"/>
      <c r="P690" s="84"/>
    </row>
    <row r="691" spans="1:16" ht="15.75" customHeight="1">
      <c r="A691" s="80"/>
      <c r="B691" s="81"/>
      <c r="C691" s="82"/>
      <c r="D691" s="81"/>
      <c r="E691" s="82"/>
      <c r="F691" s="83"/>
      <c r="G691" s="81"/>
      <c r="H691" s="82"/>
      <c r="I691" s="84"/>
      <c r="J691" s="84"/>
      <c r="K691" s="84"/>
      <c r="L691" s="83"/>
      <c r="M691" s="85"/>
      <c r="N691" s="84"/>
      <c r="O691" s="84"/>
      <c r="P691" s="84"/>
    </row>
    <row r="692" spans="1:16" ht="15.75" customHeight="1">
      <c r="A692" s="80"/>
      <c r="B692" s="81"/>
      <c r="C692" s="82"/>
      <c r="D692" s="81"/>
      <c r="E692" s="82"/>
      <c r="F692" s="83"/>
      <c r="G692" s="81"/>
      <c r="H692" s="82"/>
      <c r="I692" s="84"/>
      <c r="J692" s="84"/>
      <c r="K692" s="84"/>
      <c r="L692" s="83"/>
      <c r="M692" s="85"/>
      <c r="N692" s="84"/>
      <c r="O692" s="84"/>
      <c r="P692" s="84"/>
    </row>
    <row r="693" spans="1:16" ht="15.75" customHeight="1">
      <c r="A693" s="80"/>
      <c r="B693" s="81"/>
      <c r="C693" s="82"/>
      <c r="D693" s="81"/>
      <c r="E693" s="82"/>
      <c r="F693" s="83"/>
      <c r="G693" s="81"/>
      <c r="H693" s="82"/>
      <c r="I693" s="84"/>
      <c r="J693" s="84"/>
      <c r="K693" s="84"/>
      <c r="L693" s="83"/>
      <c r="M693" s="85"/>
      <c r="N693" s="84"/>
      <c r="O693" s="84"/>
      <c r="P693" s="84"/>
    </row>
    <row r="694" spans="1:16" ht="15.75" customHeight="1">
      <c r="A694" s="80"/>
      <c r="B694" s="81"/>
      <c r="C694" s="82"/>
      <c r="D694" s="81"/>
      <c r="E694" s="82"/>
      <c r="F694" s="83"/>
      <c r="G694" s="81"/>
      <c r="H694" s="82"/>
      <c r="I694" s="84"/>
      <c r="J694" s="84"/>
      <c r="K694" s="84"/>
      <c r="L694" s="83"/>
      <c r="M694" s="85"/>
      <c r="N694" s="84"/>
      <c r="O694" s="84"/>
      <c r="P694" s="84"/>
    </row>
    <row r="695" spans="1:16" ht="15.75" customHeight="1">
      <c r="A695" s="80"/>
      <c r="B695" s="81"/>
      <c r="C695" s="82"/>
      <c r="D695" s="81"/>
      <c r="E695" s="82"/>
      <c r="F695" s="83"/>
      <c r="G695" s="81"/>
      <c r="H695" s="82"/>
      <c r="I695" s="84"/>
      <c r="J695" s="84"/>
      <c r="K695" s="84"/>
      <c r="L695" s="83"/>
      <c r="M695" s="85"/>
      <c r="N695" s="84"/>
      <c r="O695" s="84"/>
      <c r="P695" s="84"/>
    </row>
    <row r="696" spans="1:16" ht="15.75" customHeight="1">
      <c r="A696" s="80"/>
      <c r="B696" s="81"/>
      <c r="C696" s="82"/>
      <c r="D696" s="81"/>
      <c r="E696" s="82"/>
      <c r="F696" s="83"/>
      <c r="G696" s="81"/>
      <c r="H696" s="82"/>
      <c r="I696" s="84"/>
      <c r="J696" s="84"/>
      <c r="K696" s="84"/>
      <c r="L696" s="83"/>
      <c r="M696" s="85"/>
      <c r="N696" s="84"/>
      <c r="O696" s="84"/>
      <c r="P696" s="84"/>
    </row>
    <row r="697" spans="1:16" ht="15.75" customHeight="1">
      <c r="A697" s="80"/>
      <c r="B697" s="81"/>
      <c r="C697" s="82"/>
      <c r="D697" s="81"/>
      <c r="E697" s="82"/>
      <c r="F697" s="83"/>
      <c r="G697" s="81"/>
      <c r="H697" s="82"/>
      <c r="I697" s="84"/>
      <c r="J697" s="84"/>
      <c r="K697" s="84"/>
      <c r="L697" s="83"/>
      <c r="M697" s="85"/>
      <c r="N697" s="84"/>
      <c r="O697" s="84"/>
      <c r="P697" s="84"/>
    </row>
    <row r="698" spans="1:16" ht="15.75" customHeight="1">
      <c r="A698" s="80"/>
      <c r="B698" s="81"/>
      <c r="C698" s="82"/>
      <c r="D698" s="81"/>
      <c r="E698" s="82"/>
      <c r="F698" s="83"/>
      <c r="G698" s="81"/>
      <c r="H698" s="82"/>
      <c r="I698" s="84"/>
      <c r="J698" s="84"/>
      <c r="K698" s="84"/>
      <c r="L698" s="83"/>
      <c r="M698" s="85"/>
      <c r="N698" s="84"/>
      <c r="O698" s="84"/>
      <c r="P698" s="84"/>
    </row>
    <row r="699" spans="1:16" ht="15.75" customHeight="1">
      <c r="A699" s="80"/>
      <c r="B699" s="81"/>
      <c r="C699" s="82"/>
      <c r="D699" s="81"/>
      <c r="E699" s="82"/>
      <c r="F699" s="83"/>
      <c r="G699" s="81"/>
      <c r="H699" s="82"/>
      <c r="I699" s="84"/>
      <c r="J699" s="84"/>
      <c r="K699" s="84"/>
      <c r="L699" s="83"/>
      <c r="M699" s="85"/>
      <c r="N699" s="84"/>
      <c r="O699" s="84"/>
      <c r="P699" s="84"/>
    </row>
    <row r="700" spans="1:16" ht="15.75" customHeight="1">
      <c r="A700" s="80"/>
      <c r="B700" s="81"/>
      <c r="C700" s="82"/>
      <c r="D700" s="81"/>
      <c r="E700" s="82"/>
      <c r="F700" s="83"/>
      <c r="G700" s="81"/>
      <c r="H700" s="82"/>
      <c r="I700" s="84"/>
      <c r="J700" s="84"/>
      <c r="K700" s="84"/>
      <c r="L700" s="83"/>
      <c r="M700" s="85"/>
      <c r="N700" s="84"/>
      <c r="O700" s="84"/>
      <c r="P700" s="84"/>
    </row>
    <row r="701" spans="1:16" ht="15.75" customHeight="1">
      <c r="A701" s="80"/>
      <c r="B701" s="81"/>
      <c r="C701" s="82"/>
      <c r="D701" s="81"/>
      <c r="E701" s="82"/>
      <c r="F701" s="83"/>
      <c r="G701" s="81"/>
      <c r="H701" s="82"/>
      <c r="I701" s="84"/>
      <c r="J701" s="84"/>
      <c r="K701" s="84"/>
      <c r="L701" s="83"/>
      <c r="M701" s="85"/>
      <c r="N701" s="84"/>
      <c r="O701" s="84"/>
      <c r="P701" s="84"/>
    </row>
    <row r="702" spans="1:16" ht="15.75" customHeight="1">
      <c r="A702" s="80"/>
      <c r="B702" s="81"/>
      <c r="C702" s="82"/>
      <c r="D702" s="81"/>
      <c r="E702" s="82"/>
      <c r="F702" s="83"/>
      <c r="G702" s="81"/>
      <c r="H702" s="82"/>
      <c r="I702" s="84"/>
      <c r="J702" s="84"/>
      <c r="K702" s="84"/>
      <c r="L702" s="83"/>
      <c r="M702" s="85"/>
      <c r="N702" s="84"/>
      <c r="O702" s="84"/>
      <c r="P702" s="84"/>
    </row>
    <row r="703" spans="1:16" ht="15.75" customHeight="1">
      <c r="A703" s="80"/>
      <c r="B703" s="81"/>
      <c r="C703" s="82"/>
      <c r="D703" s="81"/>
      <c r="E703" s="82"/>
      <c r="F703" s="83"/>
      <c r="G703" s="81"/>
      <c r="H703" s="82"/>
      <c r="I703" s="84"/>
      <c r="J703" s="84"/>
      <c r="K703" s="84"/>
      <c r="L703" s="83"/>
      <c r="M703" s="85"/>
      <c r="N703" s="84"/>
      <c r="O703" s="84"/>
      <c r="P703" s="84"/>
    </row>
    <row r="704" spans="1:16" ht="15.75" customHeight="1">
      <c r="A704" s="80"/>
      <c r="B704" s="81"/>
      <c r="C704" s="82"/>
      <c r="D704" s="81"/>
      <c r="E704" s="82"/>
      <c r="F704" s="83"/>
      <c r="G704" s="81"/>
      <c r="H704" s="82"/>
      <c r="I704" s="84"/>
      <c r="J704" s="84"/>
      <c r="K704" s="84"/>
      <c r="L704" s="83"/>
      <c r="M704" s="85"/>
      <c r="N704" s="84"/>
      <c r="O704" s="84"/>
      <c r="P704" s="84"/>
    </row>
    <row r="705" spans="1:16" ht="15.75" customHeight="1">
      <c r="A705" s="80"/>
      <c r="B705" s="81"/>
      <c r="C705" s="82"/>
      <c r="D705" s="81"/>
      <c r="E705" s="82"/>
      <c r="F705" s="83"/>
      <c r="G705" s="81"/>
      <c r="H705" s="82"/>
      <c r="I705" s="84"/>
      <c r="J705" s="84"/>
      <c r="K705" s="84"/>
      <c r="L705" s="83"/>
      <c r="M705" s="85"/>
      <c r="N705" s="84"/>
      <c r="O705" s="84"/>
      <c r="P705" s="84"/>
    </row>
    <row r="706" spans="1:16" ht="15.75" customHeight="1">
      <c r="A706" s="80"/>
      <c r="B706" s="81"/>
      <c r="C706" s="82"/>
      <c r="D706" s="81"/>
      <c r="E706" s="82"/>
      <c r="F706" s="83"/>
      <c r="G706" s="81"/>
      <c r="H706" s="82"/>
      <c r="I706" s="84"/>
      <c r="J706" s="84"/>
      <c r="K706" s="84"/>
      <c r="L706" s="83"/>
      <c r="M706" s="85"/>
      <c r="N706" s="84"/>
      <c r="O706" s="84"/>
      <c r="P706" s="84"/>
    </row>
    <row r="707" spans="1:16" ht="15.75" customHeight="1">
      <c r="A707" s="80"/>
      <c r="B707" s="81"/>
      <c r="C707" s="82"/>
      <c r="D707" s="81"/>
      <c r="E707" s="82"/>
      <c r="F707" s="83"/>
      <c r="G707" s="81"/>
      <c r="H707" s="82"/>
      <c r="I707" s="84"/>
      <c r="J707" s="84"/>
      <c r="K707" s="84"/>
      <c r="L707" s="83"/>
      <c r="M707" s="85"/>
      <c r="N707" s="84"/>
      <c r="O707" s="84"/>
      <c r="P707" s="84"/>
    </row>
    <row r="708" spans="1:16" ht="15.75" customHeight="1">
      <c r="A708" s="80"/>
      <c r="B708" s="81"/>
      <c r="C708" s="82"/>
      <c r="D708" s="81"/>
      <c r="E708" s="82"/>
      <c r="F708" s="83"/>
      <c r="G708" s="81"/>
      <c r="H708" s="82"/>
      <c r="I708" s="84"/>
      <c r="J708" s="84"/>
      <c r="K708" s="84"/>
      <c r="L708" s="83"/>
      <c r="M708" s="85"/>
      <c r="N708" s="84"/>
      <c r="O708" s="84"/>
      <c r="P708" s="84"/>
    </row>
    <row r="709" spans="1:16" ht="15.75" customHeight="1">
      <c r="A709" s="80"/>
      <c r="B709" s="81"/>
      <c r="C709" s="82"/>
      <c r="D709" s="81"/>
      <c r="E709" s="82"/>
      <c r="F709" s="83"/>
      <c r="G709" s="81"/>
      <c r="H709" s="82"/>
      <c r="I709" s="84"/>
      <c r="J709" s="84"/>
      <c r="K709" s="84"/>
      <c r="L709" s="83"/>
      <c r="M709" s="85"/>
      <c r="N709" s="84"/>
      <c r="O709" s="84"/>
      <c r="P709" s="84"/>
    </row>
    <row r="710" spans="1:16" ht="15.75" customHeight="1">
      <c r="A710" s="80"/>
      <c r="B710" s="81"/>
      <c r="C710" s="82"/>
      <c r="D710" s="81"/>
      <c r="E710" s="82"/>
      <c r="F710" s="83"/>
      <c r="G710" s="81"/>
      <c r="H710" s="82"/>
      <c r="I710" s="84"/>
      <c r="J710" s="84"/>
      <c r="K710" s="84"/>
      <c r="L710" s="83"/>
      <c r="M710" s="85"/>
      <c r="N710" s="84"/>
      <c r="O710" s="84"/>
      <c r="P710" s="84"/>
    </row>
    <row r="711" spans="1:16" ht="15.75" customHeight="1">
      <c r="A711" s="80"/>
      <c r="B711" s="81"/>
      <c r="C711" s="82"/>
      <c r="D711" s="81"/>
      <c r="E711" s="82"/>
      <c r="F711" s="83"/>
      <c r="G711" s="81"/>
      <c r="H711" s="82"/>
      <c r="I711" s="84"/>
      <c r="J711" s="84"/>
      <c r="K711" s="84"/>
      <c r="L711" s="83"/>
      <c r="M711" s="85"/>
      <c r="N711" s="84"/>
      <c r="O711" s="84"/>
      <c r="P711" s="84"/>
    </row>
    <row r="712" spans="1:16" ht="15.75" customHeight="1">
      <c r="A712" s="80"/>
      <c r="B712" s="81"/>
      <c r="C712" s="82"/>
      <c r="D712" s="81"/>
      <c r="E712" s="82"/>
      <c r="F712" s="83"/>
      <c r="G712" s="81"/>
      <c r="H712" s="82"/>
      <c r="I712" s="84"/>
      <c r="J712" s="84"/>
      <c r="K712" s="84"/>
      <c r="L712" s="83"/>
      <c r="M712" s="85"/>
      <c r="N712" s="84"/>
      <c r="O712" s="84"/>
      <c r="P712" s="84"/>
    </row>
    <row r="713" spans="1:16" ht="15.75" customHeight="1">
      <c r="A713" s="80"/>
      <c r="B713" s="81"/>
      <c r="C713" s="82"/>
      <c r="D713" s="81"/>
      <c r="E713" s="82"/>
      <c r="F713" s="83"/>
      <c r="G713" s="81"/>
      <c r="H713" s="82"/>
      <c r="I713" s="84"/>
      <c r="J713" s="84"/>
      <c r="K713" s="84"/>
      <c r="L713" s="83"/>
      <c r="M713" s="85"/>
      <c r="N713" s="84"/>
      <c r="O713" s="84"/>
      <c r="P713" s="84"/>
    </row>
    <row r="714" spans="1:16" ht="15.75" customHeight="1">
      <c r="A714" s="80"/>
      <c r="B714" s="81"/>
      <c r="C714" s="82"/>
      <c r="D714" s="81"/>
      <c r="E714" s="82"/>
      <c r="F714" s="83"/>
      <c r="G714" s="81"/>
      <c r="H714" s="82"/>
      <c r="I714" s="84"/>
      <c r="J714" s="84"/>
      <c r="K714" s="84"/>
      <c r="L714" s="83"/>
      <c r="M714" s="85"/>
      <c r="N714" s="84"/>
      <c r="O714" s="84"/>
      <c r="P714" s="84"/>
    </row>
    <row r="715" spans="1:16" ht="15.75" customHeight="1">
      <c r="A715" s="80"/>
      <c r="B715" s="81"/>
      <c r="C715" s="82"/>
      <c r="D715" s="81"/>
      <c r="E715" s="82"/>
      <c r="F715" s="83"/>
      <c r="G715" s="81"/>
      <c r="H715" s="82"/>
      <c r="I715" s="84"/>
      <c r="J715" s="84"/>
      <c r="K715" s="84"/>
      <c r="L715" s="83"/>
      <c r="M715" s="85"/>
      <c r="N715" s="84"/>
      <c r="O715" s="84"/>
      <c r="P715" s="84"/>
    </row>
    <row r="716" spans="1:16" ht="15.75" customHeight="1">
      <c r="A716" s="80"/>
      <c r="B716" s="81"/>
      <c r="C716" s="82"/>
      <c r="D716" s="81"/>
      <c r="E716" s="82"/>
      <c r="F716" s="83"/>
      <c r="G716" s="81"/>
      <c r="H716" s="82"/>
      <c r="I716" s="84"/>
      <c r="J716" s="84"/>
      <c r="K716" s="84"/>
      <c r="L716" s="83"/>
      <c r="M716" s="85"/>
      <c r="N716" s="84"/>
      <c r="O716" s="84"/>
      <c r="P716" s="84"/>
    </row>
    <row r="717" spans="1:16" ht="15.75" customHeight="1">
      <c r="A717" s="80"/>
      <c r="B717" s="81"/>
      <c r="C717" s="82"/>
      <c r="D717" s="81"/>
      <c r="E717" s="82"/>
      <c r="F717" s="83"/>
      <c r="G717" s="81"/>
      <c r="H717" s="82"/>
      <c r="I717" s="84"/>
      <c r="J717" s="84"/>
      <c r="K717" s="84"/>
      <c r="L717" s="83"/>
      <c r="M717" s="85"/>
      <c r="N717" s="84"/>
      <c r="O717" s="84"/>
      <c r="P717" s="84"/>
    </row>
    <row r="718" spans="1:16" ht="15.75" customHeight="1">
      <c r="A718" s="80"/>
      <c r="B718" s="81"/>
      <c r="C718" s="82"/>
      <c r="D718" s="81"/>
      <c r="E718" s="82"/>
      <c r="F718" s="83"/>
      <c r="G718" s="81"/>
      <c r="H718" s="82"/>
      <c r="I718" s="84"/>
      <c r="J718" s="84"/>
      <c r="K718" s="84"/>
      <c r="L718" s="83"/>
      <c r="M718" s="85"/>
      <c r="N718" s="84"/>
      <c r="O718" s="84"/>
      <c r="P718" s="84"/>
    </row>
    <row r="719" spans="1:16" ht="15.75" customHeight="1">
      <c r="A719" s="80"/>
      <c r="B719" s="81"/>
      <c r="C719" s="82"/>
      <c r="D719" s="81"/>
      <c r="E719" s="82"/>
      <c r="F719" s="83"/>
      <c r="G719" s="81"/>
      <c r="H719" s="82"/>
      <c r="I719" s="84"/>
      <c r="J719" s="84"/>
      <c r="K719" s="84"/>
      <c r="L719" s="83"/>
      <c r="M719" s="85"/>
      <c r="N719" s="84"/>
      <c r="O719" s="84"/>
      <c r="P719" s="84"/>
    </row>
    <row r="720" spans="1:16" ht="15.75" customHeight="1">
      <c r="A720" s="80"/>
      <c r="B720" s="81"/>
      <c r="C720" s="82"/>
      <c r="D720" s="81"/>
      <c r="E720" s="82"/>
      <c r="F720" s="83"/>
      <c r="G720" s="81"/>
      <c r="H720" s="82"/>
      <c r="I720" s="84"/>
      <c r="J720" s="84"/>
      <c r="K720" s="84"/>
      <c r="L720" s="83"/>
      <c r="M720" s="85"/>
      <c r="N720" s="84"/>
      <c r="O720" s="84"/>
      <c r="P720" s="84"/>
    </row>
    <row r="721" spans="1:16" ht="15.75" customHeight="1">
      <c r="A721" s="80"/>
      <c r="B721" s="81"/>
      <c r="C721" s="82"/>
      <c r="D721" s="81"/>
      <c r="E721" s="82"/>
      <c r="F721" s="83"/>
      <c r="G721" s="81"/>
      <c r="H721" s="82"/>
      <c r="I721" s="84"/>
      <c r="J721" s="84"/>
      <c r="K721" s="84"/>
      <c r="L721" s="83"/>
      <c r="M721" s="85"/>
      <c r="N721" s="84"/>
      <c r="O721" s="84"/>
      <c r="P721" s="84"/>
    </row>
    <row r="722" spans="1:16" ht="15.75" customHeight="1">
      <c r="A722" s="80"/>
      <c r="B722" s="81"/>
      <c r="C722" s="82"/>
      <c r="D722" s="81"/>
      <c r="E722" s="82"/>
      <c r="F722" s="83"/>
      <c r="G722" s="81"/>
      <c r="H722" s="82"/>
      <c r="I722" s="84"/>
      <c r="J722" s="84"/>
      <c r="K722" s="84"/>
      <c r="L722" s="83"/>
      <c r="M722" s="85"/>
      <c r="N722" s="84"/>
      <c r="O722" s="84"/>
      <c r="P722" s="84"/>
    </row>
    <row r="723" spans="1:16" ht="15.75" customHeight="1">
      <c r="A723" s="80"/>
      <c r="B723" s="81"/>
      <c r="C723" s="82"/>
      <c r="D723" s="81"/>
      <c r="E723" s="82"/>
      <c r="F723" s="83"/>
      <c r="G723" s="81"/>
      <c r="H723" s="82"/>
      <c r="I723" s="84"/>
      <c r="J723" s="84"/>
      <c r="K723" s="84"/>
      <c r="L723" s="83"/>
      <c r="M723" s="85"/>
      <c r="N723" s="84"/>
      <c r="O723" s="84"/>
      <c r="P723" s="84"/>
    </row>
    <row r="724" spans="1:16" ht="15.75" customHeight="1">
      <c r="A724" s="80"/>
      <c r="B724" s="81"/>
      <c r="C724" s="82"/>
      <c r="D724" s="81"/>
      <c r="E724" s="82"/>
      <c r="F724" s="83"/>
      <c r="G724" s="81"/>
      <c r="H724" s="82"/>
      <c r="I724" s="84"/>
      <c r="J724" s="84"/>
      <c r="K724" s="84"/>
      <c r="L724" s="83"/>
      <c r="M724" s="85"/>
      <c r="N724" s="84"/>
      <c r="O724" s="84"/>
      <c r="P724" s="84"/>
    </row>
    <row r="725" spans="1:16" ht="15.75" customHeight="1">
      <c r="A725" s="80"/>
      <c r="B725" s="81"/>
      <c r="C725" s="82"/>
      <c r="D725" s="81"/>
      <c r="E725" s="82"/>
      <c r="F725" s="83"/>
      <c r="G725" s="81"/>
      <c r="H725" s="82"/>
      <c r="I725" s="84"/>
      <c r="J725" s="84"/>
      <c r="K725" s="84"/>
      <c r="L725" s="83"/>
      <c r="M725" s="85"/>
      <c r="N725" s="84"/>
      <c r="O725" s="84"/>
      <c r="P725" s="84"/>
    </row>
    <row r="726" spans="1:16" ht="15.75" customHeight="1">
      <c r="A726" s="80"/>
      <c r="B726" s="81"/>
      <c r="C726" s="82"/>
      <c r="D726" s="81"/>
      <c r="E726" s="82"/>
      <c r="F726" s="83"/>
      <c r="G726" s="81"/>
      <c r="H726" s="82"/>
      <c r="I726" s="84"/>
      <c r="J726" s="84"/>
      <c r="K726" s="84"/>
      <c r="L726" s="83"/>
      <c r="M726" s="85"/>
      <c r="N726" s="84"/>
      <c r="O726" s="84"/>
      <c r="P726" s="84"/>
    </row>
    <row r="727" spans="1:16" ht="15.75" customHeight="1">
      <c r="A727" s="80"/>
      <c r="B727" s="81"/>
      <c r="C727" s="82"/>
      <c r="D727" s="81"/>
      <c r="E727" s="82"/>
      <c r="F727" s="83"/>
      <c r="G727" s="81"/>
      <c r="H727" s="82"/>
      <c r="I727" s="84"/>
      <c r="J727" s="84"/>
      <c r="K727" s="84"/>
      <c r="L727" s="83"/>
      <c r="M727" s="85"/>
      <c r="N727" s="84"/>
      <c r="O727" s="84"/>
      <c r="P727" s="84"/>
    </row>
    <row r="728" spans="1:16" ht="15.75" customHeight="1">
      <c r="A728" s="80"/>
      <c r="B728" s="81"/>
      <c r="C728" s="82"/>
      <c r="D728" s="81"/>
      <c r="E728" s="82"/>
      <c r="F728" s="83"/>
      <c r="G728" s="81"/>
      <c r="H728" s="82"/>
      <c r="I728" s="84"/>
      <c r="J728" s="84"/>
      <c r="K728" s="84"/>
      <c r="L728" s="83"/>
      <c r="M728" s="85"/>
      <c r="N728" s="84"/>
      <c r="O728" s="84"/>
      <c r="P728" s="84"/>
    </row>
    <row r="729" spans="1:16" ht="15.75" customHeight="1">
      <c r="A729" s="80"/>
      <c r="B729" s="81"/>
      <c r="C729" s="82"/>
      <c r="D729" s="81"/>
      <c r="E729" s="82"/>
      <c r="F729" s="83"/>
      <c r="G729" s="81"/>
      <c r="H729" s="82"/>
      <c r="I729" s="84"/>
      <c r="J729" s="84"/>
      <c r="K729" s="84"/>
      <c r="L729" s="83"/>
      <c r="M729" s="85"/>
      <c r="N729" s="84"/>
      <c r="O729" s="84"/>
      <c r="P729" s="84"/>
    </row>
    <row r="730" spans="1:16" ht="15.75" customHeight="1">
      <c r="A730" s="80"/>
      <c r="B730" s="81"/>
      <c r="C730" s="82"/>
      <c r="D730" s="81"/>
      <c r="E730" s="82"/>
      <c r="F730" s="83"/>
      <c r="G730" s="81"/>
      <c r="H730" s="82"/>
      <c r="I730" s="84"/>
      <c r="J730" s="84"/>
      <c r="K730" s="84"/>
      <c r="L730" s="83"/>
      <c r="M730" s="85"/>
      <c r="N730" s="84"/>
      <c r="O730" s="84"/>
      <c r="P730" s="84"/>
    </row>
    <row r="731" spans="1:16" ht="15.75" customHeight="1">
      <c r="A731" s="80"/>
      <c r="B731" s="81"/>
      <c r="C731" s="82"/>
      <c r="D731" s="81"/>
      <c r="E731" s="82"/>
      <c r="F731" s="83"/>
      <c r="G731" s="81"/>
      <c r="H731" s="82"/>
      <c r="I731" s="84"/>
      <c r="J731" s="84"/>
      <c r="K731" s="84"/>
      <c r="L731" s="83"/>
      <c r="M731" s="85"/>
      <c r="N731" s="84"/>
      <c r="O731" s="84"/>
      <c r="P731" s="84"/>
    </row>
    <row r="732" spans="1:16" ht="15.75" customHeight="1">
      <c r="A732" s="80"/>
      <c r="B732" s="81"/>
      <c r="C732" s="82"/>
      <c r="D732" s="81"/>
      <c r="E732" s="82"/>
      <c r="F732" s="83"/>
      <c r="G732" s="81"/>
      <c r="H732" s="82"/>
      <c r="I732" s="84"/>
      <c r="J732" s="84"/>
      <c r="K732" s="84"/>
      <c r="L732" s="83"/>
      <c r="M732" s="85"/>
      <c r="N732" s="84"/>
      <c r="O732" s="84"/>
      <c r="P732" s="84"/>
    </row>
    <row r="733" spans="1:16" ht="15.75" customHeight="1">
      <c r="A733" s="80"/>
      <c r="B733" s="81"/>
      <c r="C733" s="82"/>
      <c r="D733" s="81"/>
      <c r="E733" s="82"/>
      <c r="F733" s="83"/>
      <c r="G733" s="81"/>
      <c r="H733" s="82"/>
      <c r="I733" s="84"/>
      <c r="J733" s="84"/>
      <c r="K733" s="84"/>
      <c r="L733" s="83"/>
      <c r="M733" s="85"/>
      <c r="N733" s="84"/>
      <c r="O733" s="84"/>
      <c r="P733" s="84"/>
    </row>
    <row r="734" spans="1:16" ht="15.75" customHeight="1">
      <c r="A734" s="80"/>
      <c r="B734" s="81"/>
      <c r="C734" s="82"/>
      <c r="D734" s="81"/>
      <c r="E734" s="82"/>
      <c r="F734" s="83"/>
      <c r="G734" s="81"/>
      <c r="H734" s="82"/>
      <c r="I734" s="84"/>
      <c r="J734" s="84"/>
      <c r="K734" s="84"/>
      <c r="L734" s="83"/>
      <c r="M734" s="85"/>
      <c r="N734" s="84"/>
      <c r="O734" s="84"/>
      <c r="P734" s="84"/>
    </row>
    <row r="735" spans="1:16" ht="15.75" customHeight="1">
      <c r="A735" s="80"/>
      <c r="B735" s="81"/>
      <c r="C735" s="82"/>
      <c r="D735" s="81"/>
      <c r="E735" s="82"/>
      <c r="F735" s="83"/>
      <c r="G735" s="81"/>
      <c r="H735" s="82"/>
      <c r="I735" s="84"/>
      <c r="J735" s="84"/>
      <c r="K735" s="84"/>
      <c r="L735" s="83"/>
      <c r="M735" s="85"/>
      <c r="N735" s="84"/>
      <c r="O735" s="84"/>
      <c r="P735" s="84"/>
    </row>
    <row r="736" spans="1:16" ht="15.75" customHeight="1">
      <c r="A736" s="80"/>
      <c r="B736" s="81"/>
      <c r="C736" s="82"/>
      <c r="D736" s="81"/>
      <c r="E736" s="82"/>
      <c r="F736" s="83"/>
      <c r="G736" s="81"/>
      <c r="H736" s="82"/>
      <c r="I736" s="84"/>
      <c r="J736" s="84"/>
      <c r="K736" s="84"/>
      <c r="L736" s="83"/>
      <c r="M736" s="85"/>
      <c r="N736" s="84"/>
      <c r="O736" s="84"/>
      <c r="P736" s="84"/>
    </row>
    <row r="737" spans="1:16" ht="15.75" customHeight="1">
      <c r="A737" s="80"/>
      <c r="B737" s="81"/>
      <c r="C737" s="82"/>
      <c r="D737" s="81"/>
      <c r="E737" s="82"/>
      <c r="F737" s="83"/>
      <c r="G737" s="81"/>
      <c r="H737" s="82"/>
      <c r="I737" s="84"/>
      <c r="J737" s="84"/>
      <c r="K737" s="84"/>
      <c r="L737" s="83"/>
      <c r="M737" s="85"/>
      <c r="N737" s="84"/>
      <c r="O737" s="84"/>
      <c r="P737" s="84"/>
    </row>
    <row r="738" spans="1:16" ht="15.75" customHeight="1">
      <c r="A738" s="80"/>
      <c r="B738" s="81"/>
      <c r="C738" s="82"/>
      <c r="D738" s="81"/>
      <c r="E738" s="82"/>
      <c r="F738" s="83"/>
      <c r="G738" s="81"/>
      <c r="H738" s="82"/>
      <c r="I738" s="84"/>
      <c r="J738" s="84"/>
      <c r="K738" s="84"/>
      <c r="L738" s="83"/>
      <c r="M738" s="85"/>
      <c r="N738" s="84"/>
      <c r="O738" s="84"/>
      <c r="P738" s="84"/>
    </row>
    <row r="739" spans="1:16" ht="15.75" customHeight="1">
      <c r="A739" s="80"/>
      <c r="B739" s="81"/>
      <c r="C739" s="82"/>
      <c r="D739" s="81"/>
      <c r="E739" s="82"/>
      <c r="F739" s="83"/>
      <c r="G739" s="81"/>
      <c r="H739" s="82"/>
      <c r="I739" s="84"/>
      <c r="J739" s="84"/>
      <c r="K739" s="84"/>
      <c r="L739" s="83"/>
      <c r="M739" s="85"/>
      <c r="N739" s="84"/>
      <c r="O739" s="84"/>
      <c r="P739" s="84"/>
    </row>
    <row r="740" spans="1:16" ht="15.75" customHeight="1">
      <c r="A740" s="80"/>
      <c r="B740" s="81"/>
      <c r="C740" s="82"/>
      <c r="D740" s="81"/>
      <c r="E740" s="82"/>
      <c r="F740" s="83"/>
      <c r="G740" s="81"/>
      <c r="H740" s="82"/>
      <c r="I740" s="84"/>
      <c r="J740" s="84"/>
      <c r="K740" s="84"/>
      <c r="L740" s="83"/>
      <c r="M740" s="85"/>
      <c r="N740" s="84"/>
      <c r="O740" s="84"/>
      <c r="P740" s="84"/>
    </row>
    <row r="741" spans="1:16" ht="15.75" customHeight="1">
      <c r="A741" s="80"/>
      <c r="B741" s="81"/>
      <c r="C741" s="82"/>
      <c r="D741" s="81"/>
      <c r="E741" s="82"/>
      <c r="F741" s="83"/>
      <c r="G741" s="81"/>
      <c r="H741" s="82"/>
      <c r="I741" s="84"/>
      <c r="J741" s="84"/>
      <c r="K741" s="84"/>
      <c r="L741" s="83"/>
      <c r="M741" s="85"/>
      <c r="N741" s="84"/>
      <c r="O741" s="84"/>
      <c r="P741" s="84"/>
    </row>
    <row r="742" spans="1:16" ht="15.75" customHeight="1">
      <c r="A742" s="80"/>
      <c r="B742" s="81"/>
      <c r="C742" s="82"/>
      <c r="D742" s="81"/>
      <c r="E742" s="82"/>
      <c r="F742" s="83"/>
      <c r="G742" s="81"/>
      <c r="H742" s="82"/>
      <c r="I742" s="84"/>
      <c r="J742" s="84"/>
      <c r="K742" s="84"/>
      <c r="L742" s="83"/>
      <c r="M742" s="85"/>
      <c r="N742" s="84"/>
      <c r="O742" s="84"/>
      <c r="P742" s="84"/>
    </row>
    <row r="743" spans="1:16" ht="15.75" customHeight="1">
      <c r="A743" s="80"/>
      <c r="B743" s="81"/>
      <c r="C743" s="82"/>
      <c r="D743" s="81"/>
      <c r="E743" s="82"/>
      <c r="F743" s="83"/>
      <c r="G743" s="81"/>
      <c r="H743" s="82"/>
      <c r="I743" s="84"/>
      <c r="J743" s="84"/>
      <c r="K743" s="84"/>
      <c r="L743" s="83"/>
      <c r="M743" s="85"/>
      <c r="N743" s="84"/>
      <c r="O743" s="84"/>
      <c r="P743" s="84"/>
    </row>
    <row r="744" spans="1:16" ht="15.75" customHeight="1">
      <c r="A744" s="80"/>
      <c r="B744" s="81"/>
      <c r="C744" s="82"/>
      <c r="D744" s="81"/>
      <c r="E744" s="82"/>
      <c r="F744" s="83"/>
      <c r="G744" s="81"/>
      <c r="H744" s="82"/>
      <c r="I744" s="84"/>
      <c r="J744" s="84"/>
      <c r="K744" s="84"/>
      <c r="L744" s="83"/>
      <c r="M744" s="85"/>
      <c r="N744" s="84"/>
      <c r="O744" s="84"/>
      <c r="P744" s="84"/>
    </row>
    <row r="745" spans="1:16" ht="15.75" customHeight="1">
      <c r="A745" s="80"/>
      <c r="B745" s="81"/>
      <c r="C745" s="82"/>
      <c r="D745" s="81"/>
      <c r="E745" s="82"/>
      <c r="F745" s="83"/>
      <c r="G745" s="81"/>
      <c r="H745" s="82"/>
      <c r="I745" s="84"/>
      <c r="J745" s="84"/>
      <c r="K745" s="84"/>
      <c r="L745" s="83"/>
      <c r="M745" s="85"/>
      <c r="N745" s="84"/>
      <c r="O745" s="84"/>
      <c r="P745" s="84"/>
    </row>
    <row r="746" spans="1:16" ht="15.75" customHeight="1">
      <c r="A746" s="80"/>
      <c r="B746" s="81"/>
      <c r="C746" s="82"/>
      <c r="D746" s="81"/>
      <c r="E746" s="82"/>
      <c r="F746" s="83"/>
      <c r="G746" s="81"/>
      <c r="H746" s="82"/>
      <c r="I746" s="84"/>
      <c r="J746" s="84"/>
      <c r="K746" s="84"/>
      <c r="L746" s="83"/>
      <c r="M746" s="85"/>
      <c r="N746" s="84"/>
      <c r="O746" s="84"/>
      <c r="P746" s="84"/>
    </row>
    <row r="747" spans="1:16" ht="15.75" customHeight="1">
      <c r="A747" s="80"/>
      <c r="B747" s="81"/>
      <c r="C747" s="82"/>
      <c r="D747" s="81"/>
      <c r="E747" s="82"/>
      <c r="F747" s="83"/>
      <c r="G747" s="81"/>
      <c r="H747" s="82"/>
      <c r="I747" s="84"/>
      <c r="J747" s="84"/>
      <c r="K747" s="84"/>
      <c r="L747" s="83"/>
      <c r="M747" s="85"/>
      <c r="N747" s="84"/>
      <c r="O747" s="84"/>
      <c r="P747" s="84"/>
    </row>
    <row r="748" spans="1:16" ht="15.75" customHeight="1">
      <c r="A748" s="80"/>
      <c r="B748" s="81"/>
      <c r="C748" s="82"/>
      <c r="D748" s="81"/>
      <c r="E748" s="82"/>
      <c r="F748" s="83"/>
      <c r="G748" s="81"/>
      <c r="H748" s="82"/>
      <c r="I748" s="84"/>
      <c r="J748" s="84"/>
      <c r="K748" s="84"/>
      <c r="L748" s="83"/>
      <c r="M748" s="85"/>
      <c r="N748" s="84"/>
      <c r="O748" s="84"/>
      <c r="P748" s="84"/>
    </row>
    <row r="749" spans="1:16" ht="15.75" customHeight="1">
      <c r="A749" s="80"/>
      <c r="B749" s="81"/>
      <c r="C749" s="82"/>
      <c r="D749" s="81"/>
      <c r="E749" s="82"/>
      <c r="F749" s="83"/>
      <c r="G749" s="81"/>
      <c r="H749" s="82"/>
      <c r="I749" s="84"/>
      <c r="J749" s="84"/>
      <c r="K749" s="84"/>
      <c r="L749" s="83"/>
      <c r="M749" s="85"/>
      <c r="N749" s="84"/>
      <c r="O749" s="84"/>
      <c r="P749" s="84"/>
    </row>
    <row r="750" spans="1:16" ht="15.75" customHeight="1">
      <c r="A750" s="80"/>
      <c r="B750" s="81"/>
      <c r="C750" s="82"/>
      <c r="D750" s="81"/>
      <c r="E750" s="82"/>
      <c r="F750" s="83"/>
      <c r="G750" s="81"/>
      <c r="H750" s="82"/>
      <c r="I750" s="84"/>
      <c r="J750" s="84"/>
      <c r="K750" s="84"/>
      <c r="L750" s="83"/>
      <c r="M750" s="85"/>
      <c r="N750" s="84"/>
      <c r="O750" s="84"/>
      <c r="P750" s="84"/>
    </row>
    <row r="751" spans="1:16" ht="15.75" customHeight="1">
      <c r="A751" s="80"/>
      <c r="B751" s="81"/>
      <c r="C751" s="82"/>
      <c r="D751" s="81"/>
      <c r="E751" s="82"/>
      <c r="F751" s="83"/>
      <c r="G751" s="81"/>
      <c r="H751" s="82"/>
      <c r="I751" s="84"/>
      <c r="J751" s="84"/>
      <c r="K751" s="84"/>
      <c r="L751" s="83"/>
      <c r="M751" s="85"/>
      <c r="N751" s="84"/>
      <c r="O751" s="84"/>
      <c r="P751" s="84"/>
    </row>
    <row r="752" spans="1:16" ht="15.75" customHeight="1">
      <c r="A752" s="80"/>
      <c r="B752" s="81"/>
      <c r="C752" s="82"/>
      <c r="D752" s="81"/>
      <c r="E752" s="82"/>
      <c r="F752" s="83"/>
      <c r="G752" s="81"/>
      <c r="H752" s="82"/>
      <c r="I752" s="84"/>
      <c r="J752" s="84"/>
      <c r="K752" s="84"/>
      <c r="L752" s="83"/>
      <c r="M752" s="85"/>
      <c r="N752" s="84"/>
      <c r="O752" s="84"/>
      <c r="P752" s="84"/>
    </row>
    <row r="753" spans="1:16" ht="15.75" customHeight="1">
      <c r="A753" s="80"/>
      <c r="B753" s="81"/>
      <c r="C753" s="82"/>
      <c r="D753" s="81"/>
      <c r="E753" s="82"/>
      <c r="F753" s="83"/>
      <c r="G753" s="81"/>
      <c r="H753" s="82"/>
      <c r="I753" s="84"/>
      <c r="J753" s="84"/>
      <c r="K753" s="84"/>
      <c r="L753" s="83"/>
      <c r="M753" s="85"/>
      <c r="N753" s="84"/>
      <c r="O753" s="84"/>
      <c r="P753" s="84"/>
    </row>
    <row r="754" spans="1:16" ht="15.75" customHeight="1">
      <c r="A754" s="80"/>
      <c r="B754" s="81"/>
      <c r="C754" s="82"/>
      <c r="D754" s="81"/>
      <c r="E754" s="82"/>
      <c r="F754" s="83"/>
      <c r="G754" s="81"/>
      <c r="H754" s="82"/>
      <c r="I754" s="84"/>
      <c r="J754" s="84"/>
      <c r="K754" s="84"/>
      <c r="L754" s="83"/>
      <c r="M754" s="85"/>
      <c r="N754" s="84"/>
      <c r="O754" s="84"/>
      <c r="P754" s="84"/>
    </row>
    <row r="755" spans="1:16" ht="15.75" customHeight="1">
      <c r="A755" s="80"/>
      <c r="B755" s="81"/>
      <c r="C755" s="82"/>
      <c r="D755" s="81"/>
      <c r="E755" s="82"/>
      <c r="F755" s="83"/>
      <c r="G755" s="81"/>
      <c r="H755" s="82"/>
      <c r="I755" s="84"/>
      <c r="J755" s="84"/>
      <c r="K755" s="84"/>
      <c r="L755" s="83"/>
      <c r="M755" s="85"/>
      <c r="N755" s="84"/>
      <c r="O755" s="84"/>
      <c r="P755" s="84"/>
    </row>
    <row r="756" spans="1:16" ht="15.75" customHeight="1">
      <c r="A756" s="80"/>
      <c r="B756" s="81"/>
      <c r="C756" s="82"/>
      <c r="D756" s="81"/>
      <c r="E756" s="82"/>
      <c r="F756" s="83"/>
      <c r="G756" s="81"/>
      <c r="H756" s="82"/>
      <c r="I756" s="84"/>
      <c r="J756" s="84"/>
      <c r="K756" s="84"/>
      <c r="L756" s="83"/>
      <c r="M756" s="85"/>
      <c r="N756" s="84"/>
      <c r="O756" s="84"/>
      <c r="P756" s="84"/>
    </row>
    <row r="757" spans="1:16" ht="15.75" customHeight="1">
      <c r="A757" s="80"/>
      <c r="B757" s="81"/>
      <c r="C757" s="82"/>
      <c r="D757" s="81"/>
      <c r="E757" s="82"/>
      <c r="F757" s="83"/>
      <c r="G757" s="81"/>
      <c r="H757" s="82"/>
      <c r="I757" s="84"/>
      <c r="J757" s="84"/>
      <c r="K757" s="84"/>
      <c r="L757" s="83"/>
      <c r="M757" s="85"/>
      <c r="N757" s="84"/>
      <c r="O757" s="84"/>
      <c r="P757" s="84"/>
    </row>
    <row r="758" spans="1:16" ht="15.75" customHeight="1">
      <c r="A758" s="80"/>
      <c r="B758" s="81"/>
      <c r="C758" s="82"/>
      <c r="D758" s="81"/>
      <c r="E758" s="82"/>
      <c r="F758" s="83"/>
      <c r="G758" s="81"/>
      <c r="H758" s="82"/>
      <c r="I758" s="84"/>
      <c r="J758" s="84"/>
      <c r="K758" s="84"/>
      <c r="L758" s="83"/>
      <c r="M758" s="85"/>
      <c r="N758" s="84"/>
      <c r="O758" s="84"/>
      <c r="P758" s="84"/>
    </row>
    <row r="759" spans="1:16" ht="15.75" customHeight="1">
      <c r="A759" s="80"/>
      <c r="B759" s="81"/>
      <c r="C759" s="82"/>
      <c r="D759" s="81"/>
      <c r="E759" s="82"/>
      <c r="F759" s="83"/>
      <c r="G759" s="81"/>
      <c r="H759" s="82"/>
      <c r="I759" s="84"/>
      <c r="J759" s="84"/>
      <c r="K759" s="84"/>
      <c r="L759" s="83"/>
      <c r="M759" s="85"/>
      <c r="N759" s="84"/>
      <c r="O759" s="84"/>
      <c r="P759" s="84"/>
    </row>
    <row r="760" spans="1:16" ht="15.75" customHeight="1">
      <c r="A760" s="80"/>
      <c r="B760" s="81"/>
      <c r="C760" s="82"/>
      <c r="D760" s="81"/>
      <c r="E760" s="82"/>
      <c r="F760" s="83"/>
      <c r="G760" s="81"/>
      <c r="H760" s="82"/>
      <c r="I760" s="84"/>
      <c r="J760" s="84"/>
      <c r="K760" s="84"/>
      <c r="L760" s="83"/>
      <c r="M760" s="85"/>
      <c r="N760" s="84"/>
      <c r="O760" s="84"/>
      <c r="P760" s="84"/>
    </row>
    <row r="761" spans="1:16" ht="15.75" customHeight="1">
      <c r="A761" s="80"/>
      <c r="B761" s="81"/>
      <c r="C761" s="82"/>
      <c r="D761" s="81"/>
      <c r="E761" s="82"/>
      <c r="F761" s="83"/>
      <c r="G761" s="81"/>
      <c r="H761" s="82"/>
      <c r="I761" s="84"/>
      <c r="J761" s="84"/>
      <c r="K761" s="84"/>
      <c r="L761" s="83"/>
      <c r="M761" s="85"/>
      <c r="N761" s="84"/>
      <c r="O761" s="84"/>
      <c r="P761" s="84"/>
    </row>
    <row r="762" spans="1:16" ht="15.75" customHeight="1">
      <c r="A762" s="80"/>
      <c r="B762" s="81"/>
      <c r="C762" s="82"/>
      <c r="D762" s="81"/>
      <c r="E762" s="82"/>
      <c r="F762" s="83"/>
      <c r="G762" s="81"/>
      <c r="H762" s="82"/>
      <c r="I762" s="84"/>
      <c r="J762" s="84"/>
      <c r="K762" s="84"/>
      <c r="L762" s="83"/>
      <c r="M762" s="85"/>
      <c r="N762" s="84"/>
      <c r="O762" s="84"/>
      <c r="P762" s="84"/>
    </row>
    <row r="763" spans="1:16" ht="15.75" customHeight="1">
      <c r="A763" s="80"/>
      <c r="B763" s="81"/>
      <c r="C763" s="82"/>
      <c r="D763" s="81"/>
      <c r="E763" s="82"/>
      <c r="F763" s="83"/>
      <c r="G763" s="81"/>
      <c r="H763" s="82"/>
      <c r="I763" s="84"/>
      <c r="J763" s="84"/>
      <c r="K763" s="84"/>
      <c r="L763" s="83"/>
      <c r="M763" s="85"/>
      <c r="N763" s="84"/>
      <c r="O763" s="84"/>
      <c r="P763" s="84"/>
    </row>
    <row r="764" spans="1:16" ht="15.75" customHeight="1">
      <c r="A764" s="80"/>
      <c r="B764" s="81"/>
      <c r="C764" s="82"/>
      <c r="D764" s="81"/>
      <c r="E764" s="82"/>
      <c r="F764" s="83"/>
      <c r="G764" s="81"/>
      <c r="H764" s="82"/>
      <c r="I764" s="84"/>
      <c r="J764" s="84"/>
      <c r="K764" s="84"/>
      <c r="L764" s="83"/>
      <c r="M764" s="85"/>
      <c r="N764" s="84"/>
      <c r="O764" s="84"/>
      <c r="P764" s="84"/>
    </row>
    <row r="765" spans="1:16" ht="15.75" customHeight="1">
      <c r="A765" s="80"/>
      <c r="B765" s="81"/>
      <c r="C765" s="82"/>
      <c r="D765" s="81"/>
      <c r="E765" s="82"/>
      <c r="F765" s="83"/>
      <c r="G765" s="81"/>
      <c r="H765" s="82"/>
      <c r="I765" s="84"/>
      <c r="J765" s="84"/>
      <c r="K765" s="84"/>
      <c r="L765" s="83"/>
      <c r="M765" s="85"/>
      <c r="N765" s="84"/>
      <c r="O765" s="84"/>
      <c r="P765" s="84"/>
    </row>
    <row r="766" spans="1:16" ht="15.75" customHeight="1">
      <c r="A766" s="80"/>
      <c r="B766" s="81"/>
      <c r="C766" s="82"/>
      <c r="D766" s="81"/>
      <c r="E766" s="82"/>
      <c r="F766" s="83"/>
      <c r="G766" s="81"/>
      <c r="H766" s="82"/>
      <c r="I766" s="84"/>
      <c r="J766" s="84"/>
      <c r="K766" s="84"/>
      <c r="L766" s="83"/>
      <c r="M766" s="85"/>
      <c r="N766" s="84"/>
      <c r="O766" s="84"/>
      <c r="P766" s="84"/>
    </row>
    <row r="767" spans="1:16" ht="15.75" customHeight="1">
      <c r="A767" s="80"/>
      <c r="B767" s="81"/>
      <c r="C767" s="82"/>
      <c r="D767" s="81"/>
      <c r="E767" s="82"/>
      <c r="F767" s="83"/>
      <c r="G767" s="81"/>
      <c r="H767" s="82"/>
      <c r="I767" s="84"/>
      <c r="J767" s="84"/>
      <c r="K767" s="84"/>
      <c r="L767" s="83"/>
      <c r="M767" s="85"/>
      <c r="N767" s="84"/>
      <c r="O767" s="84"/>
      <c r="P767" s="84"/>
    </row>
    <row r="768" spans="1:16" ht="15.75" customHeight="1">
      <c r="A768" s="80"/>
      <c r="B768" s="81"/>
      <c r="C768" s="82"/>
      <c r="D768" s="81"/>
      <c r="E768" s="82"/>
      <c r="F768" s="83"/>
      <c r="G768" s="81"/>
      <c r="H768" s="82"/>
      <c r="I768" s="84"/>
      <c r="J768" s="84"/>
      <c r="K768" s="84"/>
      <c r="L768" s="83"/>
      <c r="M768" s="85"/>
      <c r="N768" s="84"/>
      <c r="O768" s="84"/>
      <c r="P768" s="84"/>
    </row>
    <row r="769" spans="1:16" ht="15.75" customHeight="1">
      <c r="A769" s="80"/>
      <c r="B769" s="81"/>
      <c r="C769" s="82"/>
      <c r="D769" s="81"/>
      <c r="E769" s="82"/>
      <c r="F769" s="83"/>
      <c r="G769" s="81"/>
      <c r="H769" s="82"/>
      <c r="I769" s="84"/>
      <c r="J769" s="84"/>
      <c r="K769" s="84"/>
      <c r="L769" s="83"/>
      <c r="M769" s="85"/>
      <c r="N769" s="84"/>
      <c r="O769" s="84"/>
      <c r="P769" s="84"/>
    </row>
    <row r="770" spans="1:16" ht="15.75" customHeight="1">
      <c r="A770" s="80"/>
      <c r="B770" s="81"/>
      <c r="C770" s="82"/>
      <c r="D770" s="81"/>
      <c r="E770" s="82"/>
      <c r="F770" s="83"/>
      <c r="G770" s="81"/>
      <c r="H770" s="82"/>
      <c r="I770" s="84"/>
      <c r="J770" s="84"/>
      <c r="K770" s="84"/>
      <c r="L770" s="83"/>
      <c r="M770" s="85"/>
      <c r="N770" s="84"/>
      <c r="O770" s="84"/>
      <c r="P770" s="84"/>
    </row>
    <row r="771" spans="1:16" ht="15.75" customHeight="1">
      <c r="A771" s="80"/>
      <c r="B771" s="81"/>
      <c r="C771" s="82"/>
      <c r="D771" s="81"/>
      <c r="E771" s="82"/>
      <c r="F771" s="83"/>
      <c r="G771" s="81"/>
      <c r="H771" s="82"/>
      <c r="I771" s="84"/>
      <c r="J771" s="84"/>
      <c r="K771" s="84"/>
      <c r="L771" s="83"/>
      <c r="M771" s="85"/>
      <c r="N771" s="84"/>
      <c r="O771" s="84"/>
      <c r="P771" s="84"/>
    </row>
    <row r="772" spans="1:16" ht="15.75" customHeight="1">
      <c r="A772" s="80"/>
      <c r="B772" s="81"/>
      <c r="C772" s="82"/>
      <c r="D772" s="81"/>
      <c r="E772" s="82"/>
      <c r="F772" s="83"/>
      <c r="G772" s="81"/>
      <c r="H772" s="82"/>
      <c r="I772" s="84"/>
      <c r="J772" s="84"/>
      <c r="K772" s="84"/>
      <c r="L772" s="83"/>
      <c r="M772" s="85"/>
      <c r="N772" s="84"/>
      <c r="O772" s="84"/>
      <c r="P772" s="84"/>
    </row>
    <row r="773" spans="1:16" ht="15.75" customHeight="1">
      <c r="A773" s="80"/>
      <c r="B773" s="81"/>
      <c r="C773" s="82"/>
      <c r="D773" s="81"/>
      <c r="E773" s="82"/>
      <c r="F773" s="83"/>
      <c r="G773" s="81"/>
      <c r="H773" s="82"/>
      <c r="I773" s="84"/>
      <c r="J773" s="84"/>
      <c r="K773" s="84"/>
      <c r="L773" s="83"/>
      <c r="M773" s="85"/>
      <c r="N773" s="84"/>
      <c r="O773" s="84"/>
      <c r="P773" s="84"/>
    </row>
    <row r="774" spans="1:16" ht="15.75" customHeight="1">
      <c r="A774" s="80"/>
      <c r="B774" s="81"/>
      <c r="C774" s="82"/>
      <c r="D774" s="81"/>
      <c r="E774" s="82"/>
      <c r="F774" s="83"/>
      <c r="G774" s="81"/>
      <c r="H774" s="82"/>
      <c r="I774" s="84"/>
      <c r="J774" s="84"/>
      <c r="K774" s="84"/>
      <c r="L774" s="83"/>
      <c r="M774" s="85"/>
      <c r="N774" s="84"/>
      <c r="O774" s="84"/>
      <c r="P774" s="84"/>
    </row>
    <row r="775" spans="1:16" ht="15.75" customHeight="1">
      <c r="A775" s="80"/>
      <c r="B775" s="81"/>
      <c r="C775" s="82"/>
      <c r="D775" s="81"/>
      <c r="E775" s="82"/>
      <c r="F775" s="83"/>
      <c r="G775" s="81"/>
      <c r="H775" s="82"/>
      <c r="I775" s="84"/>
      <c r="J775" s="84"/>
      <c r="K775" s="84"/>
      <c r="L775" s="83"/>
      <c r="M775" s="85"/>
      <c r="N775" s="84"/>
      <c r="O775" s="84"/>
      <c r="P775" s="84"/>
    </row>
    <row r="776" spans="1:16" ht="15.75" customHeight="1">
      <c r="A776" s="80"/>
      <c r="B776" s="81"/>
      <c r="C776" s="82"/>
      <c r="D776" s="81"/>
      <c r="E776" s="82"/>
      <c r="F776" s="83"/>
      <c r="G776" s="81"/>
      <c r="H776" s="82"/>
      <c r="I776" s="84"/>
      <c r="J776" s="84"/>
      <c r="K776" s="84"/>
      <c r="L776" s="83"/>
      <c r="M776" s="85"/>
      <c r="N776" s="84"/>
      <c r="O776" s="84"/>
      <c r="P776" s="84"/>
    </row>
    <row r="777" spans="1:16" ht="15.75" customHeight="1">
      <c r="A777" s="80"/>
      <c r="B777" s="81"/>
      <c r="C777" s="82"/>
      <c r="D777" s="81"/>
      <c r="E777" s="82"/>
      <c r="F777" s="83"/>
      <c r="G777" s="81"/>
      <c r="H777" s="82"/>
      <c r="I777" s="84"/>
      <c r="J777" s="84"/>
      <c r="K777" s="84"/>
      <c r="L777" s="83"/>
      <c r="M777" s="85"/>
      <c r="N777" s="84"/>
      <c r="O777" s="84"/>
      <c r="P777" s="84"/>
    </row>
    <row r="778" spans="1:16" ht="15.75" customHeight="1">
      <c r="A778" s="80"/>
      <c r="B778" s="81"/>
      <c r="C778" s="82"/>
      <c r="D778" s="81"/>
      <c r="E778" s="82"/>
      <c r="F778" s="83"/>
      <c r="G778" s="81"/>
      <c r="H778" s="82"/>
      <c r="I778" s="84"/>
      <c r="J778" s="84"/>
      <c r="K778" s="84"/>
      <c r="L778" s="83"/>
      <c r="M778" s="85"/>
      <c r="N778" s="84"/>
      <c r="O778" s="84"/>
      <c r="P778" s="84"/>
    </row>
    <row r="779" spans="1:16" ht="15.75" customHeight="1">
      <c r="A779" s="80"/>
      <c r="B779" s="81"/>
      <c r="C779" s="82"/>
      <c r="D779" s="81"/>
      <c r="E779" s="82"/>
      <c r="F779" s="83"/>
      <c r="G779" s="81"/>
      <c r="H779" s="82"/>
      <c r="I779" s="84"/>
      <c r="J779" s="84"/>
      <c r="K779" s="84"/>
      <c r="L779" s="83"/>
      <c r="M779" s="85"/>
      <c r="N779" s="84"/>
      <c r="O779" s="84"/>
      <c r="P779" s="84"/>
    </row>
    <row r="780" spans="1:16" ht="15.75" customHeight="1">
      <c r="A780" s="80"/>
      <c r="B780" s="81"/>
      <c r="C780" s="82"/>
      <c r="D780" s="81"/>
      <c r="E780" s="82"/>
      <c r="F780" s="83"/>
      <c r="G780" s="81"/>
      <c r="H780" s="82"/>
      <c r="I780" s="84"/>
      <c r="J780" s="84"/>
      <c r="K780" s="84"/>
      <c r="L780" s="83"/>
      <c r="M780" s="85"/>
      <c r="N780" s="84"/>
      <c r="O780" s="84"/>
      <c r="P780" s="84"/>
    </row>
    <row r="781" spans="1:16" ht="15.75" customHeight="1">
      <c r="A781" s="80"/>
      <c r="B781" s="81"/>
      <c r="C781" s="82"/>
      <c r="D781" s="81"/>
      <c r="E781" s="82"/>
      <c r="F781" s="83"/>
      <c r="G781" s="81"/>
      <c r="H781" s="82"/>
      <c r="I781" s="84"/>
      <c r="J781" s="84"/>
      <c r="K781" s="84"/>
      <c r="L781" s="83"/>
      <c r="M781" s="85"/>
      <c r="N781" s="84"/>
      <c r="O781" s="84"/>
      <c r="P781" s="84"/>
    </row>
    <row r="782" spans="1:16" ht="15.75" customHeight="1">
      <c r="A782" s="80"/>
      <c r="B782" s="81"/>
      <c r="C782" s="82"/>
      <c r="D782" s="81"/>
      <c r="E782" s="82"/>
      <c r="F782" s="83"/>
      <c r="G782" s="81"/>
      <c r="H782" s="82"/>
      <c r="I782" s="84"/>
      <c r="J782" s="84"/>
      <c r="K782" s="84"/>
      <c r="L782" s="83"/>
      <c r="M782" s="85"/>
      <c r="N782" s="84"/>
      <c r="O782" s="84"/>
      <c r="P782" s="84"/>
    </row>
    <row r="783" spans="1:16" ht="15.75" customHeight="1">
      <c r="A783" s="80"/>
      <c r="B783" s="81"/>
      <c r="C783" s="82"/>
      <c r="D783" s="81"/>
      <c r="E783" s="82"/>
      <c r="F783" s="83"/>
      <c r="G783" s="81"/>
      <c r="H783" s="82"/>
      <c r="I783" s="84"/>
      <c r="J783" s="84"/>
      <c r="K783" s="84"/>
      <c r="L783" s="83"/>
      <c r="M783" s="85"/>
      <c r="N783" s="84"/>
      <c r="O783" s="84"/>
      <c r="P783" s="84"/>
    </row>
    <row r="784" spans="1:16" ht="15.75" customHeight="1">
      <c r="A784" s="80"/>
      <c r="B784" s="81"/>
      <c r="C784" s="82"/>
      <c r="D784" s="81"/>
      <c r="E784" s="82"/>
      <c r="F784" s="83"/>
      <c r="G784" s="81"/>
      <c r="H784" s="82"/>
      <c r="I784" s="84"/>
      <c r="J784" s="84"/>
      <c r="K784" s="84"/>
      <c r="L784" s="83"/>
      <c r="M784" s="85"/>
      <c r="N784" s="84"/>
      <c r="O784" s="84"/>
      <c r="P784" s="84"/>
    </row>
    <row r="785" spans="1:16" ht="15.75" customHeight="1">
      <c r="A785" s="80"/>
      <c r="B785" s="81"/>
      <c r="C785" s="82"/>
      <c r="D785" s="81"/>
      <c r="E785" s="82"/>
      <c r="F785" s="83"/>
      <c r="G785" s="81"/>
      <c r="H785" s="82"/>
      <c r="I785" s="84"/>
      <c r="J785" s="84"/>
      <c r="K785" s="84"/>
      <c r="L785" s="83"/>
      <c r="M785" s="85"/>
      <c r="N785" s="84"/>
      <c r="O785" s="84"/>
      <c r="P785" s="84"/>
    </row>
    <row r="786" spans="1:16" ht="15.75" customHeight="1">
      <c r="A786" s="80"/>
      <c r="B786" s="81"/>
      <c r="C786" s="82"/>
      <c r="D786" s="81"/>
      <c r="E786" s="82"/>
      <c r="F786" s="83"/>
      <c r="G786" s="81"/>
      <c r="H786" s="82"/>
      <c r="I786" s="84"/>
      <c r="J786" s="84"/>
      <c r="K786" s="84"/>
      <c r="L786" s="83"/>
      <c r="M786" s="85"/>
      <c r="N786" s="84"/>
      <c r="O786" s="84"/>
      <c r="P786" s="84"/>
    </row>
    <row r="787" spans="1:16" ht="15.75" customHeight="1">
      <c r="A787" s="80"/>
      <c r="B787" s="81"/>
      <c r="C787" s="82"/>
      <c r="D787" s="81"/>
      <c r="E787" s="82"/>
      <c r="F787" s="83"/>
      <c r="G787" s="81"/>
      <c r="H787" s="82"/>
      <c r="I787" s="84"/>
      <c r="J787" s="84"/>
      <c r="K787" s="84"/>
      <c r="L787" s="83"/>
      <c r="M787" s="85"/>
      <c r="N787" s="84"/>
      <c r="O787" s="84"/>
      <c r="P787" s="84"/>
    </row>
    <row r="788" spans="1:16" ht="15.75" customHeight="1">
      <c r="A788" s="80"/>
      <c r="B788" s="81"/>
      <c r="C788" s="82"/>
      <c r="D788" s="81"/>
      <c r="E788" s="82"/>
      <c r="F788" s="83"/>
      <c r="G788" s="81"/>
      <c r="H788" s="82"/>
      <c r="I788" s="84"/>
      <c r="J788" s="84"/>
      <c r="K788" s="84"/>
      <c r="L788" s="83"/>
      <c r="M788" s="85"/>
      <c r="N788" s="84"/>
      <c r="O788" s="84"/>
      <c r="P788" s="84"/>
    </row>
    <row r="789" spans="1:16" ht="15.75" customHeight="1">
      <c r="A789" s="80"/>
      <c r="B789" s="81"/>
      <c r="C789" s="82"/>
      <c r="D789" s="81"/>
      <c r="E789" s="82"/>
      <c r="F789" s="83"/>
      <c r="G789" s="81"/>
      <c r="H789" s="82"/>
      <c r="I789" s="84"/>
      <c r="J789" s="84"/>
      <c r="K789" s="84"/>
      <c r="L789" s="83"/>
      <c r="M789" s="85"/>
      <c r="N789" s="84"/>
      <c r="O789" s="84"/>
      <c r="P789" s="84"/>
    </row>
    <row r="790" spans="1:16" ht="15.75" customHeight="1">
      <c r="A790" s="80"/>
      <c r="B790" s="81"/>
      <c r="C790" s="82"/>
      <c r="D790" s="81"/>
      <c r="E790" s="82"/>
      <c r="F790" s="83"/>
      <c r="G790" s="81"/>
      <c r="H790" s="82"/>
      <c r="I790" s="84"/>
      <c r="J790" s="84"/>
      <c r="K790" s="84"/>
      <c r="L790" s="83"/>
      <c r="M790" s="85"/>
      <c r="N790" s="84"/>
      <c r="O790" s="84"/>
      <c r="P790" s="84"/>
    </row>
    <row r="791" spans="1:16" ht="15.75" customHeight="1">
      <c r="A791" s="80"/>
      <c r="B791" s="81"/>
      <c r="C791" s="82"/>
      <c r="D791" s="81"/>
      <c r="E791" s="82"/>
      <c r="F791" s="83"/>
      <c r="G791" s="81"/>
      <c r="H791" s="82"/>
      <c r="I791" s="84"/>
      <c r="J791" s="84"/>
      <c r="K791" s="84"/>
      <c r="L791" s="83"/>
      <c r="M791" s="85"/>
      <c r="N791" s="84"/>
      <c r="O791" s="84"/>
      <c r="P791" s="84"/>
    </row>
    <row r="792" spans="1:16" ht="15.75" customHeight="1">
      <c r="A792" s="80"/>
      <c r="B792" s="81"/>
      <c r="C792" s="82"/>
      <c r="D792" s="81"/>
      <c r="E792" s="82"/>
      <c r="F792" s="83"/>
      <c r="G792" s="81"/>
      <c r="H792" s="82"/>
      <c r="I792" s="84"/>
      <c r="J792" s="84"/>
      <c r="K792" s="84"/>
      <c r="L792" s="83"/>
      <c r="M792" s="85"/>
      <c r="N792" s="84"/>
      <c r="O792" s="84"/>
      <c r="P792" s="84"/>
    </row>
    <row r="793" spans="1:16" ht="15.75" customHeight="1">
      <c r="A793" s="80"/>
      <c r="B793" s="81"/>
      <c r="C793" s="82"/>
      <c r="D793" s="81"/>
      <c r="E793" s="82"/>
      <c r="F793" s="83"/>
      <c r="G793" s="81"/>
      <c r="H793" s="82"/>
      <c r="I793" s="84"/>
      <c r="J793" s="84"/>
      <c r="K793" s="84"/>
      <c r="L793" s="83"/>
      <c r="M793" s="85"/>
      <c r="N793" s="84"/>
      <c r="O793" s="84"/>
      <c r="P793" s="84"/>
    </row>
    <row r="794" spans="1:16" ht="15.75" customHeight="1">
      <c r="A794" s="80"/>
      <c r="B794" s="81"/>
      <c r="C794" s="82"/>
      <c r="D794" s="81"/>
      <c r="E794" s="82"/>
      <c r="F794" s="83"/>
      <c r="G794" s="81"/>
      <c r="H794" s="82"/>
      <c r="I794" s="84"/>
      <c r="J794" s="84"/>
      <c r="K794" s="84"/>
      <c r="L794" s="83"/>
      <c r="M794" s="85"/>
      <c r="N794" s="84"/>
      <c r="O794" s="84"/>
      <c r="P794" s="84"/>
    </row>
    <row r="795" spans="1:16" ht="15.75" customHeight="1">
      <c r="A795" s="80"/>
      <c r="B795" s="81"/>
      <c r="C795" s="82"/>
      <c r="D795" s="81"/>
      <c r="E795" s="82"/>
      <c r="F795" s="83"/>
      <c r="G795" s="81"/>
      <c r="H795" s="82"/>
      <c r="I795" s="84"/>
      <c r="J795" s="84"/>
      <c r="K795" s="84"/>
      <c r="L795" s="83"/>
      <c r="M795" s="85"/>
      <c r="N795" s="84"/>
      <c r="O795" s="84"/>
      <c r="P795" s="84"/>
    </row>
    <row r="796" spans="1:16" ht="15.75" customHeight="1">
      <c r="A796" s="80"/>
      <c r="B796" s="81"/>
      <c r="C796" s="82"/>
      <c r="D796" s="81"/>
      <c r="E796" s="82"/>
      <c r="F796" s="83"/>
      <c r="G796" s="81"/>
      <c r="H796" s="82"/>
      <c r="I796" s="84"/>
      <c r="J796" s="84"/>
      <c r="K796" s="84"/>
      <c r="L796" s="83"/>
      <c r="M796" s="85"/>
      <c r="N796" s="84"/>
      <c r="O796" s="84"/>
      <c r="P796" s="84"/>
    </row>
    <row r="797" spans="1:16" ht="15.75" customHeight="1">
      <c r="A797" s="80"/>
      <c r="B797" s="81"/>
      <c r="C797" s="82"/>
      <c r="D797" s="81"/>
      <c r="E797" s="82"/>
      <c r="F797" s="83"/>
      <c r="G797" s="81"/>
      <c r="H797" s="82"/>
      <c r="I797" s="84"/>
      <c r="J797" s="84"/>
      <c r="K797" s="84"/>
      <c r="L797" s="83"/>
      <c r="M797" s="85"/>
      <c r="N797" s="84"/>
      <c r="O797" s="84"/>
      <c r="P797" s="84"/>
    </row>
    <row r="798" spans="1:16" ht="15.75" customHeight="1">
      <c r="A798" s="80"/>
      <c r="B798" s="81"/>
      <c r="C798" s="82"/>
      <c r="D798" s="81"/>
      <c r="E798" s="82"/>
      <c r="F798" s="83"/>
      <c r="G798" s="81"/>
      <c r="H798" s="82"/>
      <c r="I798" s="84"/>
      <c r="J798" s="84"/>
      <c r="K798" s="84"/>
      <c r="L798" s="83"/>
      <c r="M798" s="85"/>
      <c r="N798" s="84"/>
      <c r="O798" s="84"/>
      <c r="P798" s="84"/>
    </row>
    <row r="799" spans="1:16" ht="15.75" customHeight="1">
      <c r="A799" s="80"/>
      <c r="B799" s="81"/>
      <c r="C799" s="82"/>
      <c r="D799" s="81"/>
      <c r="E799" s="82"/>
      <c r="F799" s="83"/>
      <c r="G799" s="81"/>
      <c r="H799" s="82"/>
      <c r="I799" s="84"/>
      <c r="J799" s="84"/>
      <c r="K799" s="84"/>
      <c r="L799" s="83"/>
      <c r="M799" s="85"/>
      <c r="N799" s="84"/>
      <c r="O799" s="84"/>
      <c r="P799" s="84"/>
    </row>
    <row r="800" spans="1:16" ht="15.75" customHeight="1">
      <c r="A800" s="80"/>
      <c r="B800" s="81"/>
      <c r="C800" s="82"/>
      <c r="D800" s="81"/>
      <c r="E800" s="82"/>
      <c r="F800" s="83"/>
      <c r="G800" s="81"/>
      <c r="H800" s="82"/>
      <c r="I800" s="84"/>
      <c r="J800" s="84"/>
      <c r="K800" s="84"/>
      <c r="L800" s="83"/>
      <c r="M800" s="85"/>
      <c r="N800" s="84"/>
      <c r="O800" s="84"/>
      <c r="P800" s="84"/>
    </row>
    <row r="801" spans="1:16" ht="15.75" customHeight="1">
      <c r="A801" s="80"/>
      <c r="B801" s="81"/>
      <c r="C801" s="82"/>
      <c r="D801" s="81"/>
      <c r="E801" s="82"/>
      <c r="F801" s="83"/>
      <c r="G801" s="81"/>
      <c r="H801" s="82"/>
      <c r="I801" s="84"/>
      <c r="J801" s="84"/>
      <c r="K801" s="84"/>
      <c r="L801" s="83"/>
      <c r="M801" s="85"/>
      <c r="N801" s="84"/>
      <c r="O801" s="84"/>
      <c r="P801" s="84"/>
    </row>
    <row r="802" spans="1:16" ht="15.75" customHeight="1">
      <c r="A802" s="80"/>
      <c r="B802" s="81"/>
      <c r="C802" s="82"/>
      <c r="D802" s="81"/>
      <c r="E802" s="82"/>
      <c r="F802" s="83"/>
      <c r="G802" s="81"/>
      <c r="H802" s="82"/>
      <c r="I802" s="84"/>
      <c r="J802" s="84"/>
      <c r="K802" s="84"/>
      <c r="L802" s="83"/>
      <c r="M802" s="85"/>
      <c r="N802" s="84"/>
      <c r="O802" s="84"/>
      <c r="P802" s="84"/>
    </row>
    <row r="803" spans="1:16" ht="15.75" customHeight="1">
      <c r="A803" s="80"/>
      <c r="B803" s="81"/>
      <c r="C803" s="82"/>
      <c r="D803" s="81"/>
      <c r="E803" s="82"/>
      <c r="F803" s="83"/>
      <c r="G803" s="81"/>
      <c r="H803" s="82"/>
      <c r="I803" s="84"/>
      <c r="J803" s="84"/>
      <c r="K803" s="84"/>
      <c r="L803" s="83"/>
      <c r="M803" s="85"/>
      <c r="N803" s="84"/>
      <c r="O803" s="84"/>
      <c r="P803" s="84"/>
    </row>
    <row r="804" spans="1:16" ht="15.75" customHeight="1">
      <c r="A804" s="80"/>
      <c r="B804" s="81"/>
      <c r="C804" s="82"/>
      <c r="D804" s="81"/>
      <c r="E804" s="82"/>
      <c r="F804" s="83"/>
      <c r="G804" s="81"/>
      <c r="H804" s="82"/>
      <c r="I804" s="84"/>
      <c r="J804" s="84"/>
      <c r="K804" s="84"/>
      <c r="L804" s="83"/>
      <c r="M804" s="85"/>
      <c r="N804" s="84"/>
      <c r="O804" s="84"/>
      <c r="P804" s="84"/>
    </row>
    <row r="805" spans="1:16" ht="15.75" customHeight="1">
      <c r="A805" s="80"/>
      <c r="B805" s="81"/>
      <c r="C805" s="82"/>
      <c r="D805" s="81"/>
      <c r="E805" s="82"/>
      <c r="F805" s="83"/>
      <c r="G805" s="81"/>
      <c r="H805" s="82"/>
      <c r="I805" s="84"/>
      <c r="J805" s="84"/>
      <c r="K805" s="84"/>
      <c r="L805" s="83"/>
      <c r="M805" s="85"/>
      <c r="N805" s="84"/>
      <c r="O805" s="84"/>
      <c r="P805" s="84"/>
    </row>
    <row r="806" spans="1:16" ht="15.75" customHeight="1">
      <c r="A806" s="80"/>
      <c r="B806" s="81"/>
      <c r="C806" s="82"/>
      <c r="D806" s="81"/>
      <c r="E806" s="82"/>
      <c r="F806" s="83"/>
      <c r="G806" s="81"/>
      <c r="H806" s="82"/>
      <c r="I806" s="84"/>
      <c r="J806" s="84"/>
      <c r="K806" s="84"/>
      <c r="L806" s="83"/>
      <c r="M806" s="85"/>
      <c r="N806" s="84"/>
      <c r="O806" s="84"/>
      <c r="P806" s="84"/>
    </row>
    <row r="807" spans="1:16" ht="15.75" customHeight="1">
      <c r="A807" s="80"/>
      <c r="B807" s="81"/>
      <c r="C807" s="82"/>
      <c r="D807" s="81"/>
      <c r="E807" s="82"/>
      <c r="F807" s="83"/>
      <c r="G807" s="81"/>
      <c r="H807" s="82"/>
      <c r="I807" s="84"/>
      <c r="J807" s="84"/>
      <c r="K807" s="84"/>
      <c r="L807" s="83"/>
      <c r="M807" s="85"/>
      <c r="N807" s="84"/>
      <c r="O807" s="84"/>
      <c r="P807" s="84"/>
    </row>
    <row r="808" spans="1:16" ht="15.75" customHeight="1">
      <c r="A808" s="80"/>
      <c r="B808" s="81"/>
      <c r="C808" s="82"/>
      <c r="D808" s="81"/>
      <c r="E808" s="82"/>
      <c r="F808" s="83"/>
      <c r="G808" s="81"/>
      <c r="H808" s="82"/>
      <c r="I808" s="84"/>
      <c r="J808" s="84"/>
      <c r="K808" s="84"/>
      <c r="L808" s="83"/>
      <c r="M808" s="85"/>
      <c r="N808" s="84"/>
      <c r="O808" s="84"/>
      <c r="P808" s="84"/>
    </row>
    <row r="809" spans="1:16" ht="15.75" customHeight="1">
      <c r="A809" s="80"/>
      <c r="B809" s="81"/>
      <c r="C809" s="82"/>
      <c r="D809" s="81"/>
      <c r="E809" s="82"/>
      <c r="F809" s="83"/>
      <c r="G809" s="81"/>
      <c r="H809" s="82"/>
      <c r="I809" s="84"/>
      <c r="J809" s="84"/>
      <c r="K809" s="84"/>
      <c r="L809" s="83"/>
      <c r="M809" s="85"/>
      <c r="N809" s="84"/>
      <c r="O809" s="84"/>
      <c r="P809" s="84"/>
    </row>
    <row r="810" spans="1:16" ht="15.75" customHeight="1">
      <c r="A810" s="80"/>
      <c r="B810" s="81"/>
      <c r="C810" s="82"/>
      <c r="D810" s="81"/>
      <c r="E810" s="82"/>
      <c r="F810" s="83"/>
      <c r="G810" s="81"/>
      <c r="H810" s="82"/>
      <c r="I810" s="84"/>
      <c r="J810" s="84"/>
      <c r="K810" s="84"/>
      <c r="L810" s="83"/>
      <c r="M810" s="85"/>
      <c r="N810" s="84"/>
      <c r="O810" s="84"/>
      <c r="P810" s="84"/>
    </row>
    <row r="811" spans="1:16" ht="15.75" customHeight="1">
      <c r="A811" s="80"/>
      <c r="B811" s="81"/>
      <c r="C811" s="82"/>
      <c r="D811" s="81"/>
      <c r="E811" s="82"/>
      <c r="F811" s="83"/>
      <c r="G811" s="81"/>
      <c r="H811" s="82"/>
      <c r="I811" s="84"/>
      <c r="J811" s="84"/>
      <c r="K811" s="84"/>
      <c r="L811" s="83"/>
      <c r="M811" s="85"/>
      <c r="N811" s="84"/>
      <c r="O811" s="84"/>
      <c r="P811" s="84"/>
    </row>
    <row r="812" spans="1:16" ht="15.75" customHeight="1">
      <c r="A812" s="80"/>
      <c r="B812" s="81"/>
      <c r="C812" s="82"/>
      <c r="D812" s="81"/>
      <c r="E812" s="82"/>
      <c r="F812" s="83"/>
      <c r="G812" s="81"/>
      <c r="H812" s="82"/>
      <c r="I812" s="84"/>
      <c r="J812" s="84"/>
      <c r="K812" s="84"/>
      <c r="L812" s="83"/>
      <c r="M812" s="85"/>
      <c r="N812" s="84"/>
      <c r="O812" s="84"/>
      <c r="P812" s="84"/>
    </row>
    <row r="813" spans="1:16" ht="15.75" customHeight="1">
      <c r="A813" s="80"/>
      <c r="B813" s="81"/>
      <c r="C813" s="82"/>
      <c r="D813" s="81"/>
      <c r="E813" s="82"/>
      <c r="F813" s="83"/>
      <c r="G813" s="81"/>
      <c r="H813" s="82"/>
      <c r="I813" s="84"/>
      <c r="J813" s="84"/>
      <c r="K813" s="84"/>
      <c r="L813" s="83"/>
      <c r="M813" s="85"/>
      <c r="N813" s="84"/>
      <c r="O813" s="84"/>
      <c r="P813" s="84"/>
    </row>
    <row r="814" spans="1:16" ht="15.75" customHeight="1">
      <c r="A814" s="80"/>
      <c r="B814" s="81"/>
      <c r="C814" s="82"/>
      <c r="D814" s="81"/>
      <c r="E814" s="82"/>
      <c r="F814" s="83"/>
      <c r="G814" s="81"/>
      <c r="H814" s="82"/>
      <c r="I814" s="84"/>
      <c r="J814" s="84"/>
      <c r="K814" s="84"/>
      <c r="L814" s="83"/>
      <c r="M814" s="85"/>
      <c r="N814" s="84"/>
      <c r="O814" s="84"/>
      <c r="P814" s="84"/>
    </row>
    <row r="815" spans="1:16" ht="15.75" customHeight="1">
      <c r="A815" s="80"/>
      <c r="B815" s="81"/>
      <c r="C815" s="82"/>
      <c r="D815" s="81"/>
      <c r="E815" s="82"/>
      <c r="F815" s="83"/>
      <c r="G815" s="81"/>
      <c r="H815" s="82"/>
      <c r="I815" s="84"/>
      <c r="J815" s="84"/>
      <c r="K815" s="84"/>
      <c r="L815" s="83"/>
      <c r="M815" s="85"/>
      <c r="N815" s="84"/>
      <c r="O815" s="84"/>
      <c r="P815" s="84"/>
    </row>
    <row r="816" spans="1:16" ht="15.75" customHeight="1">
      <c r="A816" s="80"/>
      <c r="B816" s="81"/>
      <c r="C816" s="82"/>
      <c r="D816" s="81"/>
      <c r="E816" s="82"/>
      <c r="F816" s="83"/>
      <c r="G816" s="81"/>
      <c r="H816" s="82"/>
      <c r="I816" s="84"/>
      <c r="J816" s="84"/>
      <c r="K816" s="84"/>
      <c r="L816" s="83"/>
      <c r="M816" s="85"/>
      <c r="N816" s="84"/>
      <c r="O816" s="84"/>
      <c r="P816" s="84"/>
    </row>
    <row r="817" spans="1:16" ht="15.75" customHeight="1">
      <c r="A817" s="80"/>
      <c r="B817" s="81"/>
      <c r="C817" s="82"/>
      <c r="D817" s="81"/>
      <c r="E817" s="82"/>
      <c r="F817" s="83"/>
      <c r="G817" s="81"/>
      <c r="H817" s="82"/>
      <c r="I817" s="84"/>
      <c r="J817" s="84"/>
      <c r="K817" s="84"/>
      <c r="L817" s="83"/>
      <c r="M817" s="85"/>
      <c r="N817" s="84"/>
      <c r="O817" s="84"/>
      <c r="P817" s="84"/>
    </row>
    <row r="818" spans="1:16" ht="15.75" customHeight="1">
      <c r="A818" s="80"/>
      <c r="B818" s="81"/>
      <c r="C818" s="82"/>
      <c r="D818" s="81"/>
      <c r="E818" s="82"/>
      <c r="F818" s="83"/>
      <c r="G818" s="81"/>
      <c r="H818" s="82"/>
      <c r="I818" s="84"/>
      <c r="J818" s="84"/>
      <c r="K818" s="84"/>
      <c r="L818" s="83"/>
      <c r="M818" s="85"/>
      <c r="N818" s="84"/>
      <c r="O818" s="84"/>
      <c r="P818" s="84"/>
    </row>
    <row r="819" spans="1:16" ht="15.75" customHeight="1">
      <c r="A819" s="80"/>
      <c r="B819" s="81"/>
      <c r="C819" s="82"/>
      <c r="D819" s="81"/>
      <c r="E819" s="82"/>
      <c r="F819" s="83"/>
      <c r="G819" s="81"/>
      <c r="H819" s="82"/>
      <c r="I819" s="84"/>
      <c r="J819" s="84"/>
      <c r="K819" s="84"/>
      <c r="L819" s="83"/>
      <c r="M819" s="85"/>
      <c r="N819" s="84"/>
      <c r="O819" s="84"/>
      <c r="P819" s="84"/>
    </row>
    <row r="820" spans="1:16" ht="15.75" customHeight="1">
      <c r="A820" s="80"/>
      <c r="B820" s="81"/>
      <c r="C820" s="82"/>
      <c r="D820" s="81"/>
      <c r="E820" s="82"/>
      <c r="F820" s="83"/>
      <c r="G820" s="81"/>
      <c r="H820" s="82"/>
      <c r="I820" s="84"/>
      <c r="J820" s="84"/>
      <c r="K820" s="84"/>
      <c r="L820" s="83"/>
      <c r="M820" s="85"/>
      <c r="N820" s="84"/>
      <c r="O820" s="84"/>
      <c r="P820" s="84"/>
    </row>
    <row r="821" spans="1:16" ht="15.75" customHeight="1">
      <c r="A821" s="80"/>
      <c r="B821" s="81"/>
      <c r="C821" s="82"/>
      <c r="D821" s="81"/>
      <c r="E821" s="82"/>
      <c r="F821" s="83"/>
      <c r="G821" s="81"/>
      <c r="H821" s="82"/>
      <c r="I821" s="84"/>
      <c r="J821" s="84"/>
      <c r="K821" s="84"/>
      <c r="L821" s="83"/>
      <c r="M821" s="85"/>
      <c r="N821" s="84"/>
      <c r="O821" s="84"/>
      <c r="P821" s="84"/>
    </row>
    <row r="822" spans="1:16" ht="15.75" customHeight="1">
      <c r="A822" s="80"/>
      <c r="B822" s="81"/>
      <c r="C822" s="82"/>
      <c r="D822" s="81"/>
      <c r="E822" s="82"/>
      <c r="F822" s="83"/>
      <c r="G822" s="81"/>
      <c r="H822" s="82"/>
      <c r="I822" s="84"/>
      <c r="J822" s="84"/>
      <c r="K822" s="84"/>
      <c r="L822" s="83"/>
      <c r="M822" s="85"/>
      <c r="N822" s="84"/>
      <c r="O822" s="84"/>
      <c r="P822" s="84"/>
    </row>
    <row r="823" spans="1:16" ht="15.75" customHeight="1">
      <c r="A823" s="80"/>
      <c r="B823" s="81"/>
      <c r="C823" s="82"/>
      <c r="D823" s="81"/>
      <c r="E823" s="82"/>
      <c r="F823" s="83"/>
      <c r="G823" s="81"/>
      <c r="H823" s="82"/>
      <c r="I823" s="84"/>
      <c r="J823" s="84"/>
      <c r="K823" s="84"/>
      <c r="L823" s="83"/>
      <c r="M823" s="85"/>
      <c r="N823" s="84"/>
      <c r="O823" s="84"/>
      <c r="P823" s="84"/>
    </row>
    <row r="824" spans="1:16" ht="15.75" customHeight="1">
      <c r="A824" s="80"/>
      <c r="B824" s="81"/>
      <c r="C824" s="82"/>
      <c r="D824" s="81"/>
      <c r="E824" s="82"/>
      <c r="F824" s="83"/>
      <c r="G824" s="81"/>
      <c r="H824" s="82"/>
      <c r="I824" s="84"/>
      <c r="J824" s="84"/>
      <c r="K824" s="84"/>
      <c r="L824" s="83"/>
      <c r="M824" s="85"/>
      <c r="N824" s="84"/>
      <c r="O824" s="84"/>
      <c r="P824" s="84"/>
    </row>
    <row r="825" spans="1:16" ht="15.75" customHeight="1">
      <c r="A825" s="80"/>
      <c r="B825" s="81"/>
      <c r="C825" s="82"/>
      <c r="D825" s="81"/>
      <c r="E825" s="82"/>
      <c r="F825" s="83"/>
      <c r="G825" s="81"/>
      <c r="H825" s="82"/>
      <c r="I825" s="84"/>
      <c r="J825" s="84"/>
      <c r="K825" s="84"/>
      <c r="L825" s="83"/>
      <c r="M825" s="85"/>
      <c r="N825" s="84"/>
      <c r="O825" s="84"/>
      <c r="P825" s="84"/>
    </row>
    <row r="826" spans="1:16" ht="15.75" customHeight="1">
      <c r="A826" s="80"/>
      <c r="B826" s="81"/>
      <c r="C826" s="82"/>
      <c r="D826" s="81"/>
      <c r="E826" s="82"/>
      <c r="F826" s="83"/>
      <c r="G826" s="81"/>
      <c r="H826" s="82"/>
      <c r="I826" s="84"/>
      <c r="J826" s="84"/>
      <c r="K826" s="84"/>
      <c r="L826" s="83"/>
      <c r="M826" s="85"/>
      <c r="N826" s="84"/>
      <c r="O826" s="84"/>
      <c r="P826" s="84"/>
    </row>
    <row r="827" spans="1:16" ht="15.75" customHeight="1">
      <c r="A827" s="80"/>
      <c r="B827" s="81"/>
      <c r="C827" s="82"/>
      <c r="D827" s="81"/>
      <c r="E827" s="82"/>
      <c r="F827" s="83"/>
      <c r="G827" s="81"/>
      <c r="H827" s="82"/>
      <c r="I827" s="84"/>
      <c r="J827" s="84"/>
      <c r="K827" s="84"/>
      <c r="L827" s="83"/>
      <c r="M827" s="85"/>
      <c r="N827" s="84"/>
      <c r="O827" s="84"/>
      <c r="P827" s="84"/>
    </row>
    <row r="828" spans="1:16" ht="15.75" customHeight="1">
      <c r="A828" s="80"/>
      <c r="B828" s="81"/>
      <c r="C828" s="82"/>
      <c r="D828" s="81"/>
      <c r="E828" s="82"/>
      <c r="F828" s="83"/>
      <c r="G828" s="81"/>
      <c r="H828" s="82"/>
      <c r="I828" s="84"/>
      <c r="J828" s="84"/>
      <c r="K828" s="84"/>
      <c r="L828" s="83"/>
      <c r="M828" s="85"/>
      <c r="N828" s="84"/>
      <c r="O828" s="84"/>
      <c r="P828" s="84"/>
    </row>
    <row r="829" spans="1:16" ht="15.75" customHeight="1">
      <c r="A829" s="80"/>
      <c r="B829" s="81"/>
      <c r="C829" s="82"/>
      <c r="D829" s="81"/>
      <c r="E829" s="82"/>
      <c r="F829" s="83"/>
      <c r="G829" s="81"/>
      <c r="H829" s="82"/>
      <c r="I829" s="84"/>
      <c r="J829" s="84"/>
      <c r="K829" s="84"/>
      <c r="L829" s="83"/>
      <c r="M829" s="85"/>
      <c r="N829" s="84"/>
      <c r="O829" s="84"/>
      <c r="P829" s="84"/>
    </row>
    <row r="830" spans="1:16" ht="15.75" customHeight="1">
      <c r="A830" s="80"/>
      <c r="B830" s="81"/>
      <c r="C830" s="82"/>
      <c r="D830" s="81"/>
      <c r="E830" s="82"/>
      <c r="F830" s="83"/>
      <c r="G830" s="81"/>
      <c r="H830" s="82"/>
      <c r="I830" s="84"/>
      <c r="J830" s="84"/>
      <c r="K830" s="84"/>
      <c r="L830" s="83"/>
      <c r="M830" s="85"/>
      <c r="N830" s="84"/>
      <c r="O830" s="84"/>
      <c r="P830" s="84"/>
    </row>
    <row r="831" spans="1:16" ht="15.75" customHeight="1">
      <c r="A831" s="80"/>
      <c r="B831" s="81"/>
      <c r="C831" s="82"/>
      <c r="D831" s="81"/>
      <c r="E831" s="82"/>
      <c r="F831" s="83"/>
      <c r="G831" s="81"/>
      <c r="H831" s="82"/>
      <c r="I831" s="84"/>
      <c r="J831" s="84"/>
      <c r="K831" s="84"/>
      <c r="L831" s="83"/>
      <c r="M831" s="85"/>
      <c r="N831" s="84"/>
      <c r="O831" s="84"/>
      <c r="P831" s="84"/>
    </row>
    <row r="832" spans="1:16" ht="15.75" customHeight="1">
      <c r="A832" s="80"/>
      <c r="B832" s="81"/>
      <c r="C832" s="82"/>
      <c r="D832" s="81"/>
      <c r="E832" s="82"/>
      <c r="F832" s="83"/>
      <c r="G832" s="81"/>
      <c r="H832" s="82"/>
      <c r="I832" s="84"/>
      <c r="J832" s="84"/>
      <c r="K832" s="84"/>
      <c r="L832" s="83"/>
      <c r="M832" s="85"/>
      <c r="N832" s="84"/>
      <c r="O832" s="84"/>
      <c r="P832" s="84"/>
    </row>
    <row r="833" spans="1:16" ht="15.75" customHeight="1">
      <c r="A833" s="80"/>
      <c r="B833" s="81"/>
      <c r="C833" s="82"/>
      <c r="D833" s="81"/>
      <c r="E833" s="82"/>
      <c r="F833" s="83"/>
      <c r="G833" s="81"/>
      <c r="H833" s="82"/>
      <c r="I833" s="84"/>
      <c r="J833" s="84"/>
      <c r="K833" s="84"/>
      <c r="L833" s="83"/>
      <c r="M833" s="85"/>
      <c r="N833" s="84"/>
      <c r="O833" s="84"/>
      <c r="P833" s="84"/>
    </row>
    <row r="834" spans="1:16" ht="15.75" customHeight="1">
      <c r="A834" s="80"/>
      <c r="B834" s="81"/>
      <c r="C834" s="82"/>
      <c r="D834" s="81"/>
      <c r="E834" s="82"/>
      <c r="F834" s="83"/>
      <c r="G834" s="81"/>
      <c r="H834" s="82"/>
      <c r="I834" s="84"/>
      <c r="J834" s="84"/>
      <c r="K834" s="84"/>
      <c r="L834" s="83"/>
      <c r="M834" s="85"/>
      <c r="N834" s="84"/>
      <c r="O834" s="84"/>
      <c r="P834" s="84"/>
    </row>
    <row r="835" spans="1:16" ht="15.75" customHeight="1">
      <c r="A835" s="80"/>
      <c r="B835" s="81"/>
      <c r="C835" s="82"/>
      <c r="D835" s="81"/>
      <c r="E835" s="82"/>
      <c r="F835" s="83"/>
      <c r="G835" s="81"/>
      <c r="H835" s="82"/>
      <c r="I835" s="84"/>
      <c r="J835" s="84"/>
      <c r="K835" s="84"/>
      <c r="L835" s="83"/>
      <c r="M835" s="85"/>
      <c r="N835" s="84"/>
      <c r="O835" s="84"/>
      <c r="P835" s="84"/>
    </row>
    <row r="836" spans="1:16" ht="15.75" customHeight="1">
      <c r="A836" s="80"/>
      <c r="B836" s="81"/>
      <c r="C836" s="82"/>
      <c r="D836" s="81"/>
      <c r="E836" s="82"/>
      <c r="F836" s="83"/>
      <c r="G836" s="81"/>
      <c r="H836" s="82"/>
      <c r="I836" s="84"/>
      <c r="J836" s="84"/>
      <c r="K836" s="84"/>
      <c r="L836" s="83"/>
      <c r="M836" s="85"/>
      <c r="N836" s="84"/>
      <c r="O836" s="84"/>
      <c r="P836" s="84"/>
    </row>
    <row r="837" spans="1:16" ht="15.75" customHeight="1">
      <c r="A837" s="80"/>
      <c r="B837" s="81"/>
      <c r="C837" s="82"/>
      <c r="D837" s="81"/>
      <c r="E837" s="82"/>
      <c r="F837" s="83"/>
      <c r="G837" s="81"/>
      <c r="H837" s="82"/>
      <c r="I837" s="84"/>
      <c r="J837" s="84"/>
      <c r="K837" s="84"/>
      <c r="L837" s="83"/>
      <c r="M837" s="85"/>
      <c r="N837" s="84"/>
      <c r="O837" s="84"/>
      <c r="P837" s="84"/>
    </row>
    <row r="838" spans="1:16" ht="15.75" customHeight="1">
      <c r="A838" s="80"/>
      <c r="B838" s="81"/>
      <c r="C838" s="82"/>
      <c r="D838" s="81"/>
      <c r="E838" s="82"/>
      <c r="F838" s="83"/>
      <c r="G838" s="81"/>
      <c r="H838" s="82"/>
      <c r="I838" s="84"/>
      <c r="J838" s="84"/>
      <c r="K838" s="84"/>
      <c r="L838" s="83"/>
      <c r="M838" s="85"/>
      <c r="N838" s="84"/>
      <c r="O838" s="84"/>
      <c r="P838" s="84"/>
    </row>
    <row r="839" spans="1:16" ht="15.75" customHeight="1">
      <c r="A839" s="80"/>
      <c r="B839" s="81"/>
      <c r="C839" s="82"/>
      <c r="D839" s="81"/>
      <c r="E839" s="82"/>
      <c r="F839" s="83"/>
      <c r="G839" s="81"/>
      <c r="H839" s="82"/>
      <c r="I839" s="84"/>
      <c r="J839" s="84"/>
      <c r="K839" s="84"/>
      <c r="L839" s="83"/>
      <c r="M839" s="85"/>
      <c r="N839" s="84"/>
      <c r="O839" s="84"/>
      <c r="P839" s="84"/>
    </row>
    <row r="840" spans="1:16" ht="15.75" customHeight="1">
      <c r="A840" s="80"/>
      <c r="B840" s="81"/>
      <c r="C840" s="82"/>
      <c r="D840" s="81"/>
      <c r="E840" s="82"/>
      <c r="F840" s="83"/>
      <c r="G840" s="81"/>
      <c r="H840" s="82"/>
      <c r="I840" s="84"/>
      <c r="J840" s="84"/>
      <c r="K840" s="84"/>
      <c r="L840" s="83"/>
      <c r="M840" s="85"/>
      <c r="N840" s="84"/>
      <c r="O840" s="84"/>
      <c r="P840" s="84"/>
    </row>
    <row r="841" spans="1:16" ht="15.75" customHeight="1">
      <c r="A841" s="80"/>
      <c r="B841" s="81"/>
      <c r="C841" s="82"/>
      <c r="D841" s="81"/>
      <c r="E841" s="82"/>
      <c r="F841" s="83"/>
      <c r="G841" s="81"/>
      <c r="H841" s="82"/>
      <c r="I841" s="84"/>
      <c r="J841" s="84"/>
      <c r="K841" s="84"/>
      <c r="L841" s="83"/>
      <c r="M841" s="85"/>
      <c r="N841" s="84"/>
      <c r="O841" s="84"/>
      <c r="P841" s="84"/>
    </row>
    <row r="842" spans="1:16" ht="15.75" customHeight="1">
      <c r="A842" s="80"/>
      <c r="B842" s="81"/>
      <c r="C842" s="82"/>
      <c r="D842" s="81"/>
      <c r="E842" s="82"/>
      <c r="F842" s="83"/>
      <c r="G842" s="81"/>
      <c r="H842" s="82"/>
      <c r="I842" s="84"/>
      <c r="J842" s="84"/>
      <c r="K842" s="84"/>
      <c r="L842" s="83"/>
      <c r="M842" s="85"/>
      <c r="N842" s="84"/>
      <c r="O842" s="84"/>
      <c r="P842" s="84"/>
    </row>
    <row r="843" spans="1:16" ht="15.75" customHeight="1">
      <c r="A843" s="80"/>
      <c r="B843" s="81"/>
      <c r="C843" s="82"/>
      <c r="D843" s="81"/>
      <c r="E843" s="82"/>
      <c r="F843" s="83"/>
      <c r="G843" s="81"/>
      <c r="H843" s="82"/>
      <c r="I843" s="84"/>
      <c r="J843" s="84"/>
      <c r="K843" s="84"/>
      <c r="L843" s="83"/>
      <c r="M843" s="85"/>
      <c r="N843" s="84"/>
      <c r="O843" s="84"/>
      <c r="P843" s="84"/>
    </row>
    <row r="844" spans="1:16" ht="15.75" customHeight="1">
      <c r="A844" s="80"/>
      <c r="B844" s="81"/>
      <c r="C844" s="82"/>
      <c r="D844" s="81"/>
      <c r="E844" s="82"/>
      <c r="F844" s="83"/>
      <c r="G844" s="81"/>
      <c r="H844" s="82"/>
      <c r="I844" s="84"/>
      <c r="J844" s="84"/>
      <c r="K844" s="84"/>
      <c r="L844" s="83"/>
      <c r="M844" s="85"/>
      <c r="N844" s="84"/>
      <c r="O844" s="84"/>
      <c r="P844" s="84"/>
    </row>
    <row r="845" spans="1:16" ht="15.75" customHeight="1">
      <c r="A845" s="80"/>
      <c r="B845" s="81"/>
      <c r="C845" s="82"/>
      <c r="D845" s="81"/>
      <c r="E845" s="82"/>
      <c r="F845" s="83"/>
      <c r="G845" s="81"/>
      <c r="H845" s="82"/>
      <c r="I845" s="84"/>
      <c r="J845" s="84"/>
      <c r="K845" s="84"/>
      <c r="L845" s="83"/>
      <c r="M845" s="85"/>
      <c r="N845" s="84"/>
      <c r="O845" s="84"/>
      <c r="P845" s="84"/>
    </row>
    <row r="846" spans="1:16" ht="15.75" customHeight="1">
      <c r="A846" s="80"/>
      <c r="B846" s="81"/>
      <c r="C846" s="82"/>
      <c r="D846" s="81"/>
      <c r="E846" s="82"/>
      <c r="F846" s="83"/>
      <c r="G846" s="81"/>
      <c r="H846" s="82"/>
      <c r="I846" s="84"/>
      <c r="J846" s="84"/>
      <c r="K846" s="84"/>
      <c r="L846" s="83"/>
      <c r="M846" s="85"/>
      <c r="N846" s="84"/>
      <c r="O846" s="84"/>
      <c r="P846" s="84"/>
    </row>
    <row r="847" spans="1:16" ht="15.75" customHeight="1">
      <c r="A847" s="80"/>
      <c r="B847" s="81"/>
      <c r="C847" s="82"/>
      <c r="D847" s="81"/>
      <c r="E847" s="82"/>
      <c r="F847" s="83"/>
      <c r="G847" s="81"/>
      <c r="H847" s="82"/>
      <c r="I847" s="84"/>
      <c r="J847" s="84"/>
      <c r="K847" s="84"/>
      <c r="L847" s="83"/>
      <c r="M847" s="85"/>
      <c r="N847" s="84"/>
      <c r="O847" s="84"/>
      <c r="P847" s="84"/>
    </row>
    <row r="848" spans="1:16" ht="15.75" customHeight="1">
      <c r="A848" s="80"/>
      <c r="B848" s="81"/>
      <c r="C848" s="82"/>
      <c r="D848" s="81"/>
      <c r="E848" s="82"/>
      <c r="F848" s="83"/>
      <c r="G848" s="81"/>
      <c r="H848" s="82"/>
      <c r="I848" s="84"/>
      <c r="J848" s="84"/>
      <c r="K848" s="84"/>
      <c r="L848" s="83"/>
      <c r="M848" s="85"/>
      <c r="N848" s="84"/>
      <c r="O848" s="84"/>
      <c r="P848" s="84"/>
    </row>
    <row r="849" spans="1:16" ht="15.75" customHeight="1">
      <c r="A849" s="80"/>
      <c r="B849" s="81"/>
      <c r="C849" s="82"/>
      <c r="D849" s="81"/>
      <c r="E849" s="82"/>
      <c r="F849" s="83"/>
      <c r="G849" s="81"/>
      <c r="H849" s="82"/>
      <c r="I849" s="84"/>
      <c r="J849" s="84"/>
      <c r="K849" s="84"/>
      <c r="L849" s="83"/>
      <c r="M849" s="85"/>
      <c r="N849" s="84"/>
      <c r="O849" s="84"/>
      <c r="P849" s="84"/>
    </row>
    <row r="850" spans="1:16" ht="15.75" customHeight="1">
      <c r="A850" s="80"/>
      <c r="B850" s="81"/>
      <c r="C850" s="82"/>
      <c r="D850" s="81"/>
      <c r="E850" s="82"/>
      <c r="F850" s="83"/>
      <c r="G850" s="81"/>
      <c r="H850" s="82"/>
      <c r="I850" s="84"/>
      <c r="J850" s="84"/>
      <c r="K850" s="84"/>
      <c r="L850" s="83"/>
      <c r="M850" s="85"/>
      <c r="N850" s="84"/>
      <c r="O850" s="84"/>
      <c r="P850" s="84"/>
    </row>
    <row r="851" spans="1:16" ht="15.75" customHeight="1">
      <c r="A851" s="80"/>
      <c r="B851" s="81"/>
      <c r="C851" s="82"/>
      <c r="D851" s="81"/>
      <c r="E851" s="82"/>
      <c r="F851" s="83"/>
      <c r="G851" s="81"/>
      <c r="H851" s="82"/>
      <c r="I851" s="84"/>
      <c r="J851" s="84"/>
      <c r="K851" s="84"/>
      <c r="L851" s="83"/>
      <c r="M851" s="85"/>
      <c r="N851" s="84"/>
      <c r="O851" s="84"/>
      <c r="P851" s="84"/>
    </row>
    <row r="852" spans="1:16" ht="15.75" customHeight="1">
      <c r="A852" s="80"/>
      <c r="B852" s="81"/>
      <c r="C852" s="82"/>
      <c r="D852" s="81"/>
      <c r="E852" s="82"/>
      <c r="F852" s="83"/>
      <c r="G852" s="81"/>
      <c r="H852" s="82"/>
      <c r="I852" s="84"/>
      <c r="J852" s="84"/>
      <c r="K852" s="84"/>
      <c r="L852" s="83"/>
      <c r="M852" s="85"/>
      <c r="N852" s="84"/>
      <c r="O852" s="84"/>
      <c r="P852" s="84"/>
    </row>
    <row r="853" spans="1:16" ht="15.75" customHeight="1">
      <c r="A853" s="80"/>
      <c r="B853" s="81"/>
      <c r="C853" s="82"/>
      <c r="D853" s="81"/>
      <c r="E853" s="82"/>
      <c r="F853" s="83"/>
      <c r="G853" s="81"/>
      <c r="H853" s="82"/>
      <c r="I853" s="84"/>
      <c r="J853" s="84"/>
      <c r="K853" s="84"/>
      <c r="L853" s="83"/>
      <c r="M853" s="85"/>
      <c r="N853" s="84"/>
      <c r="O853" s="84"/>
      <c r="P853" s="84"/>
    </row>
    <row r="854" spans="1:16" ht="15.75" customHeight="1">
      <c r="A854" s="80"/>
      <c r="B854" s="81"/>
      <c r="C854" s="82"/>
      <c r="D854" s="81"/>
      <c r="E854" s="82"/>
      <c r="F854" s="83"/>
      <c r="G854" s="81"/>
      <c r="H854" s="82"/>
      <c r="I854" s="84"/>
      <c r="J854" s="84"/>
      <c r="K854" s="84"/>
      <c r="L854" s="83"/>
      <c r="M854" s="85"/>
      <c r="N854" s="84"/>
      <c r="O854" s="84"/>
      <c r="P854" s="84"/>
    </row>
    <row r="855" spans="1:16" ht="15.75" customHeight="1">
      <c r="A855" s="80"/>
      <c r="B855" s="81"/>
      <c r="C855" s="82"/>
      <c r="D855" s="81"/>
      <c r="E855" s="82"/>
      <c r="F855" s="83"/>
      <c r="G855" s="81"/>
      <c r="H855" s="82"/>
      <c r="I855" s="84"/>
      <c r="J855" s="84"/>
      <c r="K855" s="84"/>
      <c r="L855" s="83"/>
      <c r="M855" s="85"/>
      <c r="N855" s="84"/>
      <c r="O855" s="84"/>
      <c r="P855" s="84"/>
    </row>
    <row r="856" spans="1:16" ht="15.75" customHeight="1">
      <c r="A856" s="80"/>
      <c r="B856" s="81"/>
      <c r="C856" s="82"/>
      <c r="D856" s="81"/>
      <c r="E856" s="82"/>
      <c r="F856" s="83"/>
      <c r="G856" s="81"/>
      <c r="H856" s="82"/>
      <c r="I856" s="84"/>
      <c r="J856" s="84"/>
      <c r="K856" s="84"/>
      <c r="L856" s="83"/>
      <c r="M856" s="85"/>
      <c r="N856" s="84"/>
      <c r="O856" s="84"/>
      <c r="P856" s="84"/>
    </row>
    <row r="857" spans="1:16" ht="15.75" customHeight="1">
      <c r="A857" s="80"/>
      <c r="B857" s="81"/>
      <c r="C857" s="82"/>
      <c r="D857" s="81"/>
      <c r="E857" s="82"/>
      <c r="F857" s="83"/>
      <c r="G857" s="81"/>
      <c r="H857" s="82"/>
      <c r="I857" s="84"/>
      <c r="J857" s="84"/>
      <c r="K857" s="84"/>
      <c r="L857" s="83"/>
      <c r="M857" s="85"/>
      <c r="N857" s="84"/>
      <c r="O857" s="84"/>
      <c r="P857" s="84"/>
    </row>
    <row r="858" spans="1:16" ht="15.75" customHeight="1">
      <c r="A858" s="80"/>
      <c r="B858" s="81"/>
      <c r="C858" s="82"/>
      <c r="D858" s="81"/>
      <c r="E858" s="82"/>
      <c r="F858" s="83"/>
      <c r="G858" s="81"/>
      <c r="H858" s="82"/>
      <c r="I858" s="84"/>
      <c r="J858" s="84"/>
      <c r="K858" s="84"/>
      <c r="L858" s="83"/>
      <c r="M858" s="85"/>
      <c r="N858" s="84"/>
      <c r="O858" s="84"/>
      <c r="P858" s="84"/>
    </row>
    <row r="859" spans="1:16" ht="15.75" customHeight="1">
      <c r="A859" s="80"/>
      <c r="B859" s="81"/>
      <c r="C859" s="82"/>
      <c r="D859" s="81"/>
      <c r="E859" s="82"/>
      <c r="F859" s="83"/>
      <c r="G859" s="81"/>
      <c r="H859" s="82"/>
      <c r="I859" s="84"/>
      <c r="J859" s="84"/>
      <c r="K859" s="84"/>
      <c r="L859" s="83"/>
      <c r="M859" s="85"/>
      <c r="N859" s="84"/>
      <c r="O859" s="84"/>
      <c r="P859" s="84"/>
    </row>
    <row r="860" spans="1:16" ht="15.75" customHeight="1">
      <c r="A860" s="80"/>
      <c r="B860" s="81"/>
      <c r="C860" s="82"/>
      <c r="D860" s="81"/>
      <c r="E860" s="82"/>
      <c r="F860" s="83"/>
      <c r="G860" s="81"/>
      <c r="H860" s="82"/>
      <c r="I860" s="84"/>
      <c r="J860" s="84"/>
      <c r="K860" s="84"/>
      <c r="L860" s="83"/>
      <c r="M860" s="85"/>
      <c r="N860" s="84"/>
      <c r="O860" s="84"/>
      <c r="P860" s="84"/>
    </row>
    <row r="861" spans="1:16" ht="15.75" customHeight="1">
      <c r="A861" s="80"/>
      <c r="B861" s="81"/>
      <c r="C861" s="82"/>
      <c r="D861" s="81"/>
      <c r="E861" s="82"/>
      <c r="F861" s="83"/>
      <c r="G861" s="81"/>
      <c r="H861" s="82"/>
      <c r="I861" s="84"/>
      <c r="J861" s="84"/>
      <c r="K861" s="84"/>
      <c r="L861" s="83"/>
      <c r="M861" s="85"/>
      <c r="N861" s="84"/>
      <c r="O861" s="84"/>
      <c r="P861" s="84"/>
    </row>
    <row r="862" spans="1:16" ht="15.75" customHeight="1">
      <c r="A862" s="80"/>
      <c r="B862" s="81"/>
      <c r="C862" s="82"/>
      <c r="D862" s="81"/>
      <c r="E862" s="82"/>
      <c r="F862" s="83"/>
      <c r="G862" s="81"/>
      <c r="H862" s="82"/>
      <c r="I862" s="84"/>
      <c r="J862" s="84"/>
      <c r="K862" s="84"/>
      <c r="L862" s="83"/>
      <c r="M862" s="85"/>
      <c r="N862" s="84"/>
      <c r="O862" s="84"/>
      <c r="P862" s="84"/>
    </row>
    <row r="863" spans="1:16" ht="15.75" customHeight="1">
      <c r="A863" s="80"/>
      <c r="B863" s="81"/>
      <c r="C863" s="82"/>
      <c r="D863" s="81"/>
      <c r="E863" s="82"/>
      <c r="F863" s="83"/>
      <c r="G863" s="81"/>
      <c r="H863" s="82"/>
      <c r="I863" s="84"/>
      <c r="J863" s="84"/>
      <c r="K863" s="84"/>
      <c r="L863" s="83"/>
      <c r="M863" s="85"/>
      <c r="N863" s="84"/>
      <c r="O863" s="84"/>
      <c r="P863" s="84"/>
    </row>
    <row r="864" spans="1:16" ht="15.75" customHeight="1">
      <c r="A864" s="80"/>
      <c r="B864" s="81"/>
      <c r="C864" s="82"/>
      <c r="D864" s="81"/>
      <c r="E864" s="82"/>
      <c r="F864" s="83"/>
      <c r="G864" s="81"/>
      <c r="H864" s="82"/>
      <c r="I864" s="84"/>
      <c r="J864" s="84"/>
      <c r="K864" s="84"/>
      <c r="L864" s="83"/>
      <c r="M864" s="85"/>
      <c r="N864" s="84"/>
      <c r="O864" s="84"/>
      <c r="P864" s="84"/>
    </row>
    <row r="865" spans="1:16" ht="15.75" customHeight="1">
      <c r="A865" s="80"/>
      <c r="B865" s="81"/>
      <c r="C865" s="82"/>
      <c r="D865" s="81"/>
      <c r="E865" s="82"/>
      <c r="F865" s="83"/>
      <c r="G865" s="81"/>
      <c r="H865" s="82"/>
      <c r="I865" s="84"/>
      <c r="J865" s="84"/>
      <c r="K865" s="84"/>
      <c r="L865" s="83"/>
      <c r="M865" s="85"/>
      <c r="N865" s="84"/>
      <c r="O865" s="84"/>
      <c r="P865" s="84"/>
    </row>
    <row r="866" spans="1:16" ht="15.75" customHeight="1">
      <c r="A866" s="80"/>
      <c r="B866" s="81"/>
      <c r="C866" s="82"/>
      <c r="D866" s="81"/>
      <c r="E866" s="82"/>
      <c r="F866" s="83"/>
      <c r="G866" s="81"/>
      <c r="H866" s="82"/>
      <c r="I866" s="84"/>
      <c r="J866" s="84"/>
      <c r="K866" s="84"/>
      <c r="L866" s="83"/>
      <c r="M866" s="85"/>
      <c r="N866" s="84"/>
      <c r="O866" s="84"/>
      <c r="P866" s="84"/>
    </row>
    <row r="867" spans="1:16" ht="15.75" customHeight="1">
      <c r="A867" s="80"/>
      <c r="B867" s="81"/>
      <c r="C867" s="82"/>
      <c r="D867" s="81"/>
      <c r="E867" s="82"/>
      <c r="F867" s="83"/>
      <c r="G867" s="81"/>
      <c r="H867" s="82"/>
      <c r="I867" s="84"/>
      <c r="J867" s="84"/>
      <c r="K867" s="84"/>
      <c r="L867" s="83"/>
      <c r="M867" s="85"/>
      <c r="N867" s="84"/>
      <c r="O867" s="84"/>
      <c r="P867" s="84"/>
    </row>
    <row r="868" spans="1:16" ht="15.75" customHeight="1">
      <c r="A868" s="80"/>
      <c r="B868" s="81"/>
      <c r="C868" s="82"/>
      <c r="D868" s="81"/>
      <c r="E868" s="82"/>
      <c r="F868" s="83"/>
      <c r="G868" s="81"/>
      <c r="H868" s="82"/>
      <c r="I868" s="84"/>
      <c r="J868" s="84"/>
      <c r="K868" s="84"/>
      <c r="L868" s="83"/>
      <c r="M868" s="85"/>
      <c r="N868" s="84"/>
      <c r="O868" s="84"/>
      <c r="P868" s="84"/>
    </row>
    <row r="869" spans="1:16" ht="15.75" customHeight="1">
      <c r="A869" s="80"/>
      <c r="B869" s="81"/>
      <c r="C869" s="82"/>
      <c r="D869" s="81"/>
      <c r="E869" s="82"/>
      <c r="F869" s="83"/>
      <c r="G869" s="81"/>
      <c r="H869" s="82"/>
      <c r="I869" s="84"/>
      <c r="J869" s="84"/>
      <c r="K869" s="84"/>
      <c r="L869" s="83"/>
      <c r="M869" s="85"/>
      <c r="N869" s="84"/>
      <c r="O869" s="84"/>
      <c r="P869" s="84"/>
    </row>
    <row r="870" spans="1:16" ht="15.75" customHeight="1">
      <c r="A870" s="80"/>
      <c r="B870" s="81"/>
      <c r="C870" s="82"/>
      <c r="D870" s="81"/>
      <c r="E870" s="82"/>
      <c r="F870" s="83"/>
      <c r="G870" s="81"/>
      <c r="H870" s="82"/>
      <c r="I870" s="84"/>
      <c r="J870" s="84"/>
      <c r="K870" s="84"/>
      <c r="L870" s="83"/>
      <c r="M870" s="85"/>
      <c r="N870" s="84"/>
      <c r="O870" s="84"/>
      <c r="P870" s="84"/>
    </row>
    <row r="871" spans="1:16" ht="15.75" customHeight="1">
      <c r="A871" s="80"/>
      <c r="B871" s="81"/>
      <c r="C871" s="82"/>
      <c r="D871" s="81"/>
      <c r="E871" s="82"/>
      <c r="F871" s="83"/>
      <c r="G871" s="81"/>
      <c r="H871" s="82"/>
      <c r="I871" s="84"/>
      <c r="J871" s="84"/>
      <c r="K871" s="84"/>
      <c r="L871" s="83"/>
      <c r="M871" s="85"/>
      <c r="N871" s="84"/>
      <c r="O871" s="84"/>
      <c r="P871" s="84"/>
    </row>
    <row r="872" spans="1:16" ht="15.75" customHeight="1">
      <c r="A872" s="80"/>
      <c r="B872" s="81"/>
      <c r="C872" s="82"/>
      <c r="D872" s="81"/>
      <c r="E872" s="82"/>
      <c r="F872" s="83"/>
      <c r="G872" s="81"/>
      <c r="H872" s="82"/>
      <c r="I872" s="84"/>
      <c r="J872" s="84"/>
      <c r="K872" s="84"/>
      <c r="L872" s="83"/>
      <c r="M872" s="85"/>
      <c r="N872" s="84"/>
      <c r="O872" s="84"/>
      <c r="P872" s="84"/>
    </row>
    <row r="873" spans="1:16" ht="15.75" customHeight="1">
      <c r="A873" s="80"/>
      <c r="B873" s="81"/>
      <c r="C873" s="82"/>
      <c r="D873" s="81"/>
      <c r="E873" s="82"/>
      <c r="F873" s="83"/>
      <c r="G873" s="81"/>
      <c r="H873" s="82"/>
      <c r="I873" s="84"/>
      <c r="J873" s="84"/>
      <c r="K873" s="84"/>
      <c r="L873" s="83"/>
      <c r="M873" s="85"/>
      <c r="N873" s="84"/>
      <c r="O873" s="84"/>
      <c r="P873" s="84"/>
    </row>
    <row r="874" spans="1:16" ht="15.75" customHeight="1">
      <c r="A874" s="80"/>
      <c r="B874" s="81"/>
      <c r="C874" s="82"/>
      <c r="D874" s="81"/>
      <c r="E874" s="82"/>
      <c r="F874" s="83"/>
      <c r="G874" s="81"/>
      <c r="H874" s="82"/>
      <c r="I874" s="84"/>
      <c r="J874" s="84"/>
      <c r="K874" s="84"/>
      <c r="L874" s="83"/>
      <c r="M874" s="85"/>
      <c r="N874" s="84"/>
      <c r="O874" s="84"/>
      <c r="P874" s="84"/>
    </row>
    <row r="875" spans="1:16" ht="15.75" customHeight="1">
      <c r="A875" s="80"/>
      <c r="B875" s="81"/>
      <c r="C875" s="82"/>
      <c r="D875" s="81"/>
      <c r="E875" s="82"/>
      <c r="F875" s="83"/>
      <c r="G875" s="81"/>
      <c r="H875" s="82"/>
      <c r="I875" s="84"/>
      <c r="J875" s="84"/>
      <c r="K875" s="84"/>
      <c r="L875" s="83"/>
      <c r="M875" s="85"/>
      <c r="N875" s="84"/>
      <c r="O875" s="84"/>
      <c r="P875" s="84"/>
    </row>
    <row r="876" spans="1:16" ht="15.75" customHeight="1">
      <c r="A876" s="80"/>
      <c r="B876" s="81"/>
      <c r="C876" s="82"/>
      <c r="D876" s="81"/>
      <c r="E876" s="82"/>
      <c r="F876" s="83"/>
      <c r="G876" s="81"/>
      <c r="H876" s="82"/>
      <c r="I876" s="84"/>
      <c r="J876" s="84"/>
      <c r="K876" s="84"/>
      <c r="L876" s="83"/>
      <c r="M876" s="85"/>
      <c r="N876" s="84"/>
      <c r="O876" s="84"/>
      <c r="P876" s="84"/>
    </row>
    <row r="877" spans="1:16" ht="15.75" customHeight="1">
      <c r="A877" s="80"/>
      <c r="B877" s="81"/>
      <c r="C877" s="82"/>
      <c r="D877" s="81"/>
      <c r="E877" s="82"/>
      <c r="F877" s="83"/>
      <c r="G877" s="81"/>
      <c r="H877" s="82"/>
      <c r="I877" s="84"/>
      <c r="J877" s="84"/>
      <c r="K877" s="84"/>
      <c r="L877" s="83"/>
      <c r="M877" s="85"/>
      <c r="N877" s="84"/>
      <c r="O877" s="84"/>
      <c r="P877" s="84"/>
    </row>
    <row r="878" spans="1:16" ht="15.75" customHeight="1">
      <c r="A878" s="80"/>
      <c r="B878" s="81"/>
      <c r="C878" s="82"/>
      <c r="D878" s="81"/>
      <c r="E878" s="82"/>
      <c r="F878" s="83"/>
      <c r="G878" s="81"/>
      <c r="H878" s="82"/>
      <c r="I878" s="84"/>
      <c r="J878" s="84"/>
      <c r="K878" s="84"/>
      <c r="L878" s="83"/>
      <c r="M878" s="85"/>
      <c r="N878" s="84"/>
      <c r="O878" s="84"/>
      <c r="P878" s="84"/>
    </row>
    <row r="879" spans="1:16" ht="15.75" customHeight="1">
      <c r="A879" s="80"/>
      <c r="B879" s="81"/>
      <c r="C879" s="82"/>
      <c r="D879" s="81"/>
      <c r="E879" s="82"/>
      <c r="F879" s="83"/>
      <c r="G879" s="81"/>
      <c r="H879" s="82"/>
      <c r="I879" s="84"/>
      <c r="J879" s="84"/>
      <c r="K879" s="84"/>
      <c r="L879" s="83"/>
      <c r="M879" s="85"/>
      <c r="N879" s="84"/>
      <c r="O879" s="84"/>
      <c r="P879" s="84"/>
    </row>
    <row r="880" spans="1:16" ht="15.75" customHeight="1">
      <c r="A880" s="80"/>
      <c r="B880" s="81"/>
      <c r="C880" s="82"/>
      <c r="D880" s="81"/>
      <c r="E880" s="82"/>
      <c r="F880" s="83"/>
      <c r="G880" s="81"/>
      <c r="H880" s="82"/>
      <c r="I880" s="84"/>
      <c r="J880" s="84"/>
      <c r="K880" s="84"/>
      <c r="L880" s="83"/>
      <c r="M880" s="85"/>
      <c r="N880" s="84"/>
      <c r="O880" s="84"/>
      <c r="P880" s="84"/>
    </row>
    <row r="881" spans="1:16" ht="15.75" customHeight="1">
      <c r="A881" s="80"/>
      <c r="B881" s="81"/>
      <c r="C881" s="82"/>
      <c r="D881" s="81"/>
      <c r="E881" s="82"/>
      <c r="F881" s="83"/>
      <c r="G881" s="81"/>
      <c r="H881" s="82"/>
      <c r="I881" s="84"/>
      <c r="J881" s="84"/>
      <c r="K881" s="84"/>
      <c r="L881" s="83"/>
      <c r="M881" s="85"/>
      <c r="N881" s="84"/>
      <c r="O881" s="84"/>
      <c r="P881" s="84"/>
    </row>
    <row r="882" spans="1:16" ht="15.75" customHeight="1">
      <c r="A882" s="80"/>
      <c r="B882" s="81"/>
      <c r="C882" s="82"/>
      <c r="D882" s="81"/>
      <c r="E882" s="82"/>
      <c r="F882" s="83"/>
      <c r="G882" s="81"/>
      <c r="H882" s="82"/>
      <c r="I882" s="84"/>
      <c r="J882" s="84"/>
      <c r="K882" s="84"/>
      <c r="L882" s="83"/>
      <c r="M882" s="85"/>
      <c r="N882" s="84"/>
      <c r="O882" s="84"/>
      <c r="P882" s="84"/>
    </row>
    <row r="883" spans="1:16" ht="15.75" customHeight="1">
      <c r="A883" s="80"/>
      <c r="B883" s="81"/>
      <c r="C883" s="82"/>
      <c r="D883" s="81"/>
      <c r="E883" s="82"/>
      <c r="F883" s="83"/>
      <c r="G883" s="81"/>
      <c r="H883" s="82"/>
      <c r="I883" s="84"/>
      <c r="J883" s="84"/>
      <c r="K883" s="84"/>
      <c r="L883" s="83"/>
      <c r="M883" s="85"/>
      <c r="N883" s="84"/>
      <c r="O883" s="84"/>
      <c r="P883" s="84"/>
    </row>
    <row r="884" spans="1:16" ht="15.75" customHeight="1">
      <c r="A884" s="80"/>
      <c r="B884" s="81"/>
      <c r="C884" s="82"/>
      <c r="D884" s="81"/>
      <c r="E884" s="82"/>
      <c r="F884" s="83"/>
      <c r="G884" s="81"/>
      <c r="H884" s="82"/>
      <c r="I884" s="84"/>
      <c r="J884" s="84"/>
      <c r="K884" s="84"/>
      <c r="L884" s="83"/>
      <c r="M884" s="85"/>
      <c r="N884" s="84"/>
      <c r="O884" s="84"/>
      <c r="P884" s="84"/>
    </row>
    <row r="885" spans="1:16" ht="15.75" customHeight="1">
      <c r="A885" s="80"/>
      <c r="B885" s="81"/>
      <c r="C885" s="82"/>
      <c r="D885" s="81"/>
      <c r="E885" s="82"/>
      <c r="F885" s="83"/>
      <c r="G885" s="81"/>
      <c r="H885" s="82"/>
      <c r="I885" s="84"/>
      <c r="J885" s="84"/>
      <c r="K885" s="84"/>
      <c r="L885" s="83"/>
      <c r="M885" s="85"/>
      <c r="N885" s="84"/>
      <c r="O885" s="84"/>
      <c r="P885" s="84"/>
    </row>
    <row r="886" spans="1:16" ht="15.75" customHeight="1">
      <c r="A886" s="80"/>
      <c r="B886" s="81"/>
      <c r="C886" s="82"/>
      <c r="D886" s="81"/>
      <c r="E886" s="82"/>
      <c r="F886" s="83"/>
      <c r="G886" s="81"/>
      <c r="H886" s="82"/>
      <c r="I886" s="84"/>
      <c r="J886" s="84"/>
      <c r="K886" s="84"/>
      <c r="L886" s="83"/>
      <c r="M886" s="85"/>
      <c r="N886" s="84"/>
      <c r="O886" s="84"/>
      <c r="P886" s="84"/>
    </row>
    <row r="887" spans="1:16" ht="15.75" customHeight="1">
      <c r="A887" s="80"/>
      <c r="B887" s="81"/>
      <c r="C887" s="82"/>
      <c r="D887" s="81"/>
      <c r="E887" s="82"/>
      <c r="F887" s="83"/>
      <c r="G887" s="81"/>
      <c r="H887" s="82"/>
      <c r="I887" s="84"/>
      <c r="J887" s="84"/>
      <c r="K887" s="84"/>
      <c r="L887" s="83"/>
      <c r="M887" s="85"/>
      <c r="N887" s="84"/>
      <c r="O887" s="84"/>
      <c r="P887" s="84"/>
    </row>
    <row r="888" spans="1:16" ht="15.75" customHeight="1">
      <c r="A888" s="80"/>
      <c r="B888" s="81"/>
      <c r="C888" s="82"/>
      <c r="D888" s="81"/>
      <c r="E888" s="82"/>
      <c r="F888" s="83"/>
      <c r="G888" s="81"/>
      <c r="H888" s="82"/>
      <c r="I888" s="84"/>
      <c r="J888" s="84"/>
      <c r="K888" s="84"/>
      <c r="L888" s="83"/>
      <c r="M888" s="85"/>
      <c r="N888" s="84"/>
      <c r="O888" s="84"/>
      <c r="P888" s="84"/>
    </row>
    <row r="889" spans="1:16" ht="15.75" customHeight="1">
      <c r="A889" s="80"/>
      <c r="B889" s="81"/>
      <c r="C889" s="82"/>
      <c r="D889" s="81"/>
      <c r="E889" s="82"/>
      <c r="F889" s="83"/>
      <c r="G889" s="81"/>
      <c r="H889" s="82"/>
      <c r="I889" s="84"/>
      <c r="J889" s="84"/>
      <c r="K889" s="84"/>
      <c r="L889" s="83"/>
      <c r="M889" s="85"/>
      <c r="N889" s="84"/>
      <c r="O889" s="84"/>
      <c r="P889" s="84"/>
    </row>
    <row r="890" spans="1:16" ht="15.75" customHeight="1">
      <c r="A890" s="80"/>
      <c r="B890" s="81"/>
      <c r="C890" s="82"/>
      <c r="D890" s="81"/>
      <c r="E890" s="82"/>
      <c r="F890" s="83"/>
      <c r="G890" s="81"/>
      <c r="H890" s="82"/>
      <c r="I890" s="84"/>
      <c r="J890" s="84"/>
      <c r="K890" s="84"/>
      <c r="L890" s="83"/>
      <c r="M890" s="85"/>
      <c r="N890" s="84"/>
      <c r="O890" s="84"/>
      <c r="P890" s="84"/>
    </row>
    <row r="891" spans="1:16" ht="15.75" customHeight="1">
      <c r="A891" s="80"/>
      <c r="B891" s="81"/>
      <c r="C891" s="82"/>
      <c r="D891" s="81"/>
      <c r="E891" s="82"/>
      <c r="F891" s="83"/>
      <c r="G891" s="81"/>
      <c r="H891" s="82"/>
      <c r="I891" s="84"/>
      <c r="J891" s="84"/>
      <c r="K891" s="84"/>
      <c r="L891" s="83"/>
      <c r="M891" s="85"/>
      <c r="N891" s="84"/>
      <c r="O891" s="84"/>
      <c r="P891" s="84"/>
    </row>
    <row r="892" spans="1:16" ht="15.75" customHeight="1">
      <c r="A892" s="80"/>
      <c r="B892" s="81"/>
      <c r="C892" s="82"/>
      <c r="D892" s="81"/>
      <c r="E892" s="82"/>
      <c r="F892" s="83"/>
      <c r="G892" s="81"/>
      <c r="H892" s="82"/>
      <c r="I892" s="84"/>
      <c r="J892" s="84"/>
      <c r="K892" s="84"/>
      <c r="L892" s="83"/>
      <c r="M892" s="85"/>
      <c r="N892" s="84"/>
      <c r="O892" s="84"/>
      <c r="P892" s="84"/>
    </row>
    <row r="893" spans="1:16" ht="15.75" customHeight="1">
      <c r="A893" s="80"/>
      <c r="B893" s="81"/>
      <c r="C893" s="82"/>
      <c r="D893" s="81"/>
      <c r="E893" s="82"/>
      <c r="F893" s="83"/>
      <c r="G893" s="81"/>
      <c r="H893" s="82"/>
      <c r="I893" s="84"/>
      <c r="J893" s="84"/>
      <c r="K893" s="84"/>
      <c r="L893" s="83"/>
      <c r="M893" s="85"/>
      <c r="N893" s="84"/>
      <c r="O893" s="84"/>
      <c r="P893" s="84"/>
    </row>
    <row r="894" spans="1:16" ht="15.75" customHeight="1">
      <c r="A894" s="80"/>
      <c r="B894" s="81"/>
      <c r="C894" s="82"/>
      <c r="D894" s="81"/>
      <c r="E894" s="82"/>
      <c r="F894" s="83"/>
      <c r="G894" s="81"/>
      <c r="H894" s="82"/>
      <c r="I894" s="84"/>
      <c r="J894" s="84"/>
      <c r="K894" s="84"/>
      <c r="L894" s="83"/>
      <c r="M894" s="85"/>
      <c r="N894" s="84"/>
      <c r="O894" s="84"/>
      <c r="P894" s="84"/>
    </row>
    <row r="895" spans="1:16" ht="15.75" customHeight="1">
      <c r="A895" s="80"/>
      <c r="B895" s="81"/>
      <c r="C895" s="82"/>
      <c r="D895" s="81"/>
      <c r="E895" s="82"/>
      <c r="F895" s="83"/>
      <c r="G895" s="81"/>
      <c r="H895" s="82"/>
      <c r="I895" s="84"/>
      <c r="J895" s="84"/>
      <c r="K895" s="84"/>
      <c r="L895" s="83"/>
      <c r="M895" s="85"/>
      <c r="N895" s="84"/>
      <c r="O895" s="84"/>
      <c r="P895" s="84"/>
    </row>
    <row r="896" spans="1:16" ht="15.75" customHeight="1">
      <c r="A896" s="80"/>
      <c r="B896" s="81"/>
      <c r="C896" s="82"/>
      <c r="D896" s="81"/>
      <c r="E896" s="82"/>
      <c r="F896" s="83"/>
      <c r="G896" s="81"/>
      <c r="H896" s="82"/>
      <c r="I896" s="84"/>
      <c r="J896" s="84"/>
      <c r="K896" s="84"/>
      <c r="L896" s="83"/>
      <c r="M896" s="85"/>
      <c r="N896" s="84"/>
      <c r="O896" s="84"/>
      <c r="P896" s="84"/>
    </row>
    <row r="897" spans="1:16" ht="15.75" customHeight="1">
      <c r="A897" s="80"/>
      <c r="B897" s="81"/>
      <c r="C897" s="82"/>
      <c r="D897" s="81"/>
      <c r="E897" s="82"/>
      <c r="F897" s="83"/>
      <c r="G897" s="81"/>
      <c r="H897" s="82"/>
      <c r="I897" s="84"/>
      <c r="J897" s="84"/>
      <c r="K897" s="84"/>
      <c r="L897" s="83"/>
      <c r="M897" s="85"/>
      <c r="N897" s="84"/>
      <c r="O897" s="84"/>
      <c r="P897" s="84"/>
    </row>
    <row r="898" spans="1:16" ht="15.75" customHeight="1">
      <c r="A898" s="80"/>
      <c r="B898" s="81"/>
      <c r="C898" s="82"/>
      <c r="D898" s="81"/>
      <c r="E898" s="82"/>
      <c r="F898" s="83"/>
      <c r="G898" s="81"/>
      <c r="H898" s="82"/>
      <c r="I898" s="84"/>
      <c r="J898" s="84"/>
      <c r="K898" s="84"/>
      <c r="L898" s="83"/>
      <c r="M898" s="85"/>
      <c r="N898" s="84"/>
      <c r="O898" s="84"/>
      <c r="P898" s="84"/>
    </row>
    <row r="899" spans="1:16" ht="15.75" customHeight="1">
      <c r="A899" s="80"/>
      <c r="B899" s="81"/>
      <c r="C899" s="82"/>
      <c r="D899" s="81"/>
      <c r="E899" s="82"/>
      <c r="F899" s="83"/>
      <c r="G899" s="81"/>
      <c r="H899" s="82"/>
      <c r="I899" s="84"/>
      <c r="J899" s="84"/>
      <c r="K899" s="84"/>
      <c r="L899" s="83"/>
      <c r="M899" s="85"/>
      <c r="N899" s="84"/>
      <c r="O899" s="84"/>
      <c r="P899" s="84"/>
    </row>
    <row r="900" spans="1:16" ht="15.75" customHeight="1">
      <c r="A900" s="80"/>
      <c r="B900" s="81"/>
      <c r="C900" s="82"/>
      <c r="D900" s="81"/>
      <c r="E900" s="82"/>
      <c r="F900" s="83"/>
      <c r="G900" s="81"/>
      <c r="H900" s="82"/>
      <c r="I900" s="84"/>
      <c r="J900" s="84"/>
      <c r="K900" s="84"/>
      <c r="L900" s="83"/>
      <c r="M900" s="85"/>
      <c r="N900" s="84"/>
      <c r="O900" s="84"/>
      <c r="P900" s="84"/>
    </row>
    <row r="901" spans="1:16" ht="15.75" customHeight="1">
      <c r="A901" s="80"/>
      <c r="B901" s="81"/>
      <c r="C901" s="82"/>
      <c r="D901" s="81"/>
      <c r="E901" s="82"/>
      <c r="F901" s="83"/>
      <c r="G901" s="81"/>
      <c r="H901" s="82"/>
      <c r="I901" s="84"/>
      <c r="J901" s="84"/>
      <c r="K901" s="84"/>
      <c r="L901" s="83"/>
      <c r="M901" s="85"/>
      <c r="N901" s="84"/>
      <c r="O901" s="84"/>
      <c r="P901" s="84"/>
    </row>
    <row r="902" spans="1:16" ht="15.75" customHeight="1">
      <c r="A902" s="80"/>
      <c r="B902" s="81"/>
      <c r="C902" s="82"/>
      <c r="D902" s="81"/>
      <c r="E902" s="82"/>
      <c r="F902" s="83"/>
      <c r="G902" s="81"/>
      <c r="H902" s="82"/>
      <c r="I902" s="84"/>
      <c r="J902" s="84"/>
      <c r="K902" s="84"/>
      <c r="L902" s="83"/>
      <c r="M902" s="85"/>
      <c r="N902" s="84"/>
      <c r="O902" s="84"/>
      <c r="P902" s="84"/>
    </row>
    <row r="903" spans="1:16" ht="15.75" customHeight="1">
      <c r="A903" s="80"/>
      <c r="B903" s="81"/>
      <c r="C903" s="82"/>
      <c r="D903" s="81"/>
      <c r="E903" s="82"/>
      <c r="F903" s="83"/>
      <c r="G903" s="81"/>
      <c r="H903" s="82"/>
      <c r="I903" s="84"/>
      <c r="J903" s="84"/>
      <c r="K903" s="84"/>
      <c r="L903" s="83"/>
      <c r="M903" s="85"/>
      <c r="N903" s="84"/>
      <c r="O903" s="84"/>
      <c r="P903" s="84"/>
    </row>
    <row r="904" spans="1:16" ht="15.75" customHeight="1">
      <c r="A904" s="80"/>
      <c r="B904" s="81"/>
      <c r="C904" s="82"/>
      <c r="D904" s="81"/>
      <c r="E904" s="82"/>
      <c r="F904" s="83"/>
      <c r="G904" s="81"/>
      <c r="H904" s="82"/>
      <c r="I904" s="84"/>
      <c r="J904" s="84"/>
      <c r="K904" s="84"/>
      <c r="L904" s="83"/>
      <c r="M904" s="85"/>
      <c r="N904" s="84"/>
      <c r="O904" s="84"/>
      <c r="P904" s="84"/>
    </row>
    <row r="905" spans="1:16" ht="15.75" customHeight="1">
      <c r="A905" s="80"/>
      <c r="B905" s="81"/>
      <c r="C905" s="82"/>
      <c r="D905" s="81"/>
      <c r="E905" s="82"/>
      <c r="F905" s="83"/>
      <c r="G905" s="81"/>
      <c r="H905" s="82"/>
      <c r="I905" s="84"/>
      <c r="J905" s="84"/>
      <c r="K905" s="84"/>
      <c r="L905" s="83"/>
      <c r="M905" s="85"/>
      <c r="N905" s="84"/>
      <c r="O905" s="84"/>
      <c r="P905" s="84"/>
    </row>
    <row r="906" spans="1:16" ht="15.75" customHeight="1">
      <c r="A906" s="80"/>
      <c r="B906" s="81"/>
      <c r="C906" s="82"/>
      <c r="D906" s="81"/>
      <c r="E906" s="82"/>
      <c r="F906" s="83"/>
      <c r="G906" s="81"/>
      <c r="H906" s="82"/>
      <c r="I906" s="84"/>
      <c r="J906" s="84"/>
      <c r="K906" s="84"/>
      <c r="L906" s="83"/>
      <c r="M906" s="85"/>
      <c r="N906" s="84"/>
      <c r="O906" s="84"/>
      <c r="P906" s="84"/>
    </row>
    <row r="907" spans="1:16" ht="15.75" customHeight="1">
      <c r="A907" s="80"/>
      <c r="B907" s="81"/>
      <c r="C907" s="82"/>
      <c r="D907" s="81"/>
      <c r="E907" s="82"/>
      <c r="F907" s="83"/>
      <c r="G907" s="81"/>
      <c r="H907" s="82"/>
      <c r="I907" s="84"/>
      <c r="J907" s="84"/>
      <c r="K907" s="84"/>
      <c r="L907" s="83"/>
      <c r="M907" s="85"/>
      <c r="N907" s="84"/>
      <c r="O907" s="84"/>
      <c r="P907" s="84"/>
    </row>
    <row r="908" spans="1:16" ht="15.75" customHeight="1">
      <c r="A908" s="80"/>
      <c r="B908" s="81"/>
      <c r="C908" s="82"/>
      <c r="D908" s="81"/>
      <c r="E908" s="82"/>
      <c r="F908" s="83"/>
      <c r="G908" s="81"/>
      <c r="H908" s="82"/>
      <c r="I908" s="84"/>
      <c r="J908" s="84"/>
      <c r="K908" s="84"/>
      <c r="L908" s="83"/>
      <c r="M908" s="85"/>
      <c r="N908" s="84"/>
      <c r="O908" s="84"/>
      <c r="P908" s="84"/>
    </row>
    <row r="909" spans="1:16" ht="15.75" customHeight="1">
      <c r="A909" s="80"/>
      <c r="B909" s="81"/>
      <c r="C909" s="82"/>
      <c r="D909" s="81"/>
      <c r="E909" s="82"/>
      <c r="F909" s="83"/>
      <c r="G909" s="81"/>
      <c r="H909" s="82"/>
      <c r="I909" s="84"/>
      <c r="J909" s="84"/>
      <c r="K909" s="84"/>
      <c r="L909" s="83"/>
      <c r="M909" s="85"/>
      <c r="N909" s="84"/>
      <c r="O909" s="84"/>
      <c r="P909" s="84"/>
    </row>
    <row r="910" spans="1:16" ht="15.75" customHeight="1">
      <c r="A910" s="80"/>
      <c r="B910" s="81"/>
      <c r="C910" s="82"/>
      <c r="D910" s="81"/>
      <c r="E910" s="82"/>
      <c r="F910" s="83"/>
      <c r="G910" s="81"/>
      <c r="H910" s="82"/>
      <c r="I910" s="84"/>
      <c r="J910" s="84"/>
      <c r="K910" s="84"/>
      <c r="L910" s="83"/>
      <c r="M910" s="85"/>
      <c r="N910" s="84"/>
      <c r="O910" s="84"/>
      <c r="P910" s="84"/>
    </row>
    <row r="911" spans="1:16" ht="15.75" customHeight="1">
      <c r="A911" s="80"/>
      <c r="B911" s="81"/>
      <c r="C911" s="82"/>
      <c r="D911" s="81"/>
      <c r="E911" s="82"/>
      <c r="F911" s="83"/>
      <c r="G911" s="81"/>
      <c r="H911" s="82"/>
      <c r="I911" s="84"/>
      <c r="J911" s="84"/>
      <c r="K911" s="84"/>
      <c r="L911" s="83"/>
      <c r="M911" s="85"/>
      <c r="N911" s="84"/>
      <c r="O911" s="84"/>
      <c r="P911" s="84"/>
    </row>
    <row r="912" spans="1:16" ht="15.75" customHeight="1">
      <c r="A912" s="80"/>
      <c r="B912" s="81"/>
      <c r="C912" s="82"/>
      <c r="D912" s="81"/>
      <c r="E912" s="82"/>
      <c r="F912" s="83"/>
      <c r="G912" s="81"/>
      <c r="H912" s="82"/>
      <c r="I912" s="84"/>
      <c r="J912" s="84"/>
      <c r="K912" s="84"/>
      <c r="L912" s="83"/>
      <c r="M912" s="85"/>
      <c r="N912" s="84"/>
      <c r="O912" s="84"/>
      <c r="P912" s="84"/>
    </row>
    <row r="913" spans="1:16" ht="15.75" customHeight="1">
      <c r="A913" s="80"/>
      <c r="B913" s="81"/>
      <c r="C913" s="82"/>
      <c r="D913" s="81"/>
      <c r="E913" s="82"/>
      <c r="F913" s="83"/>
      <c r="G913" s="81"/>
      <c r="H913" s="82"/>
      <c r="I913" s="84"/>
      <c r="J913" s="84"/>
      <c r="K913" s="84"/>
      <c r="L913" s="83"/>
      <c r="M913" s="85"/>
      <c r="N913" s="84"/>
      <c r="O913" s="84"/>
      <c r="P913" s="84"/>
    </row>
    <row r="914" spans="1:16" ht="15.75" customHeight="1">
      <c r="A914" s="80"/>
      <c r="B914" s="81"/>
      <c r="C914" s="82"/>
      <c r="D914" s="81"/>
      <c r="E914" s="82"/>
      <c r="F914" s="83"/>
      <c r="G914" s="81"/>
      <c r="H914" s="82"/>
      <c r="I914" s="84"/>
      <c r="J914" s="84"/>
      <c r="K914" s="84"/>
      <c r="L914" s="83"/>
      <c r="M914" s="85"/>
      <c r="N914" s="84"/>
      <c r="O914" s="84"/>
      <c r="P914" s="84"/>
    </row>
    <row r="915" spans="1:16" ht="15.75" customHeight="1">
      <c r="A915" s="80"/>
      <c r="B915" s="81"/>
      <c r="C915" s="82"/>
      <c r="D915" s="81"/>
      <c r="E915" s="82"/>
      <c r="F915" s="83"/>
      <c r="G915" s="81"/>
      <c r="H915" s="82"/>
      <c r="I915" s="84"/>
      <c r="J915" s="84"/>
      <c r="K915" s="84"/>
      <c r="L915" s="83"/>
      <c r="M915" s="85"/>
      <c r="N915" s="84"/>
      <c r="O915" s="84"/>
      <c r="P915" s="84"/>
    </row>
    <row r="916" spans="1:16" ht="15.75" customHeight="1">
      <c r="A916" s="80"/>
      <c r="B916" s="81"/>
      <c r="C916" s="82"/>
      <c r="D916" s="81"/>
      <c r="E916" s="82"/>
      <c r="F916" s="83"/>
      <c r="G916" s="81"/>
      <c r="H916" s="82"/>
      <c r="I916" s="84"/>
      <c r="J916" s="84"/>
      <c r="K916" s="84"/>
      <c r="L916" s="83"/>
      <c r="M916" s="85"/>
      <c r="N916" s="84"/>
      <c r="O916" s="84"/>
      <c r="P916" s="84"/>
    </row>
    <row r="917" spans="1:16" ht="15.75" customHeight="1">
      <c r="A917" s="80"/>
      <c r="B917" s="81"/>
      <c r="C917" s="82"/>
      <c r="D917" s="81"/>
      <c r="E917" s="82"/>
      <c r="F917" s="83"/>
      <c r="G917" s="81"/>
      <c r="H917" s="82"/>
      <c r="I917" s="84"/>
      <c r="J917" s="84"/>
      <c r="K917" s="84"/>
      <c r="L917" s="83"/>
      <c r="M917" s="85"/>
      <c r="N917" s="84"/>
      <c r="O917" s="84"/>
      <c r="P917" s="84"/>
    </row>
    <row r="918" spans="1:16" ht="15.75" customHeight="1">
      <c r="A918" s="80"/>
      <c r="B918" s="81"/>
      <c r="C918" s="82"/>
      <c r="D918" s="81"/>
      <c r="E918" s="82"/>
      <c r="F918" s="83"/>
      <c r="G918" s="81"/>
      <c r="H918" s="82"/>
      <c r="I918" s="84"/>
      <c r="J918" s="84"/>
      <c r="K918" s="84"/>
      <c r="L918" s="83"/>
      <c r="M918" s="85"/>
      <c r="N918" s="84"/>
      <c r="O918" s="84"/>
      <c r="P918" s="84"/>
    </row>
    <row r="919" spans="1:16" ht="15.75" customHeight="1">
      <c r="A919" s="80"/>
      <c r="B919" s="81"/>
      <c r="C919" s="82"/>
      <c r="D919" s="81"/>
      <c r="E919" s="82"/>
      <c r="F919" s="83"/>
      <c r="G919" s="81"/>
      <c r="H919" s="82"/>
      <c r="I919" s="84"/>
      <c r="J919" s="84"/>
      <c r="K919" s="84"/>
      <c r="L919" s="83"/>
      <c r="M919" s="85"/>
      <c r="N919" s="84"/>
      <c r="O919" s="84"/>
      <c r="P919" s="84"/>
    </row>
    <row r="920" spans="1:16" ht="15.75" customHeight="1">
      <c r="A920" s="80"/>
      <c r="B920" s="81"/>
      <c r="C920" s="82"/>
      <c r="D920" s="81"/>
      <c r="E920" s="82"/>
      <c r="F920" s="83"/>
      <c r="G920" s="81"/>
      <c r="H920" s="82"/>
      <c r="I920" s="84"/>
      <c r="J920" s="84"/>
      <c r="K920" s="84"/>
      <c r="L920" s="83"/>
      <c r="M920" s="85"/>
      <c r="N920" s="84"/>
      <c r="O920" s="84"/>
      <c r="P920" s="84"/>
    </row>
    <row r="921" spans="1:16" ht="15.75" customHeight="1">
      <c r="A921" s="80"/>
      <c r="B921" s="81"/>
      <c r="C921" s="82"/>
      <c r="D921" s="81"/>
      <c r="E921" s="82"/>
      <c r="F921" s="83"/>
      <c r="G921" s="81"/>
      <c r="H921" s="82"/>
      <c r="I921" s="84"/>
      <c r="J921" s="84"/>
      <c r="K921" s="84"/>
      <c r="L921" s="83"/>
      <c r="M921" s="85"/>
      <c r="N921" s="84"/>
      <c r="O921" s="84"/>
      <c r="P921" s="84"/>
    </row>
    <row r="922" spans="1:16" ht="15.75" customHeight="1">
      <c r="A922" s="80"/>
      <c r="B922" s="81"/>
      <c r="C922" s="82"/>
      <c r="D922" s="81"/>
      <c r="E922" s="82"/>
      <c r="F922" s="83"/>
      <c r="G922" s="81"/>
      <c r="H922" s="82"/>
      <c r="I922" s="84"/>
      <c r="J922" s="84"/>
      <c r="K922" s="84"/>
      <c r="L922" s="83"/>
      <c r="M922" s="85"/>
      <c r="N922" s="84"/>
      <c r="O922" s="84"/>
      <c r="P922" s="84"/>
    </row>
    <row r="923" spans="1:16" ht="15.75" customHeight="1">
      <c r="A923" s="80"/>
      <c r="B923" s="81"/>
      <c r="C923" s="82"/>
      <c r="D923" s="81"/>
      <c r="E923" s="82"/>
      <c r="F923" s="83"/>
      <c r="G923" s="81"/>
      <c r="H923" s="82"/>
      <c r="I923" s="84"/>
      <c r="J923" s="84"/>
      <c r="K923" s="84"/>
      <c r="L923" s="83"/>
      <c r="M923" s="85"/>
      <c r="N923" s="84"/>
      <c r="O923" s="84"/>
      <c r="P923" s="84"/>
    </row>
    <row r="924" spans="1:16" ht="15.75" customHeight="1">
      <c r="A924" s="80"/>
      <c r="B924" s="81"/>
      <c r="C924" s="82"/>
      <c r="D924" s="81"/>
      <c r="E924" s="82"/>
      <c r="F924" s="83"/>
      <c r="G924" s="81"/>
      <c r="H924" s="82"/>
      <c r="I924" s="84"/>
      <c r="J924" s="84"/>
      <c r="K924" s="84"/>
      <c r="L924" s="83"/>
      <c r="M924" s="85"/>
      <c r="N924" s="84"/>
      <c r="O924" s="84"/>
      <c r="P924" s="84"/>
    </row>
    <row r="925" spans="1:16" ht="15.75" customHeight="1">
      <c r="A925" s="80"/>
      <c r="B925" s="81"/>
      <c r="C925" s="82"/>
      <c r="D925" s="81"/>
      <c r="E925" s="82"/>
      <c r="F925" s="83"/>
      <c r="G925" s="81"/>
      <c r="H925" s="82"/>
      <c r="I925" s="84"/>
      <c r="J925" s="84"/>
      <c r="K925" s="84"/>
      <c r="L925" s="83"/>
      <c r="M925" s="85"/>
      <c r="N925" s="84"/>
      <c r="O925" s="84"/>
      <c r="P925" s="84"/>
    </row>
    <row r="926" spans="1:16" ht="15.75" customHeight="1">
      <c r="A926" s="80"/>
      <c r="B926" s="81"/>
      <c r="C926" s="82"/>
      <c r="D926" s="81"/>
      <c r="E926" s="82"/>
      <c r="F926" s="83"/>
      <c r="G926" s="81"/>
      <c r="H926" s="82"/>
      <c r="I926" s="84"/>
      <c r="J926" s="84"/>
      <c r="K926" s="84"/>
      <c r="L926" s="83"/>
      <c r="M926" s="85"/>
      <c r="N926" s="84"/>
      <c r="O926" s="84"/>
      <c r="P926" s="84"/>
    </row>
    <row r="927" spans="1:16" ht="15.75" customHeight="1">
      <c r="A927" s="80"/>
      <c r="B927" s="81"/>
      <c r="C927" s="82"/>
      <c r="D927" s="81"/>
      <c r="E927" s="82"/>
      <c r="F927" s="83"/>
      <c r="G927" s="81"/>
      <c r="H927" s="82"/>
      <c r="I927" s="84"/>
      <c r="J927" s="84"/>
      <c r="K927" s="84"/>
      <c r="L927" s="83"/>
      <c r="M927" s="85"/>
      <c r="N927" s="84"/>
      <c r="O927" s="84"/>
      <c r="P927" s="84"/>
    </row>
    <row r="928" spans="1:16" ht="15.75" customHeight="1">
      <c r="A928" s="80"/>
      <c r="B928" s="81"/>
      <c r="C928" s="82"/>
      <c r="D928" s="81"/>
      <c r="E928" s="82"/>
      <c r="F928" s="83"/>
      <c r="G928" s="81"/>
      <c r="H928" s="82"/>
      <c r="I928" s="84"/>
      <c r="J928" s="84"/>
      <c r="K928" s="84"/>
      <c r="L928" s="83"/>
      <c r="M928" s="85"/>
      <c r="N928" s="84"/>
      <c r="O928" s="84"/>
      <c r="P928" s="84"/>
    </row>
    <row r="929" spans="1:16" ht="15.75" customHeight="1">
      <c r="A929" s="80"/>
      <c r="B929" s="81"/>
      <c r="C929" s="82"/>
      <c r="D929" s="81"/>
      <c r="E929" s="82"/>
      <c r="F929" s="83"/>
      <c r="G929" s="81"/>
      <c r="H929" s="82"/>
      <c r="I929" s="84"/>
      <c r="J929" s="84"/>
      <c r="K929" s="84"/>
      <c r="L929" s="83"/>
      <c r="M929" s="85"/>
      <c r="N929" s="84"/>
      <c r="O929" s="84"/>
      <c r="P929" s="84"/>
    </row>
    <row r="930" spans="1:16" ht="15.75" customHeight="1">
      <c r="A930" s="80"/>
      <c r="B930" s="81"/>
      <c r="C930" s="82"/>
      <c r="D930" s="81"/>
      <c r="E930" s="82"/>
      <c r="F930" s="83"/>
      <c r="G930" s="81"/>
      <c r="H930" s="82"/>
      <c r="I930" s="84"/>
      <c r="J930" s="84"/>
      <c r="K930" s="84"/>
      <c r="L930" s="83"/>
      <c r="M930" s="85"/>
      <c r="N930" s="84"/>
      <c r="O930" s="84"/>
      <c r="P930" s="84"/>
    </row>
    <row r="931" spans="1:16" ht="15.75" customHeight="1">
      <c r="A931" s="80"/>
      <c r="B931" s="81"/>
      <c r="C931" s="82"/>
      <c r="D931" s="81"/>
      <c r="E931" s="82"/>
      <c r="F931" s="83"/>
      <c r="G931" s="81"/>
      <c r="H931" s="82"/>
      <c r="I931" s="84"/>
      <c r="J931" s="84"/>
      <c r="K931" s="84"/>
      <c r="L931" s="83"/>
      <c r="M931" s="85"/>
      <c r="N931" s="84"/>
      <c r="O931" s="84"/>
      <c r="P931" s="84"/>
    </row>
    <row r="932" spans="1:16" ht="15.75" customHeight="1">
      <c r="A932" s="80"/>
      <c r="B932" s="81"/>
      <c r="C932" s="82"/>
      <c r="D932" s="81"/>
      <c r="E932" s="82"/>
      <c r="F932" s="83"/>
      <c r="G932" s="81"/>
      <c r="H932" s="82"/>
      <c r="I932" s="84"/>
      <c r="J932" s="84"/>
      <c r="K932" s="84"/>
      <c r="L932" s="83"/>
      <c r="M932" s="85"/>
      <c r="N932" s="84"/>
      <c r="O932" s="84"/>
      <c r="P932" s="84"/>
    </row>
    <row r="933" spans="1:16" ht="15.75" customHeight="1">
      <c r="A933" s="80"/>
      <c r="B933" s="81"/>
      <c r="C933" s="82"/>
      <c r="D933" s="81"/>
      <c r="E933" s="82"/>
      <c r="F933" s="83"/>
      <c r="G933" s="81"/>
      <c r="H933" s="82"/>
      <c r="I933" s="84"/>
      <c r="J933" s="84"/>
      <c r="K933" s="84"/>
      <c r="L933" s="83"/>
      <c r="M933" s="85"/>
      <c r="N933" s="84"/>
      <c r="O933" s="84"/>
      <c r="P933" s="84"/>
    </row>
    <row r="934" spans="1:16" ht="15.75" customHeight="1">
      <c r="A934" s="80"/>
      <c r="B934" s="81"/>
      <c r="C934" s="82"/>
      <c r="D934" s="81"/>
      <c r="E934" s="82"/>
      <c r="F934" s="83"/>
      <c r="G934" s="81"/>
      <c r="H934" s="82"/>
      <c r="I934" s="84"/>
      <c r="J934" s="84"/>
      <c r="K934" s="84"/>
      <c r="L934" s="83"/>
      <c r="M934" s="85"/>
      <c r="N934" s="84"/>
      <c r="O934" s="84"/>
      <c r="P934" s="84"/>
    </row>
    <row r="935" spans="1:16" ht="15.75" customHeight="1">
      <c r="A935" s="80"/>
      <c r="B935" s="81"/>
      <c r="C935" s="82"/>
      <c r="D935" s="81"/>
      <c r="E935" s="82"/>
      <c r="F935" s="83"/>
      <c r="G935" s="81"/>
      <c r="H935" s="82"/>
      <c r="I935" s="84"/>
      <c r="J935" s="84"/>
      <c r="K935" s="84"/>
      <c r="L935" s="83"/>
      <c r="M935" s="85"/>
      <c r="N935" s="84"/>
      <c r="O935" s="84"/>
      <c r="P935" s="84"/>
    </row>
    <row r="936" spans="1:16" ht="15.75" customHeight="1">
      <c r="A936" s="80"/>
      <c r="B936" s="81"/>
      <c r="C936" s="82"/>
      <c r="D936" s="81"/>
      <c r="E936" s="82"/>
      <c r="F936" s="83"/>
      <c r="G936" s="81"/>
      <c r="H936" s="82"/>
      <c r="I936" s="84"/>
      <c r="J936" s="84"/>
      <c r="K936" s="84"/>
      <c r="L936" s="83"/>
      <c r="M936" s="85"/>
      <c r="N936" s="84"/>
      <c r="O936" s="84"/>
      <c r="P936" s="84"/>
    </row>
    <row r="937" spans="1:16" ht="15.75" customHeight="1">
      <c r="A937" s="80"/>
      <c r="B937" s="81"/>
      <c r="C937" s="82"/>
      <c r="D937" s="81"/>
      <c r="E937" s="82"/>
      <c r="F937" s="83"/>
      <c r="G937" s="81"/>
      <c r="H937" s="82"/>
      <c r="I937" s="84"/>
      <c r="J937" s="84"/>
      <c r="K937" s="84"/>
      <c r="L937" s="83"/>
      <c r="M937" s="85"/>
      <c r="N937" s="84"/>
      <c r="O937" s="84"/>
      <c r="P937" s="84"/>
    </row>
    <row r="938" spans="1:16" ht="15.75" customHeight="1">
      <c r="A938" s="80"/>
      <c r="B938" s="81"/>
      <c r="C938" s="82"/>
      <c r="D938" s="81"/>
      <c r="E938" s="82"/>
      <c r="F938" s="83"/>
      <c r="G938" s="81"/>
      <c r="H938" s="82"/>
      <c r="I938" s="84"/>
      <c r="J938" s="84"/>
      <c r="K938" s="84"/>
      <c r="L938" s="83"/>
      <c r="M938" s="85"/>
      <c r="N938" s="84"/>
      <c r="O938" s="84"/>
      <c r="P938" s="84"/>
    </row>
    <row r="939" spans="1:16" ht="15.75" customHeight="1">
      <c r="A939" s="80"/>
      <c r="B939" s="81"/>
      <c r="C939" s="82"/>
      <c r="D939" s="81"/>
      <c r="E939" s="82"/>
      <c r="F939" s="83"/>
      <c r="G939" s="81"/>
      <c r="H939" s="82"/>
      <c r="I939" s="84"/>
      <c r="J939" s="84"/>
      <c r="K939" s="84"/>
      <c r="L939" s="83"/>
      <c r="M939" s="85"/>
      <c r="N939" s="84"/>
      <c r="O939" s="84"/>
      <c r="P939" s="84"/>
    </row>
    <row r="940" spans="1:16" ht="15.75" customHeight="1">
      <c r="A940" s="80"/>
      <c r="B940" s="81"/>
      <c r="C940" s="82"/>
      <c r="D940" s="81"/>
      <c r="E940" s="82"/>
      <c r="F940" s="83"/>
      <c r="G940" s="81"/>
      <c r="H940" s="82"/>
      <c r="I940" s="84"/>
      <c r="J940" s="84"/>
      <c r="K940" s="84"/>
      <c r="L940" s="83"/>
      <c r="M940" s="85"/>
      <c r="N940" s="84"/>
      <c r="O940" s="84"/>
      <c r="P940" s="84"/>
    </row>
    <row r="941" spans="1:16" ht="15.75" customHeight="1">
      <c r="A941" s="80"/>
      <c r="B941" s="81"/>
      <c r="C941" s="82"/>
      <c r="D941" s="81"/>
      <c r="E941" s="82"/>
      <c r="F941" s="83"/>
      <c r="G941" s="81"/>
      <c r="H941" s="82"/>
      <c r="I941" s="84"/>
      <c r="J941" s="84"/>
      <c r="K941" s="84"/>
      <c r="L941" s="83"/>
      <c r="M941" s="85"/>
      <c r="N941" s="84"/>
      <c r="O941" s="84"/>
      <c r="P941" s="84"/>
    </row>
    <row r="942" spans="1:16" ht="15.75" customHeight="1">
      <c r="A942" s="80"/>
      <c r="B942" s="81"/>
      <c r="C942" s="82"/>
      <c r="D942" s="81"/>
      <c r="E942" s="82"/>
      <c r="F942" s="83"/>
      <c r="G942" s="81"/>
      <c r="H942" s="82"/>
      <c r="I942" s="84"/>
      <c r="J942" s="84"/>
      <c r="K942" s="84"/>
      <c r="L942" s="83"/>
      <c r="M942" s="85"/>
      <c r="N942" s="84"/>
      <c r="O942" s="84"/>
      <c r="P942" s="84"/>
    </row>
    <row r="943" spans="1:16" ht="15.75" customHeight="1">
      <c r="A943" s="80"/>
      <c r="B943" s="81"/>
      <c r="C943" s="82"/>
      <c r="D943" s="81"/>
      <c r="E943" s="82"/>
      <c r="F943" s="83"/>
      <c r="G943" s="81"/>
      <c r="H943" s="82"/>
      <c r="I943" s="84"/>
      <c r="J943" s="84"/>
      <c r="K943" s="84"/>
      <c r="L943" s="83"/>
      <c r="M943" s="85"/>
      <c r="N943" s="84"/>
      <c r="O943" s="84"/>
      <c r="P943" s="84"/>
    </row>
    <row r="944" spans="1:16" ht="15.75" customHeight="1">
      <c r="A944" s="80"/>
      <c r="B944" s="81"/>
      <c r="C944" s="82"/>
      <c r="D944" s="81"/>
      <c r="E944" s="82"/>
      <c r="F944" s="83"/>
      <c r="G944" s="81"/>
      <c r="H944" s="82"/>
      <c r="I944" s="84"/>
      <c r="J944" s="84"/>
      <c r="K944" s="84"/>
      <c r="L944" s="83"/>
      <c r="M944" s="85"/>
      <c r="N944" s="84"/>
      <c r="O944" s="84"/>
      <c r="P944" s="84"/>
    </row>
    <row r="945" spans="1:16" ht="15.75" customHeight="1">
      <c r="A945" s="80"/>
      <c r="B945" s="81"/>
      <c r="C945" s="82"/>
      <c r="D945" s="81"/>
      <c r="E945" s="82"/>
      <c r="F945" s="83"/>
      <c r="G945" s="81"/>
      <c r="H945" s="82"/>
      <c r="I945" s="84"/>
      <c r="J945" s="84"/>
      <c r="K945" s="84"/>
      <c r="L945" s="83"/>
      <c r="M945" s="85"/>
      <c r="N945" s="84"/>
      <c r="O945" s="84"/>
      <c r="P945" s="84"/>
    </row>
    <row r="946" spans="1:16" ht="15.75" customHeight="1">
      <c r="A946" s="80"/>
      <c r="B946" s="81"/>
      <c r="C946" s="82"/>
      <c r="D946" s="81"/>
      <c r="E946" s="82"/>
      <c r="F946" s="83"/>
      <c r="G946" s="81"/>
      <c r="H946" s="82"/>
      <c r="I946" s="84"/>
      <c r="J946" s="84"/>
      <c r="K946" s="84"/>
      <c r="L946" s="83"/>
      <c r="M946" s="85"/>
      <c r="N946" s="84"/>
      <c r="O946" s="84"/>
      <c r="P946" s="84"/>
    </row>
    <row r="947" spans="1:16" ht="15.75" customHeight="1">
      <c r="A947" s="80"/>
      <c r="B947" s="81"/>
      <c r="C947" s="82"/>
      <c r="D947" s="81"/>
      <c r="E947" s="82"/>
      <c r="F947" s="83"/>
      <c r="G947" s="81"/>
      <c r="H947" s="82"/>
      <c r="I947" s="84"/>
      <c r="J947" s="84"/>
      <c r="K947" s="84"/>
      <c r="L947" s="83"/>
      <c r="M947" s="85"/>
      <c r="N947" s="84"/>
      <c r="O947" s="84"/>
      <c r="P947" s="84"/>
    </row>
    <row r="948" spans="1:16" ht="15.75" customHeight="1">
      <c r="A948" s="80"/>
      <c r="B948" s="81"/>
      <c r="C948" s="82"/>
      <c r="D948" s="81"/>
      <c r="E948" s="82"/>
      <c r="F948" s="83"/>
      <c r="G948" s="81"/>
      <c r="H948" s="82"/>
      <c r="I948" s="84"/>
      <c r="J948" s="84"/>
      <c r="K948" s="84"/>
      <c r="L948" s="83"/>
      <c r="M948" s="85"/>
      <c r="N948" s="84"/>
      <c r="O948" s="84"/>
      <c r="P948" s="84"/>
    </row>
    <row r="949" spans="1:16" ht="15.75" customHeight="1">
      <c r="A949" s="80"/>
      <c r="B949" s="81"/>
      <c r="C949" s="82"/>
      <c r="D949" s="81"/>
      <c r="E949" s="82"/>
      <c r="F949" s="83"/>
      <c r="G949" s="81"/>
      <c r="H949" s="82"/>
      <c r="I949" s="84"/>
      <c r="J949" s="84"/>
      <c r="K949" s="84"/>
      <c r="L949" s="83"/>
      <c r="M949" s="85"/>
      <c r="N949" s="84"/>
      <c r="O949" s="84"/>
      <c r="P949" s="84"/>
    </row>
    <row r="950" spans="1:16" ht="15.75" customHeight="1">
      <c r="A950" s="80"/>
      <c r="B950" s="81"/>
      <c r="C950" s="82"/>
      <c r="D950" s="81"/>
      <c r="E950" s="82"/>
      <c r="F950" s="83"/>
      <c r="G950" s="81"/>
      <c r="H950" s="82"/>
      <c r="I950" s="84"/>
      <c r="J950" s="84"/>
      <c r="K950" s="84"/>
      <c r="L950" s="83"/>
      <c r="M950" s="85"/>
      <c r="N950" s="84"/>
      <c r="O950" s="84"/>
      <c r="P950" s="84"/>
    </row>
    <row r="951" spans="1:16" ht="15.75" customHeight="1">
      <c r="A951" s="80"/>
      <c r="B951" s="81"/>
      <c r="C951" s="82"/>
      <c r="D951" s="81"/>
      <c r="E951" s="82"/>
      <c r="F951" s="83"/>
      <c r="G951" s="81"/>
      <c r="H951" s="82"/>
      <c r="I951" s="84"/>
      <c r="J951" s="84"/>
      <c r="K951" s="84"/>
      <c r="L951" s="83"/>
      <c r="M951" s="85"/>
      <c r="N951" s="84"/>
      <c r="O951" s="84"/>
      <c r="P951" s="84"/>
    </row>
    <row r="952" spans="1:16" ht="15.75" customHeight="1">
      <c r="A952" s="80"/>
      <c r="B952" s="81"/>
      <c r="C952" s="82"/>
      <c r="D952" s="81"/>
      <c r="E952" s="82"/>
      <c r="F952" s="83"/>
      <c r="G952" s="81"/>
      <c r="H952" s="82"/>
      <c r="I952" s="84"/>
      <c r="J952" s="84"/>
      <c r="K952" s="84"/>
      <c r="L952" s="83"/>
      <c r="M952" s="85"/>
      <c r="N952" s="84"/>
      <c r="O952" s="84"/>
      <c r="P952" s="84"/>
    </row>
    <row r="953" spans="1:16" ht="15.75" customHeight="1">
      <c r="A953" s="80"/>
      <c r="B953" s="81"/>
      <c r="C953" s="82"/>
      <c r="D953" s="81"/>
      <c r="E953" s="82"/>
      <c r="F953" s="83"/>
      <c r="G953" s="81"/>
      <c r="H953" s="82"/>
      <c r="I953" s="84"/>
      <c r="J953" s="84"/>
      <c r="K953" s="84"/>
      <c r="L953" s="83"/>
      <c r="M953" s="85"/>
      <c r="N953" s="84"/>
      <c r="O953" s="84"/>
      <c r="P953" s="84"/>
    </row>
    <row r="954" spans="1:16" ht="15.75" customHeight="1">
      <c r="A954" s="80"/>
      <c r="B954" s="81"/>
      <c r="C954" s="82"/>
      <c r="D954" s="81"/>
      <c r="E954" s="82"/>
      <c r="F954" s="83"/>
      <c r="G954" s="81"/>
      <c r="H954" s="82"/>
      <c r="I954" s="84"/>
      <c r="J954" s="84"/>
      <c r="K954" s="84"/>
      <c r="L954" s="83"/>
      <c r="M954" s="85"/>
      <c r="N954" s="84"/>
      <c r="O954" s="84"/>
      <c r="P954" s="84"/>
    </row>
    <row r="955" spans="1:16" ht="15.75" customHeight="1">
      <c r="A955" s="80"/>
      <c r="B955" s="81"/>
      <c r="C955" s="82"/>
      <c r="D955" s="81"/>
      <c r="E955" s="82"/>
      <c r="F955" s="83"/>
      <c r="G955" s="81"/>
      <c r="H955" s="82"/>
      <c r="I955" s="84"/>
      <c r="J955" s="84"/>
      <c r="K955" s="84"/>
      <c r="L955" s="83"/>
      <c r="M955" s="85"/>
      <c r="N955" s="84"/>
      <c r="O955" s="84"/>
      <c r="P955" s="84"/>
    </row>
    <row r="956" spans="1:16" ht="15.75" customHeight="1">
      <c r="A956" s="80"/>
      <c r="B956" s="81"/>
      <c r="C956" s="82"/>
      <c r="D956" s="81"/>
      <c r="E956" s="82"/>
      <c r="F956" s="83"/>
      <c r="G956" s="81"/>
      <c r="H956" s="82"/>
      <c r="I956" s="84"/>
      <c r="J956" s="84"/>
      <c r="K956" s="84"/>
      <c r="L956" s="83"/>
      <c r="M956" s="85"/>
      <c r="N956" s="84"/>
      <c r="O956" s="84"/>
      <c r="P956" s="84"/>
    </row>
    <row r="957" spans="1:16" ht="15.75" customHeight="1">
      <c r="A957" s="80"/>
      <c r="B957" s="81"/>
      <c r="C957" s="82"/>
      <c r="D957" s="81"/>
      <c r="E957" s="82"/>
      <c r="F957" s="83"/>
      <c r="G957" s="81"/>
      <c r="H957" s="82"/>
      <c r="I957" s="84"/>
      <c r="J957" s="84"/>
      <c r="K957" s="84"/>
      <c r="L957" s="83"/>
      <c r="M957" s="85"/>
      <c r="N957" s="84"/>
      <c r="O957" s="84"/>
      <c r="P957" s="84"/>
    </row>
    <row r="958" spans="1:16" ht="15.75" customHeight="1">
      <c r="A958" s="80"/>
      <c r="B958" s="81"/>
      <c r="C958" s="82"/>
      <c r="D958" s="81"/>
      <c r="E958" s="82"/>
      <c r="F958" s="83"/>
      <c r="G958" s="81"/>
      <c r="H958" s="82"/>
      <c r="I958" s="84"/>
      <c r="J958" s="84"/>
      <c r="K958" s="84"/>
      <c r="L958" s="83"/>
      <c r="M958" s="85"/>
      <c r="N958" s="84"/>
      <c r="O958" s="84"/>
      <c r="P958" s="84"/>
    </row>
    <row r="959" spans="1:16" ht="15.75" customHeight="1">
      <c r="A959" s="80"/>
      <c r="B959" s="81"/>
      <c r="C959" s="82"/>
      <c r="D959" s="81"/>
      <c r="E959" s="82"/>
      <c r="F959" s="83"/>
      <c r="G959" s="81"/>
      <c r="H959" s="82"/>
      <c r="I959" s="84"/>
      <c r="J959" s="84"/>
      <c r="K959" s="84"/>
      <c r="L959" s="83"/>
      <c r="M959" s="85"/>
      <c r="N959" s="84"/>
      <c r="O959" s="84"/>
      <c r="P959" s="84"/>
    </row>
    <row r="960" spans="1:16" ht="15.75" customHeight="1">
      <c r="A960" s="80"/>
      <c r="B960" s="81"/>
      <c r="C960" s="82"/>
      <c r="D960" s="81"/>
      <c r="E960" s="82"/>
      <c r="F960" s="83"/>
      <c r="G960" s="81"/>
      <c r="H960" s="82"/>
      <c r="I960" s="84"/>
      <c r="J960" s="84"/>
      <c r="K960" s="84"/>
      <c r="L960" s="83"/>
      <c r="M960" s="85"/>
      <c r="N960" s="84"/>
      <c r="O960" s="84"/>
      <c r="P960" s="84"/>
    </row>
    <row r="961" spans="1:16" ht="15.75" customHeight="1">
      <c r="A961" s="80"/>
      <c r="B961" s="81"/>
      <c r="C961" s="82"/>
      <c r="D961" s="81"/>
      <c r="E961" s="82"/>
      <c r="F961" s="83"/>
      <c r="G961" s="81"/>
      <c r="H961" s="82"/>
      <c r="I961" s="84"/>
      <c r="J961" s="84"/>
      <c r="K961" s="84"/>
      <c r="L961" s="83"/>
      <c r="M961" s="85"/>
      <c r="N961" s="84"/>
      <c r="O961" s="84"/>
      <c r="P961" s="84"/>
    </row>
    <row r="962" spans="1:16" ht="15.75" customHeight="1">
      <c r="A962" s="80"/>
      <c r="B962" s="81"/>
      <c r="C962" s="82"/>
      <c r="D962" s="81"/>
      <c r="E962" s="82"/>
      <c r="F962" s="83"/>
      <c r="G962" s="81"/>
      <c r="H962" s="82"/>
      <c r="I962" s="84"/>
      <c r="J962" s="84"/>
      <c r="K962" s="84"/>
      <c r="L962" s="83"/>
      <c r="M962" s="85"/>
      <c r="N962" s="84"/>
      <c r="O962" s="84"/>
      <c r="P962" s="84"/>
    </row>
    <row r="963" spans="1:16" ht="15.75" customHeight="1">
      <c r="A963" s="80"/>
      <c r="B963" s="81"/>
      <c r="C963" s="82"/>
      <c r="D963" s="81"/>
      <c r="E963" s="82"/>
      <c r="F963" s="83"/>
      <c r="G963" s="81"/>
      <c r="H963" s="82"/>
      <c r="I963" s="84"/>
      <c r="J963" s="84"/>
      <c r="K963" s="84"/>
      <c r="L963" s="83"/>
      <c r="M963" s="85"/>
      <c r="N963" s="84"/>
      <c r="O963" s="84"/>
      <c r="P963" s="84"/>
    </row>
    <row r="964" spans="1:16" ht="15.75" customHeight="1">
      <c r="A964" s="80"/>
      <c r="B964" s="81"/>
      <c r="C964" s="82"/>
      <c r="D964" s="81"/>
      <c r="E964" s="82"/>
      <c r="F964" s="83"/>
      <c r="G964" s="81"/>
      <c r="H964" s="82"/>
      <c r="I964" s="84"/>
      <c r="J964" s="84"/>
      <c r="K964" s="84"/>
      <c r="L964" s="83"/>
      <c r="M964" s="85"/>
      <c r="N964" s="84"/>
      <c r="O964" s="84"/>
      <c r="P964" s="84"/>
    </row>
    <row r="965" spans="1:16" ht="15.75" customHeight="1">
      <c r="A965" s="80"/>
      <c r="B965" s="81"/>
      <c r="C965" s="82"/>
      <c r="D965" s="81"/>
      <c r="E965" s="82"/>
      <c r="F965" s="83"/>
      <c r="G965" s="81"/>
      <c r="H965" s="82"/>
      <c r="I965" s="84"/>
      <c r="J965" s="84"/>
      <c r="K965" s="84"/>
      <c r="L965" s="83"/>
      <c r="M965" s="85"/>
      <c r="N965" s="84"/>
      <c r="O965" s="84"/>
      <c r="P965" s="84"/>
    </row>
    <row r="966" spans="1:16" ht="15.75" customHeight="1">
      <c r="A966" s="80"/>
      <c r="B966" s="81"/>
      <c r="C966" s="82"/>
      <c r="D966" s="81"/>
      <c r="E966" s="82"/>
      <c r="F966" s="83"/>
      <c r="G966" s="81"/>
      <c r="H966" s="82"/>
      <c r="I966" s="84"/>
      <c r="J966" s="84"/>
      <c r="K966" s="84"/>
      <c r="L966" s="83"/>
      <c r="M966" s="85"/>
      <c r="N966" s="84"/>
      <c r="O966" s="84"/>
      <c r="P966" s="84"/>
    </row>
    <row r="967" spans="1:16" ht="15.75" customHeight="1">
      <c r="A967" s="80"/>
      <c r="B967" s="81"/>
      <c r="C967" s="82"/>
      <c r="D967" s="81"/>
      <c r="E967" s="82"/>
      <c r="F967" s="83"/>
      <c r="G967" s="81"/>
      <c r="H967" s="82"/>
      <c r="I967" s="84"/>
      <c r="J967" s="84"/>
      <c r="K967" s="84"/>
      <c r="L967" s="83"/>
      <c r="M967" s="85"/>
      <c r="N967" s="84"/>
      <c r="O967" s="84"/>
      <c r="P967" s="84"/>
    </row>
    <row r="968" spans="1:16" ht="15.75" customHeight="1">
      <c r="A968" s="80"/>
      <c r="B968" s="81"/>
      <c r="C968" s="82"/>
      <c r="D968" s="81"/>
      <c r="E968" s="82"/>
      <c r="F968" s="83"/>
      <c r="G968" s="81"/>
      <c r="H968" s="82"/>
      <c r="I968" s="84"/>
      <c r="J968" s="84"/>
      <c r="K968" s="84"/>
      <c r="L968" s="83"/>
      <c r="M968" s="85"/>
      <c r="N968" s="84"/>
      <c r="O968" s="84"/>
      <c r="P968" s="84"/>
    </row>
    <row r="969" spans="1:16" ht="15.75" customHeight="1">
      <c r="A969" s="80"/>
      <c r="B969" s="81"/>
      <c r="C969" s="82"/>
      <c r="D969" s="81"/>
      <c r="E969" s="82"/>
      <c r="F969" s="83"/>
      <c r="G969" s="81"/>
      <c r="H969" s="82"/>
      <c r="I969" s="84"/>
      <c r="J969" s="84"/>
      <c r="K969" s="84"/>
      <c r="L969" s="83"/>
      <c r="M969" s="85"/>
      <c r="N969" s="84"/>
      <c r="O969" s="84"/>
      <c r="P969" s="84"/>
    </row>
    <row r="970" spans="1:16" ht="15.75" customHeight="1">
      <c r="A970" s="80"/>
      <c r="B970" s="81"/>
      <c r="C970" s="82"/>
      <c r="D970" s="81"/>
      <c r="E970" s="82"/>
      <c r="F970" s="83"/>
      <c r="G970" s="81"/>
      <c r="H970" s="82"/>
      <c r="I970" s="84"/>
      <c r="J970" s="84"/>
      <c r="K970" s="84"/>
      <c r="L970" s="83"/>
      <c r="M970" s="85"/>
      <c r="N970" s="84"/>
      <c r="O970" s="84"/>
      <c r="P970" s="84"/>
    </row>
    <row r="971" spans="1:16" ht="15.75" customHeight="1">
      <c r="A971" s="80"/>
      <c r="B971" s="81"/>
      <c r="C971" s="82"/>
      <c r="D971" s="81"/>
      <c r="E971" s="82"/>
      <c r="F971" s="83"/>
      <c r="G971" s="81"/>
      <c r="H971" s="82"/>
      <c r="I971" s="84"/>
      <c r="J971" s="84"/>
      <c r="K971" s="84"/>
      <c r="L971" s="83"/>
      <c r="M971" s="85"/>
      <c r="N971" s="84"/>
      <c r="O971" s="84"/>
      <c r="P971" s="84"/>
    </row>
    <row r="972" spans="1:16" ht="15.75" customHeight="1">
      <c r="A972" s="80"/>
      <c r="B972" s="81"/>
      <c r="C972" s="82"/>
      <c r="D972" s="81"/>
      <c r="E972" s="82"/>
      <c r="F972" s="83"/>
      <c r="G972" s="81"/>
      <c r="H972" s="82"/>
      <c r="I972" s="84"/>
      <c r="J972" s="84"/>
      <c r="K972" s="84"/>
      <c r="L972" s="83"/>
      <c r="M972" s="85"/>
      <c r="N972" s="84"/>
      <c r="O972" s="84"/>
      <c r="P972" s="84"/>
    </row>
    <row r="973" spans="1:16" ht="15.75" customHeight="1">
      <c r="A973" s="80"/>
      <c r="B973" s="81"/>
      <c r="C973" s="82"/>
      <c r="D973" s="81"/>
      <c r="E973" s="82"/>
      <c r="F973" s="83"/>
      <c r="G973" s="81"/>
      <c r="H973" s="82"/>
      <c r="I973" s="84"/>
      <c r="J973" s="84"/>
      <c r="K973" s="84"/>
      <c r="L973" s="83"/>
      <c r="M973" s="85"/>
      <c r="N973" s="84"/>
      <c r="O973" s="84"/>
      <c r="P973" s="84"/>
    </row>
    <row r="974" spans="1:16" ht="15.75" customHeight="1">
      <c r="A974" s="80"/>
      <c r="B974" s="81"/>
      <c r="C974" s="82"/>
      <c r="D974" s="81"/>
      <c r="E974" s="82"/>
      <c r="F974" s="83"/>
      <c r="G974" s="81"/>
      <c r="H974" s="82"/>
      <c r="I974" s="84"/>
      <c r="J974" s="84"/>
      <c r="K974" s="84"/>
      <c r="L974" s="83"/>
      <c r="M974" s="85"/>
      <c r="N974" s="84"/>
      <c r="O974" s="84"/>
      <c r="P974" s="84"/>
    </row>
    <row r="975" spans="1:16" ht="15.75" customHeight="1">
      <c r="A975" s="80"/>
      <c r="B975" s="81"/>
      <c r="C975" s="82"/>
      <c r="D975" s="81"/>
      <c r="E975" s="82"/>
      <c r="F975" s="83"/>
      <c r="G975" s="81"/>
      <c r="H975" s="82"/>
      <c r="I975" s="84"/>
      <c r="J975" s="84"/>
      <c r="K975" s="84"/>
      <c r="L975" s="83"/>
      <c r="M975" s="85"/>
      <c r="N975" s="84"/>
      <c r="O975" s="84"/>
      <c r="P975" s="84"/>
    </row>
    <row r="976" spans="1:16" ht="15.75" customHeight="1">
      <c r="A976" s="80"/>
      <c r="B976" s="81"/>
      <c r="C976" s="82"/>
      <c r="D976" s="81"/>
      <c r="E976" s="82"/>
      <c r="F976" s="83"/>
      <c r="G976" s="81"/>
      <c r="H976" s="82"/>
      <c r="I976" s="84"/>
      <c r="J976" s="84"/>
      <c r="K976" s="84"/>
      <c r="L976" s="83"/>
      <c r="M976" s="85"/>
      <c r="N976" s="84"/>
      <c r="O976" s="84"/>
      <c r="P976" s="84"/>
    </row>
    <row r="977" spans="1:16" ht="15.75" customHeight="1">
      <c r="A977" s="80"/>
      <c r="B977" s="81"/>
      <c r="C977" s="82"/>
      <c r="D977" s="81"/>
      <c r="E977" s="82"/>
      <c r="F977" s="83"/>
      <c r="G977" s="81"/>
      <c r="H977" s="82"/>
      <c r="I977" s="84"/>
      <c r="J977" s="84"/>
      <c r="K977" s="84"/>
      <c r="L977" s="83"/>
      <c r="M977" s="85"/>
      <c r="N977" s="84"/>
      <c r="O977" s="84"/>
      <c r="P977" s="84"/>
    </row>
    <row r="978" spans="1:16" ht="15.75" customHeight="1">
      <c r="A978" s="80"/>
      <c r="B978" s="81"/>
      <c r="C978" s="82"/>
      <c r="D978" s="81"/>
      <c r="E978" s="82"/>
      <c r="F978" s="83"/>
      <c r="G978" s="81"/>
      <c r="H978" s="82"/>
      <c r="I978" s="84"/>
      <c r="J978" s="84"/>
      <c r="K978" s="84"/>
      <c r="L978" s="83"/>
      <c r="M978" s="85"/>
      <c r="N978" s="84"/>
      <c r="O978" s="84"/>
      <c r="P978" s="84"/>
    </row>
    <row r="979" spans="1:16" ht="15.75" customHeight="1">
      <c r="A979" s="80"/>
      <c r="B979" s="81"/>
      <c r="C979" s="82"/>
      <c r="D979" s="81"/>
      <c r="E979" s="82"/>
      <c r="F979" s="83"/>
      <c r="G979" s="81"/>
      <c r="H979" s="82"/>
      <c r="I979" s="84"/>
      <c r="J979" s="84"/>
      <c r="K979" s="84"/>
      <c r="L979" s="83"/>
      <c r="M979" s="85"/>
      <c r="N979" s="84"/>
      <c r="O979" s="84"/>
      <c r="P979" s="84"/>
    </row>
    <row r="980" spans="1:16" ht="15.75" customHeight="1">
      <c r="A980" s="80"/>
      <c r="B980" s="81"/>
      <c r="C980" s="82"/>
      <c r="D980" s="81"/>
      <c r="E980" s="82"/>
      <c r="F980" s="83"/>
      <c r="G980" s="81"/>
      <c r="H980" s="82"/>
      <c r="I980" s="84"/>
      <c r="J980" s="84"/>
      <c r="K980" s="84"/>
      <c r="L980" s="83"/>
      <c r="M980" s="85"/>
      <c r="N980" s="84"/>
      <c r="O980" s="84"/>
      <c r="P980" s="84"/>
    </row>
    <row r="981" spans="1:16" ht="15.75" customHeight="1">
      <c r="A981" s="80"/>
      <c r="B981" s="81"/>
      <c r="C981" s="82"/>
      <c r="D981" s="81"/>
      <c r="E981" s="82"/>
      <c r="F981" s="83"/>
      <c r="G981" s="81"/>
      <c r="H981" s="82"/>
      <c r="I981" s="84"/>
      <c r="J981" s="84"/>
      <c r="K981" s="84"/>
      <c r="L981" s="83"/>
      <c r="M981" s="85"/>
      <c r="N981" s="84"/>
      <c r="O981" s="84"/>
      <c r="P981" s="84"/>
    </row>
    <row r="982" spans="1:16" ht="15.75" customHeight="1">
      <c r="A982" s="80"/>
      <c r="B982" s="81"/>
      <c r="C982" s="82"/>
      <c r="D982" s="81"/>
      <c r="E982" s="82"/>
      <c r="F982" s="83"/>
      <c r="G982" s="81"/>
      <c r="H982" s="82"/>
      <c r="I982" s="84"/>
      <c r="J982" s="84"/>
      <c r="K982" s="84"/>
      <c r="L982" s="83"/>
      <c r="M982" s="85"/>
      <c r="N982" s="84"/>
      <c r="O982" s="84"/>
      <c r="P982" s="84"/>
    </row>
    <row r="983" spans="1:16" ht="15.75" customHeight="1">
      <c r="A983" s="80"/>
      <c r="B983" s="81"/>
      <c r="C983" s="82"/>
      <c r="D983" s="81"/>
      <c r="E983" s="82"/>
      <c r="F983" s="83"/>
      <c r="G983" s="81"/>
      <c r="H983" s="82"/>
      <c r="I983" s="84"/>
      <c r="J983" s="84"/>
      <c r="K983" s="84"/>
      <c r="L983" s="83"/>
      <c r="M983" s="85"/>
      <c r="N983" s="84"/>
      <c r="O983" s="84"/>
      <c r="P983" s="84"/>
    </row>
    <row r="984" spans="1:16" ht="15.75" customHeight="1">
      <c r="A984" s="80"/>
      <c r="B984" s="81"/>
      <c r="C984" s="82"/>
      <c r="D984" s="81"/>
      <c r="E984" s="82"/>
      <c r="F984" s="83"/>
      <c r="G984" s="81"/>
      <c r="H984" s="82"/>
      <c r="I984" s="84"/>
      <c r="J984" s="84"/>
      <c r="K984" s="84"/>
      <c r="L984" s="83"/>
      <c r="M984" s="85"/>
      <c r="N984" s="84"/>
      <c r="O984" s="84"/>
      <c r="P984" s="84"/>
    </row>
    <row r="985" spans="1:16" ht="15.75" customHeight="1">
      <c r="A985" s="80"/>
      <c r="B985" s="81"/>
      <c r="C985" s="82"/>
      <c r="D985" s="81"/>
      <c r="E985" s="82"/>
      <c r="F985" s="83"/>
      <c r="G985" s="81"/>
      <c r="H985" s="82"/>
      <c r="I985" s="84"/>
      <c r="J985" s="84"/>
      <c r="K985" s="84"/>
      <c r="L985" s="83"/>
      <c r="M985" s="85"/>
      <c r="N985" s="84"/>
      <c r="O985" s="84"/>
      <c r="P985" s="84"/>
    </row>
    <row r="986" spans="1:16" ht="15.75" customHeight="1">
      <c r="A986" s="80"/>
      <c r="B986" s="81"/>
      <c r="C986" s="82"/>
      <c r="D986" s="81"/>
      <c r="E986" s="82"/>
      <c r="F986" s="83"/>
      <c r="G986" s="81"/>
      <c r="H986" s="82"/>
      <c r="I986" s="84"/>
      <c r="J986" s="84"/>
      <c r="K986" s="84"/>
      <c r="L986" s="83"/>
      <c r="M986" s="85"/>
      <c r="N986" s="84"/>
      <c r="O986" s="84"/>
      <c r="P986" s="84"/>
    </row>
    <row r="987" spans="1:16" ht="15.75" customHeight="1">
      <c r="A987" s="80"/>
      <c r="B987" s="81"/>
      <c r="C987" s="82"/>
      <c r="D987" s="81"/>
      <c r="E987" s="82"/>
      <c r="F987" s="83"/>
      <c r="G987" s="81"/>
      <c r="H987" s="82"/>
      <c r="I987" s="84"/>
      <c r="J987" s="84"/>
      <c r="K987" s="84"/>
      <c r="L987" s="83"/>
      <c r="M987" s="85"/>
      <c r="N987" s="84"/>
      <c r="O987" s="84"/>
      <c r="P987" s="84"/>
    </row>
    <row r="988" spans="1:16" ht="15.75" customHeight="1">
      <c r="A988" s="80"/>
      <c r="B988" s="81"/>
      <c r="C988" s="82"/>
      <c r="D988" s="81"/>
      <c r="E988" s="82"/>
      <c r="F988" s="83"/>
      <c r="G988" s="81"/>
      <c r="H988" s="82"/>
      <c r="I988" s="84"/>
      <c r="J988" s="84"/>
      <c r="K988" s="84"/>
      <c r="L988" s="83"/>
      <c r="M988" s="85"/>
      <c r="N988" s="84"/>
      <c r="O988" s="84"/>
      <c r="P988" s="84"/>
    </row>
    <row r="989" spans="1:16" ht="15.75" customHeight="1">
      <c r="A989" s="80"/>
      <c r="B989" s="81"/>
      <c r="C989" s="82"/>
      <c r="D989" s="81"/>
      <c r="E989" s="82"/>
      <c r="F989" s="83"/>
      <c r="G989" s="81"/>
      <c r="H989" s="82"/>
      <c r="I989" s="84"/>
      <c r="J989" s="84"/>
      <c r="K989" s="84"/>
      <c r="L989" s="83"/>
      <c r="M989" s="85"/>
      <c r="N989" s="84"/>
      <c r="O989" s="84"/>
      <c r="P989" s="84"/>
    </row>
    <row r="990" spans="1:16" ht="15.75" customHeight="1">
      <c r="A990" s="80"/>
      <c r="B990" s="81"/>
      <c r="C990" s="82"/>
      <c r="D990" s="81"/>
      <c r="E990" s="82"/>
      <c r="F990" s="83"/>
      <c r="G990" s="81"/>
      <c r="H990" s="82"/>
      <c r="I990" s="84"/>
      <c r="J990" s="84"/>
      <c r="K990" s="84"/>
      <c r="L990" s="83"/>
      <c r="M990" s="85"/>
      <c r="N990" s="84"/>
      <c r="O990" s="84"/>
      <c r="P990" s="84"/>
    </row>
    <row r="991" spans="1:16" ht="15.75" customHeight="1">
      <c r="A991" s="80"/>
      <c r="B991" s="81"/>
      <c r="C991" s="82"/>
      <c r="D991" s="81"/>
      <c r="E991" s="82"/>
      <c r="F991" s="83"/>
      <c r="G991" s="81"/>
      <c r="H991" s="82"/>
      <c r="I991" s="84"/>
      <c r="J991" s="84"/>
      <c r="K991" s="84"/>
      <c r="L991" s="83"/>
      <c r="M991" s="85"/>
      <c r="N991" s="84"/>
      <c r="O991" s="84"/>
      <c r="P991" s="84"/>
    </row>
  </sheetData>
  <mergeCells count="2">
    <mergeCell ref="P2:P5"/>
    <mergeCell ref="P34:P52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C1005"/>
  <sheetViews>
    <sheetView workbookViewId="0"/>
  </sheetViews>
  <sheetFormatPr defaultColWidth="11.25" defaultRowHeight="15" customHeight="1"/>
  <cols>
    <col min="1" max="1" width="17.5" customWidth="1"/>
    <col min="2" max="2" width="9.625" customWidth="1"/>
    <col min="3" max="3" width="9.75" customWidth="1"/>
    <col min="4" max="5" width="10.125" customWidth="1"/>
    <col min="6" max="6" width="8.375" customWidth="1"/>
    <col min="7" max="7" width="9.5" customWidth="1"/>
    <col min="8" max="8" width="8.375" customWidth="1"/>
    <col min="9" max="9" width="9.75" customWidth="1"/>
    <col min="10" max="10" width="8.5" customWidth="1"/>
    <col min="11" max="12" width="8" customWidth="1"/>
    <col min="13" max="13" width="10.5" customWidth="1"/>
    <col min="14" max="14" width="14.75" customWidth="1"/>
    <col min="15" max="15" width="35.125" customWidth="1"/>
    <col min="16" max="16" width="30.125" customWidth="1"/>
    <col min="17" max="29" width="10.5" customWidth="1"/>
  </cols>
  <sheetData>
    <row r="1" spans="1:29" ht="27" customHeight="1">
      <c r="A1" s="86" t="s">
        <v>0</v>
      </c>
      <c r="B1" s="87" t="s">
        <v>1</v>
      </c>
      <c r="C1" s="88" t="s">
        <v>2</v>
      </c>
      <c r="D1" s="87" t="s">
        <v>133</v>
      </c>
      <c r="E1" s="88" t="s">
        <v>134</v>
      </c>
      <c r="F1" s="89" t="s">
        <v>135</v>
      </c>
      <c r="G1" s="89" t="s">
        <v>136</v>
      </c>
      <c r="H1" s="87" t="s">
        <v>66</v>
      </c>
      <c r="I1" s="88" t="s">
        <v>137</v>
      </c>
      <c r="J1" s="90" t="s">
        <v>138</v>
      </c>
      <c r="K1" s="91" t="s">
        <v>139</v>
      </c>
      <c r="L1" s="92" t="s">
        <v>140</v>
      </c>
      <c r="M1" s="93" t="s">
        <v>7</v>
      </c>
      <c r="N1" s="94" t="s">
        <v>8</v>
      </c>
      <c r="O1" s="95" t="s">
        <v>9</v>
      </c>
      <c r="P1" s="96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</row>
    <row r="2" spans="1:29" ht="15" customHeight="1">
      <c r="A2" s="97" t="s">
        <v>141</v>
      </c>
      <c r="B2" s="98" t="s">
        <v>74</v>
      </c>
      <c r="C2" s="99" t="s">
        <v>74</v>
      </c>
      <c r="D2" s="100">
        <v>45462</v>
      </c>
      <c r="E2" s="99">
        <v>0.45</v>
      </c>
      <c r="F2" s="101">
        <v>8.1199999999999992</v>
      </c>
      <c r="G2" s="101">
        <v>25.6</v>
      </c>
      <c r="H2" s="102">
        <v>45467</v>
      </c>
      <c r="I2" s="99">
        <v>0.38055555555555554</v>
      </c>
      <c r="J2" s="103">
        <v>8.1999999999999993</v>
      </c>
      <c r="K2" s="104">
        <v>26.5</v>
      </c>
      <c r="L2" s="99" t="s">
        <v>74</v>
      </c>
      <c r="M2" s="101" t="s">
        <v>12</v>
      </c>
      <c r="N2" s="105" t="s">
        <v>142</v>
      </c>
      <c r="O2" s="106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</row>
    <row r="3" spans="1:29" ht="15.75" customHeight="1">
      <c r="A3" s="107" t="s">
        <v>143</v>
      </c>
      <c r="B3" s="108">
        <v>45461</v>
      </c>
      <c r="C3" s="109">
        <v>0.32291666666666669</v>
      </c>
      <c r="D3" s="108">
        <v>45462</v>
      </c>
      <c r="E3" s="109">
        <v>0.4597222222222222</v>
      </c>
      <c r="F3" s="110">
        <v>8.48</v>
      </c>
      <c r="G3" s="110">
        <v>21.3</v>
      </c>
      <c r="H3" s="111">
        <v>45467</v>
      </c>
      <c r="I3" s="109">
        <v>0.38472222222222224</v>
      </c>
      <c r="J3" s="112">
        <v>7.11</v>
      </c>
      <c r="K3" s="113">
        <v>17.600000000000001</v>
      </c>
      <c r="L3" s="114">
        <f t="shared" ref="L3:L22" si="0">F3-J3</f>
        <v>1.37</v>
      </c>
      <c r="M3" s="101" t="s">
        <v>12</v>
      </c>
      <c r="N3" s="105" t="s">
        <v>142</v>
      </c>
      <c r="O3" s="98"/>
    </row>
    <row r="4" spans="1:29" ht="17.25" customHeight="1">
      <c r="A4" s="107" t="s">
        <v>144</v>
      </c>
      <c r="B4" s="108">
        <v>45461</v>
      </c>
      <c r="C4" s="109">
        <v>0.32291666666666669</v>
      </c>
      <c r="D4" s="108">
        <v>45462</v>
      </c>
      <c r="E4" s="109">
        <v>0.46041666666666664</v>
      </c>
      <c r="F4" s="110">
        <v>8.39</v>
      </c>
      <c r="G4" s="110">
        <v>21.4</v>
      </c>
      <c r="H4" s="111">
        <v>45467</v>
      </c>
      <c r="I4" s="109">
        <v>0.38194444444444442</v>
      </c>
      <c r="J4" s="112">
        <v>7.97</v>
      </c>
      <c r="K4" s="113">
        <v>18.7</v>
      </c>
      <c r="L4" s="114">
        <f t="shared" si="0"/>
        <v>0.42000000000000082</v>
      </c>
      <c r="M4" s="101" t="s">
        <v>12</v>
      </c>
      <c r="N4" s="105" t="s">
        <v>142</v>
      </c>
      <c r="O4" s="106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</row>
    <row r="5" spans="1:29" ht="15.75">
      <c r="A5" s="97" t="s">
        <v>145</v>
      </c>
      <c r="B5" s="115">
        <v>45461</v>
      </c>
      <c r="C5" s="99">
        <v>0.32291666666666669</v>
      </c>
      <c r="D5" s="100">
        <v>45462</v>
      </c>
      <c r="E5" s="99">
        <v>0.45833333333333331</v>
      </c>
      <c r="F5" s="101">
        <v>8.6</v>
      </c>
      <c r="G5" s="101">
        <v>21.2</v>
      </c>
      <c r="H5" s="102">
        <v>45467</v>
      </c>
      <c r="I5" s="99">
        <v>0.38611111111111113</v>
      </c>
      <c r="J5" s="103">
        <v>7.64</v>
      </c>
      <c r="K5" s="116">
        <v>19.399999999999999</v>
      </c>
      <c r="L5" s="117">
        <f t="shared" si="0"/>
        <v>0.96</v>
      </c>
      <c r="M5" s="101" t="s">
        <v>12</v>
      </c>
      <c r="N5" s="105" t="s">
        <v>142</v>
      </c>
      <c r="O5" s="98"/>
    </row>
    <row r="6" spans="1:29" ht="15" customHeight="1">
      <c r="A6" s="97" t="s">
        <v>146</v>
      </c>
      <c r="B6" s="115">
        <v>45461</v>
      </c>
      <c r="C6" s="99">
        <v>0.32291666666666669</v>
      </c>
      <c r="D6" s="100">
        <v>45462</v>
      </c>
      <c r="E6" s="99">
        <v>0.46875</v>
      </c>
      <c r="F6" s="101">
        <v>8.43</v>
      </c>
      <c r="G6" s="101">
        <v>21.9</v>
      </c>
      <c r="H6" s="102">
        <v>45467</v>
      </c>
      <c r="I6" s="99">
        <v>0.3888888888888889</v>
      </c>
      <c r="J6" s="103">
        <v>8.36</v>
      </c>
      <c r="K6" s="116">
        <v>18.399999999999999</v>
      </c>
      <c r="L6" s="117">
        <f t="shared" si="0"/>
        <v>7.0000000000000284E-2</v>
      </c>
      <c r="M6" s="101" t="s">
        <v>12</v>
      </c>
      <c r="N6" s="105" t="s">
        <v>142</v>
      </c>
      <c r="O6" s="98"/>
    </row>
    <row r="7" spans="1:29" ht="15.75" customHeight="1">
      <c r="A7" s="97" t="s">
        <v>147</v>
      </c>
      <c r="B7" s="115">
        <v>45461</v>
      </c>
      <c r="C7" s="99">
        <v>0.34027777777777779</v>
      </c>
      <c r="D7" s="100">
        <v>45462</v>
      </c>
      <c r="E7" s="99">
        <v>0.47708333333333336</v>
      </c>
      <c r="F7" s="118">
        <v>8.36</v>
      </c>
      <c r="G7" s="101">
        <v>22.3</v>
      </c>
      <c r="H7" s="102">
        <v>45467</v>
      </c>
      <c r="I7" s="99">
        <v>0.39027777777777778</v>
      </c>
      <c r="J7" s="103">
        <v>8.33</v>
      </c>
      <c r="K7" s="116">
        <v>19.8</v>
      </c>
      <c r="L7" s="117">
        <f t="shared" si="0"/>
        <v>2.9999999999999361E-2</v>
      </c>
      <c r="M7" s="101" t="s">
        <v>12</v>
      </c>
      <c r="N7" s="105" t="s">
        <v>142</v>
      </c>
      <c r="O7" s="98"/>
    </row>
    <row r="8" spans="1:29" ht="15.75" customHeight="1">
      <c r="A8" s="97" t="s">
        <v>148</v>
      </c>
      <c r="B8" s="115">
        <v>45461</v>
      </c>
      <c r="C8" s="99">
        <v>0.34027777777777779</v>
      </c>
      <c r="D8" s="100">
        <v>45462</v>
      </c>
      <c r="E8" s="99">
        <v>0.48125000000000001</v>
      </c>
      <c r="F8" s="101">
        <v>8.42</v>
      </c>
      <c r="G8" s="101">
        <v>22.2</v>
      </c>
      <c r="H8" s="102">
        <v>45467</v>
      </c>
      <c r="I8" s="99">
        <v>0.39305555555555555</v>
      </c>
      <c r="J8" s="103">
        <v>8.27</v>
      </c>
      <c r="K8" s="116">
        <v>20</v>
      </c>
      <c r="L8" s="117">
        <f t="shared" si="0"/>
        <v>0.15000000000000036</v>
      </c>
      <c r="M8" s="101" t="s">
        <v>12</v>
      </c>
      <c r="N8" s="105" t="s">
        <v>142</v>
      </c>
      <c r="O8" s="98"/>
    </row>
    <row r="9" spans="1:29" ht="15.75" customHeight="1">
      <c r="A9" s="97" t="s">
        <v>149</v>
      </c>
      <c r="B9" s="115">
        <v>45461</v>
      </c>
      <c r="C9" s="99">
        <v>0.36805555555555558</v>
      </c>
      <c r="D9" s="100">
        <v>45462</v>
      </c>
      <c r="E9" s="99">
        <v>0.48472222222222222</v>
      </c>
      <c r="F9" s="101">
        <v>8.39</v>
      </c>
      <c r="G9" s="101">
        <v>21.2</v>
      </c>
      <c r="H9" s="102">
        <v>45467</v>
      </c>
      <c r="I9" s="99">
        <v>0.39513888888888887</v>
      </c>
      <c r="J9" s="103">
        <v>8.2799999999999994</v>
      </c>
      <c r="K9" s="116">
        <v>20</v>
      </c>
      <c r="L9" s="117">
        <f t="shared" si="0"/>
        <v>0.11000000000000121</v>
      </c>
      <c r="M9" s="101" t="s">
        <v>12</v>
      </c>
      <c r="N9" s="105" t="s">
        <v>142</v>
      </c>
      <c r="O9" s="98"/>
    </row>
    <row r="10" spans="1:29" ht="15.75" customHeight="1">
      <c r="A10" s="97" t="s">
        <v>150</v>
      </c>
      <c r="B10" s="115">
        <v>45461</v>
      </c>
      <c r="C10" s="99">
        <v>0.36805555555555558</v>
      </c>
      <c r="D10" s="100">
        <v>45462</v>
      </c>
      <c r="E10" s="99">
        <v>0.48888888888888887</v>
      </c>
      <c r="F10" s="101">
        <v>8.5500000000000007</v>
      </c>
      <c r="G10" s="101">
        <v>21.5</v>
      </c>
      <c r="H10" s="102">
        <v>45467</v>
      </c>
      <c r="I10" s="119">
        <v>0.3972222222222222</v>
      </c>
      <c r="J10" s="103">
        <v>8.42</v>
      </c>
      <c r="K10" s="116">
        <v>20</v>
      </c>
      <c r="L10" s="117">
        <f t="shared" si="0"/>
        <v>0.13000000000000078</v>
      </c>
      <c r="M10" s="101" t="s">
        <v>12</v>
      </c>
      <c r="N10" s="105" t="s">
        <v>142</v>
      </c>
      <c r="O10" s="98"/>
    </row>
    <row r="11" spans="1:29" ht="15.75" customHeight="1">
      <c r="A11" s="97" t="s">
        <v>151</v>
      </c>
      <c r="B11" s="115">
        <v>45461</v>
      </c>
      <c r="C11" s="120">
        <v>0.40902777777777777</v>
      </c>
      <c r="D11" s="100">
        <v>45462</v>
      </c>
      <c r="E11" s="99">
        <v>0.49791666666666667</v>
      </c>
      <c r="F11" s="101">
        <v>8.31</v>
      </c>
      <c r="G11" s="101">
        <v>21</v>
      </c>
      <c r="H11" s="102">
        <v>45467</v>
      </c>
      <c r="I11" s="99">
        <v>0.39930555555555558</v>
      </c>
      <c r="J11" s="103">
        <v>8.2799999999999994</v>
      </c>
      <c r="K11" s="116">
        <v>18.600000000000001</v>
      </c>
      <c r="L11" s="117">
        <f t="shared" si="0"/>
        <v>3.0000000000001137E-2</v>
      </c>
      <c r="M11" s="101" t="s">
        <v>12</v>
      </c>
      <c r="N11" s="105" t="s">
        <v>142</v>
      </c>
      <c r="O11" s="98"/>
    </row>
    <row r="12" spans="1:29" ht="15.75" customHeight="1">
      <c r="A12" s="97" t="s">
        <v>152</v>
      </c>
      <c r="B12" s="115">
        <v>45461</v>
      </c>
      <c r="C12" s="120">
        <v>0.40902777777777777</v>
      </c>
      <c r="D12" s="100">
        <v>45462</v>
      </c>
      <c r="E12" s="99">
        <v>0.50347222222222221</v>
      </c>
      <c r="F12" s="101">
        <v>8.42</v>
      </c>
      <c r="G12" s="101">
        <v>20.9</v>
      </c>
      <c r="H12" s="102">
        <v>45467</v>
      </c>
      <c r="I12" s="99">
        <v>0.4</v>
      </c>
      <c r="J12" s="103">
        <v>8.1300000000000008</v>
      </c>
      <c r="K12" s="116">
        <v>19.5</v>
      </c>
      <c r="L12" s="117">
        <f t="shared" si="0"/>
        <v>0.28999999999999915</v>
      </c>
      <c r="M12" s="101" t="s">
        <v>12</v>
      </c>
      <c r="N12" s="105" t="s">
        <v>142</v>
      </c>
      <c r="O12" s="98"/>
    </row>
    <row r="13" spans="1:29" ht="15.75" customHeight="1">
      <c r="A13" s="97" t="s">
        <v>153</v>
      </c>
      <c r="B13" s="115">
        <v>45461</v>
      </c>
      <c r="C13" s="120">
        <v>0.42708333333333331</v>
      </c>
      <c r="D13" s="100">
        <v>45462</v>
      </c>
      <c r="E13" s="99">
        <v>0.50763888888888886</v>
      </c>
      <c r="F13" s="101">
        <v>8.5399999999999991</v>
      </c>
      <c r="G13" s="101">
        <v>21.1</v>
      </c>
      <c r="H13" s="102">
        <v>45467</v>
      </c>
      <c r="I13" s="99">
        <v>0.40208333333333335</v>
      </c>
      <c r="J13" s="101">
        <v>8.08</v>
      </c>
      <c r="K13" s="116">
        <v>19.8</v>
      </c>
      <c r="L13" s="117">
        <f t="shared" si="0"/>
        <v>0.45999999999999908</v>
      </c>
      <c r="M13" s="101" t="s">
        <v>12</v>
      </c>
      <c r="N13" s="105" t="s">
        <v>142</v>
      </c>
      <c r="O13" s="98"/>
    </row>
    <row r="14" spans="1:29" ht="15.75" customHeight="1">
      <c r="A14" s="97" t="s">
        <v>154</v>
      </c>
      <c r="B14" s="115">
        <v>45461</v>
      </c>
      <c r="C14" s="120">
        <v>0.42708333333333331</v>
      </c>
      <c r="D14" s="100">
        <v>45462</v>
      </c>
      <c r="E14" s="99">
        <v>0.51249999999999996</v>
      </c>
      <c r="F14" s="101">
        <v>8.5500000000000007</v>
      </c>
      <c r="G14" s="101">
        <v>21.7</v>
      </c>
      <c r="H14" s="102">
        <v>45467</v>
      </c>
      <c r="I14" s="99">
        <v>0.40416666666666667</v>
      </c>
      <c r="J14" s="101">
        <v>8.34</v>
      </c>
      <c r="K14" s="116">
        <v>19.600000000000001</v>
      </c>
      <c r="L14" s="117">
        <f t="shared" si="0"/>
        <v>0.21000000000000085</v>
      </c>
      <c r="M14" s="101" t="s">
        <v>12</v>
      </c>
      <c r="N14" s="105" t="s">
        <v>142</v>
      </c>
      <c r="O14" s="98"/>
    </row>
    <row r="15" spans="1:29" ht="15.75" customHeight="1">
      <c r="A15" s="107" t="s">
        <v>155</v>
      </c>
      <c r="B15" s="108">
        <v>45461</v>
      </c>
      <c r="C15" s="109">
        <v>0.44305555555555554</v>
      </c>
      <c r="D15" s="108">
        <v>45462</v>
      </c>
      <c r="E15" s="109">
        <v>0.52222222222222225</v>
      </c>
      <c r="F15" s="110">
        <v>8.33</v>
      </c>
      <c r="G15" s="110">
        <v>21.3</v>
      </c>
      <c r="H15" s="111">
        <v>45467</v>
      </c>
      <c r="I15" s="109">
        <v>0.40555555555555556</v>
      </c>
      <c r="J15" s="112">
        <v>6.69</v>
      </c>
      <c r="K15" s="113">
        <v>18.5</v>
      </c>
      <c r="L15" s="114">
        <f t="shared" si="0"/>
        <v>1.6399999999999997</v>
      </c>
      <c r="M15" s="101" t="s">
        <v>12</v>
      </c>
      <c r="N15" s="105" t="s">
        <v>142</v>
      </c>
      <c r="O15" s="98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</row>
    <row r="16" spans="1:29" ht="15.75" customHeight="1">
      <c r="A16" s="107" t="s">
        <v>156</v>
      </c>
      <c r="B16" s="108">
        <v>45461</v>
      </c>
      <c r="C16" s="109">
        <v>0.44305555555555554</v>
      </c>
      <c r="D16" s="108">
        <v>45462</v>
      </c>
      <c r="E16" s="109">
        <v>0.52152777777777781</v>
      </c>
      <c r="F16" s="110">
        <v>8.2899999999999991</v>
      </c>
      <c r="G16" s="110">
        <v>21.1</v>
      </c>
      <c r="H16" s="111">
        <v>45467</v>
      </c>
      <c r="I16" s="109">
        <v>0.40694444444444444</v>
      </c>
      <c r="J16" s="112">
        <v>8.06</v>
      </c>
      <c r="K16" s="113">
        <v>18.3</v>
      </c>
      <c r="L16" s="114">
        <f t="shared" si="0"/>
        <v>0.22999999999999865</v>
      </c>
      <c r="M16" s="101" t="s">
        <v>12</v>
      </c>
      <c r="N16" s="105" t="s">
        <v>142</v>
      </c>
      <c r="O16" s="98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</row>
    <row r="17" spans="1:29" ht="15.75" customHeight="1">
      <c r="A17" s="97" t="s">
        <v>157</v>
      </c>
      <c r="B17" s="115">
        <v>45461</v>
      </c>
      <c r="C17" s="99">
        <v>0.44305555555555554</v>
      </c>
      <c r="D17" s="100">
        <v>45462</v>
      </c>
      <c r="E17" s="99">
        <v>0.51944444444444449</v>
      </c>
      <c r="F17" s="101">
        <v>8.2899999999999991</v>
      </c>
      <c r="G17" s="101">
        <v>21.2</v>
      </c>
      <c r="H17" s="102">
        <v>45467</v>
      </c>
      <c r="I17" s="99">
        <v>0.40833333333333333</v>
      </c>
      <c r="J17" s="103">
        <v>8.1</v>
      </c>
      <c r="K17" s="116">
        <v>18.2</v>
      </c>
      <c r="L17" s="117">
        <f t="shared" si="0"/>
        <v>0.1899999999999995</v>
      </c>
      <c r="M17" s="101" t="s">
        <v>12</v>
      </c>
      <c r="N17" s="105" t="s">
        <v>142</v>
      </c>
      <c r="O17" s="98"/>
    </row>
    <row r="18" spans="1:29" ht="15.75" customHeight="1">
      <c r="A18" s="97" t="s">
        <v>158</v>
      </c>
      <c r="B18" s="115">
        <v>45461</v>
      </c>
      <c r="C18" s="99">
        <v>0.44305555555555554</v>
      </c>
      <c r="D18" s="100">
        <v>45462</v>
      </c>
      <c r="E18" s="99">
        <v>0.52638888888888891</v>
      </c>
      <c r="F18" s="101">
        <v>8.5399999999999991</v>
      </c>
      <c r="G18" s="101">
        <v>20.6</v>
      </c>
      <c r="H18" s="102">
        <v>45467</v>
      </c>
      <c r="I18" s="99">
        <v>0.41111111111111109</v>
      </c>
      <c r="J18" s="103">
        <v>8.3699999999999992</v>
      </c>
      <c r="K18" s="116">
        <v>19.3</v>
      </c>
      <c r="L18" s="117">
        <f t="shared" si="0"/>
        <v>0.16999999999999993</v>
      </c>
      <c r="M18" s="101" t="s">
        <v>12</v>
      </c>
      <c r="N18" s="105" t="s">
        <v>142</v>
      </c>
      <c r="O18" s="98"/>
      <c r="P18" s="67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</row>
    <row r="19" spans="1:29" ht="15" customHeight="1">
      <c r="A19" s="97" t="s">
        <v>159</v>
      </c>
      <c r="B19" s="115">
        <v>45461</v>
      </c>
      <c r="C19" s="99">
        <v>0.47222222222222221</v>
      </c>
      <c r="D19" s="100">
        <v>45462</v>
      </c>
      <c r="E19" s="99">
        <v>0.53125</v>
      </c>
      <c r="F19" s="101">
        <v>8.5399999999999991</v>
      </c>
      <c r="G19" s="101">
        <v>20.8</v>
      </c>
      <c r="H19" s="102">
        <v>45467</v>
      </c>
      <c r="I19" s="99">
        <v>0.41249999999999998</v>
      </c>
      <c r="J19" s="103">
        <v>8.39</v>
      </c>
      <c r="K19" s="116">
        <v>18.5</v>
      </c>
      <c r="L19" s="117">
        <f t="shared" si="0"/>
        <v>0.14999999999999858</v>
      </c>
      <c r="M19" s="101" t="s">
        <v>12</v>
      </c>
      <c r="N19" s="105" t="s">
        <v>142</v>
      </c>
      <c r="O19" s="104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</row>
    <row r="20" spans="1:29" ht="15" customHeight="1">
      <c r="A20" s="97" t="s">
        <v>160</v>
      </c>
      <c r="B20" s="115">
        <v>45461</v>
      </c>
      <c r="C20" s="99">
        <v>0.47222222222222221</v>
      </c>
      <c r="D20" s="100">
        <v>45462</v>
      </c>
      <c r="E20" s="99">
        <v>0.53749999999999998</v>
      </c>
      <c r="F20" s="101">
        <v>8.36</v>
      </c>
      <c r="G20" s="101">
        <v>21.1</v>
      </c>
      <c r="H20" s="102">
        <v>45467</v>
      </c>
      <c r="I20" s="99">
        <v>0.41388888888888886</v>
      </c>
      <c r="J20" s="103">
        <v>8.1999999999999993</v>
      </c>
      <c r="K20" s="116">
        <v>18.600000000000001</v>
      </c>
      <c r="L20" s="117">
        <f t="shared" si="0"/>
        <v>0.16000000000000014</v>
      </c>
      <c r="M20" s="101" t="s">
        <v>12</v>
      </c>
      <c r="N20" s="105" t="s">
        <v>142</v>
      </c>
      <c r="O20" s="121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</row>
    <row r="21" spans="1:29" ht="15.75" customHeight="1">
      <c r="A21" s="97" t="s">
        <v>161</v>
      </c>
      <c r="B21" s="115">
        <v>45461</v>
      </c>
      <c r="C21" s="99">
        <v>0.48819444444444443</v>
      </c>
      <c r="D21" s="100">
        <v>45462</v>
      </c>
      <c r="E21" s="99">
        <v>0.54722222222222228</v>
      </c>
      <c r="F21" s="101">
        <v>8.07</v>
      </c>
      <c r="G21" s="101">
        <v>20.100000000000001</v>
      </c>
      <c r="H21" s="102">
        <v>45467</v>
      </c>
      <c r="I21" s="99">
        <v>0.41666666666666669</v>
      </c>
      <c r="J21" s="103">
        <v>8.01</v>
      </c>
      <c r="K21" s="116">
        <v>18.399999999999999</v>
      </c>
      <c r="L21" s="117">
        <f t="shared" si="0"/>
        <v>6.0000000000000497E-2</v>
      </c>
      <c r="M21" s="101" t="s">
        <v>12</v>
      </c>
      <c r="N21" s="105" t="s">
        <v>142</v>
      </c>
      <c r="O21" s="98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</row>
    <row r="22" spans="1:29" ht="15.75" customHeight="1">
      <c r="A22" s="97" t="s">
        <v>162</v>
      </c>
      <c r="B22" s="115">
        <v>45461</v>
      </c>
      <c r="C22" s="99">
        <v>0.48819444444444443</v>
      </c>
      <c r="D22" s="100">
        <v>45462</v>
      </c>
      <c r="E22" s="99">
        <v>0.55277777777777781</v>
      </c>
      <c r="F22" s="101">
        <v>8.27</v>
      </c>
      <c r="G22" s="101">
        <v>22</v>
      </c>
      <c r="H22" s="102">
        <v>45467</v>
      </c>
      <c r="I22" s="99">
        <v>0.41805555555555557</v>
      </c>
      <c r="J22" s="103">
        <v>7.95</v>
      </c>
      <c r="K22" s="116">
        <v>19.100000000000001</v>
      </c>
      <c r="L22" s="117">
        <f t="shared" si="0"/>
        <v>0.3199999999999994</v>
      </c>
      <c r="M22" s="101" t="s">
        <v>12</v>
      </c>
      <c r="N22" s="105" t="s">
        <v>142</v>
      </c>
      <c r="O22" s="98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</row>
    <row r="23" spans="1:29" ht="15" customHeight="1">
      <c r="A23" s="97" t="s">
        <v>141</v>
      </c>
      <c r="B23" s="98" t="s">
        <v>74</v>
      </c>
      <c r="C23" s="99" t="s">
        <v>74</v>
      </c>
      <c r="D23" s="100">
        <v>45464</v>
      </c>
      <c r="E23" s="99">
        <v>9.375E-2</v>
      </c>
      <c r="F23" s="101">
        <v>8.11</v>
      </c>
      <c r="G23" s="101">
        <v>27.2</v>
      </c>
      <c r="H23" s="102">
        <v>45469</v>
      </c>
      <c r="I23" s="99">
        <v>0.54166666666666663</v>
      </c>
      <c r="J23" s="103">
        <v>8.2799999999999994</v>
      </c>
      <c r="K23" s="104">
        <v>25.8</v>
      </c>
      <c r="L23" s="117" t="s">
        <v>74</v>
      </c>
      <c r="M23" s="101" t="s">
        <v>12</v>
      </c>
      <c r="N23" s="105" t="s">
        <v>142</v>
      </c>
      <c r="O23" s="106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</row>
    <row r="24" spans="1:29" ht="15.75" customHeight="1">
      <c r="A24" s="97" t="s">
        <v>163</v>
      </c>
      <c r="B24" s="115">
        <v>45464</v>
      </c>
      <c r="C24" s="120">
        <v>0.30555555555555558</v>
      </c>
      <c r="D24" s="100">
        <v>45464</v>
      </c>
      <c r="E24" s="99">
        <v>0.59652777777777777</v>
      </c>
      <c r="F24" s="101">
        <v>8.4499999999999993</v>
      </c>
      <c r="G24" s="101">
        <v>19.25</v>
      </c>
      <c r="H24" s="102">
        <v>45469</v>
      </c>
      <c r="I24" s="99">
        <v>0.5444444444444444</v>
      </c>
      <c r="J24" s="103">
        <v>7.85</v>
      </c>
      <c r="K24" s="116">
        <v>19.600000000000001</v>
      </c>
      <c r="L24" s="117">
        <f t="shared" ref="L24:L35" si="1">F24-J24</f>
        <v>0.59999999999999964</v>
      </c>
      <c r="M24" s="101" t="s">
        <v>12</v>
      </c>
      <c r="N24" s="105" t="s">
        <v>90</v>
      </c>
      <c r="O24" s="98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</row>
    <row r="25" spans="1:29" ht="15.75" customHeight="1">
      <c r="A25" s="97" t="s">
        <v>164</v>
      </c>
      <c r="B25" s="100">
        <v>45464</v>
      </c>
      <c r="C25" s="120">
        <v>0.30555555555555558</v>
      </c>
      <c r="D25" s="100">
        <v>45464</v>
      </c>
      <c r="E25" s="99">
        <v>0.59791666666666665</v>
      </c>
      <c r="F25" s="101">
        <v>8.58</v>
      </c>
      <c r="G25" s="101">
        <v>18.7</v>
      </c>
      <c r="H25" s="102">
        <v>45469</v>
      </c>
      <c r="I25" s="99">
        <v>0.54583333333333328</v>
      </c>
      <c r="J25" s="103">
        <v>8.23</v>
      </c>
      <c r="K25" s="116">
        <v>19.399999999999999</v>
      </c>
      <c r="L25" s="117">
        <f t="shared" si="1"/>
        <v>0.34999999999999964</v>
      </c>
      <c r="M25" s="101" t="s">
        <v>12</v>
      </c>
      <c r="N25" s="105" t="s">
        <v>90</v>
      </c>
      <c r="O25" s="98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</row>
    <row r="26" spans="1:29" ht="15.75" customHeight="1">
      <c r="A26" s="97" t="s">
        <v>165</v>
      </c>
      <c r="B26" s="100">
        <v>45464</v>
      </c>
      <c r="C26" s="99">
        <v>0.34652777777777777</v>
      </c>
      <c r="D26" s="100">
        <v>45464</v>
      </c>
      <c r="E26" s="99">
        <v>0.60416666666666663</v>
      </c>
      <c r="F26" s="101">
        <v>8.61</v>
      </c>
      <c r="G26" s="101">
        <v>18.8</v>
      </c>
      <c r="H26" s="102">
        <v>45469</v>
      </c>
      <c r="I26" s="99">
        <v>0.54652777777777772</v>
      </c>
      <c r="J26" s="103">
        <v>7.98</v>
      </c>
      <c r="K26" s="116">
        <v>21</v>
      </c>
      <c r="L26" s="117">
        <f t="shared" si="1"/>
        <v>0.62999999999999901</v>
      </c>
      <c r="M26" s="101" t="s">
        <v>12</v>
      </c>
      <c r="N26" s="105" t="s">
        <v>90</v>
      </c>
      <c r="O26" s="98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</row>
    <row r="27" spans="1:29" ht="15.75" customHeight="1">
      <c r="A27" s="122" t="s">
        <v>166</v>
      </c>
      <c r="B27" s="100">
        <v>45464</v>
      </c>
      <c r="C27" s="123">
        <v>0.34652777777777777</v>
      </c>
      <c r="D27" s="100">
        <v>45464</v>
      </c>
      <c r="E27" s="123">
        <v>0.60555555555555551</v>
      </c>
      <c r="F27" s="124">
        <v>8.89</v>
      </c>
      <c r="G27" s="124">
        <v>18.8</v>
      </c>
      <c r="H27" s="102">
        <v>45469</v>
      </c>
      <c r="I27" s="99">
        <v>0.54791666666666672</v>
      </c>
      <c r="J27" s="125">
        <v>8.39</v>
      </c>
      <c r="K27" s="126">
        <v>18.399999999999999</v>
      </c>
      <c r="L27" s="117">
        <f t="shared" si="1"/>
        <v>0.5</v>
      </c>
      <c r="M27" s="101" t="s">
        <v>12</v>
      </c>
      <c r="N27" s="105" t="s">
        <v>90</v>
      </c>
      <c r="O27" s="98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</row>
    <row r="28" spans="1:29" ht="15.75" customHeight="1">
      <c r="A28" s="107" t="s">
        <v>167</v>
      </c>
      <c r="B28" s="111">
        <v>45464</v>
      </c>
      <c r="C28" s="109">
        <v>0.36388888888888887</v>
      </c>
      <c r="D28" s="111">
        <v>45464</v>
      </c>
      <c r="E28" s="109">
        <v>0.61319444444444449</v>
      </c>
      <c r="F28" s="110">
        <v>8.11</v>
      </c>
      <c r="G28" s="110">
        <v>20.3</v>
      </c>
      <c r="H28" s="111">
        <v>45469</v>
      </c>
      <c r="I28" s="109">
        <v>0.55069444444444449</v>
      </c>
      <c r="J28" s="112">
        <v>5.88</v>
      </c>
      <c r="K28" s="113">
        <v>20.7</v>
      </c>
      <c r="L28" s="127">
        <f t="shared" si="1"/>
        <v>2.2299999999999995</v>
      </c>
      <c r="M28" s="101" t="s">
        <v>12</v>
      </c>
      <c r="N28" s="105" t="s">
        <v>90</v>
      </c>
      <c r="O28" s="101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</row>
    <row r="29" spans="1:29" ht="15.75" customHeight="1">
      <c r="A29" s="107" t="s">
        <v>168</v>
      </c>
      <c r="B29" s="111">
        <v>45464</v>
      </c>
      <c r="C29" s="109">
        <v>0.36388888888888887</v>
      </c>
      <c r="D29" s="111">
        <v>45464</v>
      </c>
      <c r="E29" s="109">
        <v>0.61250000000000004</v>
      </c>
      <c r="F29" s="110">
        <v>8.11</v>
      </c>
      <c r="G29" s="110">
        <v>20.3</v>
      </c>
      <c r="H29" s="111">
        <v>45469</v>
      </c>
      <c r="I29" s="109">
        <v>0.55208333333333337</v>
      </c>
      <c r="J29" s="112">
        <v>7.71</v>
      </c>
      <c r="K29" s="113">
        <v>21</v>
      </c>
      <c r="L29" s="127">
        <f t="shared" si="1"/>
        <v>0.39999999999999947</v>
      </c>
      <c r="M29" s="101" t="s">
        <v>12</v>
      </c>
      <c r="N29" s="105" t="s">
        <v>90</v>
      </c>
      <c r="O29" s="98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</row>
    <row r="30" spans="1:29" ht="15.75" customHeight="1">
      <c r="A30" s="97" t="s">
        <v>169</v>
      </c>
      <c r="B30" s="100">
        <v>45464</v>
      </c>
      <c r="C30" s="99">
        <v>0.36388888888888887</v>
      </c>
      <c r="D30" s="100">
        <v>45464</v>
      </c>
      <c r="E30" s="99">
        <v>0.6118055555555556</v>
      </c>
      <c r="F30" s="101">
        <v>8.41</v>
      </c>
      <c r="G30" s="101">
        <v>20.3</v>
      </c>
      <c r="H30" s="102">
        <v>45469</v>
      </c>
      <c r="I30" s="99">
        <v>0.5541666666666667</v>
      </c>
      <c r="J30" s="103">
        <v>7.84</v>
      </c>
      <c r="K30" s="116">
        <v>20.9</v>
      </c>
      <c r="L30" s="117">
        <f t="shared" si="1"/>
        <v>0.57000000000000028</v>
      </c>
      <c r="M30" s="101" t="s">
        <v>12</v>
      </c>
      <c r="N30" s="105" t="s">
        <v>90</v>
      </c>
      <c r="O30" s="98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</row>
    <row r="31" spans="1:29" ht="15.75" customHeight="1">
      <c r="A31" s="97" t="s">
        <v>170</v>
      </c>
      <c r="B31" s="100">
        <v>45464</v>
      </c>
      <c r="C31" s="99">
        <v>0.36388888888888887</v>
      </c>
      <c r="D31" s="100">
        <v>45464</v>
      </c>
      <c r="E31" s="99">
        <v>0.61388888888888893</v>
      </c>
      <c r="F31" s="101">
        <v>8.7799999999999994</v>
      </c>
      <c r="G31" s="101">
        <v>18.899999999999999</v>
      </c>
      <c r="H31" s="102">
        <v>45469</v>
      </c>
      <c r="I31" s="99">
        <v>0.55694444444444446</v>
      </c>
      <c r="J31" s="103">
        <v>8.0399999999999991</v>
      </c>
      <c r="K31" s="116">
        <v>21.1</v>
      </c>
      <c r="L31" s="117">
        <f t="shared" si="1"/>
        <v>0.74000000000000021</v>
      </c>
      <c r="M31" s="101" t="s">
        <v>12</v>
      </c>
      <c r="N31" s="105" t="s">
        <v>90</v>
      </c>
      <c r="O31" s="98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</row>
    <row r="32" spans="1:29" ht="15.75" customHeight="1">
      <c r="A32" s="97" t="s">
        <v>171</v>
      </c>
      <c r="B32" s="100">
        <v>45464</v>
      </c>
      <c r="C32" s="99">
        <v>0.41944444444444445</v>
      </c>
      <c r="D32" s="100">
        <v>45464</v>
      </c>
      <c r="E32" s="99">
        <v>0.62291666666666667</v>
      </c>
      <c r="F32" s="101">
        <v>8.8000000000000007</v>
      </c>
      <c r="G32" s="101">
        <v>20</v>
      </c>
      <c r="H32" s="102">
        <v>45469</v>
      </c>
      <c r="I32" s="99">
        <v>0.55902777777777779</v>
      </c>
      <c r="J32" s="103">
        <v>7.88</v>
      </c>
      <c r="K32" s="116">
        <v>21.1</v>
      </c>
      <c r="L32" s="117">
        <f t="shared" si="1"/>
        <v>0.92000000000000082</v>
      </c>
      <c r="M32" s="101" t="s">
        <v>12</v>
      </c>
      <c r="N32" s="105" t="s">
        <v>90</v>
      </c>
      <c r="O32" s="98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</row>
    <row r="33" spans="1:29" ht="15.75" customHeight="1">
      <c r="A33" s="97" t="s">
        <v>172</v>
      </c>
      <c r="B33" s="100">
        <v>45464</v>
      </c>
      <c r="C33" s="99">
        <v>0.41944444444444445</v>
      </c>
      <c r="D33" s="100">
        <v>45464</v>
      </c>
      <c r="E33" s="99">
        <v>0.62430555555555556</v>
      </c>
      <c r="F33" s="101">
        <v>8.4499999999999993</v>
      </c>
      <c r="G33" s="101">
        <v>19.899999999999999</v>
      </c>
      <c r="H33" s="102">
        <v>45469</v>
      </c>
      <c r="I33" s="99">
        <v>6.0416666666666667E-2</v>
      </c>
      <c r="J33" s="103">
        <v>8.0500000000000007</v>
      </c>
      <c r="K33" s="116">
        <v>21.4</v>
      </c>
      <c r="L33" s="117">
        <f t="shared" si="1"/>
        <v>0.39999999999999858</v>
      </c>
      <c r="M33" s="101" t="s">
        <v>12</v>
      </c>
      <c r="N33" s="105" t="s">
        <v>90</v>
      </c>
      <c r="O33" s="98"/>
    </row>
    <row r="34" spans="1:29" ht="15" customHeight="1">
      <c r="A34" s="97" t="s">
        <v>173</v>
      </c>
      <c r="B34" s="100">
        <v>45464</v>
      </c>
      <c r="C34" s="99">
        <v>0.43611111111111112</v>
      </c>
      <c r="D34" s="100">
        <v>45464</v>
      </c>
      <c r="E34" s="99">
        <v>0.62847222222222221</v>
      </c>
      <c r="F34" s="101">
        <v>8.0299999999999994</v>
      </c>
      <c r="G34" s="101">
        <v>21.1</v>
      </c>
      <c r="H34" s="102">
        <v>45469</v>
      </c>
      <c r="I34" s="99">
        <v>6.1805555555555558E-2</v>
      </c>
      <c r="J34" s="103">
        <v>7.76</v>
      </c>
      <c r="K34" s="104">
        <v>21.4</v>
      </c>
      <c r="L34" s="117">
        <f t="shared" si="1"/>
        <v>0.26999999999999957</v>
      </c>
      <c r="M34" s="101" t="s">
        <v>12</v>
      </c>
      <c r="N34" s="105" t="s">
        <v>90</v>
      </c>
      <c r="O34" s="106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</row>
    <row r="35" spans="1:29" ht="15.75" customHeight="1">
      <c r="A35" s="97" t="s">
        <v>174</v>
      </c>
      <c r="B35" s="100">
        <v>45464</v>
      </c>
      <c r="C35" s="99">
        <v>0.43611111111111112</v>
      </c>
      <c r="D35" s="100">
        <v>45464</v>
      </c>
      <c r="E35" s="99">
        <v>0.62986111111111109</v>
      </c>
      <c r="F35" s="101">
        <v>8.2100000000000009</v>
      </c>
      <c r="G35" s="101">
        <v>19.600000000000001</v>
      </c>
      <c r="H35" s="102">
        <v>45469</v>
      </c>
      <c r="I35" s="99">
        <v>6.25E-2</v>
      </c>
      <c r="J35" s="103">
        <v>8.14</v>
      </c>
      <c r="K35" s="116">
        <v>21.5</v>
      </c>
      <c r="L35" s="117">
        <f t="shared" si="1"/>
        <v>7.0000000000000284E-2</v>
      </c>
      <c r="M35" s="101" t="s">
        <v>12</v>
      </c>
      <c r="N35" s="105" t="s">
        <v>90</v>
      </c>
      <c r="O35" s="98"/>
      <c r="P35" s="67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</row>
    <row r="36" spans="1:29" ht="15" customHeight="1">
      <c r="A36" s="97" t="s">
        <v>141</v>
      </c>
      <c r="B36" s="100">
        <v>45468</v>
      </c>
      <c r="C36" s="99">
        <v>0.28333333333333333</v>
      </c>
      <c r="D36" s="100">
        <v>45469</v>
      </c>
      <c r="E36" s="99">
        <v>0.54166666666666663</v>
      </c>
      <c r="F36" s="101">
        <v>8.2799999999999994</v>
      </c>
      <c r="G36" s="101">
        <v>25.8</v>
      </c>
      <c r="H36" s="102">
        <v>45474</v>
      </c>
      <c r="I36" s="99">
        <v>0.49583333333333335</v>
      </c>
      <c r="J36" s="103">
        <v>8.19</v>
      </c>
      <c r="K36" s="116">
        <v>26.4</v>
      </c>
      <c r="L36" s="117" t="s">
        <v>74</v>
      </c>
      <c r="M36" s="101" t="s">
        <v>12</v>
      </c>
      <c r="N36" s="105" t="s">
        <v>90</v>
      </c>
      <c r="O36" s="104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</row>
    <row r="37" spans="1:29" ht="15" customHeight="1">
      <c r="A37" s="97" t="s">
        <v>175</v>
      </c>
      <c r="B37" s="100">
        <v>45468</v>
      </c>
      <c r="C37" s="99">
        <v>0.28333333333333333</v>
      </c>
      <c r="D37" s="100">
        <v>45469</v>
      </c>
      <c r="E37" s="99">
        <v>0.5708333333333333</v>
      </c>
      <c r="F37" s="101">
        <v>8.35</v>
      </c>
      <c r="G37" s="101">
        <v>21.9</v>
      </c>
      <c r="H37" s="102">
        <v>45474</v>
      </c>
      <c r="I37" s="99">
        <v>0.50069444444444444</v>
      </c>
      <c r="J37" s="103">
        <v>7.91</v>
      </c>
      <c r="K37" s="116">
        <v>17.7</v>
      </c>
      <c r="L37" s="117">
        <f t="shared" ref="L37:L56" si="2">F37-J37</f>
        <v>0.4399999999999995</v>
      </c>
      <c r="M37" s="101" t="s">
        <v>12</v>
      </c>
      <c r="N37" s="105" t="s">
        <v>90</v>
      </c>
      <c r="O37" s="104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</row>
    <row r="38" spans="1:29" ht="15" customHeight="1">
      <c r="A38" s="97" t="s">
        <v>176</v>
      </c>
      <c r="B38" s="100">
        <v>45468</v>
      </c>
      <c r="C38" s="99">
        <v>0.28333333333333333</v>
      </c>
      <c r="D38" s="100">
        <v>45469</v>
      </c>
      <c r="E38" s="99">
        <v>0.57708333333333328</v>
      </c>
      <c r="F38" s="103">
        <v>8.42</v>
      </c>
      <c r="G38" s="116">
        <v>21.1</v>
      </c>
      <c r="H38" s="102">
        <v>45474</v>
      </c>
      <c r="I38" s="99">
        <v>0.50208333333333333</v>
      </c>
      <c r="J38" s="103">
        <v>8.11</v>
      </c>
      <c r="K38" s="116">
        <v>18.399999999999999</v>
      </c>
      <c r="L38" s="117">
        <f t="shared" si="2"/>
        <v>0.3100000000000005</v>
      </c>
      <c r="M38" s="101" t="s">
        <v>12</v>
      </c>
      <c r="N38" s="105" t="s">
        <v>90</v>
      </c>
      <c r="O38" s="121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</row>
    <row r="39" spans="1:29" ht="15.75" customHeight="1">
      <c r="A39" s="97" t="s">
        <v>177</v>
      </c>
      <c r="B39" s="100">
        <v>45468</v>
      </c>
      <c r="C39" s="99">
        <v>0.30833333333333335</v>
      </c>
      <c r="D39" s="100">
        <v>45469</v>
      </c>
      <c r="E39" s="99">
        <v>0.57986111111111116</v>
      </c>
      <c r="F39" s="101">
        <v>8.57</v>
      </c>
      <c r="G39" s="101">
        <v>21.7</v>
      </c>
      <c r="H39" s="102">
        <v>45474</v>
      </c>
      <c r="I39" s="99">
        <v>0.50347222222222221</v>
      </c>
      <c r="J39" s="103">
        <v>8.1999999999999993</v>
      </c>
      <c r="K39" s="116">
        <v>19.5</v>
      </c>
      <c r="L39" s="117">
        <f t="shared" si="2"/>
        <v>0.37000000000000099</v>
      </c>
      <c r="M39" s="101" t="s">
        <v>12</v>
      </c>
      <c r="N39" s="105" t="s">
        <v>90</v>
      </c>
      <c r="O39" s="98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</row>
    <row r="40" spans="1:29" ht="15.75" customHeight="1">
      <c r="A40" s="97" t="s">
        <v>178</v>
      </c>
      <c r="B40" s="100">
        <v>45468</v>
      </c>
      <c r="C40" s="99">
        <v>0.30833333333333335</v>
      </c>
      <c r="D40" s="100">
        <v>45469</v>
      </c>
      <c r="E40" s="99">
        <v>0.58402777777777781</v>
      </c>
      <c r="F40" s="101">
        <v>9.0299999999999994</v>
      </c>
      <c r="G40" s="101">
        <v>21.4</v>
      </c>
      <c r="H40" s="102">
        <v>45474</v>
      </c>
      <c r="I40" s="99">
        <v>0.50486111111111109</v>
      </c>
      <c r="J40" s="103">
        <v>8.4600000000000009</v>
      </c>
      <c r="K40" s="116">
        <v>19.899999999999999</v>
      </c>
      <c r="L40" s="117">
        <f t="shared" si="2"/>
        <v>0.56999999999999851</v>
      </c>
      <c r="M40" s="101" t="s">
        <v>12</v>
      </c>
      <c r="N40" s="105" t="s">
        <v>90</v>
      </c>
      <c r="O40" s="98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</row>
    <row r="41" spans="1:29" ht="15.75" customHeight="1">
      <c r="A41" s="107" t="s">
        <v>179</v>
      </c>
      <c r="B41" s="108">
        <v>45468</v>
      </c>
      <c r="C41" s="109">
        <v>0.32291666666666669</v>
      </c>
      <c r="D41" s="108">
        <v>45469</v>
      </c>
      <c r="E41" s="109">
        <v>0.59652777777777777</v>
      </c>
      <c r="F41" s="110">
        <v>8.66</v>
      </c>
      <c r="G41" s="110">
        <v>22.5</v>
      </c>
      <c r="H41" s="111">
        <v>45474</v>
      </c>
      <c r="I41" s="109">
        <v>0.50624999999999998</v>
      </c>
      <c r="J41" s="112">
        <v>7</v>
      </c>
      <c r="K41" s="113">
        <v>20.100000000000001</v>
      </c>
      <c r="L41" s="127">
        <f t="shared" si="2"/>
        <v>1.6600000000000001</v>
      </c>
      <c r="M41" s="101" t="s">
        <v>12</v>
      </c>
      <c r="N41" s="128" t="s">
        <v>90</v>
      </c>
      <c r="O41" s="129"/>
      <c r="P41" s="130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</row>
    <row r="42" spans="1:29" ht="15.75" customHeight="1">
      <c r="A42" s="107" t="s">
        <v>180</v>
      </c>
      <c r="B42" s="108">
        <v>45468</v>
      </c>
      <c r="C42" s="109">
        <v>0.32291666666666669</v>
      </c>
      <c r="D42" s="108">
        <v>45469</v>
      </c>
      <c r="E42" s="109">
        <v>0.59583333333333333</v>
      </c>
      <c r="F42" s="110">
        <v>8.67</v>
      </c>
      <c r="G42" s="110">
        <v>22.5</v>
      </c>
      <c r="H42" s="111">
        <v>45474</v>
      </c>
      <c r="I42" s="109">
        <v>0.5083333333333333</v>
      </c>
      <c r="J42" s="112">
        <v>8.25</v>
      </c>
      <c r="K42" s="113">
        <v>20.100000000000001</v>
      </c>
      <c r="L42" s="127">
        <f t="shared" si="2"/>
        <v>0.41999999999999993</v>
      </c>
      <c r="M42" s="101" t="s">
        <v>12</v>
      </c>
      <c r="N42" s="128" t="s">
        <v>90</v>
      </c>
      <c r="O42" s="129"/>
      <c r="P42" s="130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</row>
    <row r="43" spans="1:29" ht="15.75" customHeight="1">
      <c r="A43" s="97" t="s">
        <v>181</v>
      </c>
      <c r="B43" s="100">
        <v>45468</v>
      </c>
      <c r="C43" s="99">
        <v>0.32291666666666669</v>
      </c>
      <c r="D43" s="100">
        <v>45469</v>
      </c>
      <c r="E43" s="99">
        <v>0.59513888888888888</v>
      </c>
      <c r="F43" s="101">
        <v>8.66</v>
      </c>
      <c r="G43" s="101">
        <v>22.6</v>
      </c>
      <c r="H43" s="102">
        <v>45474</v>
      </c>
      <c r="I43" s="99">
        <v>0.50972222222222219</v>
      </c>
      <c r="J43" s="103">
        <v>8.14</v>
      </c>
      <c r="K43" s="116">
        <v>19.600000000000001</v>
      </c>
      <c r="L43" s="117">
        <f t="shared" si="2"/>
        <v>0.51999999999999957</v>
      </c>
      <c r="M43" s="101" t="s">
        <v>12</v>
      </c>
      <c r="N43" s="105" t="s">
        <v>90</v>
      </c>
      <c r="O43" s="98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</row>
    <row r="44" spans="1:29" ht="15.75" customHeight="1">
      <c r="A44" s="97" t="s">
        <v>182</v>
      </c>
      <c r="B44" s="100">
        <v>45468</v>
      </c>
      <c r="C44" s="99">
        <v>0.32291666666666669</v>
      </c>
      <c r="D44" s="100">
        <v>45469</v>
      </c>
      <c r="E44" s="99">
        <v>0.58958333333333335</v>
      </c>
      <c r="F44" s="101">
        <v>8.3800000000000008</v>
      </c>
      <c r="G44" s="101">
        <v>21.5</v>
      </c>
      <c r="H44" s="102">
        <v>45474</v>
      </c>
      <c r="I44" s="99">
        <v>0.5131944444444444</v>
      </c>
      <c r="J44" s="103">
        <v>8.1199999999999992</v>
      </c>
      <c r="K44" s="116">
        <v>19.100000000000001</v>
      </c>
      <c r="L44" s="117">
        <f t="shared" si="2"/>
        <v>0.26000000000000156</v>
      </c>
      <c r="M44" s="101" t="s">
        <v>12</v>
      </c>
      <c r="N44" s="105" t="s">
        <v>90</v>
      </c>
      <c r="O44" s="98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</row>
    <row r="45" spans="1:29" ht="15.75" customHeight="1">
      <c r="A45" s="97" t="s">
        <v>183</v>
      </c>
      <c r="B45" s="100">
        <v>45468</v>
      </c>
      <c r="C45" s="99">
        <v>0.34375</v>
      </c>
      <c r="D45" s="100">
        <v>45469</v>
      </c>
      <c r="E45" s="99">
        <v>0.59930555555555554</v>
      </c>
      <c r="F45" s="101">
        <v>9.5299999999999994</v>
      </c>
      <c r="G45" s="101">
        <v>21.6</v>
      </c>
      <c r="H45" s="102">
        <v>45474</v>
      </c>
      <c r="I45" s="99">
        <v>0.51597222222222228</v>
      </c>
      <c r="J45" s="103">
        <v>8.68</v>
      </c>
      <c r="K45" s="116">
        <v>19.399999999999999</v>
      </c>
      <c r="L45" s="117">
        <f t="shared" si="2"/>
        <v>0.84999999999999964</v>
      </c>
      <c r="M45" s="101" t="s">
        <v>12</v>
      </c>
      <c r="N45" s="105" t="s">
        <v>90</v>
      </c>
      <c r="O45" s="98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</row>
    <row r="46" spans="1:29" ht="15.75" customHeight="1">
      <c r="A46" s="97" t="s">
        <v>184</v>
      </c>
      <c r="B46" s="100">
        <v>45468</v>
      </c>
      <c r="C46" s="99">
        <v>0.34375</v>
      </c>
      <c r="D46" s="100">
        <v>45469</v>
      </c>
      <c r="E46" s="99">
        <v>0.60277777777777775</v>
      </c>
      <c r="F46" s="101">
        <v>8.66</v>
      </c>
      <c r="G46" s="101">
        <v>21.9</v>
      </c>
      <c r="H46" s="102">
        <v>45474</v>
      </c>
      <c r="I46" s="99">
        <v>0.51875000000000004</v>
      </c>
      <c r="J46" s="103">
        <v>8.3800000000000008</v>
      </c>
      <c r="K46" s="116">
        <v>20.5</v>
      </c>
      <c r="L46" s="117">
        <f t="shared" si="2"/>
        <v>0.27999999999999936</v>
      </c>
      <c r="M46" s="101" t="s">
        <v>12</v>
      </c>
      <c r="N46" s="105" t="s">
        <v>90</v>
      </c>
      <c r="O46" s="98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</row>
    <row r="47" spans="1:29" ht="15.75" customHeight="1">
      <c r="A47" s="97" t="s">
        <v>185</v>
      </c>
      <c r="B47" s="100">
        <v>45468</v>
      </c>
      <c r="C47" s="99">
        <v>0.36736111111111114</v>
      </c>
      <c r="D47" s="100">
        <v>45469</v>
      </c>
      <c r="E47" s="99">
        <v>0.60972222222222228</v>
      </c>
      <c r="F47" s="101">
        <v>9.41</v>
      </c>
      <c r="G47" s="101">
        <v>22.4</v>
      </c>
      <c r="H47" s="102">
        <v>45474</v>
      </c>
      <c r="I47" s="99">
        <v>0.52013888888888893</v>
      </c>
      <c r="J47" s="103">
        <v>8.5299999999999994</v>
      </c>
      <c r="K47" s="116">
        <v>21.3</v>
      </c>
      <c r="L47" s="117">
        <f t="shared" si="2"/>
        <v>0.88000000000000078</v>
      </c>
      <c r="M47" s="101" t="s">
        <v>12</v>
      </c>
      <c r="N47" s="105" t="s">
        <v>90</v>
      </c>
      <c r="O47" s="98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</row>
    <row r="48" spans="1:29" ht="15" customHeight="1">
      <c r="A48" s="97" t="s">
        <v>186</v>
      </c>
      <c r="B48" s="100">
        <v>45468</v>
      </c>
      <c r="C48" s="99">
        <v>0.36736111111111114</v>
      </c>
      <c r="D48" s="100">
        <v>45469</v>
      </c>
      <c r="E48" s="99">
        <v>0.61458333333333337</v>
      </c>
      <c r="F48" s="101">
        <v>8.76</v>
      </c>
      <c r="G48" s="101">
        <v>22.3</v>
      </c>
      <c r="H48" s="102">
        <v>45474</v>
      </c>
      <c r="I48" s="99">
        <v>0.60624999999999996</v>
      </c>
      <c r="J48" s="103">
        <v>8.41</v>
      </c>
      <c r="K48" s="104">
        <v>21.6</v>
      </c>
      <c r="L48" s="117">
        <f t="shared" si="2"/>
        <v>0.34999999999999964</v>
      </c>
      <c r="M48" s="101" t="s">
        <v>12</v>
      </c>
      <c r="N48" s="105" t="s">
        <v>90</v>
      </c>
      <c r="O48" s="106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</row>
    <row r="49" spans="1:29" ht="15.75" customHeight="1">
      <c r="A49" s="97" t="s">
        <v>187</v>
      </c>
      <c r="B49" s="100">
        <v>45468</v>
      </c>
      <c r="C49" s="99">
        <v>0.38611111111111113</v>
      </c>
      <c r="D49" s="100">
        <v>45469</v>
      </c>
      <c r="E49" s="99">
        <v>0.625</v>
      </c>
      <c r="F49" s="101">
        <v>8.82</v>
      </c>
      <c r="G49" s="101">
        <v>22.7</v>
      </c>
      <c r="H49" s="102">
        <v>45474</v>
      </c>
      <c r="I49" s="99">
        <v>0.52430555555555558</v>
      </c>
      <c r="J49" s="103">
        <v>8.3800000000000008</v>
      </c>
      <c r="K49" s="116">
        <v>20.5</v>
      </c>
      <c r="L49" s="117">
        <f t="shared" si="2"/>
        <v>0.4399999999999995</v>
      </c>
      <c r="M49" s="101" t="s">
        <v>12</v>
      </c>
      <c r="N49" s="105" t="s">
        <v>90</v>
      </c>
      <c r="O49" s="98"/>
    </row>
    <row r="50" spans="1:29" ht="15.75" customHeight="1">
      <c r="A50" s="97" t="s">
        <v>188</v>
      </c>
      <c r="B50" s="100">
        <v>45468</v>
      </c>
      <c r="C50" s="99">
        <v>0.38611111111111113</v>
      </c>
      <c r="D50" s="100">
        <v>45469</v>
      </c>
      <c r="E50" s="99">
        <v>0.62569444444444444</v>
      </c>
      <c r="F50" s="101">
        <v>8.8800000000000008</v>
      </c>
      <c r="G50" s="101">
        <v>22.2</v>
      </c>
      <c r="H50" s="102">
        <v>45474</v>
      </c>
      <c r="I50" s="99">
        <v>0.52638888888888891</v>
      </c>
      <c r="J50" s="103">
        <v>8.31</v>
      </c>
      <c r="K50" s="116">
        <v>20.6</v>
      </c>
      <c r="L50" s="117">
        <f t="shared" si="2"/>
        <v>0.57000000000000028</v>
      </c>
      <c r="M50" s="101" t="s">
        <v>12</v>
      </c>
      <c r="N50" s="105" t="s">
        <v>90</v>
      </c>
      <c r="O50" s="98"/>
      <c r="P50" s="67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</row>
    <row r="51" spans="1:29" ht="15" customHeight="1">
      <c r="A51" s="97" t="s">
        <v>189</v>
      </c>
      <c r="B51" s="100">
        <v>45468</v>
      </c>
      <c r="C51" s="99">
        <v>0.40138888888888891</v>
      </c>
      <c r="D51" s="100">
        <v>45469</v>
      </c>
      <c r="E51" s="99">
        <v>0.62847222222222221</v>
      </c>
      <c r="F51" s="101">
        <v>8.82</v>
      </c>
      <c r="G51" s="101">
        <v>22.3</v>
      </c>
      <c r="H51" s="102">
        <v>45474</v>
      </c>
      <c r="I51" s="99">
        <v>0.52777777777777779</v>
      </c>
      <c r="J51" s="103">
        <v>8.2799999999999994</v>
      </c>
      <c r="K51" s="116">
        <v>21</v>
      </c>
      <c r="L51" s="117">
        <f t="shared" si="2"/>
        <v>0.54000000000000092</v>
      </c>
      <c r="M51" s="101" t="s">
        <v>12</v>
      </c>
      <c r="N51" s="105" t="s">
        <v>90</v>
      </c>
      <c r="O51" s="104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</row>
    <row r="52" spans="1:29" ht="15" customHeight="1">
      <c r="A52" s="97" t="s">
        <v>190</v>
      </c>
      <c r="B52" s="100">
        <v>45468</v>
      </c>
      <c r="C52" s="99">
        <v>0.40138888888888891</v>
      </c>
      <c r="D52" s="100">
        <v>45469</v>
      </c>
      <c r="E52" s="99">
        <v>0.62986111111111109</v>
      </c>
      <c r="F52" s="101">
        <v>8.75</v>
      </c>
      <c r="G52" s="101">
        <v>22.5</v>
      </c>
      <c r="H52" s="102">
        <v>45474</v>
      </c>
      <c r="I52" s="99">
        <v>0.52847222222222223</v>
      </c>
      <c r="J52" s="103">
        <v>8.31</v>
      </c>
      <c r="K52" s="116">
        <v>20.6</v>
      </c>
      <c r="L52" s="117">
        <f t="shared" si="2"/>
        <v>0.4399999999999995</v>
      </c>
      <c r="M52" s="101" t="s">
        <v>12</v>
      </c>
      <c r="N52" s="105" t="s">
        <v>90</v>
      </c>
      <c r="O52" s="121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</row>
    <row r="53" spans="1:29" ht="15.75" customHeight="1">
      <c r="A53" s="107" t="s">
        <v>191</v>
      </c>
      <c r="B53" s="108">
        <v>45468</v>
      </c>
      <c r="C53" s="109">
        <v>0.4236111111111111</v>
      </c>
      <c r="D53" s="108">
        <v>45469</v>
      </c>
      <c r="E53" s="109">
        <v>0.64027777777777772</v>
      </c>
      <c r="F53" s="110">
        <v>8.4499999999999993</v>
      </c>
      <c r="G53" s="110">
        <v>22.8</v>
      </c>
      <c r="H53" s="111">
        <v>45474</v>
      </c>
      <c r="I53" s="109">
        <v>0.53333333333333333</v>
      </c>
      <c r="J53" s="112">
        <v>6.29</v>
      </c>
      <c r="K53" s="113">
        <v>21.4</v>
      </c>
      <c r="L53" s="127">
        <f t="shared" si="2"/>
        <v>2.1599999999999993</v>
      </c>
      <c r="M53" s="101" t="s">
        <v>12</v>
      </c>
      <c r="N53" s="128" t="s">
        <v>90</v>
      </c>
      <c r="O53" s="124"/>
      <c r="P53" s="130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</row>
    <row r="54" spans="1:29" ht="15.75" customHeight="1">
      <c r="A54" s="107" t="s">
        <v>192</v>
      </c>
      <c r="B54" s="108">
        <v>45468</v>
      </c>
      <c r="C54" s="109">
        <v>0.4236111111111111</v>
      </c>
      <c r="D54" s="108">
        <v>45469</v>
      </c>
      <c r="E54" s="109">
        <v>0.63958333333333328</v>
      </c>
      <c r="F54" s="110">
        <v>8.5</v>
      </c>
      <c r="G54" s="110">
        <v>22.8</v>
      </c>
      <c r="H54" s="111">
        <v>45474</v>
      </c>
      <c r="I54" s="109">
        <v>0.53263888888888888</v>
      </c>
      <c r="J54" s="112">
        <v>8.01</v>
      </c>
      <c r="K54" s="113">
        <v>21.5</v>
      </c>
      <c r="L54" s="127">
        <f t="shared" si="2"/>
        <v>0.49000000000000021</v>
      </c>
      <c r="M54" s="101" t="s">
        <v>12</v>
      </c>
      <c r="N54" s="128" t="s">
        <v>90</v>
      </c>
      <c r="O54" s="129"/>
      <c r="P54" s="130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</row>
    <row r="55" spans="1:29" ht="15.75" customHeight="1">
      <c r="A55" s="97" t="s">
        <v>193</v>
      </c>
      <c r="B55" s="100">
        <v>45468</v>
      </c>
      <c r="C55" s="123">
        <v>0.4236111111111111</v>
      </c>
      <c r="D55" s="100">
        <v>45469</v>
      </c>
      <c r="E55" s="99">
        <v>0.63472222222222219</v>
      </c>
      <c r="F55" s="101">
        <v>8.77</v>
      </c>
      <c r="G55" s="101">
        <v>22.5</v>
      </c>
      <c r="H55" s="102">
        <v>45474</v>
      </c>
      <c r="I55" s="99">
        <v>0.52986111111111112</v>
      </c>
      <c r="J55" s="103">
        <v>8.15</v>
      </c>
      <c r="K55" s="116">
        <v>21.1</v>
      </c>
      <c r="L55" s="117">
        <f t="shared" si="2"/>
        <v>0.61999999999999922</v>
      </c>
      <c r="M55" s="101" t="s">
        <v>12</v>
      </c>
      <c r="N55" s="105" t="s">
        <v>90</v>
      </c>
      <c r="O55" s="98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</row>
    <row r="56" spans="1:29" ht="15.75" customHeight="1">
      <c r="A56" s="97" t="s">
        <v>194</v>
      </c>
      <c r="B56" s="100">
        <v>45468</v>
      </c>
      <c r="C56" s="123">
        <v>0.4236111111111111</v>
      </c>
      <c r="D56" s="100">
        <v>45469</v>
      </c>
      <c r="E56" s="99">
        <v>0.63888888888888884</v>
      </c>
      <c r="F56" s="101">
        <v>8.5</v>
      </c>
      <c r="G56" s="101">
        <v>22.7</v>
      </c>
      <c r="H56" s="102">
        <v>45474</v>
      </c>
      <c r="I56" s="99">
        <v>0.53194444444444444</v>
      </c>
      <c r="J56" s="103">
        <v>7.98</v>
      </c>
      <c r="K56" s="116">
        <v>21.5</v>
      </c>
      <c r="L56" s="117">
        <f t="shared" si="2"/>
        <v>0.51999999999999957</v>
      </c>
      <c r="M56" s="101" t="s">
        <v>12</v>
      </c>
      <c r="N56" s="105" t="s">
        <v>90</v>
      </c>
      <c r="O56" s="98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</row>
    <row r="57" spans="1:29" ht="15.75" customHeight="1">
      <c r="A57" s="97" t="s">
        <v>141</v>
      </c>
      <c r="B57" s="98" t="s">
        <v>74</v>
      </c>
      <c r="C57" s="98" t="s">
        <v>74</v>
      </c>
      <c r="D57" s="100">
        <v>45471</v>
      </c>
      <c r="E57" s="99">
        <v>0.56666666666666665</v>
      </c>
      <c r="F57" s="101">
        <v>8.19</v>
      </c>
      <c r="G57" s="101">
        <v>26.6</v>
      </c>
      <c r="H57" s="102">
        <v>45476</v>
      </c>
      <c r="I57" s="99">
        <v>0.42569444444444443</v>
      </c>
      <c r="J57" s="103">
        <v>8.31</v>
      </c>
      <c r="K57" s="116">
        <v>26</v>
      </c>
      <c r="L57" s="117" t="s">
        <v>74</v>
      </c>
      <c r="M57" s="101" t="s">
        <v>12</v>
      </c>
      <c r="N57" s="105" t="s">
        <v>13</v>
      </c>
      <c r="O57" s="98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</row>
    <row r="58" spans="1:29" ht="15.75" customHeight="1">
      <c r="A58" s="97" t="s">
        <v>195</v>
      </c>
      <c r="B58" s="100">
        <v>45471</v>
      </c>
      <c r="C58" s="99">
        <v>0.26805555555555555</v>
      </c>
      <c r="D58" s="100">
        <v>45471</v>
      </c>
      <c r="E58" s="99">
        <v>0.56805555555555554</v>
      </c>
      <c r="F58" s="101">
        <v>8.67</v>
      </c>
      <c r="G58" s="101">
        <v>17</v>
      </c>
      <c r="H58" s="102">
        <v>45476</v>
      </c>
      <c r="I58" s="99">
        <v>0.42708333333333331</v>
      </c>
      <c r="J58" s="103">
        <v>8.3699999999999992</v>
      </c>
      <c r="K58" s="116">
        <v>21.7</v>
      </c>
      <c r="L58" s="117">
        <f t="shared" ref="L58:L69" si="3">F58-J58</f>
        <v>0.30000000000000071</v>
      </c>
      <c r="M58" s="101" t="s">
        <v>12</v>
      </c>
      <c r="N58" s="105" t="s">
        <v>13</v>
      </c>
      <c r="O58" s="98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</row>
    <row r="59" spans="1:29" ht="15.75" customHeight="1">
      <c r="A59" s="97" t="s">
        <v>196</v>
      </c>
      <c r="B59" s="100">
        <v>45471</v>
      </c>
      <c r="C59" s="99">
        <v>0.26805555555555555</v>
      </c>
      <c r="D59" s="100">
        <v>45471</v>
      </c>
      <c r="E59" s="99">
        <v>7.1527777777777773E-2</v>
      </c>
      <c r="F59" s="101">
        <v>7.93</v>
      </c>
      <c r="G59" s="101">
        <v>17</v>
      </c>
      <c r="H59" s="102">
        <v>45476</v>
      </c>
      <c r="I59" s="99">
        <v>0.4284722222222222</v>
      </c>
      <c r="J59" s="103">
        <v>7.58</v>
      </c>
      <c r="K59" s="116">
        <v>21.8</v>
      </c>
      <c r="L59" s="117">
        <f t="shared" si="3"/>
        <v>0.34999999999999964</v>
      </c>
      <c r="M59" s="101" t="s">
        <v>12</v>
      </c>
      <c r="N59" s="105" t="s">
        <v>13</v>
      </c>
      <c r="O59" s="98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</row>
    <row r="60" spans="1:29" ht="15.75" customHeight="1">
      <c r="A60" s="97" t="s">
        <v>197</v>
      </c>
      <c r="B60" s="100">
        <v>45471</v>
      </c>
      <c r="C60" s="99">
        <v>0.29375000000000001</v>
      </c>
      <c r="D60" s="100">
        <v>45471</v>
      </c>
      <c r="E60" s="99">
        <v>0.58750000000000002</v>
      </c>
      <c r="F60" s="101">
        <v>9.07</v>
      </c>
      <c r="G60" s="101">
        <v>17</v>
      </c>
      <c r="H60" s="102">
        <v>45476</v>
      </c>
      <c r="I60" s="99">
        <v>0.43055555555555558</v>
      </c>
      <c r="J60" s="103">
        <v>8.2100000000000009</v>
      </c>
      <c r="K60" s="116">
        <v>21.3</v>
      </c>
      <c r="L60" s="117">
        <f t="shared" si="3"/>
        <v>0.85999999999999943</v>
      </c>
      <c r="M60" s="101" t="s">
        <v>12</v>
      </c>
      <c r="N60" s="105" t="s">
        <v>13</v>
      </c>
      <c r="O60" s="98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</row>
    <row r="61" spans="1:29" ht="15.75" customHeight="1">
      <c r="A61" s="97" t="s">
        <v>198</v>
      </c>
      <c r="B61" s="100">
        <v>45471</v>
      </c>
      <c r="C61" s="99">
        <v>0.29375000000000001</v>
      </c>
      <c r="D61" s="100">
        <v>45471</v>
      </c>
      <c r="E61" s="99">
        <v>0.58888888888888891</v>
      </c>
      <c r="F61" s="101">
        <v>7.64</v>
      </c>
      <c r="G61" s="101">
        <v>18.5</v>
      </c>
      <c r="H61" s="102">
        <v>45476</v>
      </c>
      <c r="I61" s="99">
        <v>0.43611111111111112</v>
      </c>
      <c r="J61" s="103">
        <v>7.4</v>
      </c>
      <c r="K61" s="116">
        <v>21.4</v>
      </c>
      <c r="L61" s="117">
        <f t="shared" si="3"/>
        <v>0.23999999999999932</v>
      </c>
      <c r="M61" s="101" t="s">
        <v>12</v>
      </c>
      <c r="N61" s="105" t="s">
        <v>13</v>
      </c>
      <c r="O61" s="98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</row>
    <row r="62" spans="1:29" ht="15.75" customHeight="1">
      <c r="A62" s="97" t="s">
        <v>199</v>
      </c>
      <c r="B62" s="100">
        <v>45471</v>
      </c>
      <c r="C62" s="99">
        <v>0.33750000000000002</v>
      </c>
      <c r="D62" s="100">
        <v>45471</v>
      </c>
      <c r="E62" s="99">
        <v>0.59444444444444444</v>
      </c>
      <c r="F62" s="101">
        <v>8.09</v>
      </c>
      <c r="G62" s="101">
        <v>18.600000000000001</v>
      </c>
      <c r="H62" s="102">
        <v>45476</v>
      </c>
      <c r="I62" s="99">
        <v>0.43680555555555556</v>
      </c>
      <c r="J62" s="103">
        <v>7.6</v>
      </c>
      <c r="K62" s="116">
        <v>22.1</v>
      </c>
      <c r="L62" s="117">
        <f t="shared" si="3"/>
        <v>0.49000000000000021</v>
      </c>
      <c r="M62" s="101" t="s">
        <v>12</v>
      </c>
      <c r="N62" s="105" t="s">
        <v>13</v>
      </c>
      <c r="O62" s="98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</row>
    <row r="63" spans="1:29" ht="15.75" customHeight="1">
      <c r="A63" s="97" t="s">
        <v>200</v>
      </c>
      <c r="B63" s="100">
        <v>45471</v>
      </c>
      <c r="C63" s="99">
        <v>0.33750000000000002</v>
      </c>
      <c r="D63" s="100">
        <v>45471</v>
      </c>
      <c r="E63" s="99">
        <v>0.59583333333333333</v>
      </c>
      <c r="F63" s="101">
        <v>7.85</v>
      </c>
      <c r="G63" s="101">
        <v>17.7</v>
      </c>
      <c r="H63" s="102">
        <v>45476</v>
      </c>
      <c r="I63" s="99">
        <v>0.43888888888888888</v>
      </c>
      <c r="J63" s="103">
        <v>7.66</v>
      </c>
      <c r="K63" s="116">
        <v>22</v>
      </c>
      <c r="L63" s="117">
        <f t="shared" si="3"/>
        <v>0.1899999999999995</v>
      </c>
      <c r="M63" s="101" t="s">
        <v>12</v>
      </c>
      <c r="N63" s="105" t="s">
        <v>13</v>
      </c>
      <c r="O63" s="98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</row>
    <row r="64" spans="1:29" ht="15" customHeight="1">
      <c r="A64" s="97" t="s">
        <v>201</v>
      </c>
      <c r="B64" s="100">
        <v>45471</v>
      </c>
      <c r="C64" s="131">
        <v>0.36180555555555555</v>
      </c>
      <c r="D64" s="100">
        <v>45471</v>
      </c>
      <c r="E64" s="99">
        <v>0.59930555555555554</v>
      </c>
      <c r="F64" s="101">
        <v>8.32</v>
      </c>
      <c r="G64" s="101">
        <v>18.899999999999999</v>
      </c>
      <c r="H64" s="102">
        <v>45476</v>
      </c>
      <c r="I64" s="99">
        <v>0.44166666666666665</v>
      </c>
      <c r="J64" s="103">
        <v>7.98</v>
      </c>
      <c r="K64" s="104">
        <v>21.7</v>
      </c>
      <c r="L64" s="117">
        <f t="shared" si="3"/>
        <v>0.33999999999999986</v>
      </c>
      <c r="M64" s="101" t="s">
        <v>12</v>
      </c>
      <c r="N64" s="105" t="s">
        <v>13</v>
      </c>
      <c r="O64" s="106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</row>
    <row r="65" spans="1:29" ht="15.75" customHeight="1">
      <c r="A65" s="97" t="s">
        <v>202</v>
      </c>
      <c r="B65" s="100">
        <v>45471</v>
      </c>
      <c r="C65" s="131">
        <v>0.36180555555555555</v>
      </c>
      <c r="D65" s="100">
        <v>45471</v>
      </c>
      <c r="E65" s="99">
        <v>0.60069444444444442</v>
      </c>
      <c r="F65" s="101">
        <v>8.02</v>
      </c>
      <c r="G65" s="101">
        <v>19.3</v>
      </c>
      <c r="H65" s="102">
        <v>45476</v>
      </c>
      <c r="I65" s="99">
        <v>0.44236111111111109</v>
      </c>
      <c r="J65" s="103">
        <v>7.76</v>
      </c>
      <c r="K65" s="116">
        <v>22.1</v>
      </c>
      <c r="L65" s="117">
        <f t="shared" si="3"/>
        <v>0.25999999999999979</v>
      </c>
      <c r="M65" s="101" t="s">
        <v>12</v>
      </c>
      <c r="N65" s="105" t="s">
        <v>13</v>
      </c>
      <c r="O65" s="98"/>
    </row>
    <row r="66" spans="1:29" ht="15" customHeight="1">
      <c r="A66" s="107" t="s">
        <v>203</v>
      </c>
      <c r="B66" s="108">
        <v>45471</v>
      </c>
      <c r="C66" s="132">
        <v>0.38819444444444445</v>
      </c>
      <c r="D66" s="108">
        <v>45471</v>
      </c>
      <c r="E66" s="109">
        <v>0.61388888888888893</v>
      </c>
      <c r="F66" s="110">
        <v>7.99</v>
      </c>
      <c r="G66" s="110">
        <v>20.9</v>
      </c>
      <c r="H66" s="111">
        <v>45476</v>
      </c>
      <c r="I66" s="109">
        <v>0.44513888888888886</v>
      </c>
      <c r="J66" s="112">
        <v>5.56</v>
      </c>
      <c r="K66" s="113">
        <v>21.9</v>
      </c>
      <c r="L66" s="127">
        <f t="shared" si="3"/>
        <v>2.4300000000000006</v>
      </c>
      <c r="M66" s="101" t="s">
        <v>12</v>
      </c>
      <c r="N66" s="105" t="s">
        <v>13</v>
      </c>
      <c r="O66" s="101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</row>
    <row r="67" spans="1:29" ht="15.75" customHeight="1">
      <c r="A67" s="107" t="s">
        <v>204</v>
      </c>
      <c r="B67" s="108">
        <v>45471</v>
      </c>
      <c r="C67" s="132">
        <v>0.38819444444444445</v>
      </c>
      <c r="D67" s="108">
        <v>45471</v>
      </c>
      <c r="E67" s="109">
        <v>0.61319444444444449</v>
      </c>
      <c r="F67" s="110">
        <v>7.88</v>
      </c>
      <c r="G67" s="110">
        <v>21.1</v>
      </c>
      <c r="H67" s="111">
        <v>45476</v>
      </c>
      <c r="I67" s="109">
        <v>0.4465277777777778</v>
      </c>
      <c r="J67" s="112">
        <v>7.45</v>
      </c>
      <c r="K67" s="113">
        <v>22</v>
      </c>
      <c r="L67" s="127">
        <f t="shared" si="3"/>
        <v>0.42999999999999972</v>
      </c>
      <c r="M67" s="101" t="s">
        <v>12</v>
      </c>
      <c r="N67" s="105" t="s">
        <v>13</v>
      </c>
      <c r="O67" s="98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</row>
    <row r="68" spans="1:29" ht="15.75" customHeight="1">
      <c r="A68" s="97" t="s">
        <v>205</v>
      </c>
      <c r="B68" s="100">
        <v>45471</v>
      </c>
      <c r="C68" s="120">
        <v>0.38819444444444445</v>
      </c>
      <c r="D68" s="100">
        <v>45471</v>
      </c>
      <c r="E68" s="99">
        <v>0.61527777777777781</v>
      </c>
      <c r="F68" s="101">
        <v>8.0500000000000007</v>
      </c>
      <c r="G68" s="101">
        <v>21.3</v>
      </c>
      <c r="H68" s="102">
        <v>45476</v>
      </c>
      <c r="I68" s="99">
        <v>0.44722222222222224</v>
      </c>
      <c r="J68" s="103">
        <v>7.56</v>
      </c>
      <c r="K68" s="116">
        <v>22.3</v>
      </c>
      <c r="L68" s="117">
        <f t="shared" si="3"/>
        <v>0.4900000000000011</v>
      </c>
      <c r="M68" s="101" t="s">
        <v>12</v>
      </c>
      <c r="N68" s="105" t="s">
        <v>13</v>
      </c>
      <c r="O68" s="98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</row>
    <row r="69" spans="1:29" ht="15.75" customHeight="1">
      <c r="A69" s="97" t="s">
        <v>206</v>
      </c>
      <c r="B69" s="100">
        <v>45471</v>
      </c>
      <c r="C69" s="120">
        <v>0.38819444444444445</v>
      </c>
      <c r="D69" s="100">
        <v>45471</v>
      </c>
      <c r="E69" s="99">
        <v>0.61597222222222225</v>
      </c>
      <c r="F69" s="101">
        <v>7.95</v>
      </c>
      <c r="G69" s="101">
        <v>20.6</v>
      </c>
      <c r="H69" s="102">
        <v>45476</v>
      </c>
      <c r="I69" s="99">
        <v>0.44861111111111113</v>
      </c>
      <c r="J69" s="103">
        <v>7.5</v>
      </c>
      <c r="K69" s="116">
        <v>22.4</v>
      </c>
      <c r="L69" s="117">
        <f t="shared" si="3"/>
        <v>0.45000000000000018</v>
      </c>
      <c r="M69" s="101" t="s">
        <v>12</v>
      </c>
      <c r="N69" s="105" t="s">
        <v>13</v>
      </c>
      <c r="O69" s="98"/>
      <c r="P69" s="67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</row>
    <row r="70" spans="1:29" ht="15.75" customHeight="1">
      <c r="A70" s="97" t="s">
        <v>141</v>
      </c>
      <c r="B70" s="98" t="s">
        <v>74</v>
      </c>
      <c r="C70" s="97" t="s">
        <v>74</v>
      </c>
      <c r="D70" s="100">
        <v>45485</v>
      </c>
      <c r="E70" s="99">
        <v>0.43958333333333333</v>
      </c>
      <c r="F70" s="101">
        <v>8.15</v>
      </c>
      <c r="G70" s="101">
        <v>26.9</v>
      </c>
      <c r="H70" s="102">
        <v>45490</v>
      </c>
      <c r="I70" s="99">
        <v>0.59305555555555556</v>
      </c>
      <c r="J70" s="103">
        <v>8.24</v>
      </c>
      <c r="K70" s="116">
        <v>24.9</v>
      </c>
      <c r="L70" s="117" t="s">
        <v>74</v>
      </c>
      <c r="M70" s="101" t="s">
        <v>12</v>
      </c>
      <c r="N70" s="105" t="s">
        <v>90</v>
      </c>
      <c r="O70" s="98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</row>
    <row r="71" spans="1:29" ht="19.5" customHeight="1">
      <c r="A71" s="97" t="s">
        <v>207</v>
      </c>
      <c r="B71" s="100">
        <v>45483</v>
      </c>
      <c r="C71" s="120">
        <v>0.3125</v>
      </c>
      <c r="D71" s="102">
        <v>45485</v>
      </c>
      <c r="E71" s="99">
        <v>0.4465277777777778</v>
      </c>
      <c r="F71" s="101">
        <v>9.0399999999999991</v>
      </c>
      <c r="G71" s="101">
        <v>22</v>
      </c>
      <c r="H71" s="133">
        <v>45490</v>
      </c>
      <c r="I71" s="134">
        <v>0.74027777777777781</v>
      </c>
      <c r="J71" s="135">
        <v>6.7</v>
      </c>
      <c r="K71" s="136">
        <v>21.27</v>
      </c>
      <c r="L71" s="137">
        <f t="shared" ref="L71:L94" si="4">F71-J71</f>
        <v>2.339999999999999</v>
      </c>
      <c r="M71" s="101" t="s">
        <v>12</v>
      </c>
      <c r="N71" s="105" t="s">
        <v>90</v>
      </c>
      <c r="O71" s="408" t="s">
        <v>208</v>
      </c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</row>
    <row r="72" spans="1:29" ht="24" customHeight="1">
      <c r="A72" s="97" t="s">
        <v>209</v>
      </c>
      <c r="B72" s="100">
        <v>45483</v>
      </c>
      <c r="C72" s="120">
        <v>0.3125</v>
      </c>
      <c r="D72" s="102">
        <v>45485</v>
      </c>
      <c r="E72" s="99">
        <v>0.45</v>
      </c>
      <c r="F72" s="101">
        <v>9.44</v>
      </c>
      <c r="G72" s="101">
        <v>21.5</v>
      </c>
      <c r="H72" s="102">
        <v>45490</v>
      </c>
      <c r="I72" s="99">
        <v>0.74722222222222223</v>
      </c>
      <c r="J72" s="103">
        <v>7.16</v>
      </c>
      <c r="K72" s="116">
        <v>20.99</v>
      </c>
      <c r="L72" s="117">
        <f t="shared" si="4"/>
        <v>2.2799999999999994</v>
      </c>
      <c r="M72" s="101" t="s">
        <v>12</v>
      </c>
      <c r="N72" s="105" t="s">
        <v>90</v>
      </c>
      <c r="O72" s="406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</row>
    <row r="73" spans="1:29" ht="15.75" customHeight="1">
      <c r="A73" s="97" t="s">
        <v>210</v>
      </c>
      <c r="B73" s="100">
        <v>45483</v>
      </c>
      <c r="C73" s="120">
        <v>0.35138888888888886</v>
      </c>
      <c r="D73" s="102">
        <v>45485</v>
      </c>
      <c r="E73" s="99">
        <v>0.4513888888888889</v>
      </c>
      <c r="F73" s="101">
        <v>8.9600000000000009</v>
      </c>
      <c r="G73" s="101">
        <v>21.9</v>
      </c>
      <c r="H73" s="102">
        <v>45490</v>
      </c>
      <c r="I73" s="99">
        <v>0.74861111111111112</v>
      </c>
      <c r="J73" s="103">
        <v>7.07</v>
      </c>
      <c r="K73" s="116">
        <v>19.97</v>
      </c>
      <c r="L73" s="117">
        <f t="shared" si="4"/>
        <v>1.8900000000000006</v>
      </c>
      <c r="M73" s="101" t="s">
        <v>12</v>
      </c>
      <c r="N73" s="105" t="s">
        <v>90</v>
      </c>
      <c r="O73" s="408" t="s">
        <v>211</v>
      </c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</row>
    <row r="74" spans="1:29" ht="26.25" customHeight="1">
      <c r="A74" s="97" t="s">
        <v>212</v>
      </c>
      <c r="B74" s="100">
        <v>45483</v>
      </c>
      <c r="C74" s="120">
        <v>0.35138888888888886</v>
      </c>
      <c r="D74" s="102">
        <v>45485</v>
      </c>
      <c r="E74" s="99">
        <v>0.4548611111111111</v>
      </c>
      <c r="F74" s="101">
        <v>8.7100000000000009</v>
      </c>
      <c r="G74" s="101">
        <v>21.8</v>
      </c>
      <c r="H74" s="102">
        <v>45490</v>
      </c>
      <c r="I74" s="99">
        <v>0.75</v>
      </c>
      <c r="J74" s="103">
        <v>7.09</v>
      </c>
      <c r="K74" s="116">
        <v>20.43</v>
      </c>
      <c r="L74" s="117">
        <f t="shared" si="4"/>
        <v>1.620000000000001</v>
      </c>
      <c r="M74" s="101" t="s">
        <v>12</v>
      </c>
      <c r="N74" s="105" t="s">
        <v>90</v>
      </c>
      <c r="O74" s="406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</row>
    <row r="75" spans="1:29" ht="15.75" customHeight="1">
      <c r="A75" s="97" t="s">
        <v>213</v>
      </c>
      <c r="B75" s="100">
        <v>45483</v>
      </c>
      <c r="C75" s="120">
        <v>0.47847222222222224</v>
      </c>
      <c r="D75" s="102">
        <v>45485</v>
      </c>
      <c r="E75" s="99">
        <v>0.4597222222222222</v>
      </c>
      <c r="F75" s="101">
        <v>8.98</v>
      </c>
      <c r="G75" s="101">
        <v>22.4</v>
      </c>
      <c r="H75" s="102">
        <v>45490</v>
      </c>
      <c r="I75" s="99">
        <v>0.75208333333333333</v>
      </c>
      <c r="J75" s="103">
        <v>8.08</v>
      </c>
      <c r="K75" s="116">
        <v>20.48</v>
      </c>
      <c r="L75" s="117">
        <f t="shared" si="4"/>
        <v>0.90000000000000036</v>
      </c>
      <c r="M75" s="101" t="s">
        <v>12</v>
      </c>
      <c r="N75" s="105" t="s">
        <v>90</v>
      </c>
      <c r="O75" s="98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</row>
    <row r="76" spans="1:29" ht="15.75">
      <c r="A76" s="138" t="s">
        <v>214</v>
      </c>
      <c r="B76" s="100">
        <v>45483</v>
      </c>
      <c r="C76" s="120">
        <v>0.47847222222222224</v>
      </c>
      <c r="D76" s="102">
        <v>45485</v>
      </c>
      <c r="E76" s="99">
        <v>0.46041666666666664</v>
      </c>
      <c r="F76" s="139">
        <v>9.4</v>
      </c>
      <c r="G76" s="138">
        <v>21.4</v>
      </c>
      <c r="H76" s="102">
        <v>45490</v>
      </c>
      <c r="I76" s="140">
        <v>0.75416666666666665</v>
      </c>
      <c r="J76" s="139">
        <v>8.5299999999999994</v>
      </c>
      <c r="K76" s="138">
        <v>19.25</v>
      </c>
      <c r="L76" s="117">
        <f t="shared" si="4"/>
        <v>0.87000000000000099</v>
      </c>
      <c r="M76" s="101" t="s">
        <v>12</v>
      </c>
      <c r="N76" s="105" t="s">
        <v>90</v>
      </c>
      <c r="O76" s="138"/>
      <c r="P76" s="141"/>
      <c r="Q76" s="141"/>
      <c r="R76" s="141"/>
      <c r="S76" s="141"/>
      <c r="T76" s="141"/>
      <c r="U76" s="141"/>
      <c r="V76" s="141"/>
      <c r="W76" s="141"/>
      <c r="X76" s="141"/>
      <c r="Y76" s="141"/>
      <c r="Z76" s="141"/>
      <c r="AA76" s="141"/>
      <c r="AB76" s="141"/>
      <c r="AC76" s="141"/>
    </row>
    <row r="77" spans="1:29" ht="15.75">
      <c r="A77" s="138" t="s">
        <v>215</v>
      </c>
      <c r="B77" s="100">
        <v>45483</v>
      </c>
      <c r="C77" s="120">
        <v>0.5708333333333333</v>
      </c>
      <c r="D77" s="102">
        <v>45485</v>
      </c>
      <c r="E77" s="99">
        <v>0.46319444444444446</v>
      </c>
      <c r="F77" s="139">
        <v>8.81</v>
      </c>
      <c r="G77" s="138">
        <v>21.3</v>
      </c>
      <c r="H77" s="102">
        <v>45490</v>
      </c>
      <c r="I77" s="140">
        <v>0.75555555555555554</v>
      </c>
      <c r="J77" s="139">
        <v>7.03</v>
      </c>
      <c r="K77" s="138">
        <v>20.62</v>
      </c>
      <c r="L77" s="117">
        <f t="shared" si="4"/>
        <v>1.7800000000000002</v>
      </c>
      <c r="M77" s="101" t="s">
        <v>12</v>
      </c>
      <c r="N77" s="105" t="s">
        <v>90</v>
      </c>
      <c r="O77" s="138"/>
      <c r="P77" s="141"/>
      <c r="Q77" s="141"/>
      <c r="R77" s="141"/>
      <c r="S77" s="141"/>
      <c r="T77" s="141"/>
      <c r="U77" s="141"/>
      <c r="V77" s="141"/>
      <c r="W77" s="141"/>
      <c r="X77" s="141"/>
      <c r="Y77" s="141"/>
      <c r="Z77" s="141"/>
      <c r="AA77" s="141"/>
      <c r="AB77" s="141"/>
      <c r="AC77" s="141"/>
    </row>
    <row r="78" spans="1:29" ht="15.75">
      <c r="A78" s="138" t="s">
        <v>216</v>
      </c>
      <c r="B78" s="100">
        <v>45483</v>
      </c>
      <c r="C78" s="120">
        <v>0.5708333333333333</v>
      </c>
      <c r="D78" s="102">
        <v>45485</v>
      </c>
      <c r="E78" s="99">
        <v>0.46458333333333335</v>
      </c>
      <c r="F78" s="139">
        <v>8.8000000000000007</v>
      </c>
      <c r="G78" s="138">
        <v>21.7</v>
      </c>
      <c r="H78" s="102">
        <v>45490</v>
      </c>
      <c r="I78" s="140">
        <v>0.75694444444444442</v>
      </c>
      <c r="J78" s="139">
        <v>7.16</v>
      </c>
      <c r="K78" s="138">
        <v>20.93</v>
      </c>
      <c r="L78" s="117">
        <f t="shared" si="4"/>
        <v>1.6400000000000006</v>
      </c>
      <c r="M78" s="101" t="s">
        <v>12</v>
      </c>
      <c r="N78" s="105" t="s">
        <v>90</v>
      </c>
      <c r="O78" s="138"/>
      <c r="P78" s="142"/>
      <c r="Q78" s="138"/>
      <c r="R78" s="138"/>
      <c r="S78" s="138"/>
      <c r="T78" s="138"/>
      <c r="U78" s="138"/>
      <c r="V78" s="138"/>
      <c r="W78" s="138"/>
      <c r="X78" s="138"/>
      <c r="Y78" s="138"/>
      <c r="Z78" s="138"/>
      <c r="AA78" s="138"/>
      <c r="AB78" s="138"/>
      <c r="AC78" s="138"/>
    </row>
    <row r="79" spans="1:29" ht="15.75" customHeight="1">
      <c r="A79" s="107" t="s">
        <v>217</v>
      </c>
      <c r="B79" s="108">
        <v>45484</v>
      </c>
      <c r="C79" s="132">
        <v>0.2951388888888889</v>
      </c>
      <c r="D79" s="111">
        <v>45485</v>
      </c>
      <c r="E79" s="109">
        <v>0.47083333333333333</v>
      </c>
      <c r="F79" s="110">
        <v>9.09</v>
      </c>
      <c r="G79" s="110">
        <v>22.5</v>
      </c>
      <c r="H79" s="111">
        <v>45490</v>
      </c>
      <c r="I79" s="109">
        <v>0.7583333333333333</v>
      </c>
      <c r="J79" s="112">
        <v>7.18</v>
      </c>
      <c r="K79" s="113">
        <v>19.899999999999999</v>
      </c>
      <c r="L79" s="127">
        <f t="shared" si="4"/>
        <v>1.9100000000000001</v>
      </c>
      <c r="M79" s="101" t="s">
        <v>12</v>
      </c>
      <c r="N79" s="105" t="s">
        <v>90</v>
      </c>
      <c r="O79" s="106" t="s">
        <v>218</v>
      </c>
      <c r="P79" s="142"/>
      <c r="Q79" s="143"/>
      <c r="R79" s="143"/>
      <c r="S79" s="143"/>
      <c r="T79" s="143"/>
      <c r="U79" s="143"/>
      <c r="V79" s="143"/>
      <c r="W79" s="143"/>
      <c r="X79" s="143"/>
      <c r="Y79" s="143"/>
      <c r="Z79" s="143"/>
      <c r="AA79" s="143"/>
      <c r="AB79" s="143"/>
      <c r="AC79" s="143"/>
    </row>
    <row r="80" spans="1:29" ht="15.75" customHeight="1">
      <c r="A80" s="107" t="s">
        <v>219</v>
      </c>
      <c r="B80" s="108">
        <v>45484</v>
      </c>
      <c r="C80" s="132">
        <v>0.2951388888888889</v>
      </c>
      <c r="D80" s="111">
        <v>45485</v>
      </c>
      <c r="E80" s="109">
        <v>0.47013888888888888</v>
      </c>
      <c r="F80" s="110">
        <v>8.91</v>
      </c>
      <c r="G80" s="110">
        <v>22.4</v>
      </c>
      <c r="H80" s="111">
        <v>45490</v>
      </c>
      <c r="I80" s="109">
        <v>0.73819444444444449</v>
      </c>
      <c r="J80" s="110">
        <v>7.07</v>
      </c>
      <c r="K80" s="113">
        <v>23</v>
      </c>
      <c r="L80" s="127">
        <f t="shared" si="4"/>
        <v>1.8399999999999999</v>
      </c>
      <c r="M80" s="101" t="s">
        <v>12</v>
      </c>
      <c r="N80" s="105" t="s">
        <v>90</v>
      </c>
      <c r="O80" s="98"/>
      <c r="P80" s="142"/>
      <c r="Q80" s="143"/>
      <c r="R80" s="143"/>
      <c r="S80" s="143"/>
      <c r="T80" s="143"/>
      <c r="U80" s="143"/>
      <c r="V80" s="143"/>
      <c r="W80" s="143"/>
      <c r="X80" s="143"/>
      <c r="Y80" s="143"/>
      <c r="Z80" s="143"/>
      <c r="AA80" s="143"/>
      <c r="AB80" s="143"/>
      <c r="AC80" s="143"/>
    </row>
    <row r="81" spans="1:29" ht="15.75" customHeight="1">
      <c r="A81" s="97" t="s">
        <v>220</v>
      </c>
      <c r="B81" s="100">
        <v>45484</v>
      </c>
      <c r="C81" s="120">
        <v>0.2951388888888889</v>
      </c>
      <c r="D81" s="102">
        <v>45485</v>
      </c>
      <c r="E81" s="99">
        <v>0.46875</v>
      </c>
      <c r="F81" s="101">
        <v>8.81</v>
      </c>
      <c r="G81" s="101">
        <v>22.4</v>
      </c>
      <c r="H81" s="102">
        <v>45490</v>
      </c>
      <c r="I81" s="140">
        <v>0.7368055555555556</v>
      </c>
      <c r="J81" s="101">
        <v>7.07</v>
      </c>
      <c r="K81" s="116">
        <v>23</v>
      </c>
      <c r="L81" s="117">
        <f t="shared" si="4"/>
        <v>1.7400000000000002</v>
      </c>
      <c r="M81" s="101" t="s">
        <v>12</v>
      </c>
      <c r="N81" s="105" t="s">
        <v>90</v>
      </c>
      <c r="O81" s="98"/>
      <c r="P81" s="144"/>
      <c r="Q81" s="143"/>
      <c r="R81" s="143"/>
      <c r="S81" s="143"/>
      <c r="T81" s="143"/>
      <c r="U81" s="143"/>
      <c r="V81" s="143"/>
      <c r="W81" s="143"/>
      <c r="X81" s="143"/>
      <c r="Y81" s="143"/>
      <c r="Z81" s="143"/>
      <c r="AA81" s="143"/>
      <c r="AB81" s="143"/>
      <c r="AC81" s="143"/>
    </row>
    <row r="82" spans="1:29" ht="15" customHeight="1">
      <c r="A82" s="138" t="s">
        <v>221</v>
      </c>
      <c r="B82" s="100">
        <v>45484</v>
      </c>
      <c r="C82" s="120">
        <v>0.2951388888888889</v>
      </c>
      <c r="D82" s="102">
        <v>45485</v>
      </c>
      <c r="E82" s="99">
        <v>0.47152777777777777</v>
      </c>
      <c r="F82" s="139">
        <v>9.33</v>
      </c>
      <c r="G82" s="138">
        <v>21.6</v>
      </c>
      <c r="H82" s="102">
        <v>45490</v>
      </c>
      <c r="I82" s="140">
        <v>0.73888888888888893</v>
      </c>
      <c r="J82" s="139">
        <v>7</v>
      </c>
      <c r="K82" s="138">
        <v>21.15</v>
      </c>
      <c r="L82" s="117">
        <f t="shared" si="4"/>
        <v>2.33</v>
      </c>
      <c r="M82" s="101" t="s">
        <v>12</v>
      </c>
      <c r="N82" s="105" t="s">
        <v>90</v>
      </c>
      <c r="O82" s="101"/>
      <c r="P82" s="142"/>
      <c r="Q82" s="143"/>
      <c r="R82" s="143"/>
      <c r="S82" s="143"/>
      <c r="T82" s="143"/>
      <c r="U82" s="143"/>
      <c r="V82" s="143"/>
      <c r="W82" s="143"/>
      <c r="X82" s="143"/>
      <c r="Y82" s="143"/>
      <c r="Z82" s="143"/>
      <c r="AA82" s="143"/>
      <c r="AB82" s="143"/>
      <c r="AC82" s="143"/>
    </row>
    <row r="83" spans="1:29" ht="15" customHeight="1">
      <c r="A83" s="138" t="s">
        <v>222</v>
      </c>
      <c r="B83" s="100">
        <v>45484</v>
      </c>
      <c r="C83" s="120">
        <v>0.32708333333333334</v>
      </c>
      <c r="D83" s="102">
        <v>45485</v>
      </c>
      <c r="E83" s="99">
        <v>0.47430555555555554</v>
      </c>
      <c r="F83" s="139">
        <v>8.94</v>
      </c>
      <c r="G83" s="138">
        <v>21.1</v>
      </c>
      <c r="H83" s="102">
        <v>45490</v>
      </c>
      <c r="I83" s="140">
        <v>0.75972222222222219</v>
      </c>
      <c r="J83" s="139">
        <v>7.07</v>
      </c>
      <c r="K83" s="138">
        <v>21.02</v>
      </c>
      <c r="L83" s="117">
        <f t="shared" si="4"/>
        <v>1.8699999999999992</v>
      </c>
      <c r="M83" s="101" t="s">
        <v>12</v>
      </c>
      <c r="N83" s="105" t="s">
        <v>90</v>
      </c>
      <c r="O83" s="121"/>
      <c r="P83" s="142"/>
      <c r="Q83" s="143"/>
      <c r="R83" s="143"/>
      <c r="S83" s="143"/>
      <c r="T83" s="143"/>
      <c r="U83" s="143"/>
      <c r="V83" s="143"/>
      <c r="W83" s="143"/>
      <c r="X83" s="143"/>
      <c r="Y83" s="143"/>
      <c r="Z83" s="143"/>
      <c r="AA83" s="143"/>
      <c r="AB83" s="143"/>
      <c r="AC83" s="143"/>
    </row>
    <row r="84" spans="1:29" ht="15.75" customHeight="1">
      <c r="A84" s="97" t="s">
        <v>223</v>
      </c>
      <c r="B84" s="100">
        <v>45484</v>
      </c>
      <c r="C84" s="120">
        <v>0.32708333333333334</v>
      </c>
      <c r="D84" s="102">
        <v>45485</v>
      </c>
      <c r="E84" s="99">
        <v>0.47569444444444442</v>
      </c>
      <c r="F84" s="101">
        <v>8.8000000000000007</v>
      </c>
      <c r="G84" s="101">
        <v>21.4</v>
      </c>
      <c r="H84" s="102">
        <v>45490</v>
      </c>
      <c r="I84" s="99">
        <v>0.76111111111111107</v>
      </c>
      <c r="J84" s="101">
        <v>7</v>
      </c>
      <c r="K84" s="116">
        <v>21.15</v>
      </c>
      <c r="L84" s="117">
        <f t="shared" si="4"/>
        <v>1.8000000000000007</v>
      </c>
      <c r="M84" s="101" t="s">
        <v>12</v>
      </c>
      <c r="N84" s="105" t="s">
        <v>90</v>
      </c>
      <c r="O84" s="98"/>
      <c r="P84" s="142"/>
      <c r="Q84" s="143"/>
      <c r="R84" s="143"/>
      <c r="S84" s="143"/>
      <c r="T84" s="143"/>
      <c r="U84" s="143"/>
      <c r="V84" s="143"/>
      <c r="W84" s="143"/>
      <c r="X84" s="143"/>
      <c r="Y84" s="143"/>
      <c r="Z84" s="143"/>
      <c r="AA84" s="143"/>
      <c r="AB84" s="143"/>
      <c r="AC84" s="143"/>
    </row>
    <row r="85" spans="1:29" ht="15.75" customHeight="1">
      <c r="A85" s="97" t="s">
        <v>224</v>
      </c>
      <c r="B85" s="100">
        <v>45484</v>
      </c>
      <c r="C85" s="120">
        <v>0.34791666666666665</v>
      </c>
      <c r="D85" s="102">
        <v>45485</v>
      </c>
      <c r="E85" s="99">
        <v>0.4777777777777778</v>
      </c>
      <c r="F85" s="101">
        <v>9.0500000000000007</v>
      </c>
      <c r="G85" s="101">
        <v>21.4</v>
      </c>
      <c r="H85" s="102">
        <v>45490</v>
      </c>
      <c r="I85" s="99">
        <v>0.76458333333333328</v>
      </c>
      <c r="J85" s="101">
        <v>6.98</v>
      </c>
      <c r="K85" s="116">
        <v>22</v>
      </c>
      <c r="L85" s="117">
        <f t="shared" si="4"/>
        <v>2.0700000000000003</v>
      </c>
      <c r="M85" s="101" t="s">
        <v>12</v>
      </c>
      <c r="N85" s="105" t="s">
        <v>90</v>
      </c>
      <c r="O85" s="98"/>
      <c r="P85" s="142"/>
      <c r="Q85" s="143"/>
      <c r="R85" s="143"/>
      <c r="S85" s="143"/>
      <c r="T85" s="143"/>
      <c r="U85" s="143"/>
      <c r="V85" s="143"/>
      <c r="W85" s="143"/>
      <c r="X85" s="143"/>
      <c r="Y85" s="143"/>
      <c r="Z85" s="143"/>
      <c r="AA85" s="143"/>
      <c r="AB85" s="143"/>
      <c r="AC85" s="143"/>
    </row>
    <row r="86" spans="1:29" ht="15.75" customHeight="1">
      <c r="A86" s="97" t="s">
        <v>225</v>
      </c>
      <c r="B86" s="100">
        <v>45484</v>
      </c>
      <c r="C86" s="120">
        <v>0.34791666666666665</v>
      </c>
      <c r="D86" s="102">
        <v>45485</v>
      </c>
      <c r="E86" s="99">
        <v>0.47916666666666669</v>
      </c>
      <c r="F86" s="101">
        <v>8.9499999999999993</v>
      </c>
      <c r="G86" s="101">
        <v>21.1</v>
      </c>
      <c r="H86" s="102">
        <v>45490</v>
      </c>
      <c r="I86" s="99">
        <v>0.76597222222222228</v>
      </c>
      <c r="J86" s="101">
        <v>8.2899999999999991</v>
      </c>
      <c r="K86" s="116">
        <v>21.2</v>
      </c>
      <c r="L86" s="117">
        <f t="shared" si="4"/>
        <v>0.66000000000000014</v>
      </c>
      <c r="M86" s="101" t="s">
        <v>12</v>
      </c>
      <c r="N86" s="105" t="s">
        <v>90</v>
      </c>
      <c r="O86" s="98"/>
      <c r="P86" s="142"/>
      <c r="Q86" s="143"/>
      <c r="R86" s="143"/>
      <c r="S86" s="143"/>
      <c r="T86" s="143"/>
      <c r="U86" s="143"/>
      <c r="V86" s="143"/>
      <c r="W86" s="143"/>
      <c r="X86" s="143"/>
      <c r="Y86" s="143"/>
      <c r="Z86" s="143"/>
      <c r="AA86" s="143"/>
      <c r="AB86" s="143"/>
      <c r="AC86" s="143"/>
    </row>
    <row r="87" spans="1:29" ht="15.75" customHeight="1">
      <c r="A87" s="97" t="s">
        <v>226</v>
      </c>
      <c r="B87" s="100">
        <v>45484</v>
      </c>
      <c r="C87" s="120">
        <v>0.3923611111111111</v>
      </c>
      <c r="D87" s="102">
        <v>45485</v>
      </c>
      <c r="E87" s="99">
        <v>0.4826388888888889</v>
      </c>
      <c r="F87" s="101">
        <v>9.36</v>
      </c>
      <c r="G87" s="101">
        <v>20.7</v>
      </c>
      <c r="H87" s="102">
        <v>45490</v>
      </c>
      <c r="I87" s="99">
        <v>0.76736111111111116</v>
      </c>
      <c r="J87" s="101">
        <v>7.25</v>
      </c>
      <c r="K87" s="116">
        <v>21.38</v>
      </c>
      <c r="L87" s="117">
        <f t="shared" si="4"/>
        <v>2.1099999999999994</v>
      </c>
      <c r="M87" s="101" t="s">
        <v>12</v>
      </c>
      <c r="N87" s="105" t="s">
        <v>90</v>
      </c>
      <c r="O87" s="98"/>
      <c r="P87" s="142"/>
      <c r="Q87" s="143"/>
      <c r="R87" s="143"/>
      <c r="S87" s="143"/>
      <c r="T87" s="143"/>
      <c r="U87" s="143"/>
      <c r="V87" s="143"/>
      <c r="W87" s="143"/>
      <c r="X87" s="143"/>
      <c r="Y87" s="143"/>
      <c r="Z87" s="143"/>
      <c r="AA87" s="143"/>
      <c r="AB87" s="143"/>
      <c r="AC87" s="143"/>
    </row>
    <row r="88" spans="1:29" ht="15.75" customHeight="1">
      <c r="A88" s="97" t="s">
        <v>227</v>
      </c>
      <c r="B88" s="100">
        <v>45484</v>
      </c>
      <c r="C88" s="120">
        <v>0.3923611111111111</v>
      </c>
      <c r="D88" s="102">
        <v>45485</v>
      </c>
      <c r="E88" s="99">
        <v>0.48333333333333334</v>
      </c>
      <c r="F88" s="101">
        <v>8.9</v>
      </c>
      <c r="G88" s="101">
        <v>21.9</v>
      </c>
      <c r="H88" s="102">
        <v>45490</v>
      </c>
      <c r="I88" s="99">
        <v>0.7680555555555556</v>
      </c>
      <c r="J88" s="101">
        <v>7.02</v>
      </c>
      <c r="K88" s="116">
        <v>21.62</v>
      </c>
      <c r="L88" s="117">
        <f t="shared" si="4"/>
        <v>1.8800000000000008</v>
      </c>
      <c r="M88" s="101" t="s">
        <v>12</v>
      </c>
      <c r="N88" s="105" t="s">
        <v>90</v>
      </c>
      <c r="O88" s="98"/>
      <c r="P88" s="142"/>
      <c r="Q88" s="143"/>
      <c r="R88" s="143"/>
      <c r="S88" s="143"/>
      <c r="T88" s="143"/>
      <c r="U88" s="143"/>
      <c r="V88" s="143"/>
      <c r="W88" s="143"/>
      <c r="X88" s="143"/>
      <c r="Y88" s="143"/>
      <c r="Z88" s="143"/>
      <c r="AA88" s="143"/>
      <c r="AB88" s="143"/>
      <c r="AC88" s="143"/>
    </row>
    <row r="89" spans="1:29" ht="15.75" customHeight="1">
      <c r="A89" s="97" t="s">
        <v>228</v>
      </c>
      <c r="B89" s="100">
        <v>45484</v>
      </c>
      <c r="C89" s="120">
        <v>0.41388888888888886</v>
      </c>
      <c r="D89" s="102">
        <v>45485</v>
      </c>
      <c r="E89" s="99">
        <v>0.4861111111111111</v>
      </c>
      <c r="F89" s="101">
        <v>8.73</v>
      </c>
      <c r="G89" s="101">
        <v>21.7</v>
      </c>
      <c r="H89" s="102">
        <v>45490</v>
      </c>
      <c r="I89" s="99">
        <v>0.77013888888888893</v>
      </c>
      <c r="J89" s="101">
        <v>6.75</v>
      </c>
      <c r="K89" s="116">
        <v>21.96</v>
      </c>
      <c r="L89" s="117">
        <f t="shared" si="4"/>
        <v>1.9800000000000004</v>
      </c>
      <c r="M89" s="101" t="s">
        <v>12</v>
      </c>
      <c r="N89" s="105" t="s">
        <v>90</v>
      </c>
      <c r="O89" s="98"/>
      <c r="P89" s="142"/>
      <c r="Q89" s="143"/>
      <c r="R89" s="143"/>
      <c r="S89" s="143"/>
      <c r="T89" s="143"/>
      <c r="U89" s="143"/>
      <c r="V89" s="143"/>
      <c r="W89" s="143"/>
      <c r="X89" s="143"/>
      <c r="Y89" s="143"/>
      <c r="Z89" s="143"/>
      <c r="AA89" s="143"/>
      <c r="AB89" s="143"/>
      <c r="AC89" s="143"/>
    </row>
    <row r="90" spans="1:29" ht="15.75" customHeight="1">
      <c r="A90" s="97" t="s">
        <v>229</v>
      </c>
      <c r="B90" s="100">
        <v>45484</v>
      </c>
      <c r="C90" s="120">
        <v>0.41388888888888886</v>
      </c>
      <c r="D90" s="102">
        <v>45485</v>
      </c>
      <c r="E90" s="99">
        <v>0.48749999999999999</v>
      </c>
      <c r="F90" s="101">
        <v>9.0500000000000007</v>
      </c>
      <c r="G90" s="101">
        <v>21.3</v>
      </c>
      <c r="H90" s="102">
        <v>45490</v>
      </c>
      <c r="I90" s="99">
        <v>0.77152777777777781</v>
      </c>
      <c r="J90" s="101">
        <v>6.8</v>
      </c>
      <c r="K90" s="116">
        <v>21.88</v>
      </c>
      <c r="L90" s="117">
        <f t="shared" si="4"/>
        <v>2.2500000000000009</v>
      </c>
      <c r="M90" s="101" t="s">
        <v>12</v>
      </c>
      <c r="N90" s="105" t="s">
        <v>90</v>
      </c>
      <c r="O90" s="98"/>
      <c r="P90" s="142"/>
      <c r="Q90" s="143"/>
      <c r="R90" s="143"/>
      <c r="S90" s="143"/>
      <c r="T90" s="143"/>
      <c r="U90" s="143"/>
      <c r="V90" s="143"/>
      <c r="W90" s="143"/>
      <c r="X90" s="143"/>
      <c r="Y90" s="143"/>
      <c r="Z90" s="143"/>
      <c r="AA90" s="143"/>
      <c r="AB90" s="143"/>
      <c r="AC90" s="143"/>
    </row>
    <row r="91" spans="1:29" ht="15.75" customHeight="1">
      <c r="A91" s="107" t="s">
        <v>230</v>
      </c>
      <c r="B91" s="108">
        <v>45484</v>
      </c>
      <c r="C91" s="132">
        <v>0.44930555555555557</v>
      </c>
      <c r="D91" s="111">
        <v>45485</v>
      </c>
      <c r="E91" s="109">
        <v>0.49375000000000002</v>
      </c>
      <c r="F91" s="110">
        <v>8.9499999999999993</v>
      </c>
      <c r="G91" s="110">
        <v>22.7</v>
      </c>
      <c r="H91" s="111">
        <v>45490</v>
      </c>
      <c r="I91" s="109">
        <v>0.77361111111111114</v>
      </c>
      <c r="J91" s="110">
        <v>6.04</v>
      </c>
      <c r="K91" s="113">
        <v>22.43</v>
      </c>
      <c r="L91" s="127">
        <f t="shared" si="4"/>
        <v>2.9099999999999993</v>
      </c>
      <c r="M91" s="101" t="s">
        <v>12</v>
      </c>
      <c r="N91" s="105" t="s">
        <v>90</v>
      </c>
      <c r="O91" s="101"/>
      <c r="P91" s="142"/>
      <c r="Q91" s="143"/>
      <c r="R91" s="143"/>
      <c r="S91" s="143"/>
      <c r="T91" s="143"/>
      <c r="U91" s="143"/>
      <c r="V91" s="143"/>
      <c r="W91" s="143"/>
      <c r="X91" s="143"/>
      <c r="Y91" s="143"/>
      <c r="Z91" s="143"/>
      <c r="AA91" s="143"/>
      <c r="AB91" s="143"/>
      <c r="AC91" s="143"/>
    </row>
    <row r="92" spans="1:29" ht="15.75" customHeight="1">
      <c r="A92" s="107" t="s">
        <v>231</v>
      </c>
      <c r="B92" s="108">
        <v>45484</v>
      </c>
      <c r="C92" s="132">
        <v>0.44930555555555557</v>
      </c>
      <c r="D92" s="111">
        <v>45485</v>
      </c>
      <c r="E92" s="109">
        <v>0.49305555555555558</v>
      </c>
      <c r="F92" s="110">
        <v>8.9600000000000009</v>
      </c>
      <c r="G92" s="110">
        <v>22.5</v>
      </c>
      <c r="H92" s="111">
        <v>45490</v>
      </c>
      <c r="I92" s="109">
        <v>0.77500000000000002</v>
      </c>
      <c r="J92" s="110">
        <v>6.88</v>
      </c>
      <c r="K92" s="113">
        <v>21.95</v>
      </c>
      <c r="L92" s="127">
        <f t="shared" si="4"/>
        <v>2.080000000000001</v>
      </c>
      <c r="M92" s="101" t="s">
        <v>12</v>
      </c>
      <c r="N92" s="105" t="s">
        <v>90</v>
      </c>
      <c r="O92" s="98"/>
      <c r="P92" s="142"/>
      <c r="Q92" s="143"/>
      <c r="R92" s="143"/>
      <c r="S92" s="143"/>
      <c r="T92" s="143"/>
      <c r="U92" s="143"/>
      <c r="V92" s="143"/>
      <c r="W92" s="143"/>
      <c r="X92" s="143"/>
      <c r="Y92" s="143"/>
      <c r="Z92" s="143"/>
      <c r="AA92" s="143"/>
      <c r="AB92" s="143"/>
      <c r="AC92" s="143"/>
    </row>
    <row r="93" spans="1:29" ht="15.75" customHeight="1">
      <c r="A93" s="97" t="s">
        <v>232</v>
      </c>
      <c r="B93" s="100">
        <v>45484</v>
      </c>
      <c r="C93" s="120">
        <v>0.44930555555555557</v>
      </c>
      <c r="D93" s="102">
        <v>45485</v>
      </c>
      <c r="E93" s="99">
        <v>0.49166666666666664</v>
      </c>
      <c r="F93" s="101">
        <v>8.91</v>
      </c>
      <c r="G93" s="101">
        <v>22.6</v>
      </c>
      <c r="H93" s="102">
        <v>45490</v>
      </c>
      <c r="I93" s="99">
        <v>0.77569444444444446</v>
      </c>
      <c r="J93" s="101">
        <v>6.92</v>
      </c>
      <c r="K93" s="116">
        <v>21.34</v>
      </c>
      <c r="L93" s="117">
        <f t="shared" si="4"/>
        <v>1.9900000000000002</v>
      </c>
      <c r="M93" s="101" t="s">
        <v>12</v>
      </c>
      <c r="N93" s="105" t="s">
        <v>90</v>
      </c>
      <c r="O93" s="98"/>
      <c r="P93" s="142"/>
      <c r="Q93" s="138"/>
      <c r="R93" s="138"/>
      <c r="S93" s="138"/>
      <c r="T93" s="138"/>
      <c r="U93" s="138"/>
      <c r="V93" s="138"/>
      <c r="W93" s="138"/>
      <c r="X93" s="138"/>
      <c r="Y93" s="138"/>
      <c r="Z93" s="138"/>
      <c r="AA93" s="138"/>
      <c r="AB93" s="138"/>
      <c r="AC93" s="138"/>
    </row>
    <row r="94" spans="1:29" ht="15.75" customHeight="1">
      <c r="A94" s="97" t="s">
        <v>233</v>
      </c>
      <c r="B94" s="100">
        <v>45484</v>
      </c>
      <c r="C94" s="120">
        <v>0.44930555555555557</v>
      </c>
      <c r="D94" s="102">
        <v>45485</v>
      </c>
      <c r="E94" s="99">
        <v>0.49513888888888891</v>
      </c>
      <c r="F94" s="101">
        <v>8.61</v>
      </c>
      <c r="G94" s="101">
        <v>23.4</v>
      </c>
      <c r="H94" s="102">
        <v>45490</v>
      </c>
      <c r="I94" s="123">
        <v>0.77708333333333335</v>
      </c>
      <c r="J94" s="124">
        <v>6.78</v>
      </c>
      <c r="K94" s="126">
        <v>21.92</v>
      </c>
      <c r="L94" s="117">
        <f t="shared" si="4"/>
        <v>1.8299999999999992</v>
      </c>
      <c r="M94" s="101" t="s">
        <v>12</v>
      </c>
      <c r="N94" s="105" t="s">
        <v>90</v>
      </c>
      <c r="O94" s="98"/>
      <c r="P94" s="142"/>
      <c r="Q94" s="143"/>
      <c r="R94" s="143"/>
      <c r="S94" s="143"/>
      <c r="T94" s="143"/>
      <c r="U94" s="143"/>
      <c r="V94" s="143"/>
      <c r="W94" s="143"/>
      <c r="X94" s="143"/>
      <c r="Y94" s="143"/>
      <c r="Z94" s="143"/>
      <c r="AA94" s="143"/>
      <c r="AB94" s="143"/>
      <c r="AC94" s="143"/>
    </row>
    <row r="95" spans="1:29" ht="15.75" customHeight="1">
      <c r="A95" s="97" t="s">
        <v>141</v>
      </c>
      <c r="B95" s="98" t="s">
        <v>74</v>
      </c>
      <c r="C95" s="97" t="s">
        <v>74</v>
      </c>
      <c r="D95" s="102">
        <v>45490</v>
      </c>
      <c r="E95" s="99">
        <v>0.78819444444444442</v>
      </c>
      <c r="F95" s="101">
        <v>8.33</v>
      </c>
      <c r="G95" s="101">
        <v>26.4</v>
      </c>
      <c r="H95" s="102">
        <v>45490</v>
      </c>
      <c r="I95" s="99">
        <v>0.65555555555555556</v>
      </c>
      <c r="J95" s="103">
        <v>8.34</v>
      </c>
      <c r="K95" s="116">
        <v>25.2</v>
      </c>
      <c r="L95" s="117" t="s">
        <v>74</v>
      </c>
      <c r="M95" s="101" t="s">
        <v>12</v>
      </c>
      <c r="N95" s="105" t="s">
        <v>90</v>
      </c>
      <c r="O95" s="98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</row>
    <row r="96" spans="1:29" ht="15.75">
      <c r="A96" s="97" t="s">
        <v>234</v>
      </c>
      <c r="B96" s="145">
        <v>45489</v>
      </c>
      <c r="C96" s="120">
        <v>0.34027777777777779</v>
      </c>
      <c r="D96" s="102">
        <v>45490</v>
      </c>
      <c r="E96" s="99">
        <v>0.79236111111111107</v>
      </c>
      <c r="F96" s="139">
        <v>7.19</v>
      </c>
      <c r="G96" s="138">
        <v>22.39</v>
      </c>
      <c r="H96" s="145">
        <v>45495</v>
      </c>
      <c r="I96" s="140">
        <v>0.65694444444444444</v>
      </c>
      <c r="J96" s="139">
        <v>6.88</v>
      </c>
      <c r="K96" s="138">
        <v>22.3</v>
      </c>
      <c r="L96" s="117">
        <f t="shared" ref="L96:L99" si="5">F96-J96</f>
        <v>0.3100000000000005</v>
      </c>
      <c r="M96" s="101" t="s">
        <v>12</v>
      </c>
      <c r="N96" s="146" t="s">
        <v>235</v>
      </c>
      <c r="O96" s="138"/>
      <c r="P96" s="142"/>
      <c r="Q96" s="138"/>
      <c r="R96" s="138"/>
      <c r="S96" s="138"/>
      <c r="T96" s="138"/>
      <c r="U96" s="138"/>
      <c r="V96" s="138"/>
      <c r="W96" s="138"/>
      <c r="X96" s="138"/>
      <c r="Y96" s="138"/>
      <c r="Z96" s="138"/>
      <c r="AA96" s="138"/>
      <c r="AB96" s="138"/>
      <c r="AC96" s="138"/>
    </row>
    <row r="97" spans="1:29" ht="15.75">
      <c r="A97" s="97" t="s">
        <v>236</v>
      </c>
      <c r="B97" s="145">
        <v>45489</v>
      </c>
      <c r="C97" s="120">
        <v>0.34027777777777779</v>
      </c>
      <c r="D97" s="102">
        <v>45490</v>
      </c>
      <c r="E97" s="99">
        <v>0.79374999999999996</v>
      </c>
      <c r="F97" s="139">
        <v>6.89</v>
      </c>
      <c r="G97" s="138">
        <v>22.9</v>
      </c>
      <c r="H97" s="145">
        <v>45495</v>
      </c>
      <c r="I97" s="140">
        <v>0.65972222222222221</v>
      </c>
      <c r="J97" s="139">
        <v>6.54</v>
      </c>
      <c r="K97" s="138">
        <v>22.74</v>
      </c>
      <c r="L97" s="117">
        <f t="shared" si="5"/>
        <v>0.34999999999999964</v>
      </c>
      <c r="M97" s="101" t="s">
        <v>12</v>
      </c>
      <c r="N97" s="146" t="s">
        <v>235</v>
      </c>
      <c r="O97" s="138"/>
      <c r="P97" s="142"/>
      <c r="Q97" s="138"/>
      <c r="R97" s="138"/>
      <c r="S97" s="138"/>
      <c r="T97" s="138"/>
      <c r="U97" s="138"/>
      <c r="V97" s="138"/>
      <c r="W97" s="138"/>
      <c r="X97" s="138"/>
      <c r="Y97" s="138"/>
      <c r="Z97" s="138"/>
      <c r="AA97" s="138"/>
      <c r="AB97" s="138"/>
      <c r="AC97" s="138"/>
    </row>
    <row r="98" spans="1:29" ht="15.75">
      <c r="A98" s="97" t="s">
        <v>237</v>
      </c>
      <c r="B98" s="145">
        <v>45489</v>
      </c>
      <c r="C98" s="120">
        <v>0.37708333333333333</v>
      </c>
      <c r="D98" s="102">
        <v>45490</v>
      </c>
      <c r="E98" s="99">
        <v>0.79513888888888884</v>
      </c>
      <c r="F98" s="139">
        <v>7.03</v>
      </c>
      <c r="G98" s="138">
        <v>21.97</v>
      </c>
      <c r="H98" s="145">
        <v>45495</v>
      </c>
      <c r="I98" s="140">
        <v>0.66249999999999998</v>
      </c>
      <c r="J98" s="139">
        <v>6.61</v>
      </c>
      <c r="K98" s="138">
        <v>22.36</v>
      </c>
      <c r="L98" s="117">
        <f t="shared" si="5"/>
        <v>0.41999999999999993</v>
      </c>
      <c r="M98" s="101" t="s">
        <v>12</v>
      </c>
      <c r="N98" s="146" t="s">
        <v>235</v>
      </c>
      <c r="O98" s="138"/>
      <c r="P98" s="142"/>
      <c r="Q98" s="138"/>
      <c r="R98" s="138"/>
      <c r="S98" s="138"/>
      <c r="T98" s="138"/>
      <c r="U98" s="138"/>
      <c r="V98" s="138"/>
      <c r="W98" s="138"/>
      <c r="X98" s="138"/>
      <c r="Y98" s="138"/>
      <c r="Z98" s="138"/>
      <c r="AA98" s="138"/>
      <c r="AB98" s="138"/>
      <c r="AC98" s="138"/>
    </row>
    <row r="99" spans="1:29" ht="15.75" customHeight="1">
      <c r="A99" s="97" t="s">
        <v>238</v>
      </c>
      <c r="B99" s="145">
        <v>45489</v>
      </c>
      <c r="C99" s="120">
        <v>0.37708333333333333</v>
      </c>
      <c r="D99" s="102">
        <v>45490</v>
      </c>
      <c r="E99" s="99">
        <v>0.79652777777777772</v>
      </c>
      <c r="F99" s="101">
        <v>6.91</v>
      </c>
      <c r="G99" s="101">
        <v>22.19</v>
      </c>
      <c r="H99" s="145">
        <v>45495</v>
      </c>
      <c r="I99" s="99">
        <v>0.6645833333333333</v>
      </c>
      <c r="J99" s="101">
        <v>6.51</v>
      </c>
      <c r="K99" s="116">
        <v>22.77</v>
      </c>
      <c r="L99" s="117">
        <f t="shared" si="5"/>
        <v>0.40000000000000036</v>
      </c>
      <c r="M99" s="101" t="s">
        <v>12</v>
      </c>
      <c r="N99" s="146" t="s">
        <v>235</v>
      </c>
      <c r="O99" s="98"/>
      <c r="P99" s="144"/>
      <c r="Q99" s="143"/>
      <c r="R99" s="143"/>
      <c r="S99" s="143"/>
      <c r="T99" s="143"/>
      <c r="U99" s="143"/>
      <c r="V99" s="143"/>
      <c r="W99" s="143"/>
      <c r="X99" s="143"/>
      <c r="Y99" s="143"/>
      <c r="Z99" s="143"/>
      <c r="AA99" s="143"/>
      <c r="AB99" s="143"/>
      <c r="AC99" s="143"/>
    </row>
    <row r="100" spans="1:29" ht="15" customHeight="1">
      <c r="A100" s="97" t="s">
        <v>239</v>
      </c>
      <c r="B100" s="98" t="s">
        <v>74</v>
      </c>
      <c r="C100" s="97" t="s">
        <v>74</v>
      </c>
      <c r="D100" s="102">
        <v>45490</v>
      </c>
      <c r="E100" s="99">
        <v>0.40625</v>
      </c>
      <c r="F100" s="101">
        <v>8.33</v>
      </c>
      <c r="G100" s="101">
        <v>25.4</v>
      </c>
      <c r="H100" s="102">
        <v>45496</v>
      </c>
      <c r="I100" s="99">
        <v>0.56388888888888888</v>
      </c>
      <c r="J100" s="103">
        <v>8.51</v>
      </c>
      <c r="K100" s="116">
        <v>24.87</v>
      </c>
      <c r="L100" s="117" t="s">
        <v>74</v>
      </c>
      <c r="M100" s="101" t="s">
        <v>12</v>
      </c>
      <c r="N100" s="146" t="s">
        <v>235</v>
      </c>
      <c r="O100" s="409" t="s">
        <v>240</v>
      </c>
      <c r="P100" s="142"/>
      <c r="Q100" s="143"/>
      <c r="R100" s="143"/>
      <c r="S100" s="143"/>
      <c r="T100" s="143"/>
      <c r="U100" s="143"/>
      <c r="V100" s="143"/>
      <c r="W100" s="143"/>
      <c r="X100" s="143"/>
      <c r="Y100" s="143"/>
      <c r="Z100" s="143"/>
      <c r="AA100" s="143"/>
      <c r="AB100" s="143"/>
      <c r="AC100" s="143"/>
    </row>
    <row r="101" spans="1:29" ht="15" customHeight="1">
      <c r="A101" s="97" t="s">
        <v>241</v>
      </c>
      <c r="B101" s="145">
        <v>45489</v>
      </c>
      <c r="C101" s="120">
        <v>0.41597222222222224</v>
      </c>
      <c r="D101" s="102">
        <v>45491</v>
      </c>
      <c r="E101" s="99">
        <v>0.91527777777777775</v>
      </c>
      <c r="F101" s="101">
        <v>7.18</v>
      </c>
      <c r="G101" s="101">
        <v>23.39</v>
      </c>
      <c r="H101" s="102">
        <v>45496</v>
      </c>
      <c r="I101" s="99">
        <v>0.59930555555555554</v>
      </c>
      <c r="J101" s="101">
        <v>6.69</v>
      </c>
      <c r="K101" s="101">
        <v>18.11</v>
      </c>
      <c r="L101" s="117">
        <f t="shared" ref="L101:L126" si="6">F101-J101</f>
        <v>0.48999999999999932</v>
      </c>
      <c r="M101" s="101" t="s">
        <v>12</v>
      </c>
      <c r="N101" s="146" t="s">
        <v>235</v>
      </c>
      <c r="O101" s="405"/>
      <c r="P101" s="142"/>
      <c r="Q101" s="143"/>
      <c r="R101" s="143"/>
      <c r="S101" s="143"/>
      <c r="T101" s="143"/>
      <c r="U101" s="143"/>
      <c r="V101" s="143"/>
      <c r="W101" s="143"/>
      <c r="X101" s="143"/>
      <c r="Y101" s="143"/>
      <c r="Z101" s="143"/>
      <c r="AA101" s="143"/>
      <c r="AB101" s="143"/>
      <c r="AC101" s="143"/>
    </row>
    <row r="102" spans="1:29" ht="15.75" customHeight="1">
      <c r="A102" s="97" t="s">
        <v>242</v>
      </c>
      <c r="B102" s="145">
        <v>45489</v>
      </c>
      <c r="C102" s="120">
        <v>0.41597222222222224</v>
      </c>
      <c r="D102" s="102">
        <v>45491</v>
      </c>
      <c r="E102" s="120">
        <v>0.41597222222222224</v>
      </c>
      <c r="F102" s="101">
        <v>7.08</v>
      </c>
      <c r="G102" s="101">
        <v>23.15</v>
      </c>
      <c r="H102" s="102">
        <v>45496</v>
      </c>
      <c r="I102" s="99">
        <v>0.6020833333333333</v>
      </c>
      <c r="J102" s="101">
        <v>6.66</v>
      </c>
      <c r="K102" s="116">
        <v>18.45</v>
      </c>
      <c r="L102" s="117">
        <f t="shared" si="6"/>
        <v>0.41999999999999993</v>
      </c>
      <c r="M102" s="101" t="s">
        <v>12</v>
      </c>
      <c r="N102" s="146" t="s">
        <v>235</v>
      </c>
      <c r="O102" s="405"/>
      <c r="P102" s="142"/>
      <c r="Q102" s="143"/>
      <c r="R102" s="143"/>
      <c r="S102" s="143"/>
      <c r="T102" s="143"/>
      <c r="U102" s="143"/>
      <c r="V102" s="143"/>
      <c r="W102" s="143"/>
      <c r="X102" s="143"/>
      <c r="Y102" s="143"/>
      <c r="Z102" s="143"/>
      <c r="AA102" s="143"/>
      <c r="AB102" s="143"/>
      <c r="AC102" s="143"/>
    </row>
    <row r="103" spans="1:29" ht="15.75" customHeight="1">
      <c r="A103" s="97" t="s">
        <v>243</v>
      </c>
      <c r="B103" s="145">
        <v>45489</v>
      </c>
      <c r="C103" s="120">
        <v>0.43958333333333333</v>
      </c>
      <c r="D103" s="102">
        <v>45491</v>
      </c>
      <c r="E103" s="99">
        <v>0.92777777777777781</v>
      </c>
      <c r="F103" s="101">
        <v>7.46</v>
      </c>
      <c r="G103" s="101">
        <v>20.7</v>
      </c>
      <c r="H103" s="102">
        <v>45496</v>
      </c>
      <c r="I103" s="99">
        <v>0.60416666666666663</v>
      </c>
      <c r="J103" s="101">
        <v>6.86</v>
      </c>
      <c r="K103" s="116">
        <v>18.510000000000002</v>
      </c>
      <c r="L103" s="117">
        <f t="shared" si="6"/>
        <v>0.59999999999999964</v>
      </c>
      <c r="M103" s="101" t="s">
        <v>12</v>
      </c>
      <c r="N103" s="146" t="s">
        <v>235</v>
      </c>
      <c r="O103" s="405"/>
      <c r="P103" s="142"/>
      <c r="Q103" s="143"/>
      <c r="R103" s="143"/>
      <c r="S103" s="143"/>
      <c r="T103" s="143"/>
      <c r="U103" s="143"/>
      <c r="V103" s="143"/>
      <c r="W103" s="143"/>
      <c r="X103" s="143"/>
      <c r="Y103" s="143"/>
      <c r="Z103" s="143"/>
      <c r="AA103" s="143"/>
      <c r="AB103" s="143"/>
      <c r="AC103" s="143"/>
    </row>
    <row r="104" spans="1:29" ht="15.75" customHeight="1">
      <c r="A104" s="97" t="s">
        <v>244</v>
      </c>
      <c r="B104" s="145">
        <v>45489</v>
      </c>
      <c r="C104" s="120">
        <v>0.43958333333333333</v>
      </c>
      <c r="D104" s="102">
        <v>45491</v>
      </c>
      <c r="E104" s="99">
        <v>0.42916666666666664</v>
      </c>
      <c r="F104" s="101">
        <v>7.38</v>
      </c>
      <c r="G104" s="101">
        <v>21.33</v>
      </c>
      <c r="H104" s="102">
        <v>45496</v>
      </c>
      <c r="I104" s="99">
        <v>0.60763888888888884</v>
      </c>
      <c r="J104" s="101">
        <v>6.87</v>
      </c>
      <c r="K104" s="116">
        <v>18.52</v>
      </c>
      <c r="L104" s="117">
        <f t="shared" si="6"/>
        <v>0.50999999999999979</v>
      </c>
      <c r="M104" s="101" t="s">
        <v>12</v>
      </c>
      <c r="N104" s="146" t="s">
        <v>235</v>
      </c>
      <c r="O104" s="405"/>
      <c r="P104" s="142"/>
      <c r="Q104" s="143"/>
      <c r="R104" s="143"/>
      <c r="S104" s="143"/>
      <c r="T104" s="143"/>
      <c r="U104" s="143"/>
      <c r="V104" s="143"/>
      <c r="W104" s="143"/>
      <c r="X104" s="143"/>
      <c r="Y104" s="143"/>
      <c r="Z104" s="143"/>
      <c r="AA104" s="143"/>
      <c r="AB104" s="143"/>
      <c r="AC104" s="143"/>
    </row>
    <row r="105" spans="1:29" ht="15.75" customHeight="1">
      <c r="A105" s="107" t="s">
        <v>245</v>
      </c>
      <c r="B105" s="147">
        <v>45489</v>
      </c>
      <c r="C105" s="132">
        <v>0.47083333333333333</v>
      </c>
      <c r="D105" s="111">
        <v>45491</v>
      </c>
      <c r="E105" s="109">
        <v>0.44166666666666665</v>
      </c>
      <c r="F105" s="110">
        <v>7.22</v>
      </c>
      <c r="G105" s="110">
        <v>22.91</v>
      </c>
      <c r="H105" s="147">
        <v>45496</v>
      </c>
      <c r="I105" s="109">
        <v>0.58611111111111114</v>
      </c>
      <c r="J105" s="110">
        <v>5.66</v>
      </c>
      <c r="K105" s="113">
        <v>19.22</v>
      </c>
      <c r="L105" s="127">
        <f t="shared" si="6"/>
        <v>1.5599999999999996</v>
      </c>
      <c r="M105" s="101" t="s">
        <v>12</v>
      </c>
      <c r="N105" s="146" t="s">
        <v>235</v>
      </c>
      <c r="O105" s="405"/>
      <c r="P105" s="142"/>
      <c r="Q105" s="143"/>
      <c r="R105" s="143"/>
      <c r="S105" s="143"/>
      <c r="T105" s="143"/>
      <c r="U105" s="143"/>
      <c r="V105" s="143"/>
      <c r="W105" s="143"/>
      <c r="X105" s="143"/>
      <c r="Y105" s="143"/>
      <c r="Z105" s="143"/>
      <c r="AA105" s="143"/>
      <c r="AB105" s="143"/>
      <c r="AC105" s="143"/>
    </row>
    <row r="106" spans="1:29" ht="15.75" customHeight="1">
      <c r="A106" s="107" t="s">
        <v>246</v>
      </c>
      <c r="B106" s="147">
        <v>45489</v>
      </c>
      <c r="C106" s="132">
        <v>0.47083333333333333</v>
      </c>
      <c r="D106" s="111">
        <v>45491</v>
      </c>
      <c r="E106" s="109">
        <v>0.44027777777777777</v>
      </c>
      <c r="F106" s="110">
        <v>7.19</v>
      </c>
      <c r="G106" s="110">
        <v>23.34</v>
      </c>
      <c r="H106" s="147">
        <v>45496</v>
      </c>
      <c r="I106" s="109">
        <v>0.58750000000000002</v>
      </c>
      <c r="J106" s="110">
        <v>6.55</v>
      </c>
      <c r="K106" s="113">
        <v>19.5</v>
      </c>
      <c r="L106" s="127">
        <f t="shared" si="6"/>
        <v>0.64000000000000057</v>
      </c>
      <c r="M106" s="101" t="s">
        <v>12</v>
      </c>
      <c r="N106" s="146" t="s">
        <v>235</v>
      </c>
      <c r="O106" s="405"/>
      <c r="P106" s="142"/>
      <c r="Q106" s="143"/>
      <c r="R106" s="143"/>
      <c r="S106" s="143"/>
      <c r="T106" s="143"/>
      <c r="U106" s="143"/>
      <c r="V106" s="143"/>
      <c r="W106" s="143"/>
      <c r="X106" s="143"/>
      <c r="Y106" s="143"/>
      <c r="Z106" s="143"/>
      <c r="AA106" s="143"/>
      <c r="AB106" s="143"/>
      <c r="AC106" s="143"/>
    </row>
    <row r="107" spans="1:29" ht="15.75" customHeight="1">
      <c r="A107" s="97" t="s">
        <v>247</v>
      </c>
      <c r="B107" s="145">
        <v>45489</v>
      </c>
      <c r="C107" s="120">
        <v>0.47083333333333333</v>
      </c>
      <c r="D107" s="102">
        <v>45491</v>
      </c>
      <c r="E107" s="99">
        <v>0.43958333333333333</v>
      </c>
      <c r="F107" s="101">
        <v>7.19</v>
      </c>
      <c r="G107" s="101">
        <v>23.36</v>
      </c>
      <c r="H107" s="102">
        <v>45496</v>
      </c>
      <c r="I107" s="99">
        <v>0.59027777777777779</v>
      </c>
      <c r="J107" s="101">
        <v>6.52</v>
      </c>
      <c r="K107" s="116">
        <v>18.63</v>
      </c>
      <c r="L107" s="117">
        <f t="shared" si="6"/>
        <v>0.67000000000000082</v>
      </c>
      <c r="M107" s="101" t="s">
        <v>12</v>
      </c>
      <c r="N107" s="146" t="s">
        <v>235</v>
      </c>
      <c r="O107" s="405"/>
      <c r="P107" s="142"/>
      <c r="Q107" s="138"/>
      <c r="R107" s="138"/>
      <c r="S107" s="138"/>
      <c r="T107" s="138"/>
      <c r="U107" s="138"/>
      <c r="V107" s="138"/>
      <c r="W107" s="138"/>
      <c r="X107" s="138"/>
      <c r="Y107" s="138"/>
      <c r="Z107" s="138"/>
      <c r="AA107" s="138"/>
      <c r="AB107" s="138"/>
      <c r="AC107" s="138"/>
    </row>
    <row r="108" spans="1:29" ht="15.75" customHeight="1">
      <c r="A108" s="97" t="s">
        <v>248</v>
      </c>
      <c r="B108" s="145">
        <v>45489</v>
      </c>
      <c r="C108" s="120">
        <v>0.47083333333333333</v>
      </c>
      <c r="D108" s="102">
        <v>45491</v>
      </c>
      <c r="E108" s="99">
        <v>0.45277777777777778</v>
      </c>
      <c r="F108" s="101">
        <v>7.05</v>
      </c>
      <c r="G108" s="101">
        <v>23.15</v>
      </c>
      <c r="H108" s="102">
        <v>45496</v>
      </c>
      <c r="I108" s="99">
        <v>0.59305555555555556</v>
      </c>
      <c r="J108" s="101">
        <v>6.56</v>
      </c>
      <c r="K108" s="116">
        <v>18.71</v>
      </c>
      <c r="L108" s="117">
        <f t="shared" si="6"/>
        <v>0.49000000000000021</v>
      </c>
      <c r="M108" s="101" t="s">
        <v>12</v>
      </c>
      <c r="N108" s="146" t="s">
        <v>235</v>
      </c>
      <c r="O108" s="405"/>
      <c r="P108" s="144"/>
      <c r="Q108" s="143"/>
      <c r="R108" s="143"/>
      <c r="S108" s="143"/>
      <c r="T108" s="143"/>
      <c r="U108" s="143"/>
      <c r="V108" s="143"/>
      <c r="W108" s="143"/>
      <c r="X108" s="143"/>
      <c r="Y108" s="143"/>
      <c r="Z108" s="143"/>
      <c r="AA108" s="143"/>
      <c r="AB108" s="143"/>
      <c r="AC108" s="143"/>
    </row>
    <row r="109" spans="1:29" ht="15" customHeight="1">
      <c r="A109" s="97" t="s">
        <v>249</v>
      </c>
      <c r="B109" s="145">
        <v>45489</v>
      </c>
      <c r="C109" s="120">
        <v>0.48472222222222222</v>
      </c>
      <c r="D109" s="102">
        <v>45491</v>
      </c>
      <c r="E109" s="99">
        <v>0.46180555555555558</v>
      </c>
      <c r="F109" s="101">
        <v>7.29</v>
      </c>
      <c r="G109" s="101">
        <v>21.71</v>
      </c>
      <c r="H109" s="102">
        <v>45496</v>
      </c>
      <c r="I109" s="99">
        <v>0.57708333333333328</v>
      </c>
      <c r="J109" s="101">
        <v>6.94</v>
      </c>
      <c r="K109" s="116">
        <v>19.04</v>
      </c>
      <c r="L109" s="117">
        <f t="shared" si="6"/>
        <v>0.34999999999999964</v>
      </c>
      <c r="M109" s="101" t="s">
        <v>12</v>
      </c>
      <c r="N109" s="146" t="s">
        <v>235</v>
      </c>
      <c r="O109" s="405"/>
      <c r="P109" s="142"/>
      <c r="Q109" s="143"/>
      <c r="R109" s="143"/>
      <c r="S109" s="143"/>
      <c r="T109" s="143"/>
      <c r="U109" s="143"/>
      <c r="V109" s="143"/>
      <c r="W109" s="143"/>
      <c r="X109" s="143"/>
      <c r="Y109" s="143"/>
      <c r="Z109" s="143"/>
      <c r="AA109" s="143"/>
      <c r="AB109" s="143"/>
      <c r="AC109" s="143"/>
    </row>
    <row r="110" spans="1:29" ht="15" customHeight="1">
      <c r="A110" s="97" t="s">
        <v>250</v>
      </c>
      <c r="B110" s="145">
        <v>45489</v>
      </c>
      <c r="C110" s="120">
        <v>0.48472222222222222</v>
      </c>
      <c r="D110" s="102">
        <v>45491</v>
      </c>
      <c r="E110" s="99">
        <v>0.46388888888888891</v>
      </c>
      <c r="F110" s="101">
        <v>7.1</v>
      </c>
      <c r="G110" s="101">
        <v>22.01</v>
      </c>
      <c r="H110" s="102">
        <v>45496</v>
      </c>
      <c r="I110" s="99">
        <v>0.5805555555555556</v>
      </c>
      <c r="J110" s="101">
        <v>6.77</v>
      </c>
      <c r="K110" s="116">
        <v>19.190000000000001</v>
      </c>
      <c r="L110" s="117">
        <f t="shared" si="6"/>
        <v>0.33000000000000007</v>
      </c>
      <c r="M110" s="101" t="s">
        <v>12</v>
      </c>
      <c r="N110" s="146" t="s">
        <v>235</v>
      </c>
      <c r="O110" s="405"/>
      <c r="P110" s="142"/>
      <c r="Q110" s="143"/>
      <c r="R110" s="143"/>
      <c r="S110" s="143"/>
      <c r="T110" s="143"/>
      <c r="U110" s="143"/>
      <c r="V110" s="143"/>
      <c r="W110" s="143"/>
      <c r="X110" s="143"/>
      <c r="Y110" s="143"/>
      <c r="Z110" s="143"/>
      <c r="AA110" s="143"/>
      <c r="AB110" s="143"/>
      <c r="AC110" s="143"/>
    </row>
    <row r="111" spans="1:29" ht="15.75" customHeight="1">
      <c r="A111" s="97" t="s">
        <v>251</v>
      </c>
      <c r="B111" s="145">
        <v>45489</v>
      </c>
      <c r="C111" s="120">
        <v>0.5</v>
      </c>
      <c r="D111" s="102">
        <v>45491</v>
      </c>
      <c r="E111" s="99">
        <v>0.46527777777777779</v>
      </c>
      <c r="F111" s="101">
        <v>7.1</v>
      </c>
      <c r="G111" s="101">
        <v>22.33</v>
      </c>
      <c r="H111" s="102">
        <v>45496</v>
      </c>
      <c r="I111" s="99">
        <v>0.56666666666666665</v>
      </c>
      <c r="J111" s="101">
        <v>6.54</v>
      </c>
      <c r="K111" s="116">
        <v>19.43</v>
      </c>
      <c r="L111" s="117">
        <f t="shared" si="6"/>
        <v>0.55999999999999961</v>
      </c>
      <c r="M111" s="101" t="s">
        <v>12</v>
      </c>
      <c r="N111" s="146" t="s">
        <v>235</v>
      </c>
      <c r="O111" s="405"/>
      <c r="P111" s="142"/>
      <c r="Q111" s="143"/>
      <c r="R111" s="143"/>
      <c r="S111" s="143"/>
      <c r="T111" s="143"/>
      <c r="U111" s="143"/>
      <c r="V111" s="143"/>
      <c r="W111" s="143"/>
      <c r="X111" s="143"/>
      <c r="Y111" s="143"/>
      <c r="Z111" s="143"/>
      <c r="AA111" s="143"/>
      <c r="AB111" s="143"/>
      <c r="AC111" s="143"/>
    </row>
    <row r="112" spans="1:29" ht="15.75" customHeight="1">
      <c r="A112" s="97" t="s">
        <v>252</v>
      </c>
      <c r="B112" s="145">
        <v>45489</v>
      </c>
      <c r="C112" s="120">
        <v>0.5</v>
      </c>
      <c r="D112" s="102">
        <v>45491</v>
      </c>
      <c r="E112" s="99">
        <v>0.46736111111111112</v>
      </c>
      <c r="F112" s="101">
        <v>7.23</v>
      </c>
      <c r="G112" s="101">
        <v>22.19</v>
      </c>
      <c r="H112" s="102">
        <v>45496</v>
      </c>
      <c r="I112" s="99">
        <v>0.56944444444444442</v>
      </c>
      <c r="J112" s="101">
        <v>6.89</v>
      </c>
      <c r="K112" s="116">
        <v>19.7</v>
      </c>
      <c r="L112" s="117">
        <f t="shared" si="6"/>
        <v>0.34000000000000075</v>
      </c>
      <c r="M112" s="101" t="s">
        <v>12</v>
      </c>
      <c r="N112" s="146" t="s">
        <v>235</v>
      </c>
      <c r="O112" s="405"/>
      <c r="P112" s="142"/>
      <c r="Q112" s="143"/>
      <c r="R112" s="143"/>
      <c r="S112" s="143"/>
      <c r="T112" s="143"/>
      <c r="U112" s="143"/>
      <c r="V112" s="143"/>
      <c r="W112" s="143"/>
      <c r="X112" s="143"/>
      <c r="Y112" s="143"/>
      <c r="Z112" s="143"/>
      <c r="AA112" s="143"/>
      <c r="AB112" s="143"/>
      <c r="AC112" s="143"/>
    </row>
    <row r="113" spans="1:29" ht="15.75" customHeight="1">
      <c r="A113" s="97" t="s">
        <v>239</v>
      </c>
      <c r="B113" s="98" t="s">
        <v>74</v>
      </c>
      <c r="C113" s="97" t="s">
        <v>74</v>
      </c>
      <c r="D113" s="102">
        <v>45491</v>
      </c>
      <c r="E113" s="99">
        <v>0.40972222222222221</v>
      </c>
      <c r="F113" s="101">
        <v>8.33</v>
      </c>
      <c r="G113" s="101">
        <v>25.4</v>
      </c>
      <c r="H113" s="102">
        <v>45496</v>
      </c>
      <c r="I113" s="99">
        <v>0.56388888888888888</v>
      </c>
      <c r="J113" s="101">
        <v>8.51</v>
      </c>
      <c r="K113" s="116">
        <v>24.87</v>
      </c>
      <c r="L113" s="117">
        <f t="shared" si="6"/>
        <v>-0.17999999999999972</v>
      </c>
      <c r="M113" s="101" t="s">
        <v>12</v>
      </c>
      <c r="N113" s="146" t="s">
        <v>235</v>
      </c>
      <c r="O113" s="405"/>
      <c r="P113" s="142"/>
      <c r="Q113" s="143"/>
      <c r="R113" s="143"/>
      <c r="S113" s="143"/>
      <c r="T113" s="143"/>
      <c r="U113" s="143"/>
      <c r="V113" s="143"/>
      <c r="W113" s="143"/>
      <c r="X113" s="143"/>
      <c r="Y113" s="143"/>
      <c r="Z113" s="143"/>
      <c r="AA113" s="143"/>
      <c r="AB113" s="143"/>
      <c r="AC113" s="143"/>
    </row>
    <row r="114" spans="1:29" ht="15.75" customHeight="1">
      <c r="A114" s="97" t="s">
        <v>253</v>
      </c>
      <c r="B114" s="102">
        <v>45491</v>
      </c>
      <c r="C114" s="120">
        <v>0.81319444444444444</v>
      </c>
      <c r="D114" s="102">
        <v>45491</v>
      </c>
      <c r="E114" s="99">
        <v>0.65069444444444446</v>
      </c>
      <c r="F114" s="101">
        <v>7.78</v>
      </c>
      <c r="G114" s="101">
        <v>20.23</v>
      </c>
      <c r="H114" s="102">
        <v>45496</v>
      </c>
      <c r="I114" s="99">
        <v>0.57152777777777775</v>
      </c>
      <c r="J114" s="101">
        <v>6.64</v>
      </c>
      <c r="K114" s="116">
        <v>20.14</v>
      </c>
      <c r="L114" s="117">
        <f t="shared" si="6"/>
        <v>1.1400000000000006</v>
      </c>
      <c r="M114" s="101" t="s">
        <v>12</v>
      </c>
      <c r="N114" s="146" t="s">
        <v>235</v>
      </c>
      <c r="O114" s="405"/>
      <c r="P114" s="142"/>
      <c r="Q114" s="143"/>
      <c r="R114" s="143"/>
      <c r="S114" s="143"/>
      <c r="T114" s="143"/>
      <c r="U114" s="143"/>
      <c r="V114" s="143"/>
      <c r="W114" s="143"/>
      <c r="X114" s="143"/>
      <c r="Y114" s="143"/>
      <c r="Z114" s="143"/>
      <c r="AA114" s="143"/>
      <c r="AB114" s="143"/>
      <c r="AC114" s="143"/>
    </row>
    <row r="115" spans="1:29" ht="15.75" customHeight="1">
      <c r="A115" s="97" t="s">
        <v>254</v>
      </c>
      <c r="B115" s="102">
        <v>45491</v>
      </c>
      <c r="C115" s="120">
        <v>0.81319444444444444</v>
      </c>
      <c r="D115" s="102">
        <v>45491</v>
      </c>
      <c r="E115" s="99">
        <v>0.65208333333333335</v>
      </c>
      <c r="F115" s="101">
        <v>8.8000000000000007</v>
      </c>
      <c r="G115" s="101">
        <v>20.149999999999999</v>
      </c>
      <c r="H115" s="102">
        <v>45496</v>
      </c>
      <c r="I115" s="99">
        <v>0.57361111111111107</v>
      </c>
      <c r="J115" s="101">
        <v>7.17</v>
      </c>
      <c r="K115" s="116">
        <v>20.13</v>
      </c>
      <c r="L115" s="117">
        <f t="shared" si="6"/>
        <v>1.6300000000000008</v>
      </c>
      <c r="M115" s="101" t="s">
        <v>12</v>
      </c>
      <c r="N115" s="146" t="s">
        <v>235</v>
      </c>
      <c r="O115" s="405"/>
      <c r="P115" s="142"/>
      <c r="Q115" s="143"/>
      <c r="R115" s="143"/>
      <c r="S115" s="143"/>
      <c r="T115" s="143"/>
      <c r="U115" s="143"/>
      <c r="V115" s="143"/>
      <c r="W115" s="143"/>
      <c r="X115" s="143"/>
      <c r="Y115" s="143"/>
      <c r="Z115" s="143"/>
      <c r="AA115" s="143"/>
      <c r="AB115" s="143"/>
      <c r="AC115" s="143"/>
    </row>
    <row r="116" spans="1:29" ht="15.75" customHeight="1">
      <c r="A116" s="97" t="s">
        <v>255</v>
      </c>
      <c r="B116" s="102">
        <v>45491</v>
      </c>
      <c r="C116" s="120">
        <v>0.82777777777777772</v>
      </c>
      <c r="D116" s="102">
        <v>45491</v>
      </c>
      <c r="E116" s="99">
        <v>0.65347222222222223</v>
      </c>
      <c r="F116" s="101">
        <v>8.93</v>
      </c>
      <c r="G116" s="101">
        <v>20.05</v>
      </c>
      <c r="H116" s="102">
        <v>45496</v>
      </c>
      <c r="I116" s="99">
        <v>0.58402777777777781</v>
      </c>
      <c r="J116" s="101">
        <v>6.65</v>
      </c>
      <c r="K116" s="116">
        <v>20.170000000000002</v>
      </c>
      <c r="L116" s="117">
        <f t="shared" si="6"/>
        <v>2.2799999999999994</v>
      </c>
      <c r="M116" s="101" t="s">
        <v>12</v>
      </c>
      <c r="N116" s="146" t="s">
        <v>235</v>
      </c>
      <c r="O116" s="406"/>
      <c r="P116" s="142"/>
      <c r="Q116" s="143"/>
      <c r="R116" s="143"/>
      <c r="S116" s="143"/>
      <c r="T116" s="143"/>
      <c r="U116" s="143"/>
      <c r="V116" s="143"/>
      <c r="W116" s="143"/>
      <c r="X116" s="143"/>
      <c r="Y116" s="143"/>
      <c r="Z116" s="143"/>
      <c r="AA116" s="143"/>
      <c r="AB116" s="143"/>
      <c r="AC116" s="143"/>
    </row>
    <row r="117" spans="1:29" ht="15.75" customHeight="1">
      <c r="A117" s="97" t="s">
        <v>256</v>
      </c>
      <c r="B117" s="102">
        <v>45491</v>
      </c>
      <c r="C117" s="120">
        <v>0.82777777777777772</v>
      </c>
      <c r="D117" s="102">
        <v>45491</v>
      </c>
      <c r="E117" s="99">
        <v>0.65486111111111112</v>
      </c>
      <c r="F117" s="101">
        <v>7.56</v>
      </c>
      <c r="G117" s="101">
        <v>20.16</v>
      </c>
      <c r="H117" s="102">
        <v>45496</v>
      </c>
      <c r="I117" s="99">
        <v>0.58611111111111114</v>
      </c>
      <c r="J117" s="101">
        <v>6.85</v>
      </c>
      <c r="K117" s="116">
        <v>20.170000000000002</v>
      </c>
      <c r="L117" s="117">
        <f t="shared" si="6"/>
        <v>0.71</v>
      </c>
      <c r="M117" s="101" t="s">
        <v>12</v>
      </c>
      <c r="N117" s="146" t="s">
        <v>235</v>
      </c>
      <c r="O117" s="410" t="s">
        <v>257</v>
      </c>
      <c r="P117" s="142"/>
      <c r="Q117" s="143"/>
      <c r="R117" s="143"/>
      <c r="S117" s="143"/>
      <c r="T117" s="143"/>
      <c r="U117" s="143"/>
      <c r="V117" s="143"/>
      <c r="W117" s="143"/>
      <c r="X117" s="143"/>
      <c r="Y117" s="143"/>
      <c r="Z117" s="143"/>
      <c r="AA117" s="143"/>
      <c r="AB117" s="143"/>
      <c r="AC117" s="143"/>
    </row>
    <row r="118" spans="1:29" ht="15.75" customHeight="1">
      <c r="A118" s="97" t="s">
        <v>239</v>
      </c>
      <c r="B118" s="98" t="s">
        <v>74</v>
      </c>
      <c r="C118" s="97" t="s">
        <v>74</v>
      </c>
      <c r="D118" s="148">
        <v>45504</v>
      </c>
      <c r="E118" s="99">
        <v>0.43402777777777779</v>
      </c>
      <c r="F118" s="101">
        <v>8.3000000000000007</v>
      </c>
      <c r="G118" s="101">
        <v>24.5</v>
      </c>
      <c r="H118" s="102">
        <v>45509</v>
      </c>
      <c r="I118" s="99">
        <v>0.50624999999999998</v>
      </c>
      <c r="J118" s="101">
        <v>8.4499999999999993</v>
      </c>
      <c r="K118" s="116">
        <v>23.71</v>
      </c>
      <c r="L118" s="117">
        <f t="shared" si="6"/>
        <v>-0.14999999999999858</v>
      </c>
      <c r="M118" s="101" t="s">
        <v>12</v>
      </c>
      <c r="N118" s="105" t="s">
        <v>258</v>
      </c>
      <c r="O118" s="405"/>
      <c r="P118" s="142"/>
      <c r="Q118" s="143"/>
      <c r="R118" s="143"/>
      <c r="S118" s="143"/>
      <c r="T118" s="143"/>
      <c r="U118" s="143"/>
      <c r="V118" s="143"/>
      <c r="W118" s="143"/>
      <c r="X118" s="143"/>
      <c r="Y118" s="143"/>
      <c r="Z118" s="143"/>
      <c r="AA118" s="143"/>
      <c r="AB118" s="143"/>
      <c r="AC118" s="143"/>
    </row>
    <row r="119" spans="1:29" ht="15.75" customHeight="1">
      <c r="A119" s="107" t="s">
        <v>259</v>
      </c>
      <c r="B119" s="149">
        <v>45503</v>
      </c>
      <c r="C119" s="109">
        <v>0.2673611111111111</v>
      </c>
      <c r="D119" s="149">
        <v>45504</v>
      </c>
      <c r="E119" s="109">
        <v>0.4375</v>
      </c>
      <c r="F119" s="110">
        <v>8.69</v>
      </c>
      <c r="G119" s="110">
        <v>21.83</v>
      </c>
      <c r="H119" s="111">
        <v>45509</v>
      </c>
      <c r="I119" s="109">
        <v>0.5083333333333333</v>
      </c>
      <c r="J119" s="110">
        <v>5.68</v>
      </c>
      <c r="K119" s="113">
        <v>21.12</v>
      </c>
      <c r="L119" s="117">
        <f t="shared" si="6"/>
        <v>3.01</v>
      </c>
      <c r="M119" s="101" t="s">
        <v>12</v>
      </c>
      <c r="N119" s="105" t="s">
        <v>258</v>
      </c>
      <c r="O119" s="405"/>
      <c r="P119" s="142"/>
      <c r="Q119" s="143"/>
      <c r="R119" s="143"/>
      <c r="S119" s="143"/>
      <c r="T119" s="143"/>
      <c r="U119" s="143"/>
      <c r="V119" s="143"/>
      <c r="W119" s="143"/>
      <c r="X119" s="143"/>
      <c r="Y119" s="143"/>
      <c r="Z119" s="143"/>
      <c r="AA119" s="143"/>
      <c r="AB119" s="143"/>
      <c r="AC119" s="143"/>
    </row>
    <row r="120" spans="1:29" ht="15.75" customHeight="1">
      <c r="A120" s="107" t="s">
        <v>260</v>
      </c>
      <c r="B120" s="149">
        <v>45503</v>
      </c>
      <c r="C120" s="109">
        <v>0.2673611111111111</v>
      </c>
      <c r="D120" s="149">
        <v>45504</v>
      </c>
      <c r="E120" s="109">
        <v>0.4375</v>
      </c>
      <c r="F120" s="110">
        <v>8.69</v>
      </c>
      <c r="G120" s="110">
        <v>21.83</v>
      </c>
      <c r="H120" s="111">
        <v>45509</v>
      </c>
      <c r="I120" s="109">
        <v>0.51111111111111107</v>
      </c>
      <c r="J120" s="110">
        <v>6.91</v>
      </c>
      <c r="K120" s="113">
        <v>20.48</v>
      </c>
      <c r="L120" s="117">
        <f t="shared" si="6"/>
        <v>1.7799999999999994</v>
      </c>
      <c r="M120" s="101" t="s">
        <v>12</v>
      </c>
      <c r="N120" s="105" t="s">
        <v>258</v>
      </c>
      <c r="O120" s="405"/>
      <c r="P120" s="142"/>
      <c r="Q120" s="143"/>
      <c r="R120" s="143"/>
      <c r="S120" s="143"/>
      <c r="T120" s="143"/>
      <c r="U120" s="143"/>
      <c r="V120" s="143"/>
      <c r="W120" s="143"/>
      <c r="X120" s="143"/>
      <c r="Y120" s="143"/>
      <c r="Z120" s="143"/>
      <c r="AA120" s="143"/>
      <c r="AB120" s="143"/>
      <c r="AC120" s="143"/>
    </row>
    <row r="121" spans="1:29" ht="25.5">
      <c r="A121" s="97" t="s">
        <v>261</v>
      </c>
      <c r="B121" s="145">
        <v>45503</v>
      </c>
      <c r="C121" s="140">
        <v>0.2673611111111111</v>
      </c>
      <c r="D121" s="148">
        <v>45504</v>
      </c>
      <c r="E121" s="99">
        <v>0.4375</v>
      </c>
      <c r="F121" s="139">
        <v>8.69</v>
      </c>
      <c r="G121" s="138">
        <v>21.83</v>
      </c>
      <c r="H121" s="102">
        <v>45509</v>
      </c>
      <c r="I121" s="140">
        <v>0.51249999999999996</v>
      </c>
      <c r="J121" s="139">
        <v>6.9</v>
      </c>
      <c r="K121" s="138">
        <v>20.38</v>
      </c>
      <c r="L121" s="117">
        <f t="shared" si="6"/>
        <v>1.7899999999999991</v>
      </c>
      <c r="M121" s="101" t="s">
        <v>12</v>
      </c>
      <c r="N121" s="105" t="s">
        <v>258</v>
      </c>
      <c r="O121" s="405"/>
      <c r="P121" s="141"/>
      <c r="Q121" s="141"/>
      <c r="R121" s="141"/>
      <c r="S121" s="141"/>
      <c r="T121" s="141"/>
      <c r="U121" s="141"/>
      <c r="V121" s="141"/>
      <c r="W121" s="141"/>
      <c r="X121" s="141"/>
      <c r="Y121" s="141"/>
      <c r="Z121" s="141"/>
      <c r="AA121" s="141"/>
      <c r="AB121" s="141"/>
      <c r="AC121" s="141"/>
    </row>
    <row r="122" spans="1:29" ht="15.75" customHeight="1">
      <c r="A122" s="97" t="s">
        <v>262</v>
      </c>
      <c r="B122" s="145">
        <v>45503</v>
      </c>
      <c r="C122" s="140">
        <v>0.2673611111111111</v>
      </c>
      <c r="D122" s="148">
        <v>45504</v>
      </c>
      <c r="E122" s="99">
        <v>0.44305555555555554</v>
      </c>
      <c r="F122" s="101">
        <v>8.52</v>
      </c>
      <c r="G122" s="101">
        <v>20.21</v>
      </c>
      <c r="H122" s="102">
        <v>45509</v>
      </c>
      <c r="I122" s="99">
        <v>0.51458333333333328</v>
      </c>
      <c r="J122" s="101">
        <v>6.9</v>
      </c>
      <c r="K122" s="116">
        <v>21.53</v>
      </c>
      <c r="L122" s="117">
        <f t="shared" si="6"/>
        <v>1.6199999999999992</v>
      </c>
      <c r="M122" s="101" t="s">
        <v>12</v>
      </c>
      <c r="N122" s="105" t="s">
        <v>258</v>
      </c>
      <c r="O122" s="405"/>
      <c r="P122" s="142"/>
      <c r="Q122" s="143"/>
      <c r="R122" s="143"/>
      <c r="S122" s="143"/>
      <c r="T122" s="143"/>
      <c r="U122" s="143"/>
      <c r="V122" s="143"/>
      <c r="W122" s="143"/>
      <c r="X122" s="143"/>
      <c r="Y122" s="143"/>
      <c r="Z122" s="143"/>
      <c r="AA122" s="143"/>
      <c r="AB122" s="143"/>
      <c r="AC122" s="143"/>
    </row>
    <row r="123" spans="1:29" ht="15.75" customHeight="1">
      <c r="A123" s="107" t="s">
        <v>263</v>
      </c>
      <c r="B123" s="149">
        <v>45503</v>
      </c>
      <c r="C123" s="109">
        <v>0.28680555555555554</v>
      </c>
      <c r="D123" s="149">
        <v>45504</v>
      </c>
      <c r="E123" s="109">
        <v>0.45555555555555555</v>
      </c>
      <c r="F123" s="110">
        <v>8.6</v>
      </c>
      <c r="G123" s="110">
        <v>22.9</v>
      </c>
      <c r="H123" s="111">
        <v>45509</v>
      </c>
      <c r="I123" s="109">
        <v>0.51944444444444449</v>
      </c>
      <c r="J123" s="110">
        <v>5.82</v>
      </c>
      <c r="K123" s="113">
        <v>21.34</v>
      </c>
      <c r="L123" s="117">
        <f t="shared" si="6"/>
        <v>2.7799999999999994</v>
      </c>
      <c r="M123" s="101" t="s">
        <v>12</v>
      </c>
      <c r="N123" s="105" t="s">
        <v>258</v>
      </c>
      <c r="O123" s="405"/>
      <c r="P123" s="142"/>
      <c r="Q123" s="143"/>
      <c r="R123" s="143"/>
      <c r="S123" s="143"/>
      <c r="T123" s="143"/>
      <c r="U123" s="143"/>
      <c r="V123" s="143"/>
      <c r="W123" s="143"/>
      <c r="X123" s="143"/>
      <c r="Y123" s="143"/>
      <c r="Z123" s="143"/>
      <c r="AA123" s="143"/>
      <c r="AB123" s="143"/>
      <c r="AC123" s="143"/>
    </row>
    <row r="124" spans="1:29" ht="15.75" customHeight="1">
      <c r="A124" s="107" t="s">
        <v>264</v>
      </c>
      <c r="B124" s="149">
        <v>45503</v>
      </c>
      <c r="C124" s="109">
        <v>0.28680555555555554</v>
      </c>
      <c r="D124" s="149">
        <v>45504</v>
      </c>
      <c r="E124" s="109">
        <v>0.45555555555555555</v>
      </c>
      <c r="F124" s="110">
        <v>8.6</v>
      </c>
      <c r="G124" s="110">
        <v>22.9</v>
      </c>
      <c r="H124" s="111">
        <v>45509</v>
      </c>
      <c r="I124" s="109">
        <v>0.51736111111111116</v>
      </c>
      <c r="J124" s="110">
        <v>6.85</v>
      </c>
      <c r="K124" s="113">
        <v>21.04</v>
      </c>
      <c r="L124" s="117">
        <f t="shared" si="6"/>
        <v>1.75</v>
      </c>
      <c r="M124" s="101" t="s">
        <v>12</v>
      </c>
      <c r="N124" s="105" t="s">
        <v>258</v>
      </c>
      <c r="O124" s="405"/>
      <c r="P124" s="142"/>
      <c r="Q124" s="143"/>
      <c r="R124" s="143"/>
      <c r="S124" s="143"/>
      <c r="T124" s="143"/>
      <c r="U124" s="143"/>
      <c r="V124" s="143"/>
      <c r="W124" s="143"/>
      <c r="X124" s="143"/>
      <c r="Y124" s="143"/>
      <c r="Z124" s="143"/>
      <c r="AA124" s="143"/>
      <c r="AB124" s="143"/>
      <c r="AC124" s="143"/>
    </row>
    <row r="125" spans="1:29" ht="15.75" customHeight="1">
      <c r="A125" s="97" t="s">
        <v>265</v>
      </c>
      <c r="B125" s="145">
        <v>45503</v>
      </c>
      <c r="C125" s="99">
        <v>0.28680555555555554</v>
      </c>
      <c r="D125" s="148">
        <v>45504</v>
      </c>
      <c r="E125" s="99">
        <v>0.45555555555555555</v>
      </c>
      <c r="F125" s="101">
        <v>8.6</v>
      </c>
      <c r="G125" s="101">
        <v>22.9</v>
      </c>
      <c r="H125" s="102">
        <v>45509</v>
      </c>
      <c r="I125" s="99">
        <v>0.51666666666666672</v>
      </c>
      <c r="J125" s="101">
        <v>6.94</v>
      </c>
      <c r="K125" s="116">
        <v>21.51</v>
      </c>
      <c r="L125" s="117">
        <f t="shared" si="6"/>
        <v>1.6599999999999993</v>
      </c>
      <c r="M125" s="101" t="s">
        <v>12</v>
      </c>
      <c r="N125" s="105" t="s">
        <v>258</v>
      </c>
      <c r="O125" s="405"/>
      <c r="P125" s="142"/>
      <c r="Q125" s="138"/>
      <c r="R125" s="138"/>
      <c r="S125" s="138"/>
      <c r="T125" s="138"/>
      <c r="U125" s="138"/>
      <c r="V125" s="138"/>
      <c r="W125" s="138"/>
      <c r="X125" s="138"/>
      <c r="Y125" s="138"/>
      <c r="Z125" s="138"/>
      <c r="AA125" s="138"/>
      <c r="AB125" s="138"/>
      <c r="AC125" s="138"/>
    </row>
    <row r="126" spans="1:29" ht="15.75" customHeight="1">
      <c r="A126" s="97" t="s">
        <v>266</v>
      </c>
      <c r="B126" s="145">
        <v>45503</v>
      </c>
      <c r="C126" s="150">
        <v>0.28680555555555554</v>
      </c>
      <c r="D126" s="148">
        <v>45504</v>
      </c>
      <c r="E126" s="99">
        <v>0.46319444444444446</v>
      </c>
      <c r="F126" s="101">
        <v>8.3699999999999992</v>
      </c>
      <c r="G126" s="98">
        <v>20.09</v>
      </c>
      <c r="H126" s="102">
        <v>45509</v>
      </c>
      <c r="I126" s="99">
        <v>0.52013888888888893</v>
      </c>
      <c r="J126" s="101">
        <v>7.12</v>
      </c>
      <c r="K126" s="116">
        <v>21</v>
      </c>
      <c r="L126" s="117">
        <f t="shared" si="6"/>
        <v>1.2499999999999991</v>
      </c>
      <c r="M126" s="101" t="s">
        <v>12</v>
      </c>
      <c r="N126" s="105" t="s">
        <v>258</v>
      </c>
      <c r="O126" s="406"/>
      <c r="P126" s="144"/>
      <c r="Q126" s="143"/>
      <c r="R126" s="143"/>
      <c r="S126" s="143"/>
      <c r="T126" s="143"/>
      <c r="U126" s="143"/>
      <c r="V126" s="143"/>
      <c r="W126" s="143"/>
      <c r="X126" s="143"/>
      <c r="Y126" s="143"/>
      <c r="Z126" s="143"/>
      <c r="AA126" s="143"/>
      <c r="AB126" s="143"/>
      <c r="AC126" s="143"/>
    </row>
    <row r="127" spans="1:29" ht="15.75" customHeight="1">
      <c r="A127" s="151"/>
      <c r="B127" s="152"/>
      <c r="C127" s="152"/>
      <c r="D127" s="152"/>
      <c r="E127" s="152"/>
      <c r="F127" s="152"/>
      <c r="G127" s="152"/>
      <c r="H127" s="152"/>
      <c r="I127" s="153"/>
      <c r="J127" s="152"/>
      <c r="K127" s="154"/>
      <c r="L127" s="152"/>
      <c r="M127" s="152"/>
      <c r="N127" s="155"/>
      <c r="O127" s="156"/>
      <c r="P127" s="157"/>
    </row>
    <row r="128" spans="1:29" ht="15.75" customHeight="1">
      <c r="A128" s="151"/>
      <c r="B128" s="152"/>
      <c r="C128" s="152"/>
      <c r="D128" s="152"/>
      <c r="E128" s="152"/>
      <c r="F128" s="152"/>
      <c r="G128" s="152"/>
      <c r="H128" s="152"/>
      <c r="I128" s="153"/>
      <c r="J128" s="152"/>
      <c r="K128" s="154"/>
      <c r="L128" s="152"/>
      <c r="M128" s="152"/>
      <c r="N128" s="155"/>
      <c r="O128" s="156"/>
      <c r="P128" s="157"/>
    </row>
    <row r="129" spans="1:16" ht="15.75" customHeight="1">
      <c r="A129" s="151"/>
      <c r="B129" s="152"/>
      <c r="C129" s="152"/>
      <c r="D129" s="152"/>
      <c r="E129" s="152"/>
      <c r="F129" s="152"/>
      <c r="G129" s="152"/>
      <c r="H129" s="152"/>
      <c r="I129" s="153"/>
      <c r="J129" s="152"/>
      <c r="K129" s="154"/>
      <c r="L129" s="152"/>
      <c r="M129" s="152"/>
      <c r="N129" s="155"/>
      <c r="O129" s="156"/>
      <c r="P129" s="157"/>
    </row>
    <row r="130" spans="1:16" ht="15.75" customHeight="1">
      <c r="A130" s="151"/>
      <c r="B130" s="152"/>
      <c r="C130" s="152"/>
      <c r="D130" s="152"/>
      <c r="E130" s="152"/>
      <c r="F130" s="152"/>
      <c r="G130" s="152"/>
      <c r="H130" s="152"/>
      <c r="I130" s="153"/>
      <c r="J130" s="152"/>
      <c r="K130" s="154"/>
      <c r="L130" s="152"/>
      <c r="M130" s="152"/>
      <c r="N130" s="155"/>
      <c r="O130" s="156"/>
      <c r="P130" s="157"/>
    </row>
    <row r="131" spans="1:16" ht="15.75">
      <c r="A131" s="151"/>
      <c r="B131" s="152"/>
      <c r="C131" s="152"/>
      <c r="D131" s="152"/>
      <c r="E131" s="152"/>
      <c r="F131" s="152"/>
      <c r="G131" s="152"/>
      <c r="H131" s="152"/>
      <c r="I131" s="153"/>
      <c r="J131" s="152"/>
      <c r="K131" s="158"/>
      <c r="L131" s="152"/>
      <c r="M131" s="152"/>
      <c r="N131" s="155"/>
      <c r="O131" s="156"/>
      <c r="P131" s="157"/>
    </row>
    <row r="132" spans="1:16" ht="15.75" customHeight="1">
      <c r="A132" s="151"/>
      <c r="B132" s="152"/>
      <c r="C132" s="152"/>
      <c r="D132" s="152"/>
      <c r="E132" s="152"/>
      <c r="F132" s="152"/>
      <c r="G132" s="152"/>
      <c r="H132" s="152"/>
      <c r="I132" s="153"/>
      <c r="J132" s="152"/>
      <c r="K132" s="154"/>
      <c r="L132" s="152"/>
      <c r="M132" s="152"/>
      <c r="N132" s="155"/>
      <c r="O132" s="156"/>
      <c r="P132" s="157"/>
    </row>
    <row r="133" spans="1:16" ht="15.75" customHeight="1">
      <c r="A133" s="151"/>
      <c r="B133" s="152"/>
      <c r="C133" s="152"/>
      <c r="D133" s="152"/>
      <c r="E133" s="152"/>
      <c r="F133" s="152"/>
      <c r="G133" s="152"/>
      <c r="H133" s="152"/>
      <c r="I133" s="153"/>
      <c r="J133" s="152"/>
      <c r="K133" s="154"/>
      <c r="L133" s="152"/>
      <c r="M133" s="152"/>
      <c r="N133" s="155"/>
      <c r="O133" s="156"/>
      <c r="P133" s="157"/>
    </row>
    <row r="134" spans="1:16" ht="15.75" customHeight="1">
      <c r="A134" s="151"/>
      <c r="B134" s="152"/>
      <c r="C134" s="152"/>
      <c r="D134" s="152"/>
      <c r="E134" s="152"/>
      <c r="F134" s="152"/>
      <c r="G134" s="152"/>
      <c r="H134" s="152"/>
      <c r="I134" s="153"/>
      <c r="J134" s="152"/>
      <c r="K134" s="154"/>
      <c r="L134" s="152"/>
      <c r="M134" s="152"/>
      <c r="N134" s="155"/>
      <c r="O134" s="156"/>
      <c r="P134" s="157"/>
    </row>
    <row r="135" spans="1:16" ht="15.75" customHeight="1">
      <c r="A135" s="151"/>
      <c r="B135" s="152"/>
      <c r="C135" s="152"/>
      <c r="D135" s="152"/>
      <c r="E135" s="152"/>
      <c r="F135" s="152"/>
      <c r="G135" s="152"/>
      <c r="H135" s="152"/>
      <c r="I135" s="153"/>
      <c r="J135" s="152"/>
      <c r="K135" s="154"/>
      <c r="L135" s="152"/>
      <c r="M135" s="152"/>
      <c r="N135" s="155"/>
      <c r="O135" s="156"/>
      <c r="P135" s="157"/>
    </row>
    <row r="136" spans="1:16" ht="15.75" customHeight="1">
      <c r="A136" s="151"/>
      <c r="B136" s="152"/>
      <c r="C136" s="152"/>
      <c r="D136" s="152"/>
      <c r="E136" s="152"/>
      <c r="F136" s="152"/>
      <c r="G136" s="152"/>
      <c r="H136" s="152"/>
      <c r="I136" s="153"/>
      <c r="J136" s="152"/>
      <c r="K136" s="154"/>
      <c r="L136" s="152"/>
      <c r="M136" s="152"/>
      <c r="N136" s="155"/>
      <c r="O136" s="156"/>
      <c r="P136" s="157"/>
    </row>
    <row r="137" spans="1:16" ht="15.75" customHeight="1">
      <c r="A137" s="151"/>
      <c r="B137" s="152"/>
      <c r="C137" s="152"/>
      <c r="D137" s="152"/>
      <c r="E137" s="152"/>
      <c r="F137" s="152"/>
      <c r="G137" s="152"/>
      <c r="H137" s="152"/>
      <c r="I137" s="153"/>
      <c r="J137" s="152"/>
      <c r="K137" s="154"/>
      <c r="L137" s="152"/>
      <c r="M137" s="152"/>
      <c r="N137" s="155"/>
      <c r="O137" s="156"/>
      <c r="P137" s="157"/>
    </row>
    <row r="138" spans="1:16" ht="15.75" customHeight="1">
      <c r="A138" s="151"/>
      <c r="B138" s="152"/>
      <c r="C138" s="152"/>
      <c r="D138" s="152"/>
      <c r="E138" s="152"/>
      <c r="F138" s="152"/>
      <c r="G138" s="152"/>
      <c r="H138" s="152"/>
      <c r="I138" s="153"/>
      <c r="J138" s="152"/>
      <c r="K138" s="154"/>
      <c r="L138" s="152"/>
      <c r="M138" s="152"/>
      <c r="N138" s="155"/>
      <c r="O138" s="159"/>
      <c r="P138" s="160"/>
    </row>
    <row r="139" spans="1:16" ht="15.75" customHeight="1">
      <c r="A139" s="151"/>
      <c r="B139" s="152"/>
      <c r="C139" s="152"/>
      <c r="D139" s="152"/>
      <c r="E139" s="152"/>
      <c r="F139" s="152"/>
      <c r="G139" s="152"/>
      <c r="H139" s="152"/>
      <c r="I139" s="153"/>
      <c r="J139" s="152"/>
      <c r="K139" s="154"/>
      <c r="L139" s="152"/>
      <c r="M139" s="152"/>
      <c r="N139" s="155"/>
      <c r="O139" s="161"/>
      <c r="P139" s="156"/>
    </row>
    <row r="140" spans="1:16" ht="15.75" customHeight="1">
      <c r="A140" s="151"/>
      <c r="B140" s="152"/>
      <c r="C140" s="152"/>
      <c r="D140" s="152"/>
      <c r="E140" s="152"/>
      <c r="F140" s="152"/>
      <c r="G140" s="152"/>
      <c r="H140" s="152"/>
      <c r="I140" s="153"/>
      <c r="J140" s="152"/>
      <c r="K140" s="154"/>
      <c r="L140" s="152"/>
      <c r="M140" s="152"/>
      <c r="N140" s="155"/>
      <c r="O140" s="161"/>
      <c r="P140" s="157"/>
    </row>
    <row r="141" spans="1:16" ht="15.75" customHeight="1">
      <c r="A141" s="151"/>
      <c r="B141" s="152"/>
      <c r="C141" s="152"/>
      <c r="D141" s="152"/>
      <c r="E141" s="152"/>
      <c r="F141" s="152"/>
      <c r="G141" s="152"/>
      <c r="H141" s="152"/>
      <c r="I141" s="153"/>
      <c r="J141" s="152"/>
      <c r="K141" s="154"/>
      <c r="L141" s="152"/>
      <c r="M141" s="152"/>
      <c r="N141" s="155"/>
      <c r="O141" s="161"/>
      <c r="P141" s="157"/>
    </row>
    <row r="142" spans="1:16" ht="15.75" customHeight="1">
      <c r="A142" s="151"/>
      <c r="B142" s="152"/>
      <c r="C142" s="152"/>
      <c r="D142" s="152"/>
      <c r="E142" s="152"/>
      <c r="F142" s="152"/>
      <c r="G142" s="152"/>
      <c r="H142" s="152"/>
      <c r="I142" s="153"/>
      <c r="J142" s="152"/>
      <c r="K142" s="154"/>
      <c r="L142" s="152"/>
      <c r="M142" s="152"/>
      <c r="N142" s="155"/>
      <c r="O142" s="161"/>
      <c r="P142" s="157"/>
    </row>
    <row r="143" spans="1:16" ht="15.75" customHeight="1">
      <c r="A143" s="151"/>
      <c r="B143" s="152"/>
      <c r="C143" s="152"/>
      <c r="D143" s="152"/>
      <c r="E143" s="152"/>
      <c r="F143" s="152"/>
      <c r="G143" s="152"/>
      <c r="H143" s="152"/>
      <c r="I143" s="153"/>
      <c r="J143" s="152"/>
      <c r="K143" s="154"/>
      <c r="L143" s="152"/>
      <c r="M143" s="152"/>
      <c r="N143" s="155"/>
      <c r="O143" s="161"/>
      <c r="P143" s="157"/>
    </row>
    <row r="144" spans="1:16" ht="15.75" customHeight="1">
      <c r="A144" s="151"/>
      <c r="B144" s="152"/>
      <c r="C144" s="152"/>
      <c r="D144" s="152"/>
      <c r="E144" s="152"/>
      <c r="F144" s="152"/>
      <c r="G144" s="152"/>
      <c r="H144" s="152"/>
      <c r="I144" s="153"/>
      <c r="J144" s="152"/>
      <c r="K144" s="154"/>
      <c r="L144" s="152"/>
      <c r="M144" s="152"/>
      <c r="N144" s="155"/>
      <c r="O144" s="161"/>
      <c r="P144" s="157"/>
    </row>
    <row r="145" spans="1:16" ht="15.75" customHeight="1">
      <c r="A145" s="151"/>
      <c r="B145" s="152"/>
      <c r="C145" s="152"/>
      <c r="D145" s="152"/>
      <c r="E145" s="152"/>
      <c r="F145" s="152"/>
      <c r="G145" s="152"/>
      <c r="H145" s="152"/>
      <c r="I145" s="153"/>
      <c r="J145" s="152"/>
      <c r="K145" s="154"/>
      <c r="L145" s="152"/>
      <c r="M145" s="152"/>
      <c r="N145" s="155"/>
      <c r="O145" s="161"/>
      <c r="P145" s="157"/>
    </row>
    <row r="146" spans="1:16" ht="15.75" customHeight="1">
      <c r="A146" s="151"/>
      <c r="B146" s="152"/>
      <c r="C146" s="152"/>
      <c r="D146" s="152"/>
      <c r="E146" s="152"/>
      <c r="F146" s="152"/>
      <c r="G146" s="152"/>
      <c r="H146" s="152"/>
      <c r="I146" s="153"/>
      <c r="J146" s="152"/>
      <c r="K146" s="154"/>
      <c r="L146" s="152"/>
      <c r="M146" s="152"/>
      <c r="N146" s="155"/>
      <c r="O146" s="161"/>
      <c r="P146" s="157"/>
    </row>
    <row r="147" spans="1:16" ht="15.75" customHeight="1">
      <c r="A147" s="151"/>
      <c r="B147" s="152"/>
      <c r="C147" s="152"/>
      <c r="D147" s="152"/>
      <c r="E147" s="152"/>
      <c r="F147" s="152"/>
      <c r="G147" s="152"/>
      <c r="H147" s="152"/>
      <c r="I147" s="153"/>
      <c r="J147" s="152"/>
      <c r="K147" s="154"/>
      <c r="L147" s="152"/>
      <c r="M147" s="152"/>
      <c r="N147" s="155"/>
      <c r="O147" s="161"/>
      <c r="P147" s="157"/>
    </row>
    <row r="148" spans="1:16" ht="15.75" customHeight="1">
      <c r="A148" s="151"/>
      <c r="B148" s="152"/>
      <c r="C148" s="152"/>
      <c r="D148" s="152"/>
      <c r="E148" s="152"/>
      <c r="F148" s="152"/>
      <c r="G148" s="152"/>
      <c r="H148" s="152"/>
      <c r="I148" s="153"/>
      <c r="J148" s="152"/>
      <c r="K148" s="154"/>
      <c r="L148" s="152"/>
      <c r="M148" s="152"/>
      <c r="N148" s="155"/>
      <c r="O148" s="161"/>
      <c r="P148" s="157"/>
    </row>
    <row r="149" spans="1:16" ht="15.75" customHeight="1">
      <c r="A149" s="151"/>
      <c r="B149" s="152"/>
      <c r="C149" s="152"/>
      <c r="D149" s="152"/>
      <c r="E149" s="152"/>
      <c r="F149" s="152"/>
      <c r="G149" s="152"/>
      <c r="H149" s="152"/>
      <c r="I149" s="153"/>
      <c r="J149" s="152"/>
      <c r="K149" s="154"/>
      <c r="L149" s="152"/>
      <c r="M149" s="152"/>
      <c r="N149" s="155"/>
      <c r="O149" s="161"/>
      <c r="P149" s="157"/>
    </row>
    <row r="150" spans="1:16" ht="15.75" customHeight="1">
      <c r="A150" s="151"/>
      <c r="B150" s="152"/>
      <c r="C150" s="152"/>
      <c r="D150" s="152"/>
      <c r="E150" s="152"/>
      <c r="F150" s="152"/>
      <c r="G150" s="152"/>
      <c r="H150" s="152"/>
      <c r="I150" s="153"/>
      <c r="J150" s="152"/>
      <c r="K150" s="154"/>
      <c r="L150" s="152"/>
      <c r="M150" s="152"/>
      <c r="N150" s="155"/>
      <c r="O150" s="161"/>
      <c r="P150" s="157"/>
    </row>
    <row r="151" spans="1:16" ht="15.75" customHeight="1">
      <c r="A151" s="151"/>
      <c r="B151" s="152"/>
      <c r="C151" s="152"/>
      <c r="D151" s="152"/>
      <c r="E151" s="152"/>
      <c r="F151" s="152"/>
      <c r="G151" s="152"/>
      <c r="H151" s="152"/>
      <c r="I151" s="153"/>
      <c r="J151" s="152"/>
      <c r="K151" s="154"/>
      <c r="L151" s="152"/>
      <c r="M151" s="152"/>
      <c r="N151" s="155"/>
      <c r="O151" s="161"/>
      <c r="P151" s="157"/>
    </row>
    <row r="152" spans="1:16" ht="15.75" customHeight="1">
      <c r="A152" s="151"/>
      <c r="B152" s="152"/>
      <c r="C152" s="152"/>
      <c r="D152" s="152"/>
      <c r="E152" s="152"/>
      <c r="F152" s="152"/>
      <c r="G152" s="152"/>
      <c r="H152" s="152"/>
      <c r="I152" s="153"/>
      <c r="J152" s="152"/>
      <c r="K152" s="154"/>
      <c r="L152" s="152"/>
      <c r="M152" s="152"/>
      <c r="N152" s="155"/>
      <c r="O152" s="161"/>
      <c r="P152" s="157"/>
    </row>
    <row r="153" spans="1:16" ht="15.75" customHeight="1">
      <c r="A153" s="151"/>
      <c r="B153" s="152"/>
      <c r="C153" s="152"/>
      <c r="D153" s="152"/>
      <c r="E153" s="152"/>
      <c r="F153" s="152"/>
      <c r="G153" s="152"/>
      <c r="H153" s="152"/>
      <c r="I153" s="153"/>
      <c r="J153" s="152"/>
      <c r="K153" s="154"/>
      <c r="L153" s="152"/>
      <c r="M153" s="152"/>
      <c r="N153" s="155"/>
      <c r="O153" s="161"/>
      <c r="P153" s="157"/>
    </row>
    <row r="154" spans="1:16" ht="15.75" customHeight="1">
      <c r="A154" s="151"/>
      <c r="B154" s="152"/>
      <c r="C154" s="152"/>
      <c r="D154" s="152"/>
      <c r="E154" s="152"/>
      <c r="F154" s="152"/>
      <c r="G154" s="152"/>
      <c r="H154" s="152"/>
      <c r="I154" s="153"/>
      <c r="J154" s="152"/>
      <c r="K154" s="154"/>
      <c r="L154" s="152"/>
      <c r="M154" s="152"/>
      <c r="N154" s="155"/>
      <c r="O154" s="161"/>
      <c r="P154" s="157"/>
    </row>
    <row r="155" spans="1:16" ht="15.75" customHeight="1">
      <c r="A155" s="151"/>
      <c r="B155" s="152"/>
      <c r="C155" s="152"/>
      <c r="D155" s="152"/>
      <c r="E155" s="152"/>
      <c r="F155" s="152"/>
      <c r="G155" s="152"/>
      <c r="H155" s="152"/>
      <c r="I155" s="153"/>
      <c r="J155" s="152"/>
      <c r="K155" s="154"/>
      <c r="L155" s="152"/>
      <c r="M155" s="152"/>
      <c r="N155" s="155"/>
      <c r="O155" s="161"/>
      <c r="P155" s="157"/>
    </row>
    <row r="156" spans="1:16" ht="15.75" customHeight="1">
      <c r="A156" s="151"/>
      <c r="B156" s="152"/>
      <c r="C156" s="152"/>
      <c r="D156" s="152"/>
      <c r="E156" s="152"/>
      <c r="F156" s="152"/>
      <c r="G156" s="152"/>
      <c r="H156" s="152"/>
      <c r="I156" s="153"/>
      <c r="J156" s="152"/>
      <c r="K156" s="154"/>
      <c r="L156" s="152"/>
      <c r="M156" s="152"/>
      <c r="N156" s="155"/>
      <c r="O156" s="161"/>
      <c r="P156" s="157"/>
    </row>
    <row r="157" spans="1:16" ht="15.75" customHeight="1">
      <c r="A157" s="151"/>
      <c r="B157" s="152"/>
      <c r="C157" s="152"/>
      <c r="D157" s="152"/>
      <c r="E157" s="152"/>
      <c r="F157" s="152"/>
      <c r="G157" s="152"/>
      <c r="H157" s="152"/>
      <c r="I157" s="153"/>
      <c r="J157" s="152"/>
      <c r="K157" s="154"/>
      <c r="L157" s="152"/>
      <c r="M157" s="152"/>
      <c r="N157" s="155"/>
      <c r="O157" s="161"/>
      <c r="P157" s="157"/>
    </row>
    <row r="158" spans="1:16" ht="15.75" customHeight="1">
      <c r="A158" s="151"/>
      <c r="B158" s="152"/>
      <c r="C158" s="152"/>
      <c r="D158" s="152"/>
      <c r="E158" s="152"/>
      <c r="F158" s="152"/>
      <c r="G158" s="152"/>
      <c r="H158" s="152"/>
      <c r="I158" s="153"/>
      <c r="J158" s="152"/>
      <c r="K158" s="154"/>
      <c r="L158" s="152"/>
      <c r="M158" s="152"/>
      <c r="N158" s="155"/>
      <c r="O158" s="161"/>
      <c r="P158" s="157"/>
    </row>
    <row r="159" spans="1:16" ht="15.75" customHeight="1">
      <c r="A159" s="151"/>
      <c r="B159" s="152"/>
      <c r="C159" s="152"/>
      <c r="D159" s="152"/>
      <c r="E159" s="152"/>
      <c r="F159" s="152"/>
      <c r="G159" s="152"/>
      <c r="H159" s="152"/>
      <c r="I159" s="153"/>
      <c r="J159" s="152"/>
      <c r="K159" s="154"/>
      <c r="L159" s="152"/>
      <c r="M159" s="152"/>
      <c r="N159" s="155"/>
      <c r="O159" s="161"/>
      <c r="P159" s="157"/>
    </row>
    <row r="160" spans="1:16" ht="15.75" customHeight="1">
      <c r="A160" s="151"/>
      <c r="B160" s="152"/>
      <c r="C160" s="152"/>
      <c r="D160" s="152"/>
      <c r="E160" s="152"/>
      <c r="F160" s="152"/>
      <c r="G160" s="152"/>
      <c r="H160" s="152"/>
      <c r="I160" s="153"/>
      <c r="J160" s="152"/>
      <c r="K160" s="154"/>
      <c r="L160" s="152"/>
      <c r="M160" s="152"/>
      <c r="N160" s="155"/>
      <c r="O160" s="161"/>
      <c r="P160" s="157"/>
    </row>
    <row r="161" spans="1:16" ht="15.75" customHeight="1">
      <c r="A161" s="151"/>
      <c r="B161" s="152"/>
      <c r="C161" s="152"/>
      <c r="D161" s="152"/>
      <c r="E161" s="152"/>
      <c r="F161" s="152"/>
      <c r="G161" s="152"/>
      <c r="H161" s="152"/>
      <c r="I161" s="153"/>
      <c r="J161" s="152"/>
      <c r="K161" s="154"/>
      <c r="L161" s="152"/>
      <c r="M161" s="152"/>
      <c r="N161" s="155"/>
      <c r="O161" s="161"/>
      <c r="P161" s="157"/>
    </row>
    <row r="162" spans="1:16" ht="15.75" customHeight="1">
      <c r="A162" s="151"/>
      <c r="B162" s="152"/>
      <c r="C162" s="152"/>
      <c r="D162" s="152"/>
      <c r="E162" s="152"/>
      <c r="F162" s="152"/>
      <c r="G162" s="152"/>
      <c r="H162" s="152"/>
      <c r="I162" s="153"/>
      <c r="J162" s="152"/>
      <c r="K162" s="154"/>
      <c r="L162" s="152"/>
      <c r="M162" s="152"/>
      <c r="N162" s="155"/>
      <c r="O162" s="161"/>
      <c r="P162" s="157"/>
    </row>
    <row r="163" spans="1:16" ht="15.75" customHeight="1">
      <c r="A163" s="151"/>
      <c r="B163" s="152"/>
      <c r="C163" s="152"/>
      <c r="D163" s="152"/>
      <c r="E163" s="152"/>
      <c r="F163" s="152"/>
      <c r="G163" s="152"/>
      <c r="H163" s="152"/>
      <c r="I163" s="153"/>
      <c r="J163" s="152"/>
      <c r="K163" s="154"/>
      <c r="L163" s="152"/>
      <c r="M163" s="152"/>
      <c r="N163" s="155"/>
      <c r="O163" s="161"/>
      <c r="P163" s="157"/>
    </row>
    <row r="164" spans="1:16" ht="15.75" customHeight="1">
      <c r="A164" s="151"/>
      <c r="B164" s="152"/>
      <c r="C164" s="152"/>
      <c r="D164" s="152"/>
      <c r="E164" s="152"/>
      <c r="F164" s="152"/>
      <c r="G164" s="152"/>
      <c r="H164" s="152"/>
      <c r="I164" s="153"/>
      <c r="J164" s="152"/>
      <c r="K164" s="154"/>
      <c r="L164" s="152"/>
      <c r="M164" s="152"/>
      <c r="N164" s="155"/>
      <c r="O164" s="161"/>
      <c r="P164" s="157"/>
    </row>
    <row r="165" spans="1:16" ht="15.75" customHeight="1">
      <c r="A165" s="151"/>
      <c r="B165" s="152"/>
      <c r="C165" s="152"/>
      <c r="D165" s="152"/>
      <c r="E165" s="152"/>
      <c r="F165" s="152"/>
      <c r="G165" s="152"/>
      <c r="H165" s="152"/>
      <c r="I165" s="153"/>
      <c r="J165" s="152"/>
      <c r="K165" s="154"/>
      <c r="L165" s="152"/>
      <c r="M165" s="152"/>
      <c r="N165" s="155"/>
      <c r="O165" s="161"/>
      <c r="P165" s="157"/>
    </row>
    <row r="166" spans="1:16" ht="15.75" customHeight="1">
      <c r="A166" s="151"/>
      <c r="B166" s="152"/>
      <c r="C166" s="152"/>
      <c r="D166" s="152"/>
      <c r="E166" s="152"/>
      <c r="F166" s="152"/>
      <c r="G166" s="152"/>
      <c r="H166" s="152"/>
      <c r="I166" s="153"/>
      <c r="J166" s="152"/>
      <c r="K166" s="154"/>
      <c r="L166" s="152"/>
      <c r="M166" s="152"/>
      <c r="N166" s="155"/>
      <c r="O166" s="161"/>
      <c r="P166" s="157"/>
    </row>
    <row r="167" spans="1:16" ht="15.75" customHeight="1">
      <c r="A167" s="151"/>
      <c r="B167" s="152"/>
      <c r="C167" s="152"/>
      <c r="D167" s="152"/>
      <c r="E167" s="152"/>
      <c r="F167" s="152"/>
      <c r="G167" s="152"/>
      <c r="H167" s="152"/>
      <c r="I167" s="153"/>
      <c r="J167" s="152"/>
      <c r="K167" s="154"/>
      <c r="L167" s="152"/>
      <c r="M167" s="152"/>
      <c r="N167" s="155"/>
      <c r="O167" s="161"/>
      <c r="P167" s="157"/>
    </row>
    <row r="168" spans="1:16" ht="15.75" customHeight="1">
      <c r="A168" s="151"/>
      <c r="B168" s="152"/>
      <c r="C168" s="152"/>
      <c r="D168" s="152"/>
      <c r="E168" s="152"/>
      <c r="F168" s="152"/>
      <c r="G168" s="152"/>
      <c r="H168" s="152"/>
      <c r="I168" s="153"/>
      <c r="J168" s="152"/>
      <c r="K168" s="154"/>
      <c r="L168" s="152"/>
      <c r="M168" s="152"/>
      <c r="N168" s="155"/>
      <c r="O168" s="161"/>
      <c r="P168" s="157"/>
    </row>
    <row r="169" spans="1:16" ht="15.75" customHeight="1">
      <c r="A169" s="151"/>
      <c r="B169" s="152"/>
      <c r="C169" s="152"/>
      <c r="D169" s="152"/>
      <c r="E169" s="152"/>
      <c r="F169" s="152"/>
      <c r="G169" s="152"/>
      <c r="H169" s="152"/>
      <c r="I169" s="153"/>
      <c r="J169" s="152"/>
      <c r="K169" s="154"/>
      <c r="L169" s="152"/>
      <c r="M169" s="152"/>
      <c r="N169" s="155"/>
      <c r="O169" s="161"/>
      <c r="P169" s="157"/>
    </row>
    <row r="170" spans="1:16" ht="15.75" customHeight="1">
      <c r="A170" s="151"/>
      <c r="B170" s="152"/>
      <c r="C170" s="152"/>
      <c r="D170" s="152"/>
      <c r="E170" s="152"/>
      <c r="F170" s="152"/>
      <c r="G170" s="152"/>
      <c r="H170" s="152"/>
      <c r="I170" s="153"/>
      <c r="J170" s="152"/>
      <c r="K170" s="154"/>
      <c r="L170" s="152"/>
      <c r="M170" s="152"/>
      <c r="N170" s="155"/>
      <c r="O170" s="161"/>
      <c r="P170" s="157"/>
    </row>
    <row r="171" spans="1:16" ht="15.75" customHeight="1">
      <c r="A171" s="151"/>
      <c r="B171" s="152"/>
      <c r="C171" s="152"/>
      <c r="D171" s="152"/>
      <c r="E171" s="152"/>
      <c r="F171" s="152"/>
      <c r="G171" s="152"/>
      <c r="H171" s="152"/>
      <c r="I171" s="153"/>
      <c r="J171" s="152"/>
      <c r="K171" s="154"/>
      <c r="L171" s="152"/>
      <c r="M171" s="152"/>
      <c r="N171" s="155"/>
      <c r="O171" s="161"/>
      <c r="P171" s="157"/>
    </row>
    <row r="172" spans="1:16" ht="15.75" customHeight="1">
      <c r="A172" s="151"/>
      <c r="B172" s="152"/>
      <c r="C172" s="152"/>
      <c r="D172" s="152"/>
      <c r="E172" s="152"/>
      <c r="F172" s="152"/>
      <c r="G172" s="152"/>
      <c r="H172" s="152"/>
      <c r="I172" s="153"/>
      <c r="J172" s="152"/>
      <c r="K172" s="154"/>
      <c r="L172" s="152"/>
      <c r="M172" s="152"/>
      <c r="N172" s="155"/>
      <c r="O172" s="161"/>
      <c r="P172" s="157"/>
    </row>
    <row r="173" spans="1:16" ht="15.75" customHeight="1">
      <c r="A173" s="151"/>
      <c r="B173" s="152"/>
      <c r="C173" s="152"/>
      <c r="D173" s="152"/>
      <c r="E173" s="152"/>
      <c r="F173" s="152"/>
      <c r="G173" s="152"/>
      <c r="H173" s="152"/>
      <c r="I173" s="153"/>
      <c r="J173" s="152"/>
      <c r="K173" s="154"/>
      <c r="L173" s="152"/>
      <c r="M173" s="152"/>
      <c r="N173" s="155"/>
      <c r="O173" s="161"/>
      <c r="P173" s="157"/>
    </row>
    <row r="174" spans="1:16" ht="15.75" customHeight="1">
      <c r="A174" s="151"/>
      <c r="B174" s="152"/>
      <c r="C174" s="152"/>
      <c r="D174" s="152"/>
      <c r="E174" s="152"/>
      <c r="F174" s="152"/>
      <c r="G174" s="152"/>
      <c r="H174" s="152"/>
      <c r="I174" s="153"/>
      <c r="J174" s="152"/>
      <c r="K174" s="154"/>
      <c r="L174" s="152"/>
      <c r="M174" s="152"/>
      <c r="N174" s="155"/>
      <c r="O174" s="161"/>
      <c r="P174" s="157"/>
    </row>
    <row r="175" spans="1:16" ht="15.75" customHeight="1">
      <c r="A175" s="151"/>
      <c r="B175" s="152"/>
      <c r="C175" s="152"/>
      <c r="D175" s="152"/>
      <c r="E175" s="152"/>
      <c r="F175" s="152"/>
      <c r="G175" s="152"/>
      <c r="H175" s="152"/>
      <c r="I175" s="153"/>
      <c r="J175" s="152"/>
      <c r="K175" s="154"/>
      <c r="L175" s="152"/>
      <c r="M175" s="152"/>
      <c r="N175" s="155"/>
      <c r="O175" s="161"/>
      <c r="P175" s="157"/>
    </row>
    <row r="176" spans="1:16" ht="15.75" customHeight="1">
      <c r="A176" s="151"/>
      <c r="B176" s="152"/>
      <c r="C176" s="152"/>
      <c r="D176" s="152"/>
      <c r="E176" s="152"/>
      <c r="F176" s="152"/>
      <c r="G176" s="152"/>
      <c r="H176" s="152"/>
      <c r="I176" s="153"/>
      <c r="J176" s="152"/>
      <c r="K176" s="154"/>
      <c r="L176" s="152"/>
      <c r="M176" s="152"/>
      <c r="N176" s="155"/>
      <c r="O176" s="161"/>
      <c r="P176" s="157"/>
    </row>
    <row r="177" spans="1:16" ht="15.75" customHeight="1">
      <c r="A177" s="151"/>
      <c r="B177" s="152"/>
      <c r="C177" s="152"/>
      <c r="D177" s="152"/>
      <c r="E177" s="152"/>
      <c r="F177" s="152"/>
      <c r="G177" s="152"/>
      <c r="H177" s="152"/>
      <c r="I177" s="153"/>
      <c r="J177" s="152"/>
      <c r="K177" s="154"/>
      <c r="L177" s="152"/>
      <c r="M177" s="152"/>
      <c r="N177" s="155"/>
      <c r="O177" s="161"/>
      <c r="P177" s="157"/>
    </row>
    <row r="178" spans="1:16" ht="15.75" customHeight="1">
      <c r="A178" s="151"/>
      <c r="B178" s="152"/>
      <c r="C178" s="152"/>
      <c r="D178" s="152"/>
      <c r="E178" s="152"/>
      <c r="F178" s="152"/>
      <c r="G178" s="152"/>
      <c r="H178" s="152"/>
      <c r="I178" s="153"/>
      <c r="J178" s="152"/>
      <c r="K178" s="154"/>
      <c r="L178" s="152"/>
      <c r="M178" s="152"/>
      <c r="N178" s="155"/>
      <c r="O178" s="161"/>
      <c r="P178" s="157"/>
    </row>
    <row r="179" spans="1:16" ht="15.75" customHeight="1">
      <c r="A179" s="151"/>
      <c r="B179" s="152"/>
      <c r="C179" s="152"/>
      <c r="D179" s="152"/>
      <c r="E179" s="152"/>
      <c r="F179" s="152"/>
      <c r="G179" s="152"/>
      <c r="H179" s="152"/>
      <c r="I179" s="153"/>
      <c r="J179" s="152"/>
      <c r="K179" s="154"/>
      <c r="L179" s="152"/>
      <c r="M179" s="152"/>
      <c r="N179" s="155"/>
      <c r="O179" s="161"/>
      <c r="P179" s="157"/>
    </row>
    <row r="180" spans="1:16" ht="15.75" customHeight="1">
      <c r="A180" s="151"/>
      <c r="B180" s="152"/>
      <c r="C180" s="152"/>
      <c r="D180" s="152"/>
      <c r="E180" s="152"/>
      <c r="F180" s="152"/>
      <c r="G180" s="152"/>
      <c r="H180" s="152"/>
      <c r="I180" s="153"/>
      <c r="J180" s="152"/>
      <c r="K180" s="154"/>
      <c r="L180" s="152"/>
      <c r="M180" s="152"/>
      <c r="N180" s="155"/>
      <c r="O180" s="161"/>
      <c r="P180" s="157"/>
    </row>
    <row r="181" spans="1:16" ht="15.75" customHeight="1">
      <c r="A181" s="151"/>
      <c r="B181" s="152"/>
      <c r="C181" s="152"/>
      <c r="D181" s="152"/>
      <c r="E181" s="152"/>
      <c r="F181" s="152"/>
      <c r="G181" s="152"/>
      <c r="H181" s="152"/>
      <c r="I181" s="153"/>
      <c r="J181" s="152"/>
      <c r="K181" s="154"/>
      <c r="L181" s="152"/>
      <c r="M181" s="152"/>
      <c r="N181" s="155"/>
      <c r="O181" s="161"/>
      <c r="P181" s="157"/>
    </row>
    <row r="182" spans="1:16" ht="15.75" customHeight="1">
      <c r="A182" s="151"/>
      <c r="B182" s="162"/>
      <c r="C182" s="163"/>
      <c r="D182" s="164"/>
      <c r="E182" s="163"/>
      <c r="F182" s="165"/>
      <c r="G182" s="165"/>
      <c r="H182" s="164"/>
      <c r="I182" s="163"/>
      <c r="J182" s="152"/>
      <c r="K182" s="154"/>
      <c r="L182" s="152"/>
      <c r="M182" s="152"/>
      <c r="N182" s="155"/>
      <c r="O182" s="161"/>
      <c r="P182" s="157"/>
    </row>
    <row r="183" spans="1:16" ht="15.75" customHeight="1">
      <c r="A183" s="151"/>
      <c r="B183" s="162"/>
      <c r="C183" s="163"/>
      <c r="D183" s="164"/>
      <c r="E183" s="163"/>
      <c r="F183" s="165"/>
      <c r="G183" s="165"/>
      <c r="H183" s="164"/>
      <c r="I183" s="163"/>
      <c r="J183" s="152"/>
      <c r="K183" s="154"/>
      <c r="L183" s="152"/>
      <c r="M183" s="152"/>
      <c r="N183" s="155"/>
      <c r="O183" s="161"/>
      <c r="P183" s="157"/>
    </row>
    <row r="184" spans="1:16" ht="15.75" customHeight="1">
      <c r="A184" s="151"/>
      <c r="B184" s="162"/>
      <c r="C184" s="163"/>
      <c r="D184" s="164"/>
      <c r="E184" s="163"/>
      <c r="F184" s="165"/>
      <c r="G184" s="165"/>
      <c r="H184" s="164"/>
      <c r="I184" s="163"/>
      <c r="J184" s="152"/>
      <c r="K184" s="154"/>
      <c r="L184" s="152"/>
      <c r="M184" s="152"/>
      <c r="N184" s="155"/>
      <c r="O184" s="161"/>
      <c r="P184" s="157"/>
    </row>
    <row r="185" spans="1:16" ht="15.75" customHeight="1">
      <c r="A185" s="151"/>
      <c r="B185" s="162"/>
      <c r="C185" s="163"/>
      <c r="D185" s="164"/>
      <c r="E185" s="163"/>
      <c r="F185" s="165"/>
      <c r="G185" s="165"/>
      <c r="H185" s="164"/>
      <c r="I185" s="163"/>
      <c r="J185" s="152"/>
      <c r="K185" s="154"/>
      <c r="L185" s="152"/>
      <c r="M185" s="152"/>
      <c r="N185" s="155"/>
      <c r="O185" s="161"/>
      <c r="P185" s="157"/>
    </row>
    <row r="186" spans="1:16" ht="15.75" customHeight="1">
      <c r="A186" s="151"/>
      <c r="B186" s="162"/>
      <c r="C186" s="163"/>
      <c r="D186" s="164"/>
      <c r="E186" s="163"/>
      <c r="F186" s="165"/>
      <c r="G186" s="165"/>
      <c r="H186" s="164"/>
      <c r="I186" s="163"/>
      <c r="J186" s="152"/>
      <c r="K186" s="154"/>
      <c r="L186" s="152"/>
      <c r="M186" s="152"/>
      <c r="N186" s="155"/>
      <c r="O186" s="161"/>
      <c r="P186" s="157"/>
    </row>
    <row r="187" spans="1:16" ht="15.75" customHeight="1">
      <c r="A187" s="151"/>
      <c r="B187" s="162"/>
      <c r="C187" s="163"/>
      <c r="D187" s="164"/>
      <c r="E187" s="163"/>
      <c r="F187" s="165"/>
      <c r="G187" s="165"/>
      <c r="H187" s="164"/>
      <c r="I187" s="163"/>
      <c r="J187" s="152"/>
      <c r="K187" s="154"/>
      <c r="L187" s="152"/>
      <c r="M187" s="152"/>
      <c r="N187" s="155"/>
      <c r="O187" s="161"/>
      <c r="P187" s="157"/>
    </row>
    <row r="188" spans="1:16" ht="15.75" customHeight="1">
      <c r="A188" s="151"/>
      <c r="B188" s="162"/>
      <c r="C188" s="163"/>
      <c r="D188" s="164"/>
      <c r="E188" s="163"/>
      <c r="F188" s="165"/>
      <c r="G188" s="165"/>
      <c r="H188" s="164"/>
      <c r="I188" s="163"/>
      <c r="J188" s="152"/>
      <c r="K188" s="154"/>
      <c r="L188" s="152"/>
      <c r="M188" s="152"/>
      <c r="N188" s="155"/>
      <c r="O188" s="161"/>
      <c r="P188" s="157"/>
    </row>
    <row r="189" spans="1:16" ht="15.75" customHeight="1">
      <c r="A189" s="151"/>
      <c r="B189" s="162"/>
      <c r="C189" s="163"/>
      <c r="D189" s="164"/>
      <c r="E189" s="163"/>
      <c r="F189" s="165"/>
      <c r="G189" s="165"/>
      <c r="H189" s="164"/>
      <c r="I189" s="163"/>
      <c r="J189" s="152"/>
      <c r="K189" s="154"/>
      <c r="L189" s="152"/>
      <c r="M189" s="152"/>
      <c r="N189" s="155"/>
      <c r="O189" s="161"/>
      <c r="P189" s="157"/>
    </row>
    <row r="190" spans="1:16" ht="15.75" customHeight="1">
      <c r="A190" s="151"/>
      <c r="B190" s="162"/>
      <c r="C190" s="163"/>
      <c r="D190" s="164"/>
      <c r="E190" s="163"/>
      <c r="F190" s="165"/>
      <c r="G190" s="165"/>
      <c r="H190" s="164"/>
      <c r="I190" s="163"/>
      <c r="J190" s="152"/>
      <c r="K190" s="154"/>
      <c r="L190" s="152"/>
      <c r="M190" s="152"/>
      <c r="N190" s="155"/>
      <c r="O190" s="161"/>
      <c r="P190" s="157"/>
    </row>
    <row r="191" spans="1:16" ht="15.75" customHeight="1">
      <c r="A191" s="151"/>
      <c r="B191" s="162"/>
      <c r="C191" s="163"/>
      <c r="D191" s="164"/>
      <c r="E191" s="163"/>
      <c r="F191" s="165"/>
      <c r="G191" s="165"/>
      <c r="H191" s="164"/>
      <c r="I191" s="163"/>
      <c r="J191" s="152"/>
      <c r="K191" s="154"/>
      <c r="L191" s="152"/>
      <c r="M191" s="152"/>
      <c r="N191" s="155"/>
      <c r="O191" s="161"/>
      <c r="P191" s="157"/>
    </row>
    <row r="192" spans="1:16" ht="15.75" customHeight="1">
      <c r="A192" s="151"/>
      <c r="B192" s="162"/>
      <c r="C192" s="163"/>
      <c r="D192" s="164"/>
      <c r="E192" s="163"/>
      <c r="F192" s="165"/>
      <c r="G192" s="165"/>
      <c r="H192" s="164"/>
      <c r="I192" s="163"/>
      <c r="J192" s="152"/>
      <c r="K192" s="154"/>
      <c r="L192" s="152"/>
      <c r="M192" s="152"/>
      <c r="N192" s="155"/>
      <c r="O192" s="161"/>
      <c r="P192" s="157"/>
    </row>
    <row r="193" spans="1:16" ht="15.75" customHeight="1">
      <c r="A193" s="151"/>
      <c r="B193" s="162"/>
      <c r="C193" s="163"/>
      <c r="D193" s="164"/>
      <c r="E193" s="163"/>
      <c r="F193" s="165"/>
      <c r="G193" s="165"/>
      <c r="H193" s="164"/>
      <c r="I193" s="163"/>
      <c r="J193" s="152"/>
      <c r="K193" s="154"/>
      <c r="L193" s="152"/>
      <c r="M193" s="152"/>
      <c r="N193" s="155"/>
      <c r="O193" s="161"/>
      <c r="P193" s="157"/>
    </row>
    <row r="194" spans="1:16" ht="15.75" customHeight="1">
      <c r="A194" s="151"/>
      <c r="B194" s="162"/>
      <c r="C194" s="163"/>
      <c r="D194" s="164"/>
      <c r="E194" s="163"/>
      <c r="F194" s="165"/>
      <c r="G194" s="165"/>
      <c r="H194" s="164"/>
      <c r="I194" s="163"/>
      <c r="J194" s="152"/>
      <c r="K194" s="154"/>
      <c r="L194" s="152"/>
      <c r="M194" s="152"/>
      <c r="N194" s="155"/>
      <c r="O194" s="161"/>
      <c r="P194" s="157"/>
    </row>
    <row r="195" spans="1:16" ht="15.75" customHeight="1">
      <c r="A195" s="151"/>
      <c r="B195" s="162"/>
      <c r="C195" s="163"/>
      <c r="D195" s="164"/>
      <c r="E195" s="163"/>
      <c r="F195" s="165"/>
      <c r="G195" s="165"/>
      <c r="H195" s="164"/>
      <c r="I195" s="163"/>
      <c r="J195" s="152"/>
      <c r="K195" s="154"/>
      <c r="L195" s="152"/>
      <c r="M195" s="152"/>
      <c r="N195" s="155"/>
      <c r="O195" s="161"/>
      <c r="P195" s="157"/>
    </row>
    <row r="196" spans="1:16" ht="15.75" customHeight="1">
      <c r="A196" s="151"/>
      <c r="B196" s="162"/>
      <c r="C196" s="163"/>
      <c r="D196" s="164"/>
      <c r="E196" s="163"/>
      <c r="F196" s="165"/>
      <c r="G196" s="165"/>
      <c r="H196" s="164"/>
      <c r="I196" s="163"/>
      <c r="J196" s="152"/>
      <c r="K196" s="154"/>
      <c r="L196" s="152"/>
      <c r="M196" s="152"/>
      <c r="N196" s="155"/>
      <c r="O196" s="161"/>
      <c r="P196" s="157"/>
    </row>
    <row r="197" spans="1:16" ht="15.75" customHeight="1">
      <c r="A197" s="151"/>
      <c r="B197" s="162"/>
      <c r="C197" s="163"/>
      <c r="D197" s="164"/>
      <c r="E197" s="163"/>
      <c r="F197" s="165"/>
      <c r="G197" s="165"/>
      <c r="H197" s="164"/>
      <c r="I197" s="163"/>
      <c r="J197" s="152"/>
      <c r="K197" s="154"/>
      <c r="L197" s="152"/>
      <c r="M197" s="152"/>
      <c r="N197" s="155"/>
      <c r="O197" s="161"/>
      <c r="P197" s="157"/>
    </row>
    <row r="198" spans="1:16" ht="15.75" customHeight="1">
      <c r="A198" s="151"/>
      <c r="B198" s="162"/>
      <c r="C198" s="163"/>
      <c r="D198" s="164"/>
      <c r="E198" s="163"/>
      <c r="F198" s="165"/>
      <c r="G198" s="165"/>
      <c r="H198" s="164"/>
      <c r="I198" s="163"/>
      <c r="J198" s="152"/>
      <c r="K198" s="154"/>
      <c r="L198" s="152"/>
      <c r="M198" s="152"/>
      <c r="N198" s="155"/>
      <c r="O198" s="161"/>
      <c r="P198" s="157"/>
    </row>
    <row r="199" spans="1:16" ht="15.75" customHeight="1">
      <c r="A199" s="151"/>
      <c r="B199" s="162"/>
      <c r="C199" s="163"/>
      <c r="D199" s="164"/>
      <c r="E199" s="163"/>
      <c r="F199" s="165"/>
      <c r="G199" s="165"/>
      <c r="H199" s="164"/>
      <c r="I199" s="163"/>
      <c r="J199" s="152"/>
      <c r="K199" s="154"/>
      <c r="L199" s="152"/>
      <c r="M199" s="152"/>
      <c r="N199" s="155"/>
      <c r="O199" s="161"/>
      <c r="P199" s="157"/>
    </row>
    <row r="200" spans="1:16" ht="15.75" customHeight="1">
      <c r="A200" s="151"/>
      <c r="B200" s="162"/>
      <c r="C200" s="163"/>
      <c r="D200" s="164"/>
      <c r="E200" s="163"/>
      <c r="F200" s="165"/>
      <c r="G200" s="165"/>
      <c r="H200" s="164"/>
      <c r="I200" s="163"/>
      <c r="J200" s="152"/>
      <c r="K200" s="154"/>
      <c r="L200" s="152"/>
      <c r="M200" s="152"/>
      <c r="N200" s="155"/>
      <c r="O200" s="161"/>
      <c r="P200" s="157"/>
    </row>
    <row r="201" spans="1:16" ht="15.75" customHeight="1">
      <c r="A201" s="151"/>
      <c r="B201" s="162"/>
      <c r="C201" s="163"/>
      <c r="D201" s="164"/>
      <c r="E201" s="163"/>
      <c r="F201" s="165"/>
      <c r="G201" s="165"/>
      <c r="H201" s="164"/>
      <c r="I201" s="163"/>
      <c r="J201" s="152"/>
      <c r="K201" s="154"/>
      <c r="L201" s="152"/>
      <c r="M201" s="152"/>
      <c r="N201" s="155"/>
      <c r="O201" s="161"/>
      <c r="P201" s="157"/>
    </row>
    <row r="202" spans="1:16" ht="15.75" customHeight="1">
      <c r="A202" s="151"/>
      <c r="B202" s="162"/>
      <c r="C202" s="163"/>
      <c r="D202" s="164"/>
      <c r="E202" s="163"/>
      <c r="F202" s="165"/>
      <c r="G202" s="165"/>
      <c r="H202" s="164"/>
      <c r="I202" s="163"/>
      <c r="J202" s="152"/>
      <c r="K202" s="154"/>
      <c r="L202" s="152"/>
      <c r="M202" s="152"/>
      <c r="N202" s="155"/>
      <c r="O202" s="161"/>
      <c r="P202" s="157"/>
    </row>
    <row r="203" spans="1:16" ht="15.75" customHeight="1">
      <c r="A203" s="151"/>
      <c r="B203" s="162"/>
      <c r="C203" s="163"/>
      <c r="D203" s="164"/>
      <c r="E203" s="163"/>
      <c r="F203" s="165"/>
      <c r="G203" s="165"/>
      <c r="H203" s="164"/>
      <c r="I203" s="163"/>
      <c r="J203" s="152"/>
      <c r="K203" s="154"/>
      <c r="L203" s="152"/>
      <c r="M203" s="152"/>
      <c r="N203" s="155"/>
      <c r="O203" s="161"/>
      <c r="P203" s="157"/>
    </row>
    <row r="204" spans="1:16" ht="15.75" customHeight="1">
      <c r="A204" s="151"/>
      <c r="B204" s="162"/>
      <c r="C204" s="163"/>
      <c r="D204" s="164"/>
      <c r="E204" s="163"/>
      <c r="F204" s="165"/>
      <c r="G204" s="165"/>
      <c r="H204" s="164"/>
      <c r="I204" s="163"/>
      <c r="J204" s="152"/>
      <c r="K204" s="154"/>
      <c r="L204" s="152"/>
      <c r="M204" s="152"/>
      <c r="N204" s="155"/>
      <c r="O204" s="161"/>
      <c r="P204" s="157"/>
    </row>
    <row r="205" spans="1:16" ht="15.75" customHeight="1">
      <c r="A205" s="151"/>
      <c r="B205" s="162"/>
      <c r="C205" s="163"/>
      <c r="D205" s="164"/>
      <c r="E205" s="163"/>
      <c r="F205" s="165"/>
      <c r="G205" s="165"/>
      <c r="H205" s="164"/>
      <c r="I205" s="163"/>
      <c r="J205" s="152"/>
      <c r="K205" s="154"/>
      <c r="L205" s="152"/>
      <c r="M205" s="152"/>
      <c r="N205" s="155"/>
      <c r="O205" s="161"/>
      <c r="P205" s="157"/>
    </row>
    <row r="206" spans="1:16" ht="15.75" customHeight="1">
      <c r="A206" s="151"/>
      <c r="B206" s="162"/>
      <c r="C206" s="163"/>
      <c r="D206" s="164"/>
      <c r="E206" s="163"/>
      <c r="F206" s="165"/>
      <c r="G206" s="165"/>
      <c r="H206" s="164"/>
      <c r="I206" s="163"/>
      <c r="J206" s="152"/>
      <c r="K206" s="154"/>
      <c r="L206" s="152"/>
      <c r="M206" s="152"/>
      <c r="N206" s="155"/>
      <c r="O206" s="161"/>
      <c r="P206" s="157"/>
    </row>
    <row r="207" spans="1:16" ht="15.75" customHeight="1">
      <c r="A207" s="151"/>
      <c r="B207" s="162"/>
      <c r="C207" s="163"/>
      <c r="D207" s="164"/>
      <c r="E207" s="163"/>
      <c r="F207" s="165"/>
      <c r="G207" s="165"/>
      <c r="H207" s="164"/>
      <c r="I207" s="163"/>
      <c r="J207" s="152"/>
      <c r="K207" s="154"/>
      <c r="L207" s="152"/>
      <c r="M207" s="152"/>
      <c r="N207" s="155"/>
      <c r="O207" s="161"/>
      <c r="P207" s="157"/>
    </row>
    <row r="208" spans="1:16" ht="15.75" customHeight="1">
      <c r="A208" s="151"/>
      <c r="B208" s="162"/>
      <c r="C208" s="163"/>
      <c r="D208" s="164"/>
      <c r="E208" s="163"/>
      <c r="F208" s="165"/>
      <c r="G208" s="165"/>
      <c r="H208" s="164"/>
      <c r="I208" s="163"/>
      <c r="J208" s="152"/>
      <c r="K208" s="154"/>
      <c r="L208" s="152"/>
      <c r="M208" s="152"/>
      <c r="N208" s="155"/>
      <c r="O208" s="161"/>
      <c r="P208" s="157"/>
    </row>
    <row r="209" spans="1:16" ht="15.75" customHeight="1">
      <c r="A209" s="151"/>
      <c r="B209" s="162"/>
      <c r="C209" s="163"/>
      <c r="D209" s="164"/>
      <c r="E209" s="163"/>
      <c r="F209" s="165"/>
      <c r="G209" s="165"/>
      <c r="H209" s="164"/>
      <c r="I209" s="163"/>
      <c r="J209" s="152"/>
      <c r="K209" s="154"/>
      <c r="L209" s="152"/>
      <c r="M209" s="152"/>
      <c r="N209" s="155"/>
      <c r="O209" s="161"/>
      <c r="P209" s="157"/>
    </row>
    <row r="210" spans="1:16" ht="15.75" customHeight="1">
      <c r="A210" s="151"/>
      <c r="B210" s="162"/>
      <c r="C210" s="163"/>
      <c r="D210" s="164"/>
      <c r="E210" s="163"/>
      <c r="F210" s="165"/>
      <c r="G210" s="165"/>
      <c r="H210" s="164"/>
      <c r="I210" s="163"/>
      <c r="J210" s="152"/>
      <c r="K210" s="154"/>
      <c r="L210" s="152"/>
      <c r="M210" s="152"/>
      <c r="N210" s="155"/>
      <c r="O210" s="161"/>
      <c r="P210" s="157"/>
    </row>
    <row r="211" spans="1:16" ht="15.75" customHeight="1">
      <c r="A211" s="151"/>
      <c r="B211" s="162"/>
      <c r="C211" s="163"/>
      <c r="D211" s="164"/>
      <c r="E211" s="163"/>
      <c r="F211" s="165"/>
      <c r="G211" s="165"/>
      <c r="H211" s="164"/>
      <c r="I211" s="163"/>
      <c r="J211" s="152"/>
      <c r="K211" s="154"/>
      <c r="L211" s="152"/>
      <c r="M211" s="152"/>
      <c r="N211" s="155"/>
      <c r="O211" s="161"/>
      <c r="P211" s="157"/>
    </row>
    <row r="212" spans="1:16" ht="15.75" customHeight="1">
      <c r="A212" s="151"/>
      <c r="B212" s="162"/>
      <c r="C212" s="163"/>
      <c r="D212" s="164"/>
      <c r="E212" s="163"/>
      <c r="F212" s="165"/>
      <c r="G212" s="165"/>
      <c r="H212" s="164"/>
      <c r="I212" s="163"/>
      <c r="J212" s="152"/>
      <c r="K212" s="154"/>
      <c r="L212" s="152"/>
      <c r="M212" s="152"/>
      <c r="N212" s="155"/>
      <c r="O212" s="161"/>
      <c r="P212" s="157"/>
    </row>
    <row r="213" spans="1:16" ht="15.75" customHeight="1">
      <c r="A213" s="151"/>
      <c r="B213" s="162"/>
      <c r="C213" s="163"/>
      <c r="D213" s="164"/>
      <c r="E213" s="163"/>
      <c r="F213" s="165"/>
      <c r="G213" s="165"/>
      <c r="H213" s="164"/>
      <c r="I213" s="163"/>
      <c r="J213" s="152"/>
      <c r="K213" s="154"/>
      <c r="L213" s="152"/>
      <c r="M213" s="152"/>
      <c r="N213" s="155"/>
      <c r="O213" s="161"/>
      <c r="P213" s="157"/>
    </row>
    <row r="214" spans="1:16" ht="15.75" customHeight="1">
      <c r="A214" s="151"/>
      <c r="B214" s="162"/>
      <c r="C214" s="163"/>
      <c r="D214" s="164"/>
      <c r="E214" s="163"/>
      <c r="F214" s="165"/>
      <c r="G214" s="165"/>
      <c r="H214" s="164"/>
      <c r="I214" s="163"/>
      <c r="J214" s="152"/>
      <c r="K214" s="154"/>
      <c r="L214" s="152"/>
      <c r="M214" s="152"/>
      <c r="N214" s="155"/>
      <c r="O214" s="161"/>
      <c r="P214" s="157"/>
    </row>
    <row r="215" spans="1:16" ht="15.75" customHeight="1">
      <c r="A215" s="151"/>
      <c r="B215" s="162"/>
      <c r="C215" s="163"/>
      <c r="D215" s="164"/>
      <c r="E215" s="163"/>
      <c r="F215" s="165"/>
      <c r="G215" s="165"/>
      <c r="H215" s="164"/>
      <c r="I215" s="163"/>
      <c r="J215" s="152"/>
      <c r="K215" s="154"/>
      <c r="L215" s="152"/>
      <c r="M215" s="152"/>
      <c r="N215" s="155"/>
      <c r="O215" s="161"/>
      <c r="P215" s="157"/>
    </row>
    <row r="216" spans="1:16" ht="15.75" customHeight="1">
      <c r="A216" s="151"/>
      <c r="B216" s="162"/>
      <c r="C216" s="163"/>
      <c r="D216" s="164"/>
      <c r="E216" s="163"/>
      <c r="F216" s="165"/>
      <c r="G216" s="165"/>
      <c r="H216" s="164"/>
      <c r="I216" s="163"/>
      <c r="J216" s="152"/>
      <c r="K216" s="154"/>
      <c r="L216" s="152"/>
      <c r="M216" s="152"/>
      <c r="N216" s="155"/>
      <c r="O216" s="161"/>
      <c r="P216" s="157"/>
    </row>
    <row r="217" spans="1:16" ht="15.75" customHeight="1">
      <c r="A217" s="151"/>
      <c r="B217" s="162"/>
      <c r="C217" s="163"/>
      <c r="D217" s="164"/>
      <c r="E217" s="163"/>
      <c r="F217" s="165"/>
      <c r="G217" s="165"/>
      <c r="H217" s="164"/>
      <c r="I217" s="163"/>
      <c r="J217" s="152"/>
      <c r="K217" s="154"/>
      <c r="L217" s="152"/>
      <c r="M217" s="152"/>
      <c r="N217" s="155"/>
      <c r="O217" s="161"/>
      <c r="P217" s="157"/>
    </row>
    <row r="218" spans="1:16" ht="15.75" customHeight="1">
      <c r="A218" s="151"/>
      <c r="B218" s="162"/>
      <c r="C218" s="163"/>
      <c r="D218" s="164"/>
      <c r="E218" s="163"/>
      <c r="F218" s="165"/>
      <c r="G218" s="165"/>
      <c r="H218" s="164"/>
      <c r="I218" s="163"/>
      <c r="J218" s="152"/>
      <c r="K218" s="154"/>
      <c r="L218" s="152"/>
      <c r="M218" s="152"/>
      <c r="N218" s="155"/>
      <c r="O218" s="161"/>
      <c r="P218" s="157"/>
    </row>
    <row r="219" spans="1:16" ht="15.75" customHeight="1">
      <c r="A219" s="151"/>
      <c r="B219" s="162"/>
      <c r="C219" s="163"/>
      <c r="D219" s="164"/>
      <c r="E219" s="163"/>
      <c r="F219" s="165"/>
      <c r="G219" s="165"/>
      <c r="H219" s="164"/>
      <c r="I219" s="163"/>
      <c r="J219" s="152"/>
      <c r="K219" s="154"/>
      <c r="L219" s="152"/>
      <c r="M219" s="152"/>
      <c r="N219" s="155"/>
      <c r="O219" s="161"/>
      <c r="P219" s="157"/>
    </row>
    <row r="220" spans="1:16" ht="15.75" customHeight="1">
      <c r="A220" s="151"/>
      <c r="B220" s="162"/>
      <c r="C220" s="163"/>
      <c r="D220" s="164"/>
      <c r="E220" s="163"/>
      <c r="F220" s="165"/>
      <c r="G220" s="165"/>
      <c r="H220" s="164"/>
      <c r="I220" s="163"/>
      <c r="J220" s="152"/>
      <c r="K220" s="154"/>
      <c r="L220" s="152"/>
      <c r="M220" s="152"/>
      <c r="N220" s="155"/>
      <c r="O220" s="161"/>
      <c r="P220" s="157"/>
    </row>
    <row r="221" spans="1:16" ht="15.75" customHeight="1">
      <c r="A221" s="151"/>
      <c r="B221" s="162"/>
      <c r="C221" s="163"/>
      <c r="D221" s="164"/>
      <c r="E221" s="163"/>
      <c r="F221" s="165"/>
      <c r="G221" s="165"/>
      <c r="H221" s="164"/>
      <c r="I221" s="163"/>
      <c r="J221" s="152"/>
      <c r="K221" s="154"/>
      <c r="L221" s="152"/>
      <c r="M221" s="152"/>
      <c r="N221" s="155"/>
      <c r="O221" s="161"/>
      <c r="P221" s="157"/>
    </row>
    <row r="222" spans="1:16" ht="15.75" customHeight="1">
      <c r="A222" s="151"/>
      <c r="B222" s="162"/>
      <c r="C222" s="163"/>
      <c r="D222" s="164"/>
      <c r="E222" s="163"/>
      <c r="F222" s="165"/>
      <c r="G222" s="165"/>
      <c r="H222" s="164"/>
      <c r="I222" s="163"/>
      <c r="J222" s="152"/>
      <c r="K222" s="154"/>
      <c r="L222" s="152"/>
      <c r="M222" s="152"/>
      <c r="N222" s="155"/>
      <c r="O222" s="161"/>
      <c r="P222" s="157"/>
    </row>
    <row r="223" spans="1:16" ht="15.75" customHeight="1">
      <c r="A223" s="151"/>
      <c r="B223" s="162"/>
      <c r="C223" s="163"/>
      <c r="D223" s="164"/>
      <c r="E223" s="163"/>
      <c r="F223" s="165"/>
      <c r="G223" s="165"/>
      <c r="H223" s="164"/>
      <c r="I223" s="163"/>
      <c r="J223" s="152"/>
      <c r="K223" s="154"/>
      <c r="L223" s="152"/>
      <c r="M223" s="152"/>
      <c r="N223" s="155"/>
      <c r="O223" s="161"/>
      <c r="P223" s="157"/>
    </row>
    <row r="224" spans="1:16" ht="15.75" customHeight="1">
      <c r="A224" s="151"/>
      <c r="B224" s="162"/>
      <c r="C224" s="163"/>
      <c r="D224" s="164"/>
      <c r="E224" s="163"/>
      <c r="F224" s="165"/>
      <c r="G224" s="165"/>
      <c r="H224" s="164"/>
      <c r="I224" s="163"/>
      <c r="J224" s="152"/>
      <c r="K224" s="154"/>
      <c r="L224" s="152"/>
      <c r="M224" s="152"/>
      <c r="N224" s="155"/>
      <c r="O224" s="161"/>
      <c r="P224" s="157"/>
    </row>
    <row r="225" spans="1:16" ht="15.75" customHeight="1">
      <c r="A225" s="151"/>
      <c r="B225" s="162"/>
      <c r="C225" s="163"/>
      <c r="D225" s="164"/>
      <c r="E225" s="163"/>
      <c r="F225" s="165"/>
      <c r="G225" s="165"/>
      <c r="H225" s="164"/>
      <c r="I225" s="163"/>
      <c r="J225" s="152"/>
      <c r="K225" s="154"/>
      <c r="L225" s="152"/>
      <c r="M225" s="152"/>
      <c r="N225" s="155"/>
      <c r="O225" s="161"/>
      <c r="P225" s="157"/>
    </row>
    <row r="226" spans="1:16" ht="15.75" customHeight="1">
      <c r="A226" s="151"/>
      <c r="B226" s="162"/>
      <c r="C226" s="163"/>
      <c r="D226" s="164"/>
      <c r="E226" s="163"/>
      <c r="F226" s="165"/>
      <c r="G226" s="165"/>
      <c r="H226" s="164"/>
      <c r="I226" s="163"/>
      <c r="J226" s="152"/>
      <c r="K226" s="154"/>
      <c r="L226" s="152"/>
      <c r="M226" s="152"/>
      <c r="N226" s="155"/>
      <c r="O226" s="161"/>
      <c r="P226" s="157"/>
    </row>
    <row r="227" spans="1:16" ht="15.75" customHeight="1">
      <c r="A227" s="151"/>
      <c r="B227" s="162"/>
      <c r="C227" s="163"/>
      <c r="D227" s="164"/>
      <c r="E227" s="163"/>
      <c r="F227" s="165"/>
      <c r="G227" s="165"/>
      <c r="H227" s="164"/>
      <c r="I227" s="163"/>
      <c r="J227" s="152"/>
      <c r="K227" s="154"/>
      <c r="L227" s="152"/>
      <c r="M227" s="152"/>
      <c r="N227" s="155"/>
      <c r="O227" s="161"/>
      <c r="P227" s="157"/>
    </row>
    <row r="228" spans="1:16" ht="15.75" customHeight="1">
      <c r="A228" s="151"/>
      <c r="B228" s="162"/>
      <c r="C228" s="163"/>
      <c r="D228" s="164"/>
      <c r="E228" s="163"/>
      <c r="F228" s="165"/>
      <c r="G228" s="165"/>
      <c r="H228" s="164"/>
      <c r="I228" s="163"/>
      <c r="J228" s="152"/>
      <c r="K228" s="154"/>
      <c r="L228" s="152"/>
      <c r="M228" s="152"/>
      <c r="N228" s="155"/>
      <c r="O228" s="161"/>
      <c r="P228" s="157"/>
    </row>
    <row r="229" spans="1:16" ht="15.75" customHeight="1">
      <c r="A229" s="151"/>
      <c r="B229" s="162"/>
      <c r="C229" s="163"/>
      <c r="D229" s="164"/>
      <c r="E229" s="163"/>
      <c r="F229" s="165"/>
      <c r="G229" s="165"/>
      <c r="H229" s="164"/>
      <c r="I229" s="163"/>
      <c r="J229" s="152"/>
      <c r="K229" s="154"/>
      <c r="L229" s="152"/>
      <c r="M229" s="152"/>
      <c r="N229" s="155"/>
      <c r="O229" s="161"/>
      <c r="P229" s="157"/>
    </row>
    <row r="230" spans="1:16" ht="15.75" customHeight="1">
      <c r="A230" s="151"/>
      <c r="B230" s="162"/>
      <c r="C230" s="163"/>
      <c r="D230" s="164"/>
      <c r="E230" s="163"/>
      <c r="F230" s="165"/>
      <c r="G230" s="165"/>
      <c r="H230" s="164"/>
      <c r="I230" s="163"/>
      <c r="J230" s="152"/>
      <c r="K230" s="154"/>
      <c r="L230" s="152"/>
      <c r="M230" s="152"/>
      <c r="N230" s="155"/>
      <c r="O230" s="161"/>
      <c r="P230" s="157"/>
    </row>
    <row r="231" spans="1:16" ht="15.75" customHeight="1">
      <c r="A231" s="151"/>
      <c r="B231" s="162"/>
      <c r="C231" s="163"/>
      <c r="D231" s="164"/>
      <c r="E231" s="163"/>
      <c r="F231" s="165"/>
      <c r="G231" s="165"/>
      <c r="H231" s="164"/>
      <c r="I231" s="163"/>
      <c r="J231" s="152"/>
      <c r="K231" s="154"/>
      <c r="L231" s="152"/>
      <c r="M231" s="152"/>
      <c r="N231" s="155"/>
      <c r="O231" s="161"/>
      <c r="P231" s="157"/>
    </row>
    <row r="232" spans="1:16" ht="15.75" customHeight="1">
      <c r="A232" s="151"/>
      <c r="B232" s="162"/>
      <c r="C232" s="163"/>
      <c r="D232" s="164"/>
      <c r="E232" s="163"/>
      <c r="F232" s="165"/>
      <c r="G232" s="165"/>
      <c r="H232" s="164"/>
      <c r="I232" s="163"/>
      <c r="J232" s="152"/>
      <c r="K232" s="154"/>
      <c r="L232" s="152"/>
      <c r="M232" s="152"/>
      <c r="N232" s="155"/>
      <c r="O232" s="161"/>
      <c r="P232" s="157"/>
    </row>
    <row r="233" spans="1:16" ht="15.75" customHeight="1">
      <c r="A233" s="151"/>
      <c r="B233" s="162"/>
      <c r="C233" s="163"/>
      <c r="D233" s="164"/>
      <c r="E233" s="163"/>
      <c r="F233" s="165"/>
      <c r="G233" s="165"/>
      <c r="H233" s="164"/>
      <c r="I233" s="163"/>
      <c r="J233" s="152"/>
      <c r="K233" s="154"/>
      <c r="L233" s="152"/>
      <c r="M233" s="152"/>
      <c r="N233" s="155"/>
      <c r="O233" s="161"/>
      <c r="P233" s="157"/>
    </row>
    <row r="234" spans="1:16" ht="15.75" customHeight="1">
      <c r="A234" s="151"/>
      <c r="B234" s="162"/>
      <c r="C234" s="163"/>
      <c r="D234" s="164"/>
      <c r="E234" s="163"/>
      <c r="F234" s="165"/>
      <c r="G234" s="165"/>
      <c r="H234" s="164"/>
      <c r="I234" s="163"/>
      <c r="J234" s="152"/>
      <c r="K234" s="154"/>
      <c r="L234" s="152"/>
      <c r="M234" s="152"/>
      <c r="N234" s="155"/>
      <c r="O234" s="161"/>
      <c r="P234" s="157"/>
    </row>
    <row r="235" spans="1:16" ht="15.75" customHeight="1">
      <c r="A235" s="151"/>
      <c r="B235" s="162"/>
      <c r="C235" s="163"/>
      <c r="D235" s="164"/>
      <c r="E235" s="163"/>
      <c r="F235" s="165"/>
      <c r="G235" s="165"/>
      <c r="H235" s="164"/>
      <c r="I235" s="163"/>
      <c r="J235" s="152"/>
      <c r="K235" s="154"/>
      <c r="L235" s="152"/>
      <c r="M235" s="152"/>
      <c r="N235" s="155"/>
      <c r="O235" s="161"/>
      <c r="P235" s="157"/>
    </row>
    <row r="236" spans="1:16" ht="15.75" customHeight="1">
      <c r="A236" s="151"/>
      <c r="B236" s="162"/>
      <c r="C236" s="163"/>
      <c r="D236" s="164"/>
      <c r="E236" s="163"/>
      <c r="F236" s="165"/>
      <c r="G236" s="165"/>
      <c r="H236" s="164"/>
      <c r="I236" s="163"/>
      <c r="J236" s="152"/>
      <c r="K236" s="154"/>
      <c r="L236" s="152"/>
      <c r="M236" s="152"/>
      <c r="N236" s="155"/>
      <c r="O236" s="161"/>
      <c r="P236" s="157"/>
    </row>
    <row r="237" spans="1:16" ht="15.75" customHeight="1">
      <c r="A237" s="151"/>
      <c r="B237" s="162"/>
      <c r="C237" s="163"/>
      <c r="D237" s="164"/>
      <c r="E237" s="163"/>
      <c r="F237" s="165"/>
      <c r="G237" s="165"/>
      <c r="H237" s="164"/>
      <c r="I237" s="163"/>
      <c r="J237" s="152"/>
      <c r="K237" s="154"/>
      <c r="L237" s="152"/>
      <c r="M237" s="152"/>
      <c r="N237" s="155"/>
      <c r="O237" s="161"/>
      <c r="P237" s="157"/>
    </row>
    <row r="238" spans="1:16" ht="15.75" customHeight="1">
      <c r="A238" s="151"/>
      <c r="B238" s="162"/>
      <c r="C238" s="163"/>
      <c r="D238" s="164"/>
      <c r="E238" s="163"/>
      <c r="F238" s="165"/>
      <c r="G238" s="165"/>
      <c r="H238" s="164"/>
      <c r="I238" s="163"/>
      <c r="J238" s="152"/>
      <c r="K238" s="154"/>
      <c r="L238" s="152"/>
      <c r="M238" s="152"/>
      <c r="N238" s="155"/>
      <c r="O238" s="161"/>
      <c r="P238" s="157"/>
    </row>
    <row r="239" spans="1:16" ht="15.75" customHeight="1">
      <c r="A239" s="151"/>
      <c r="B239" s="162"/>
      <c r="C239" s="163"/>
      <c r="D239" s="164"/>
      <c r="E239" s="163"/>
      <c r="F239" s="165"/>
      <c r="G239" s="165"/>
      <c r="H239" s="164"/>
      <c r="I239" s="163"/>
      <c r="J239" s="152"/>
      <c r="K239" s="154"/>
      <c r="L239" s="152"/>
      <c r="M239" s="152"/>
      <c r="N239" s="155"/>
      <c r="O239" s="161"/>
      <c r="P239" s="157"/>
    </row>
    <row r="240" spans="1:16" ht="15.75" customHeight="1">
      <c r="A240" s="151"/>
      <c r="B240" s="162"/>
      <c r="C240" s="163"/>
      <c r="D240" s="164"/>
      <c r="E240" s="163"/>
      <c r="F240" s="165"/>
      <c r="G240" s="165"/>
      <c r="H240" s="164"/>
      <c r="I240" s="163"/>
      <c r="J240" s="152"/>
      <c r="K240" s="154"/>
      <c r="L240" s="152"/>
      <c r="M240" s="152"/>
      <c r="N240" s="155"/>
      <c r="O240" s="161"/>
      <c r="P240" s="157"/>
    </row>
    <row r="241" spans="1:16" ht="15.75" customHeight="1">
      <c r="A241" s="151"/>
      <c r="B241" s="162"/>
      <c r="C241" s="163"/>
      <c r="D241" s="164"/>
      <c r="E241" s="163"/>
      <c r="F241" s="165"/>
      <c r="G241" s="165"/>
      <c r="H241" s="164"/>
      <c r="I241" s="163"/>
      <c r="J241" s="152"/>
      <c r="K241" s="154"/>
      <c r="L241" s="152"/>
      <c r="M241" s="152"/>
      <c r="N241" s="155"/>
      <c r="O241" s="161"/>
      <c r="P241" s="157"/>
    </row>
    <row r="242" spans="1:16" ht="15.75" customHeight="1">
      <c r="A242" s="151"/>
      <c r="B242" s="162"/>
      <c r="C242" s="163"/>
      <c r="D242" s="164"/>
      <c r="E242" s="163"/>
      <c r="F242" s="165"/>
      <c r="G242" s="165"/>
      <c r="H242" s="164"/>
      <c r="I242" s="163"/>
      <c r="J242" s="152"/>
      <c r="K242" s="154"/>
      <c r="L242" s="152"/>
      <c r="M242" s="152"/>
      <c r="N242" s="155"/>
      <c r="O242" s="161"/>
      <c r="P242" s="157"/>
    </row>
    <row r="243" spans="1:16" ht="15.75" customHeight="1">
      <c r="A243" s="151"/>
      <c r="B243" s="162"/>
      <c r="C243" s="163"/>
      <c r="D243" s="164"/>
      <c r="E243" s="163"/>
      <c r="F243" s="165"/>
      <c r="G243" s="165"/>
      <c r="H243" s="164"/>
      <c r="I243" s="163"/>
      <c r="J243" s="152"/>
      <c r="K243" s="154"/>
      <c r="L243" s="152"/>
      <c r="M243" s="152"/>
      <c r="N243" s="155"/>
      <c r="O243" s="161"/>
      <c r="P243" s="157"/>
    </row>
    <row r="244" spans="1:16" ht="15.75" customHeight="1">
      <c r="A244" s="151"/>
      <c r="B244" s="162"/>
      <c r="C244" s="163"/>
      <c r="D244" s="164"/>
      <c r="E244" s="163"/>
      <c r="F244" s="165"/>
      <c r="G244" s="165"/>
      <c r="H244" s="164"/>
      <c r="I244" s="163"/>
      <c r="J244" s="152"/>
      <c r="K244" s="154"/>
      <c r="L244" s="152"/>
      <c r="M244" s="152"/>
      <c r="N244" s="155"/>
      <c r="O244" s="161"/>
      <c r="P244" s="157"/>
    </row>
    <row r="245" spans="1:16" ht="15.75" customHeight="1">
      <c r="A245" s="151"/>
      <c r="B245" s="162"/>
      <c r="C245" s="163"/>
      <c r="D245" s="164"/>
      <c r="E245" s="163"/>
      <c r="F245" s="165"/>
      <c r="G245" s="165"/>
      <c r="H245" s="164"/>
      <c r="I245" s="163"/>
      <c r="J245" s="152"/>
      <c r="K245" s="154"/>
      <c r="L245" s="152"/>
      <c r="M245" s="152"/>
      <c r="N245" s="155"/>
      <c r="O245" s="161"/>
      <c r="P245" s="157"/>
    </row>
    <row r="246" spans="1:16" ht="15.75" customHeight="1">
      <c r="A246" s="151"/>
      <c r="B246" s="162"/>
      <c r="C246" s="163"/>
      <c r="D246" s="164"/>
      <c r="E246" s="163"/>
      <c r="F246" s="165"/>
      <c r="G246" s="165"/>
      <c r="H246" s="164"/>
      <c r="I246" s="163"/>
      <c r="J246" s="152"/>
      <c r="K246" s="154"/>
      <c r="L246" s="152"/>
      <c r="M246" s="152"/>
      <c r="N246" s="155"/>
      <c r="O246" s="161"/>
      <c r="P246" s="157"/>
    </row>
    <row r="247" spans="1:16" ht="15.75" customHeight="1">
      <c r="A247" s="151"/>
      <c r="B247" s="162"/>
      <c r="C247" s="163"/>
      <c r="D247" s="164"/>
      <c r="E247" s="163"/>
      <c r="F247" s="165"/>
      <c r="G247" s="165"/>
      <c r="H247" s="164"/>
      <c r="I247" s="163"/>
      <c r="J247" s="152"/>
      <c r="K247" s="154"/>
      <c r="L247" s="152"/>
      <c r="M247" s="152"/>
      <c r="N247" s="155"/>
      <c r="O247" s="161"/>
      <c r="P247" s="157"/>
    </row>
    <row r="248" spans="1:16" ht="15.75" customHeight="1">
      <c r="A248" s="151"/>
      <c r="B248" s="162"/>
      <c r="C248" s="163"/>
      <c r="D248" s="164"/>
      <c r="E248" s="163"/>
      <c r="F248" s="165"/>
      <c r="G248" s="165"/>
      <c r="H248" s="164"/>
      <c r="I248" s="163"/>
      <c r="J248" s="152"/>
      <c r="K248" s="154"/>
      <c r="L248" s="152"/>
      <c r="M248" s="152"/>
      <c r="N248" s="155"/>
      <c r="O248" s="161"/>
      <c r="P248" s="157"/>
    </row>
    <row r="249" spans="1:16" ht="15.75" customHeight="1">
      <c r="A249" s="151"/>
      <c r="B249" s="162"/>
      <c r="C249" s="163"/>
      <c r="D249" s="164"/>
      <c r="E249" s="163"/>
      <c r="F249" s="165"/>
      <c r="G249" s="165"/>
      <c r="H249" s="164"/>
      <c r="I249" s="163"/>
      <c r="J249" s="152"/>
      <c r="K249" s="154"/>
      <c r="L249" s="152"/>
      <c r="M249" s="152"/>
      <c r="N249" s="155"/>
      <c r="O249" s="161"/>
      <c r="P249" s="157"/>
    </row>
    <row r="250" spans="1:16" ht="15.75" customHeight="1">
      <c r="A250" s="151"/>
      <c r="B250" s="162"/>
      <c r="C250" s="163"/>
      <c r="D250" s="164"/>
      <c r="E250" s="163"/>
      <c r="F250" s="165"/>
      <c r="G250" s="165"/>
      <c r="H250" s="164"/>
      <c r="I250" s="163"/>
      <c r="J250" s="152"/>
      <c r="K250" s="154"/>
      <c r="L250" s="152"/>
      <c r="M250" s="152"/>
      <c r="N250" s="155"/>
      <c r="O250" s="161"/>
      <c r="P250" s="157"/>
    </row>
    <row r="251" spans="1:16" ht="15.75" customHeight="1">
      <c r="A251" s="151"/>
      <c r="B251" s="162"/>
      <c r="C251" s="163"/>
      <c r="D251" s="164"/>
      <c r="E251" s="163"/>
      <c r="F251" s="165"/>
      <c r="G251" s="165"/>
      <c r="H251" s="164"/>
      <c r="I251" s="163"/>
      <c r="J251" s="152"/>
      <c r="K251" s="154"/>
      <c r="L251" s="152"/>
      <c r="M251" s="152"/>
      <c r="N251" s="155"/>
      <c r="O251" s="161"/>
      <c r="P251" s="157"/>
    </row>
    <row r="252" spans="1:16" ht="15.75" customHeight="1">
      <c r="A252" s="151"/>
      <c r="B252" s="162"/>
      <c r="C252" s="163"/>
      <c r="D252" s="164"/>
      <c r="E252" s="163"/>
      <c r="F252" s="165"/>
      <c r="G252" s="165"/>
      <c r="H252" s="164"/>
      <c r="I252" s="163"/>
      <c r="J252" s="152"/>
      <c r="K252" s="154"/>
      <c r="L252" s="152"/>
      <c r="M252" s="152"/>
      <c r="N252" s="155"/>
      <c r="O252" s="161"/>
      <c r="P252" s="157"/>
    </row>
    <row r="253" spans="1:16" ht="15.75" customHeight="1">
      <c r="A253" s="151"/>
      <c r="B253" s="162"/>
      <c r="C253" s="163"/>
      <c r="D253" s="164"/>
      <c r="E253" s="163"/>
      <c r="F253" s="165"/>
      <c r="G253" s="165"/>
      <c r="H253" s="164"/>
      <c r="I253" s="163"/>
      <c r="J253" s="152"/>
      <c r="K253" s="154"/>
      <c r="L253" s="152"/>
      <c r="M253" s="152"/>
      <c r="N253" s="155"/>
      <c r="O253" s="161"/>
      <c r="P253" s="157"/>
    </row>
    <row r="254" spans="1:16" ht="15.75" customHeight="1">
      <c r="A254" s="151"/>
      <c r="B254" s="162"/>
      <c r="C254" s="163"/>
      <c r="D254" s="164"/>
      <c r="E254" s="163"/>
      <c r="F254" s="165"/>
      <c r="G254" s="165"/>
      <c r="H254" s="164"/>
      <c r="I254" s="163"/>
      <c r="J254" s="152"/>
      <c r="K254" s="154"/>
      <c r="L254" s="152"/>
      <c r="M254" s="152"/>
      <c r="N254" s="155"/>
      <c r="O254" s="161"/>
      <c r="P254" s="157"/>
    </row>
    <row r="255" spans="1:16" ht="15.75" customHeight="1">
      <c r="A255" s="151"/>
      <c r="B255" s="162"/>
      <c r="C255" s="163"/>
      <c r="D255" s="164"/>
      <c r="E255" s="163"/>
      <c r="F255" s="165"/>
      <c r="G255" s="165"/>
      <c r="H255" s="164"/>
      <c r="I255" s="163"/>
      <c r="J255" s="152"/>
      <c r="K255" s="154"/>
      <c r="L255" s="152"/>
      <c r="M255" s="152"/>
      <c r="N255" s="155"/>
      <c r="O255" s="161"/>
      <c r="P255" s="157"/>
    </row>
    <row r="256" spans="1:16" ht="15.75" customHeight="1">
      <c r="A256" s="151"/>
      <c r="B256" s="162"/>
      <c r="C256" s="163"/>
      <c r="D256" s="164"/>
      <c r="E256" s="163"/>
      <c r="F256" s="165"/>
      <c r="G256" s="165"/>
      <c r="H256" s="164"/>
      <c r="I256" s="163"/>
      <c r="J256" s="152"/>
      <c r="K256" s="154"/>
      <c r="L256" s="152"/>
      <c r="M256" s="152"/>
      <c r="N256" s="155"/>
      <c r="O256" s="161"/>
      <c r="P256" s="157"/>
    </row>
    <row r="257" spans="1:16" ht="15.75" customHeight="1">
      <c r="A257" s="151"/>
      <c r="B257" s="162"/>
      <c r="C257" s="163"/>
      <c r="D257" s="164"/>
      <c r="E257" s="163"/>
      <c r="F257" s="165"/>
      <c r="G257" s="165"/>
      <c r="H257" s="164"/>
      <c r="I257" s="163"/>
      <c r="J257" s="152"/>
      <c r="K257" s="154"/>
      <c r="L257" s="152"/>
      <c r="M257" s="152"/>
      <c r="N257" s="155"/>
      <c r="O257" s="161"/>
      <c r="P257" s="157"/>
    </row>
    <row r="258" spans="1:16" ht="15.75" customHeight="1">
      <c r="A258" s="151"/>
      <c r="B258" s="162"/>
      <c r="C258" s="163"/>
      <c r="D258" s="164"/>
      <c r="E258" s="163"/>
      <c r="F258" s="165"/>
      <c r="G258" s="165"/>
      <c r="H258" s="164"/>
      <c r="I258" s="163"/>
      <c r="J258" s="152"/>
      <c r="K258" s="154"/>
      <c r="L258" s="152"/>
      <c r="M258" s="152"/>
      <c r="N258" s="155"/>
      <c r="O258" s="161"/>
      <c r="P258" s="157"/>
    </row>
    <row r="259" spans="1:16" ht="15.75" customHeight="1">
      <c r="A259" s="151"/>
      <c r="B259" s="162"/>
      <c r="C259" s="163"/>
      <c r="D259" s="164"/>
      <c r="E259" s="163"/>
      <c r="F259" s="165"/>
      <c r="G259" s="165"/>
      <c r="H259" s="164"/>
      <c r="I259" s="163"/>
      <c r="J259" s="152"/>
      <c r="K259" s="154"/>
      <c r="L259" s="152"/>
      <c r="M259" s="152"/>
      <c r="N259" s="155"/>
      <c r="O259" s="161"/>
      <c r="P259" s="157"/>
    </row>
    <row r="260" spans="1:16" ht="15.75" customHeight="1">
      <c r="A260" s="151"/>
      <c r="B260" s="162"/>
      <c r="C260" s="163"/>
      <c r="D260" s="164"/>
      <c r="E260" s="163"/>
      <c r="F260" s="165"/>
      <c r="G260" s="165"/>
      <c r="H260" s="164"/>
      <c r="I260" s="163"/>
      <c r="J260" s="152"/>
      <c r="K260" s="154"/>
      <c r="L260" s="152"/>
      <c r="M260" s="152"/>
      <c r="N260" s="155"/>
      <c r="O260" s="161"/>
      <c r="P260" s="157"/>
    </row>
    <row r="261" spans="1:16" ht="15.75" customHeight="1">
      <c r="A261" s="151"/>
      <c r="B261" s="162"/>
      <c r="C261" s="163"/>
      <c r="D261" s="164"/>
      <c r="E261" s="163"/>
      <c r="F261" s="165"/>
      <c r="G261" s="165"/>
      <c r="H261" s="164"/>
      <c r="I261" s="163"/>
      <c r="J261" s="152"/>
      <c r="K261" s="154"/>
      <c r="L261" s="152"/>
      <c r="M261" s="152"/>
      <c r="N261" s="155"/>
      <c r="O261" s="161"/>
      <c r="P261" s="157"/>
    </row>
    <row r="262" spans="1:16" ht="15.75" customHeight="1">
      <c r="A262" s="151"/>
      <c r="B262" s="162"/>
      <c r="C262" s="163"/>
      <c r="D262" s="164"/>
      <c r="E262" s="163"/>
      <c r="F262" s="165"/>
      <c r="G262" s="165"/>
      <c r="H262" s="164"/>
      <c r="I262" s="163"/>
      <c r="J262" s="152"/>
      <c r="K262" s="154"/>
      <c r="L262" s="152"/>
      <c r="M262" s="152"/>
      <c r="N262" s="155"/>
      <c r="O262" s="161"/>
      <c r="P262" s="157"/>
    </row>
    <row r="263" spans="1:16" ht="15.75" customHeight="1">
      <c r="A263" s="151"/>
      <c r="B263" s="162"/>
      <c r="C263" s="163"/>
      <c r="D263" s="164"/>
      <c r="E263" s="163"/>
      <c r="F263" s="165"/>
      <c r="G263" s="165"/>
      <c r="H263" s="164"/>
      <c r="I263" s="163"/>
      <c r="J263" s="152"/>
      <c r="K263" s="154"/>
      <c r="L263" s="152"/>
      <c r="M263" s="152"/>
      <c r="N263" s="155"/>
      <c r="O263" s="161"/>
      <c r="P263" s="157"/>
    </row>
    <row r="264" spans="1:16" ht="15.75" customHeight="1">
      <c r="A264" s="151"/>
      <c r="B264" s="162"/>
      <c r="C264" s="163"/>
      <c r="D264" s="164"/>
      <c r="E264" s="163"/>
      <c r="F264" s="165"/>
      <c r="G264" s="165"/>
      <c r="H264" s="164"/>
      <c r="I264" s="163"/>
      <c r="J264" s="152"/>
      <c r="K264" s="154"/>
      <c r="L264" s="152"/>
      <c r="M264" s="152"/>
      <c r="N264" s="155"/>
      <c r="O264" s="161"/>
      <c r="P264" s="157"/>
    </row>
    <row r="265" spans="1:16" ht="15.75" customHeight="1">
      <c r="A265" s="151"/>
      <c r="B265" s="162"/>
      <c r="C265" s="163"/>
      <c r="D265" s="164"/>
      <c r="E265" s="163"/>
      <c r="F265" s="165"/>
      <c r="G265" s="165"/>
      <c r="H265" s="164"/>
      <c r="I265" s="163"/>
      <c r="J265" s="152"/>
      <c r="K265" s="154"/>
      <c r="L265" s="152"/>
      <c r="M265" s="152"/>
      <c r="N265" s="155"/>
      <c r="O265" s="161"/>
      <c r="P265" s="157"/>
    </row>
    <row r="266" spans="1:16" ht="15.75" customHeight="1">
      <c r="A266" s="151"/>
      <c r="B266" s="162"/>
      <c r="C266" s="163"/>
      <c r="D266" s="164"/>
      <c r="E266" s="163"/>
      <c r="F266" s="165"/>
      <c r="G266" s="165"/>
      <c r="H266" s="164"/>
      <c r="I266" s="163"/>
      <c r="J266" s="152"/>
      <c r="K266" s="154"/>
      <c r="L266" s="152"/>
      <c r="M266" s="152"/>
      <c r="N266" s="155"/>
      <c r="O266" s="161"/>
      <c r="P266" s="157"/>
    </row>
    <row r="267" spans="1:16" ht="15.75" customHeight="1">
      <c r="A267" s="151"/>
      <c r="B267" s="162"/>
      <c r="C267" s="163"/>
      <c r="D267" s="164"/>
      <c r="E267" s="163"/>
      <c r="F267" s="165"/>
      <c r="G267" s="165"/>
      <c r="H267" s="164"/>
      <c r="I267" s="163"/>
      <c r="J267" s="152"/>
      <c r="K267" s="154"/>
      <c r="L267" s="152"/>
      <c r="M267" s="152"/>
      <c r="N267" s="155"/>
      <c r="O267" s="161"/>
      <c r="P267" s="157"/>
    </row>
    <row r="268" spans="1:16" ht="15.75" customHeight="1">
      <c r="A268" s="151"/>
      <c r="B268" s="162"/>
      <c r="C268" s="163"/>
      <c r="D268" s="164"/>
      <c r="E268" s="163"/>
      <c r="F268" s="165"/>
      <c r="G268" s="165"/>
      <c r="H268" s="164"/>
      <c r="I268" s="163"/>
      <c r="J268" s="152"/>
      <c r="K268" s="154"/>
      <c r="L268" s="152"/>
      <c r="M268" s="152"/>
      <c r="N268" s="155"/>
      <c r="O268" s="161"/>
      <c r="P268" s="157"/>
    </row>
    <row r="269" spans="1:16" ht="15.75" customHeight="1">
      <c r="A269" s="151"/>
      <c r="B269" s="162"/>
      <c r="C269" s="163"/>
      <c r="D269" s="164"/>
      <c r="E269" s="163"/>
      <c r="F269" s="165"/>
      <c r="G269" s="165"/>
      <c r="H269" s="164"/>
      <c r="I269" s="163"/>
      <c r="J269" s="152"/>
      <c r="K269" s="154"/>
      <c r="L269" s="152"/>
      <c r="M269" s="152"/>
      <c r="N269" s="155"/>
      <c r="O269" s="161"/>
      <c r="P269" s="157"/>
    </row>
    <row r="270" spans="1:16" ht="15.75" customHeight="1">
      <c r="A270" s="151"/>
      <c r="B270" s="162"/>
      <c r="C270" s="163"/>
      <c r="D270" s="164"/>
      <c r="E270" s="163"/>
      <c r="F270" s="165"/>
      <c r="G270" s="165"/>
      <c r="H270" s="164"/>
      <c r="I270" s="163"/>
      <c r="J270" s="152"/>
      <c r="K270" s="154"/>
      <c r="L270" s="152"/>
      <c r="M270" s="152"/>
      <c r="N270" s="155"/>
      <c r="O270" s="161"/>
      <c r="P270" s="157"/>
    </row>
    <row r="271" spans="1:16" ht="15.75" customHeight="1">
      <c r="A271" s="151"/>
      <c r="B271" s="162"/>
      <c r="C271" s="163"/>
      <c r="D271" s="164"/>
      <c r="E271" s="163"/>
      <c r="F271" s="165"/>
      <c r="G271" s="165"/>
      <c r="H271" s="164"/>
      <c r="I271" s="163"/>
      <c r="J271" s="152"/>
      <c r="K271" s="154"/>
      <c r="L271" s="152"/>
      <c r="M271" s="152"/>
      <c r="N271" s="155"/>
      <c r="O271" s="161"/>
      <c r="P271" s="157"/>
    </row>
    <row r="272" spans="1:16" ht="15.75" customHeight="1">
      <c r="A272" s="151"/>
      <c r="B272" s="162"/>
      <c r="C272" s="163"/>
      <c r="D272" s="164"/>
      <c r="E272" s="163"/>
      <c r="F272" s="165"/>
      <c r="G272" s="165"/>
      <c r="H272" s="164"/>
      <c r="I272" s="163"/>
      <c r="J272" s="152"/>
      <c r="K272" s="154"/>
      <c r="L272" s="152"/>
      <c r="M272" s="152"/>
      <c r="N272" s="155"/>
      <c r="O272" s="161"/>
      <c r="P272" s="157"/>
    </row>
    <row r="273" spans="1:16" ht="15.75" customHeight="1">
      <c r="A273" s="151"/>
      <c r="B273" s="162"/>
      <c r="C273" s="163"/>
      <c r="D273" s="164"/>
      <c r="E273" s="163"/>
      <c r="F273" s="165"/>
      <c r="G273" s="165"/>
      <c r="H273" s="164"/>
      <c r="I273" s="163"/>
      <c r="J273" s="152"/>
      <c r="K273" s="154"/>
      <c r="L273" s="152"/>
      <c r="M273" s="152"/>
      <c r="N273" s="155"/>
      <c r="O273" s="161"/>
      <c r="P273" s="157"/>
    </row>
    <row r="274" spans="1:16" ht="15.75" customHeight="1">
      <c r="A274" s="151"/>
      <c r="B274" s="162"/>
      <c r="C274" s="163"/>
      <c r="D274" s="164"/>
      <c r="E274" s="163"/>
      <c r="F274" s="165"/>
      <c r="G274" s="165"/>
      <c r="H274" s="164"/>
      <c r="I274" s="163"/>
      <c r="J274" s="152"/>
      <c r="K274" s="154"/>
      <c r="L274" s="152"/>
      <c r="M274" s="152"/>
      <c r="N274" s="155"/>
      <c r="O274" s="161"/>
      <c r="P274" s="157"/>
    </row>
    <row r="275" spans="1:16" ht="15.75" customHeight="1">
      <c r="A275" s="151"/>
      <c r="B275" s="162"/>
      <c r="C275" s="163"/>
      <c r="D275" s="164"/>
      <c r="E275" s="163"/>
      <c r="F275" s="165"/>
      <c r="G275" s="165"/>
      <c r="H275" s="164"/>
      <c r="I275" s="163"/>
      <c r="J275" s="152"/>
      <c r="K275" s="154"/>
      <c r="L275" s="152"/>
      <c r="M275" s="152"/>
      <c r="N275" s="155"/>
      <c r="O275" s="161"/>
      <c r="P275" s="157"/>
    </row>
    <row r="276" spans="1:16" ht="15.75" customHeight="1">
      <c r="A276" s="151"/>
      <c r="B276" s="162"/>
      <c r="C276" s="163"/>
      <c r="D276" s="164"/>
      <c r="E276" s="163"/>
      <c r="F276" s="165"/>
      <c r="G276" s="165"/>
      <c r="H276" s="164"/>
      <c r="I276" s="163"/>
      <c r="J276" s="152"/>
      <c r="K276" s="154"/>
      <c r="L276" s="152"/>
      <c r="M276" s="152"/>
      <c r="N276" s="155"/>
      <c r="O276" s="161"/>
      <c r="P276" s="157"/>
    </row>
    <row r="277" spans="1:16" ht="15.75" customHeight="1">
      <c r="A277" s="151"/>
      <c r="B277" s="162"/>
      <c r="C277" s="163"/>
      <c r="D277" s="164"/>
      <c r="E277" s="163"/>
      <c r="F277" s="165"/>
      <c r="G277" s="165"/>
      <c r="H277" s="164"/>
      <c r="I277" s="163"/>
      <c r="J277" s="152"/>
      <c r="K277" s="154"/>
      <c r="L277" s="152"/>
      <c r="M277" s="152"/>
      <c r="N277" s="155"/>
      <c r="O277" s="161"/>
      <c r="P277" s="157"/>
    </row>
    <row r="278" spans="1:16" ht="15.75" customHeight="1">
      <c r="A278" s="151"/>
      <c r="B278" s="162"/>
      <c r="C278" s="163"/>
      <c r="D278" s="164"/>
      <c r="E278" s="163"/>
      <c r="F278" s="165"/>
      <c r="G278" s="165"/>
      <c r="H278" s="164"/>
      <c r="I278" s="163"/>
      <c r="J278" s="152"/>
      <c r="K278" s="154"/>
      <c r="L278" s="152"/>
      <c r="M278" s="152"/>
      <c r="N278" s="155"/>
      <c r="O278" s="161"/>
      <c r="P278" s="157"/>
    </row>
    <row r="279" spans="1:16" ht="15.75" customHeight="1">
      <c r="A279" s="151"/>
      <c r="B279" s="162"/>
      <c r="C279" s="163"/>
      <c r="D279" s="164"/>
      <c r="E279" s="163"/>
      <c r="F279" s="165"/>
      <c r="G279" s="165"/>
      <c r="H279" s="164"/>
      <c r="I279" s="163"/>
      <c r="J279" s="152"/>
      <c r="K279" s="154"/>
      <c r="L279" s="152"/>
      <c r="M279" s="152"/>
      <c r="N279" s="155"/>
      <c r="O279" s="161"/>
      <c r="P279" s="157"/>
    </row>
    <row r="280" spans="1:16" ht="15.75" customHeight="1">
      <c r="A280" s="151"/>
      <c r="B280" s="162"/>
      <c r="C280" s="163"/>
      <c r="D280" s="164"/>
      <c r="E280" s="163"/>
      <c r="F280" s="165"/>
      <c r="G280" s="165"/>
      <c r="H280" s="164"/>
      <c r="I280" s="163"/>
      <c r="J280" s="152"/>
      <c r="K280" s="154"/>
      <c r="L280" s="152"/>
      <c r="M280" s="152"/>
      <c r="N280" s="155"/>
      <c r="O280" s="161"/>
      <c r="P280" s="157"/>
    </row>
    <row r="281" spans="1:16" ht="15.75" customHeight="1">
      <c r="A281" s="151"/>
      <c r="B281" s="162"/>
      <c r="C281" s="163"/>
      <c r="D281" s="164"/>
      <c r="E281" s="163"/>
      <c r="F281" s="165"/>
      <c r="G281" s="165"/>
      <c r="H281" s="164"/>
      <c r="I281" s="163"/>
      <c r="J281" s="152"/>
      <c r="K281" s="154"/>
      <c r="L281" s="152"/>
      <c r="M281" s="152"/>
      <c r="N281" s="155"/>
      <c r="O281" s="161"/>
      <c r="P281" s="157"/>
    </row>
    <row r="282" spans="1:16" ht="15.75" customHeight="1">
      <c r="A282" s="151"/>
      <c r="B282" s="162"/>
      <c r="C282" s="163"/>
      <c r="D282" s="164"/>
      <c r="E282" s="163"/>
      <c r="F282" s="165"/>
      <c r="G282" s="165"/>
      <c r="H282" s="164"/>
      <c r="I282" s="163"/>
      <c r="J282" s="152"/>
      <c r="K282" s="154"/>
      <c r="L282" s="152"/>
      <c r="M282" s="152"/>
      <c r="N282" s="155"/>
      <c r="O282" s="161"/>
      <c r="P282" s="157"/>
    </row>
    <row r="283" spans="1:16" ht="15.75" customHeight="1">
      <c r="A283" s="151"/>
      <c r="B283" s="162"/>
      <c r="C283" s="163"/>
      <c r="D283" s="164"/>
      <c r="E283" s="163"/>
      <c r="F283" s="165"/>
      <c r="G283" s="165"/>
      <c r="H283" s="164"/>
      <c r="I283" s="163"/>
      <c r="J283" s="152"/>
      <c r="K283" s="154"/>
      <c r="L283" s="152"/>
      <c r="M283" s="152"/>
      <c r="N283" s="155"/>
      <c r="O283" s="161"/>
      <c r="P283" s="157"/>
    </row>
    <row r="284" spans="1:16" ht="15.75" customHeight="1">
      <c r="A284" s="151"/>
      <c r="B284" s="162"/>
      <c r="C284" s="163"/>
      <c r="D284" s="164"/>
      <c r="E284" s="163"/>
      <c r="F284" s="165"/>
      <c r="G284" s="165"/>
      <c r="H284" s="164"/>
      <c r="I284" s="163"/>
      <c r="J284" s="152"/>
      <c r="K284" s="154"/>
      <c r="L284" s="152"/>
      <c r="M284" s="152"/>
      <c r="N284" s="155"/>
      <c r="O284" s="161"/>
      <c r="P284" s="157"/>
    </row>
    <row r="285" spans="1:16" ht="15.75" customHeight="1">
      <c r="A285" s="151"/>
      <c r="B285" s="162"/>
      <c r="C285" s="163"/>
      <c r="D285" s="164"/>
      <c r="E285" s="163"/>
      <c r="F285" s="165"/>
      <c r="G285" s="165"/>
      <c r="H285" s="164"/>
      <c r="I285" s="163"/>
      <c r="J285" s="152"/>
      <c r="K285" s="154"/>
      <c r="L285" s="152"/>
      <c r="M285" s="152"/>
      <c r="N285" s="155"/>
      <c r="O285" s="161"/>
      <c r="P285" s="157"/>
    </row>
    <row r="286" spans="1:16" ht="15.75" customHeight="1">
      <c r="A286" s="151"/>
      <c r="B286" s="162"/>
      <c r="C286" s="163"/>
      <c r="D286" s="164"/>
      <c r="E286" s="163"/>
      <c r="F286" s="165"/>
      <c r="G286" s="165"/>
      <c r="H286" s="164"/>
      <c r="I286" s="163"/>
      <c r="J286" s="152"/>
      <c r="K286" s="154"/>
      <c r="L286" s="152"/>
      <c r="M286" s="152"/>
      <c r="N286" s="155"/>
      <c r="O286" s="161"/>
      <c r="P286" s="157"/>
    </row>
    <row r="287" spans="1:16" ht="15.75" customHeight="1">
      <c r="A287" s="151"/>
      <c r="B287" s="162"/>
      <c r="C287" s="163"/>
      <c r="D287" s="164"/>
      <c r="E287" s="163"/>
      <c r="F287" s="165"/>
      <c r="G287" s="165"/>
      <c r="H287" s="164"/>
      <c r="I287" s="163"/>
      <c r="J287" s="152"/>
      <c r="K287" s="154"/>
      <c r="L287" s="152"/>
      <c r="M287" s="152"/>
      <c r="N287" s="155"/>
      <c r="O287" s="161"/>
      <c r="P287" s="157"/>
    </row>
    <row r="288" spans="1:16" ht="15.75" customHeight="1">
      <c r="A288" s="151"/>
      <c r="B288" s="162"/>
      <c r="C288" s="163"/>
      <c r="D288" s="164"/>
      <c r="E288" s="163"/>
      <c r="F288" s="165"/>
      <c r="G288" s="165"/>
      <c r="H288" s="164"/>
      <c r="I288" s="163"/>
      <c r="J288" s="152"/>
      <c r="K288" s="154"/>
      <c r="L288" s="152"/>
      <c r="M288" s="152"/>
      <c r="N288" s="155"/>
      <c r="O288" s="161"/>
      <c r="P288" s="157"/>
    </row>
    <row r="289" spans="1:16" ht="15.75" customHeight="1">
      <c r="A289" s="151"/>
      <c r="B289" s="162"/>
      <c r="C289" s="163"/>
      <c r="D289" s="164"/>
      <c r="E289" s="163"/>
      <c r="F289" s="165"/>
      <c r="G289" s="165"/>
      <c r="H289" s="164"/>
      <c r="I289" s="163"/>
      <c r="J289" s="152"/>
      <c r="K289" s="154"/>
      <c r="L289" s="152"/>
      <c r="M289" s="152"/>
      <c r="N289" s="155"/>
      <c r="O289" s="161"/>
      <c r="P289" s="157"/>
    </row>
    <row r="290" spans="1:16" ht="15.75" customHeight="1">
      <c r="A290" s="151"/>
      <c r="B290" s="162"/>
      <c r="C290" s="163"/>
      <c r="D290" s="164"/>
      <c r="E290" s="163"/>
      <c r="F290" s="165"/>
      <c r="G290" s="165"/>
      <c r="H290" s="164"/>
      <c r="I290" s="163"/>
      <c r="J290" s="152"/>
      <c r="K290" s="154"/>
      <c r="L290" s="152"/>
      <c r="M290" s="152"/>
      <c r="N290" s="155"/>
      <c r="O290" s="161"/>
      <c r="P290" s="157"/>
    </row>
    <row r="291" spans="1:16" ht="15.75" customHeight="1">
      <c r="A291" s="151"/>
      <c r="B291" s="162"/>
      <c r="C291" s="163"/>
      <c r="D291" s="164"/>
      <c r="E291" s="163"/>
      <c r="F291" s="165"/>
      <c r="G291" s="165"/>
      <c r="H291" s="164"/>
      <c r="I291" s="163"/>
      <c r="J291" s="152"/>
      <c r="K291" s="154"/>
      <c r="L291" s="152"/>
      <c r="M291" s="152"/>
      <c r="N291" s="155"/>
      <c r="O291" s="161"/>
      <c r="P291" s="157"/>
    </row>
    <row r="292" spans="1:16" ht="15.75" customHeight="1">
      <c r="A292" s="151"/>
      <c r="B292" s="162"/>
      <c r="C292" s="163"/>
      <c r="D292" s="164"/>
      <c r="E292" s="163"/>
      <c r="F292" s="165"/>
      <c r="G292" s="165"/>
      <c r="H292" s="164"/>
      <c r="I292" s="163"/>
      <c r="J292" s="152"/>
      <c r="K292" s="154"/>
      <c r="L292" s="152"/>
      <c r="M292" s="152"/>
      <c r="N292" s="155"/>
      <c r="O292" s="161"/>
      <c r="P292" s="157"/>
    </row>
    <row r="293" spans="1:16" ht="15.75" customHeight="1">
      <c r="A293" s="151"/>
      <c r="B293" s="162"/>
      <c r="C293" s="163"/>
      <c r="D293" s="164"/>
      <c r="E293" s="163"/>
      <c r="F293" s="165"/>
      <c r="G293" s="165"/>
      <c r="H293" s="164"/>
      <c r="I293" s="163"/>
      <c r="J293" s="152"/>
      <c r="K293" s="154"/>
      <c r="L293" s="152"/>
      <c r="M293" s="152"/>
      <c r="N293" s="155"/>
      <c r="O293" s="161"/>
      <c r="P293" s="157"/>
    </row>
    <row r="294" spans="1:16" ht="15.75" customHeight="1">
      <c r="A294" s="151"/>
      <c r="B294" s="162"/>
      <c r="C294" s="163"/>
      <c r="D294" s="164"/>
      <c r="E294" s="163"/>
      <c r="F294" s="165"/>
      <c r="G294" s="165"/>
      <c r="H294" s="164"/>
      <c r="I294" s="163"/>
      <c r="J294" s="152"/>
      <c r="K294" s="154"/>
      <c r="L294" s="152"/>
      <c r="M294" s="152"/>
      <c r="N294" s="155"/>
      <c r="O294" s="161"/>
      <c r="P294" s="157"/>
    </row>
    <row r="295" spans="1:16" ht="15.75" customHeight="1">
      <c r="A295" s="151"/>
      <c r="B295" s="162"/>
      <c r="C295" s="163"/>
      <c r="D295" s="164"/>
      <c r="E295" s="163"/>
      <c r="F295" s="165"/>
      <c r="G295" s="165"/>
      <c r="H295" s="164"/>
      <c r="I295" s="163"/>
      <c r="J295" s="152"/>
      <c r="K295" s="154"/>
      <c r="L295" s="152"/>
      <c r="M295" s="152"/>
      <c r="N295" s="155"/>
      <c r="O295" s="161"/>
      <c r="P295" s="157"/>
    </row>
    <row r="296" spans="1:16" ht="15.75" customHeight="1">
      <c r="A296" s="151"/>
      <c r="B296" s="162"/>
      <c r="C296" s="163"/>
      <c r="D296" s="164"/>
      <c r="E296" s="163"/>
      <c r="F296" s="165"/>
      <c r="G296" s="165"/>
      <c r="H296" s="164"/>
      <c r="I296" s="163"/>
      <c r="J296" s="152"/>
      <c r="K296" s="154"/>
      <c r="L296" s="152"/>
      <c r="M296" s="152"/>
      <c r="N296" s="155"/>
      <c r="O296" s="161"/>
      <c r="P296" s="157"/>
    </row>
    <row r="297" spans="1:16" ht="15.75" customHeight="1">
      <c r="A297" s="151"/>
      <c r="B297" s="162"/>
      <c r="C297" s="163"/>
      <c r="D297" s="164"/>
      <c r="E297" s="163"/>
      <c r="F297" s="165"/>
      <c r="G297" s="165"/>
      <c r="H297" s="164"/>
      <c r="I297" s="163"/>
      <c r="J297" s="152"/>
      <c r="K297" s="154"/>
      <c r="L297" s="152"/>
      <c r="M297" s="152"/>
      <c r="N297" s="155"/>
      <c r="O297" s="161"/>
      <c r="P297" s="157"/>
    </row>
    <row r="298" spans="1:16" ht="15.75" customHeight="1">
      <c r="A298" s="151"/>
      <c r="B298" s="162"/>
      <c r="C298" s="163"/>
      <c r="D298" s="164"/>
      <c r="E298" s="163"/>
      <c r="F298" s="165"/>
      <c r="G298" s="165"/>
      <c r="H298" s="164"/>
      <c r="I298" s="163"/>
      <c r="J298" s="152"/>
      <c r="K298" s="154"/>
      <c r="L298" s="152"/>
      <c r="M298" s="152"/>
      <c r="N298" s="155"/>
      <c r="O298" s="161"/>
      <c r="P298" s="157"/>
    </row>
    <row r="299" spans="1:16" ht="15.75" customHeight="1">
      <c r="A299" s="151"/>
      <c r="B299" s="162"/>
      <c r="C299" s="163"/>
      <c r="D299" s="164"/>
      <c r="E299" s="163"/>
      <c r="F299" s="165"/>
      <c r="G299" s="165"/>
      <c r="H299" s="164"/>
      <c r="I299" s="163"/>
      <c r="J299" s="152"/>
      <c r="K299" s="154"/>
      <c r="L299" s="152"/>
      <c r="M299" s="152"/>
      <c r="N299" s="155"/>
      <c r="O299" s="161"/>
      <c r="P299" s="157"/>
    </row>
    <row r="300" spans="1:16" ht="15.75" customHeight="1">
      <c r="A300" s="151"/>
      <c r="B300" s="162"/>
      <c r="C300" s="163"/>
      <c r="D300" s="164"/>
      <c r="E300" s="163"/>
      <c r="F300" s="165"/>
      <c r="G300" s="165"/>
      <c r="H300" s="164"/>
      <c r="I300" s="163"/>
      <c r="J300" s="152"/>
      <c r="K300" s="154"/>
      <c r="L300" s="152"/>
      <c r="M300" s="152"/>
      <c r="N300" s="155"/>
      <c r="O300" s="161"/>
      <c r="P300" s="157"/>
    </row>
    <row r="301" spans="1:16" ht="15.75" customHeight="1">
      <c r="A301" s="151"/>
      <c r="B301" s="162"/>
      <c r="C301" s="163"/>
      <c r="D301" s="164"/>
      <c r="E301" s="163"/>
      <c r="F301" s="165"/>
      <c r="G301" s="165"/>
      <c r="H301" s="164"/>
      <c r="I301" s="163"/>
      <c r="J301" s="152"/>
      <c r="K301" s="154"/>
      <c r="L301" s="152"/>
      <c r="M301" s="152"/>
      <c r="N301" s="155"/>
      <c r="O301" s="161"/>
      <c r="P301" s="157"/>
    </row>
    <row r="302" spans="1:16" ht="15.75" customHeight="1">
      <c r="A302" s="151"/>
      <c r="B302" s="162"/>
      <c r="C302" s="163"/>
      <c r="D302" s="164"/>
      <c r="E302" s="163"/>
      <c r="F302" s="165"/>
      <c r="G302" s="165"/>
      <c r="H302" s="164"/>
      <c r="I302" s="163"/>
      <c r="J302" s="152"/>
      <c r="K302" s="154"/>
      <c r="L302" s="152"/>
      <c r="M302" s="152"/>
      <c r="N302" s="155"/>
      <c r="O302" s="161"/>
      <c r="P302" s="157"/>
    </row>
    <row r="303" spans="1:16" ht="15.75" customHeight="1">
      <c r="A303" s="151"/>
      <c r="B303" s="162"/>
      <c r="C303" s="163"/>
      <c r="D303" s="164"/>
      <c r="E303" s="163"/>
      <c r="F303" s="165"/>
      <c r="G303" s="165"/>
      <c r="H303" s="164"/>
      <c r="I303" s="163"/>
      <c r="J303" s="152"/>
      <c r="K303" s="154"/>
      <c r="L303" s="152"/>
      <c r="M303" s="152"/>
      <c r="N303" s="155"/>
      <c r="O303" s="161"/>
      <c r="P303" s="157"/>
    </row>
    <row r="304" spans="1:16" ht="15.75" customHeight="1">
      <c r="A304" s="151"/>
      <c r="B304" s="162"/>
      <c r="C304" s="163"/>
      <c r="D304" s="164"/>
      <c r="E304" s="163"/>
      <c r="F304" s="165"/>
      <c r="G304" s="165"/>
      <c r="H304" s="164"/>
      <c r="I304" s="163"/>
      <c r="J304" s="152"/>
      <c r="K304" s="154"/>
      <c r="L304" s="152"/>
      <c r="M304" s="152"/>
      <c r="N304" s="155"/>
      <c r="O304" s="161"/>
      <c r="P304" s="157"/>
    </row>
    <row r="305" spans="1:16" ht="15.75" customHeight="1">
      <c r="A305" s="151"/>
      <c r="B305" s="162"/>
      <c r="C305" s="163"/>
      <c r="D305" s="164"/>
      <c r="E305" s="163"/>
      <c r="F305" s="165"/>
      <c r="G305" s="165"/>
      <c r="H305" s="164"/>
      <c r="I305" s="163"/>
      <c r="J305" s="152"/>
      <c r="K305" s="154"/>
      <c r="L305" s="152"/>
      <c r="M305" s="152"/>
      <c r="N305" s="155"/>
      <c r="O305" s="161"/>
      <c r="P305" s="157"/>
    </row>
    <row r="306" spans="1:16" ht="15.75" customHeight="1">
      <c r="A306" s="151"/>
      <c r="B306" s="162"/>
      <c r="C306" s="163"/>
      <c r="D306" s="164"/>
      <c r="E306" s="163"/>
      <c r="F306" s="165"/>
      <c r="G306" s="165"/>
      <c r="H306" s="164"/>
      <c r="I306" s="163"/>
      <c r="J306" s="152"/>
      <c r="K306" s="154"/>
      <c r="L306" s="152"/>
      <c r="M306" s="152"/>
      <c r="N306" s="155"/>
      <c r="O306" s="161"/>
      <c r="P306" s="157"/>
    </row>
    <row r="307" spans="1:16" ht="15.75" customHeight="1">
      <c r="A307" s="151"/>
      <c r="B307" s="162"/>
      <c r="C307" s="163"/>
      <c r="D307" s="164"/>
      <c r="E307" s="163"/>
      <c r="F307" s="165"/>
      <c r="G307" s="165"/>
      <c r="H307" s="164"/>
      <c r="I307" s="163"/>
      <c r="J307" s="152"/>
      <c r="K307" s="154"/>
      <c r="L307" s="152"/>
      <c r="M307" s="152"/>
      <c r="N307" s="155"/>
      <c r="O307" s="161"/>
      <c r="P307" s="157"/>
    </row>
    <row r="308" spans="1:16" ht="15.75" customHeight="1">
      <c r="A308" s="151"/>
      <c r="B308" s="162"/>
      <c r="C308" s="163"/>
      <c r="D308" s="164"/>
      <c r="E308" s="163"/>
      <c r="F308" s="165"/>
      <c r="G308" s="165"/>
      <c r="H308" s="164"/>
      <c r="I308" s="163"/>
      <c r="J308" s="152"/>
      <c r="K308" s="154"/>
      <c r="L308" s="152"/>
      <c r="M308" s="152"/>
      <c r="N308" s="155"/>
      <c r="O308" s="161"/>
      <c r="P308" s="157"/>
    </row>
    <row r="309" spans="1:16" ht="15.75" customHeight="1">
      <c r="A309" s="151"/>
      <c r="B309" s="162"/>
      <c r="C309" s="163"/>
      <c r="D309" s="164"/>
      <c r="E309" s="163"/>
      <c r="F309" s="165"/>
      <c r="G309" s="165"/>
      <c r="H309" s="164"/>
      <c r="I309" s="163"/>
      <c r="J309" s="152"/>
      <c r="K309" s="154"/>
      <c r="L309" s="152"/>
      <c r="M309" s="152"/>
      <c r="N309" s="155"/>
      <c r="O309" s="161"/>
      <c r="P309" s="157"/>
    </row>
    <row r="310" spans="1:16" ht="15.75" customHeight="1">
      <c r="A310" s="151"/>
      <c r="B310" s="162"/>
      <c r="C310" s="163"/>
      <c r="D310" s="164"/>
      <c r="E310" s="163"/>
      <c r="F310" s="165"/>
      <c r="G310" s="165"/>
      <c r="H310" s="164"/>
      <c r="I310" s="163"/>
      <c r="J310" s="152"/>
      <c r="K310" s="154"/>
      <c r="L310" s="152"/>
      <c r="M310" s="152"/>
      <c r="N310" s="155"/>
      <c r="O310" s="161"/>
      <c r="P310" s="157"/>
    </row>
    <row r="311" spans="1:16" ht="15.75" customHeight="1">
      <c r="A311" s="151"/>
      <c r="B311" s="162"/>
      <c r="C311" s="163"/>
      <c r="D311" s="164"/>
      <c r="E311" s="163"/>
      <c r="F311" s="165"/>
      <c r="G311" s="165"/>
      <c r="H311" s="164"/>
      <c r="I311" s="163"/>
      <c r="J311" s="152"/>
      <c r="K311" s="154"/>
      <c r="L311" s="152"/>
      <c r="M311" s="152"/>
      <c r="N311" s="155"/>
      <c r="O311" s="161"/>
      <c r="P311" s="157"/>
    </row>
    <row r="312" spans="1:16" ht="15.75" customHeight="1">
      <c r="A312" s="151"/>
      <c r="B312" s="162"/>
      <c r="C312" s="163"/>
      <c r="D312" s="164"/>
      <c r="E312" s="163"/>
      <c r="F312" s="165"/>
      <c r="G312" s="165"/>
      <c r="H312" s="164"/>
      <c r="I312" s="163"/>
      <c r="J312" s="152"/>
      <c r="K312" s="154"/>
      <c r="L312" s="152"/>
      <c r="M312" s="152"/>
      <c r="N312" s="155"/>
      <c r="O312" s="161"/>
      <c r="P312" s="157"/>
    </row>
    <row r="313" spans="1:16" ht="15.75" customHeight="1">
      <c r="A313" s="151"/>
      <c r="B313" s="162"/>
      <c r="C313" s="163"/>
      <c r="D313" s="164"/>
      <c r="E313" s="163"/>
      <c r="F313" s="165"/>
      <c r="G313" s="165"/>
      <c r="H313" s="164"/>
      <c r="I313" s="163"/>
      <c r="J313" s="152"/>
      <c r="K313" s="154"/>
      <c r="L313" s="152"/>
      <c r="M313" s="152"/>
      <c r="N313" s="155"/>
      <c r="O313" s="161"/>
      <c r="P313" s="157"/>
    </row>
    <row r="314" spans="1:16" ht="15.75" customHeight="1">
      <c r="A314" s="151"/>
      <c r="B314" s="162"/>
      <c r="C314" s="163"/>
      <c r="D314" s="164"/>
      <c r="E314" s="163"/>
      <c r="F314" s="165"/>
      <c r="G314" s="165"/>
      <c r="H314" s="164"/>
      <c r="I314" s="163"/>
      <c r="J314" s="152"/>
      <c r="K314" s="154"/>
      <c r="L314" s="152"/>
      <c r="M314" s="152"/>
      <c r="N314" s="155"/>
      <c r="O314" s="161"/>
      <c r="P314" s="157"/>
    </row>
    <row r="315" spans="1:16" ht="15.75" customHeight="1">
      <c r="A315" s="151"/>
      <c r="B315" s="162"/>
      <c r="C315" s="163"/>
      <c r="D315" s="164"/>
      <c r="E315" s="163"/>
      <c r="F315" s="165"/>
      <c r="G315" s="165"/>
      <c r="H315" s="164"/>
      <c r="I315" s="163"/>
      <c r="J315" s="152"/>
      <c r="K315" s="154"/>
      <c r="L315" s="152"/>
      <c r="M315" s="152"/>
      <c r="N315" s="155"/>
      <c r="O315" s="161"/>
      <c r="P315" s="157"/>
    </row>
    <row r="316" spans="1:16" ht="15.75" customHeight="1">
      <c r="A316" s="151"/>
      <c r="B316" s="162"/>
      <c r="C316" s="163"/>
      <c r="D316" s="164"/>
      <c r="E316" s="163"/>
      <c r="F316" s="165"/>
      <c r="G316" s="165"/>
      <c r="H316" s="164"/>
      <c r="I316" s="163"/>
      <c r="J316" s="152"/>
      <c r="K316" s="154"/>
      <c r="L316" s="152"/>
      <c r="M316" s="152"/>
      <c r="N316" s="155"/>
      <c r="O316" s="161"/>
      <c r="P316" s="157"/>
    </row>
    <row r="317" spans="1:16" ht="15.75" customHeight="1">
      <c r="A317" s="151"/>
      <c r="B317" s="162"/>
      <c r="C317" s="163"/>
      <c r="D317" s="164"/>
      <c r="E317" s="163"/>
      <c r="F317" s="165"/>
      <c r="G317" s="165"/>
      <c r="H317" s="164"/>
      <c r="I317" s="163"/>
      <c r="J317" s="152"/>
      <c r="K317" s="154"/>
      <c r="L317" s="152"/>
      <c r="M317" s="152"/>
      <c r="N317" s="155"/>
      <c r="O317" s="161"/>
      <c r="P317" s="157"/>
    </row>
    <row r="318" spans="1:16" ht="15.75" customHeight="1">
      <c r="A318" s="151"/>
      <c r="B318" s="162"/>
      <c r="C318" s="163"/>
      <c r="D318" s="164"/>
      <c r="E318" s="163"/>
      <c r="F318" s="165"/>
      <c r="G318" s="165"/>
      <c r="H318" s="164"/>
      <c r="I318" s="163"/>
      <c r="J318" s="152"/>
      <c r="K318" s="154"/>
      <c r="L318" s="152"/>
      <c r="M318" s="152"/>
      <c r="N318" s="155"/>
      <c r="O318" s="161"/>
      <c r="P318" s="157"/>
    </row>
    <row r="319" spans="1:16" ht="15.75" customHeight="1">
      <c r="A319" s="151"/>
      <c r="B319" s="162"/>
      <c r="C319" s="163"/>
      <c r="D319" s="164"/>
      <c r="E319" s="163"/>
      <c r="F319" s="165"/>
      <c r="G319" s="165"/>
      <c r="H319" s="164"/>
      <c r="I319" s="163"/>
      <c r="J319" s="152"/>
      <c r="K319" s="154"/>
      <c r="L319" s="152"/>
      <c r="M319" s="152"/>
      <c r="N319" s="155"/>
      <c r="O319" s="161"/>
      <c r="P319" s="157"/>
    </row>
    <row r="320" spans="1:16" ht="15.75" customHeight="1">
      <c r="A320" s="151"/>
      <c r="B320" s="162"/>
      <c r="C320" s="163"/>
      <c r="D320" s="164"/>
      <c r="E320" s="163"/>
      <c r="F320" s="165"/>
      <c r="G320" s="165"/>
      <c r="H320" s="164"/>
      <c r="I320" s="163"/>
      <c r="J320" s="152"/>
      <c r="K320" s="154"/>
      <c r="L320" s="152"/>
      <c r="M320" s="152"/>
      <c r="N320" s="155"/>
      <c r="O320" s="161"/>
      <c r="P320" s="157"/>
    </row>
    <row r="321" spans="1:16" ht="15.75" customHeight="1">
      <c r="A321" s="151"/>
      <c r="B321" s="162"/>
      <c r="C321" s="163"/>
      <c r="D321" s="164"/>
      <c r="E321" s="163"/>
      <c r="F321" s="165"/>
      <c r="G321" s="165"/>
      <c r="H321" s="164"/>
      <c r="I321" s="163"/>
      <c r="J321" s="152"/>
      <c r="K321" s="154"/>
      <c r="L321" s="152"/>
      <c r="M321" s="152"/>
      <c r="N321" s="155"/>
      <c r="O321" s="161"/>
      <c r="P321" s="157"/>
    </row>
    <row r="322" spans="1:16" ht="15.75" customHeight="1">
      <c r="A322" s="151"/>
      <c r="B322" s="162"/>
      <c r="C322" s="163"/>
      <c r="D322" s="164"/>
      <c r="E322" s="163"/>
      <c r="F322" s="165"/>
      <c r="G322" s="165"/>
      <c r="H322" s="164"/>
      <c r="I322" s="163"/>
      <c r="J322" s="152"/>
      <c r="K322" s="154"/>
      <c r="L322" s="152"/>
      <c r="M322" s="152"/>
      <c r="N322" s="155"/>
      <c r="O322" s="161"/>
      <c r="P322" s="157"/>
    </row>
    <row r="323" spans="1:16" ht="15.75" customHeight="1">
      <c r="A323" s="151"/>
      <c r="B323" s="162"/>
      <c r="C323" s="163"/>
      <c r="D323" s="164"/>
      <c r="E323" s="163"/>
      <c r="F323" s="165"/>
      <c r="G323" s="165"/>
      <c r="H323" s="164"/>
      <c r="I323" s="163"/>
      <c r="J323" s="152"/>
      <c r="K323" s="154"/>
      <c r="L323" s="152"/>
      <c r="M323" s="152"/>
      <c r="N323" s="155"/>
      <c r="O323" s="161"/>
      <c r="P323" s="157"/>
    </row>
    <row r="324" spans="1:16" ht="15.75" customHeight="1">
      <c r="A324" s="151"/>
      <c r="B324" s="162"/>
      <c r="C324" s="163"/>
      <c r="D324" s="164"/>
      <c r="E324" s="163"/>
      <c r="F324" s="165"/>
      <c r="G324" s="165"/>
      <c r="H324" s="164"/>
      <c r="I324" s="163"/>
      <c r="J324" s="152"/>
      <c r="K324" s="154"/>
      <c r="L324" s="152"/>
      <c r="M324" s="152"/>
      <c r="N324" s="155"/>
      <c r="O324" s="161"/>
      <c r="P324" s="157"/>
    </row>
    <row r="325" spans="1:16" ht="15.75" customHeight="1">
      <c r="A325" s="151"/>
      <c r="B325" s="162"/>
      <c r="C325" s="163"/>
      <c r="D325" s="164"/>
      <c r="E325" s="163"/>
      <c r="F325" s="165"/>
      <c r="G325" s="165"/>
      <c r="H325" s="164"/>
      <c r="I325" s="163"/>
      <c r="J325" s="152"/>
      <c r="K325" s="154"/>
      <c r="L325" s="152"/>
      <c r="M325" s="152"/>
      <c r="N325" s="155"/>
      <c r="O325" s="161"/>
      <c r="P325" s="157"/>
    </row>
    <row r="326" spans="1:16" ht="15.75" customHeight="1">
      <c r="A326" s="151"/>
      <c r="B326" s="162"/>
      <c r="C326" s="163"/>
      <c r="D326" s="164"/>
      <c r="E326" s="163"/>
      <c r="F326" s="165"/>
      <c r="G326" s="165"/>
      <c r="H326" s="164"/>
      <c r="I326" s="163"/>
      <c r="J326" s="152"/>
      <c r="K326" s="154"/>
      <c r="L326" s="152"/>
      <c r="M326" s="152"/>
      <c r="N326" s="155"/>
      <c r="O326" s="161"/>
      <c r="P326" s="157"/>
    </row>
    <row r="327" spans="1:16" ht="15.75" customHeight="1">
      <c r="A327" s="151"/>
      <c r="B327" s="162"/>
      <c r="C327" s="163"/>
      <c r="D327" s="164"/>
      <c r="E327" s="163"/>
      <c r="F327" s="165"/>
      <c r="G327" s="165"/>
      <c r="H327" s="164"/>
      <c r="I327" s="163"/>
      <c r="J327" s="152"/>
      <c r="K327" s="154"/>
      <c r="L327" s="152"/>
      <c r="M327" s="152"/>
      <c r="N327" s="155"/>
      <c r="O327" s="161"/>
      <c r="P327" s="157"/>
    </row>
    <row r="328" spans="1:16" ht="15.75" customHeight="1">
      <c r="A328" s="151"/>
      <c r="B328" s="162"/>
      <c r="C328" s="163"/>
      <c r="D328" s="164"/>
      <c r="E328" s="163"/>
      <c r="F328" s="165"/>
      <c r="G328" s="165"/>
      <c r="H328" s="164"/>
      <c r="I328" s="163"/>
      <c r="J328" s="152"/>
      <c r="K328" s="154"/>
      <c r="L328" s="152"/>
      <c r="M328" s="152"/>
      <c r="N328" s="155"/>
      <c r="O328" s="161"/>
      <c r="P328" s="157"/>
    </row>
    <row r="329" spans="1:16" ht="15.75" customHeight="1">
      <c r="A329" s="151"/>
      <c r="B329" s="162"/>
      <c r="C329" s="163"/>
      <c r="D329" s="164"/>
      <c r="E329" s="163"/>
      <c r="F329" s="165"/>
      <c r="G329" s="165"/>
      <c r="H329" s="164"/>
      <c r="I329" s="163"/>
      <c r="J329" s="152"/>
      <c r="K329" s="154"/>
      <c r="L329" s="152"/>
      <c r="M329" s="152"/>
      <c r="N329" s="155"/>
      <c r="O329" s="161"/>
      <c r="P329" s="157"/>
    </row>
    <row r="330" spans="1:16" ht="15.75" customHeight="1">
      <c r="A330" s="151"/>
      <c r="B330" s="162"/>
      <c r="C330" s="163"/>
      <c r="D330" s="164"/>
      <c r="E330" s="163"/>
      <c r="F330" s="165"/>
      <c r="G330" s="165"/>
      <c r="H330" s="164"/>
      <c r="I330" s="163"/>
      <c r="J330" s="152"/>
      <c r="K330" s="154"/>
      <c r="L330" s="152"/>
      <c r="M330" s="152"/>
      <c r="N330" s="155"/>
      <c r="O330" s="161"/>
      <c r="P330" s="157"/>
    </row>
    <row r="331" spans="1:16" ht="15.75" customHeight="1">
      <c r="A331" s="151"/>
      <c r="B331" s="162"/>
      <c r="C331" s="163"/>
      <c r="D331" s="164"/>
      <c r="E331" s="163"/>
      <c r="F331" s="165"/>
      <c r="G331" s="165"/>
      <c r="H331" s="164"/>
      <c r="I331" s="163"/>
      <c r="J331" s="152"/>
      <c r="K331" s="154"/>
      <c r="L331" s="152"/>
      <c r="M331" s="152"/>
      <c r="N331" s="155"/>
      <c r="O331" s="161"/>
      <c r="P331" s="157"/>
    </row>
    <row r="332" spans="1:16" ht="15.75" customHeight="1">
      <c r="A332" s="151"/>
      <c r="B332" s="162"/>
      <c r="C332" s="163"/>
      <c r="D332" s="164"/>
      <c r="E332" s="163"/>
      <c r="F332" s="165"/>
      <c r="G332" s="165"/>
      <c r="H332" s="164"/>
      <c r="I332" s="163"/>
      <c r="J332" s="152"/>
      <c r="K332" s="154"/>
      <c r="L332" s="152"/>
      <c r="M332" s="152"/>
      <c r="N332" s="155"/>
      <c r="O332" s="161"/>
      <c r="P332" s="157"/>
    </row>
    <row r="333" spans="1:16" ht="15.75" customHeight="1">
      <c r="A333" s="151"/>
      <c r="B333" s="162"/>
      <c r="C333" s="163"/>
      <c r="D333" s="164"/>
      <c r="E333" s="163"/>
      <c r="F333" s="165"/>
      <c r="G333" s="165"/>
      <c r="H333" s="164"/>
      <c r="I333" s="163"/>
      <c r="J333" s="152"/>
      <c r="K333" s="154"/>
      <c r="L333" s="152"/>
      <c r="M333" s="152"/>
      <c r="N333" s="155"/>
      <c r="O333" s="161"/>
      <c r="P333" s="157"/>
    </row>
    <row r="334" spans="1:16" ht="15.75" customHeight="1">
      <c r="A334" s="151"/>
      <c r="B334" s="162"/>
      <c r="C334" s="163"/>
      <c r="D334" s="164"/>
      <c r="E334" s="163"/>
      <c r="F334" s="165"/>
      <c r="G334" s="165"/>
      <c r="H334" s="164"/>
      <c r="I334" s="163"/>
      <c r="J334" s="152"/>
      <c r="K334" s="154"/>
      <c r="L334" s="152"/>
      <c r="M334" s="152"/>
      <c r="N334" s="155"/>
      <c r="O334" s="161"/>
      <c r="P334" s="157"/>
    </row>
    <row r="335" spans="1:16" ht="15.75" customHeight="1">
      <c r="A335" s="151"/>
      <c r="B335" s="162"/>
      <c r="C335" s="163"/>
      <c r="D335" s="164"/>
      <c r="E335" s="163"/>
      <c r="F335" s="165"/>
      <c r="G335" s="165"/>
      <c r="H335" s="164"/>
      <c r="I335" s="163"/>
      <c r="J335" s="152"/>
      <c r="K335" s="154"/>
      <c r="L335" s="152"/>
      <c r="M335" s="152"/>
      <c r="N335" s="155"/>
      <c r="O335" s="161"/>
      <c r="P335" s="157"/>
    </row>
    <row r="336" spans="1:16" ht="15.75" customHeight="1">
      <c r="A336" s="151"/>
      <c r="B336" s="162"/>
      <c r="C336" s="163"/>
      <c r="D336" s="164"/>
      <c r="E336" s="163"/>
      <c r="F336" s="165"/>
      <c r="G336" s="165"/>
      <c r="H336" s="164"/>
      <c r="I336" s="163"/>
      <c r="J336" s="152"/>
      <c r="K336" s="154"/>
      <c r="L336" s="152"/>
      <c r="M336" s="152"/>
      <c r="N336" s="155"/>
      <c r="O336" s="161"/>
      <c r="P336" s="157"/>
    </row>
    <row r="337" spans="1:16" ht="15.75" customHeight="1">
      <c r="A337" s="151"/>
      <c r="B337" s="162"/>
      <c r="C337" s="163"/>
      <c r="D337" s="164"/>
      <c r="E337" s="163"/>
      <c r="F337" s="165"/>
      <c r="G337" s="165"/>
      <c r="H337" s="164"/>
      <c r="I337" s="163"/>
      <c r="J337" s="152"/>
      <c r="K337" s="154"/>
      <c r="L337" s="152"/>
      <c r="M337" s="152"/>
      <c r="N337" s="155"/>
      <c r="O337" s="161"/>
      <c r="P337" s="157"/>
    </row>
    <row r="338" spans="1:16" ht="15.75" customHeight="1">
      <c r="A338" s="151"/>
      <c r="B338" s="162"/>
      <c r="C338" s="163"/>
      <c r="D338" s="164"/>
      <c r="E338" s="163"/>
      <c r="F338" s="165"/>
      <c r="G338" s="165"/>
      <c r="H338" s="164"/>
      <c r="I338" s="163"/>
      <c r="J338" s="152"/>
      <c r="K338" s="154"/>
      <c r="L338" s="152"/>
      <c r="M338" s="152"/>
      <c r="N338" s="155"/>
      <c r="O338" s="161"/>
      <c r="P338" s="157"/>
    </row>
    <row r="339" spans="1:16" ht="15.75" customHeight="1">
      <c r="A339" s="151"/>
      <c r="B339" s="162"/>
      <c r="C339" s="163"/>
      <c r="D339" s="164"/>
      <c r="E339" s="163"/>
      <c r="F339" s="165"/>
      <c r="G339" s="165"/>
      <c r="H339" s="164"/>
      <c r="I339" s="163"/>
      <c r="J339" s="152"/>
      <c r="K339" s="154"/>
      <c r="L339" s="152"/>
      <c r="M339" s="152"/>
      <c r="N339" s="155"/>
      <c r="O339" s="161"/>
      <c r="P339" s="157"/>
    </row>
    <row r="340" spans="1:16" ht="15.75" customHeight="1">
      <c r="A340" s="151"/>
      <c r="B340" s="162"/>
      <c r="C340" s="163"/>
      <c r="D340" s="164"/>
      <c r="E340" s="163"/>
      <c r="F340" s="165"/>
      <c r="G340" s="165"/>
      <c r="H340" s="164"/>
      <c r="I340" s="163"/>
      <c r="J340" s="152"/>
      <c r="K340" s="154"/>
      <c r="L340" s="152"/>
      <c r="M340" s="152"/>
      <c r="N340" s="155"/>
      <c r="O340" s="161"/>
      <c r="P340" s="157"/>
    </row>
    <row r="341" spans="1:16" ht="15.75" customHeight="1">
      <c r="A341" s="151"/>
      <c r="B341" s="162"/>
      <c r="C341" s="163"/>
      <c r="D341" s="164"/>
      <c r="E341" s="163"/>
      <c r="F341" s="165"/>
      <c r="G341" s="165"/>
      <c r="H341" s="164"/>
      <c r="I341" s="163"/>
      <c r="J341" s="152"/>
      <c r="K341" s="154"/>
      <c r="L341" s="152"/>
      <c r="M341" s="152"/>
      <c r="N341" s="155"/>
      <c r="O341" s="161"/>
      <c r="P341" s="157"/>
    </row>
    <row r="342" spans="1:16" ht="15.75" customHeight="1">
      <c r="A342" s="151"/>
      <c r="B342" s="162"/>
      <c r="C342" s="163"/>
      <c r="D342" s="164"/>
      <c r="E342" s="163"/>
      <c r="F342" s="165"/>
      <c r="G342" s="165"/>
      <c r="H342" s="164"/>
      <c r="I342" s="163"/>
      <c r="J342" s="152"/>
      <c r="K342" s="154"/>
      <c r="L342" s="152"/>
      <c r="M342" s="152"/>
      <c r="N342" s="155"/>
      <c r="O342" s="161"/>
      <c r="P342" s="157"/>
    </row>
    <row r="343" spans="1:16" ht="15.75" customHeight="1">
      <c r="A343" s="151"/>
      <c r="B343" s="162"/>
      <c r="C343" s="163"/>
      <c r="D343" s="164"/>
      <c r="E343" s="163"/>
      <c r="F343" s="165"/>
      <c r="G343" s="165"/>
      <c r="H343" s="164"/>
      <c r="I343" s="163"/>
      <c r="J343" s="152"/>
      <c r="K343" s="154"/>
      <c r="L343" s="152"/>
      <c r="M343" s="152"/>
      <c r="N343" s="155"/>
      <c r="O343" s="161"/>
      <c r="P343" s="157"/>
    </row>
    <row r="344" spans="1:16" ht="15.75" customHeight="1">
      <c r="A344" s="151"/>
      <c r="B344" s="162"/>
      <c r="C344" s="163"/>
      <c r="D344" s="164"/>
      <c r="E344" s="163"/>
      <c r="F344" s="165"/>
      <c r="G344" s="165"/>
      <c r="H344" s="164"/>
      <c r="I344" s="163"/>
      <c r="J344" s="152"/>
      <c r="K344" s="154"/>
      <c r="L344" s="152"/>
      <c r="M344" s="152"/>
      <c r="N344" s="155"/>
      <c r="O344" s="161"/>
      <c r="P344" s="157"/>
    </row>
    <row r="345" spans="1:16" ht="15.75" customHeight="1">
      <c r="A345" s="151"/>
      <c r="B345" s="162"/>
      <c r="C345" s="163"/>
      <c r="D345" s="164"/>
      <c r="E345" s="163"/>
      <c r="F345" s="165"/>
      <c r="G345" s="165"/>
      <c r="H345" s="164"/>
      <c r="I345" s="163"/>
      <c r="J345" s="152"/>
      <c r="K345" s="154"/>
      <c r="L345" s="152"/>
      <c r="M345" s="152"/>
      <c r="N345" s="155"/>
      <c r="O345" s="161"/>
      <c r="P345" s="157"/>
    </row>
    <row r="346" spans="1:16" ht="15.75" customHeight="1">
      <c r="A346" s="151"/>
      <c r="B346" s="162"/>
      <c r="C346" s="163"/>
      <c r="D346" s="164"/>
      <c r="E346" s="163"/>
      <c r="F346" s="165"/>
      <c r="G346" s="165"/>
      <c r="H346" s="164"/>
      <c r="I346" s="163"/>
      <c r="J346" s="152"/>
      <c r="K346" s="154"/>
      <c r="L346" s="152"/>
      <c r="M346" s="152"/>
      <c r="N346" s="155"/>
      <c r="O346" s="161"/>
      <c r="P346" s="157"/>
    </row>
    <row r="347" spans="1:16" ht="15.75" customHeight="1">
      <c r="A347" s="151"/>
      <c r="B347" s="162"/>
      <c r="C347" s="163"/>
      <c r="D347" s="164"/>
      <c r="E347" s="163"/>
      <c r="F347" s="165"/>
      <c r="G347" s="165"/>
      <c r="H347" s="164"/>
      <c r="I347" s="163"/>
      <c r="J347" s="152"/>
      <c r="K347" s="154"/>
      <c r="L347" s="152"/>
      <c r="M347" s="152"/>
      <c r="N347" s="155"/>
      <c r="O347" s="161"/>
      <c r="P347" s="157"/>
    </row>
    <row r="348" spans="1:16" ht="15.75" customHeight="1">
      <c r="A348" s="151"/>
      <c r="B348" s="162"/>
      <c r="C348" s="163"/>
      <c r="D348" s="164"/>
      <c r="E348" s="163"/>
      <c r="F348" s="165"/>
      <c r="G348" s="165"/>
      <c r="H348" s="164"/>
      <c r="I348" s="163"/>
      <c r="J348" s="152"/>
      <c r="K348" s="154"/>
      <c r="L348" s="152"/>
      <c r="M348" s="152"/>
      <c r="N348" s="155"/>
      <c r="O348" s="161"/>
      <c r="P348" s="157"/>
    </row>
    <row r="349" spans="1:16" ht="15.75" customHeight="1">
      <c r="A349" s="151"/>
      <c r="B349" s="162"/>
      <c r="C349" s="163"/>
      <c r="D349" s="164"/>
      <c r="E349" s="163"/>
      <c r="F349" s="165"/>
      <c r="G349" s="165"/>
      <c r="H349" s="164"/>
      <c r="I349" s="163"/>
      <c r="J349" s="152"/>
      <c r="K349" s="154"/>
      <c r="L349" s="152"/>
      <c r="M349" s="152"/>
      <c r="N349" s="155"/>
      <c r="O349" s="161"/>
      <c r="P349" s="157"/>
    </row>
    <row r="350" spans="1:16" ht="15.75" customHeight="1">
      <c r="A350" s="151"/>
      <c r="B350" s="162"/>
      <c r="C350" s="163"/>
      <c r="D350" s="164"/>
      <c r="E350" s="163"/>
      <c r="F350" s="165"/>
      <c r="G350" s="165"/>
      <c r="H350" s="164"/>
      <c r="I350" s="163"/>
      <c r="J350" s="152"/>
      <c r="K350" s="154"/>
      <c r="L350" s="152"/>
      <c r="M350" s="152"/>
      <c r="N350" s="155"/>
      <c r="O350" s="161"/>
      <c r="P350" s="157"/>
    </row>
    <row r="351" spans="1:16" ht="15.75" customHeight="1">
      <c r="A351" s="151"/>
      <c r="B351" s="162"/>
      <c r="C351" s="163"/>
      <c r="D351" s="164"/>
      <c r="E351" s="163"/>
      <c r="F351" s="165"/>
      <c r="G351" s="165"/>
      <c r="H351" s="164"/>
      <c r="I351" s="163"/>
      <c r="J351" s="152"/>
      <c r="K351" s="154"/>
      <c r="L351" s="152"/>
      <c r="M351" s="152"/>
      <c r="N351" s="155"/>
      <c r="O351" s="161"/>
      <c r="P351" s="157"/>
    </row>
    <row r="352" spans="1:16" ht="15.75" customHeight="1">
      <c r="A352" s="151"/>
      <c r="B352" s="162"/>
      <c r="C352" s="163"/>
      <c r="D352" s="164"/>
      <c r="E352" s="163"/>
      <c r="F352" s="165"/>
      <c r="G352" s="165"/>
      <c r="H352" s="164"/>
      <c r="I352" s="163"/>
      <c r="J352" s="152"/>
      <c r="K352" s="154"/>
      <c r="L352" s="152"/>
      <c r="M352" s="152"/>
      <c r="N352" s="155"/>
      <c r="O352" s="161"/>
      <c r="P352" s="157"/>
    </row>
    <row r="353" spans="1:16" ht="15.75" customHeight="1">
      <c r="A353" s="151"/>
      <c r="B353" s="162"/>
      <c r="C353" s="163"/>
      <c r="D353" s="164"/>
      <c r="E353" s="163"/>
      <c r="F353" s="165"/>
      <c r="G353" s="165"/>
      <c r="H353" s="164"/>
      <c r="I353" s="163"/>
      <c r="J353" s="152"/>
      <c r="K353" s="154"/>
      <c r="L353" s="152"/>
      <c r="M353" s="152"/>
      <c r="N353" s="155"/>
      <c r="O353" s="161"/>
      <c r="P353" s="157"/>
    </row>
    <row r="354" spans="1:16" ht="15.75" customHeight="1">
      <c r="A354" s="151"/>
      <c r="B354" s="162"/>
      <c r="C354" s="163"/>
      <c r="D354" s="164"/>
      <c r="E354" s="163"/>
      <c r="F354" s="165"/>
      <c r="G354" s="165"/>
      <c r="H354" s="164"/>
      <c r="I354" s="163"/>
      <c r="J354" s="152"/>
      <c r="K354" s="154"/>
      <c r="L354" s="152"/>
      <c r="M354" s="152"/>
      <c r="N354" s="155"/>
      <c r="O354" s="161"/>
      <c r="P354" s="157"/>
    </row>
    <row r="355" spans="1:16" ht="15.75" customHeight="1">
      <c r="A355" s="151"/>
      <c r="B355" s="162"/>
      <c r="C355" s="163"/>
      <c r="D355" s="164"/>
      <c r="E355" s="163"/>
      <c r="F355" s="165"/>
      <c r="G355" s="165"/>
      <c r="H355" s="164"/>
      <c r="I355" s="163"/>
      <c r="J355" s="152"/>
      <c r="K355" s="154"/>
      <c r="L355" s="152"/>
      <c r="M355" s="152"/>
      <c r="N355" s="155"/>
      <c r="O355" s="161"/>
      <c r="P355" s="157"/>
    </row>
    <row r="356" spans="1:16" ht="15.75" customHeight="1">
      <c r="A356" s="151"/>
      <c r="B356" s="162"/>
      <c r="C356" s="163"/>
      <c r="D356" s="164"/>
      <c r="E356" s="163"/>
      <c r="F356" s="165"/>
      <c r="G356" s="165"/>
      <c r="H356" s="164"/>
      <c r="I356" s="163"/>
      <c r="J356" s="152"/>
      <c r="K356" s="154"/>
      <c r="L356" s="152"/>
      <c r="M356" s="152"/>
      <c r="N356" s="155"/>
      <c r="O356" s="161"/>
      <c r="P356" s="157"/>
    </row>
    <row r="357" spans="1:16" ht="15.75" customHeight="1">
      <c r="A357" s="151"/>
      <c r="B357" s="162"/>
      <c r="C357" s="163"/>
      <c r="D357" s="164"/>
      <c r="E357" s="163"/>
      <c r="F357" s="165"/>
      <c r="G357" s="165"/>
      <c r="H357" s="164"/>
      <c r="I357" s="163"/>
      <c r="J357" s="152"/>
      <c r="K357" s="154"/>
      <c r="L357" s="152"/>
      <c r="M357" s="152"/>
      <c r="N357" s="155"/>
      <c r="O357" s="161"/>
      <c r="P357" s="157"/>
    </row>
    <row r="358" spans="1:16" ht="15.75" customHeight="1">
      <c r="A358" s="151"/>
      <c r="B358" s="162"/>
      <c r="C358" s="163"/>
      <c r="D358" s="164"/>
      <c r="E358" s="163"/>
      <c r="F358" s="165"/>
      <c r="G358" s="165"/>
      <c r="H358" s="164"/>
      <c r="I358" s="163"/>
      <c r="J358" s="152"/>
      <c r="K358" s="154"/>
      <c r="L358" s="152"/>
      <c r="M358" s="152"/>
      <c r="N358" s="155"/>
      <c r="O358" s="161"/>
      <c r="P358" s="157"/>
    </row>
    <row r="359" spans="1:16" ht="15.75" customHeight="1">
      <c r="A359" s="151"/>
      <c r="B359" s="162"/>
      <c r="C359" s="163"/>
      <c r="D359" s="164"/>
      <c r="E359" s="163"/>
      <c r="F359" s="165"/>
      <c r="G359" s="165"/>
      <c r="H359" s="164"/>
      <c r="I359" s="163"/>
      <c r="J359" s="152"/>
      <c r="K359" s="154"/>
      <c r="L359" s="152"/>
      <c r="M359" s="152"/>
      <c r="N359" s="155"/>
      <c r="O359" s="161"/>
      <c r="P359" s="157"/>
    </row>
    <row r="360" spans="1:16" ht="15.75" customHeight="1">
      <c r="A360" s="151"/>
      <c r="B360" s="162"/>
      <c r="C360" s="163"/>
      <c r="D360" s="164"/>
      <c r="E360" s="163"/>
      <c r="F360" s="165"/>
      <c r="G360" s="165"/>
      <c r="H360" s="164"/>
      <c r="I360" s="163"/>
      <c r="J360" s="152"/>
      <c r="K360" s="154"/>
      <c r="L360" s="152"/>
      <c r="M360" s="152"/>
      <c r="N360" s="155"/>
      <c r="O360" s="161"/>
      <c r="P360" s="157"/>
    </row>
    <row r="361" spans="1:16" ht="15.75" customHeight="1">
      <c r="A361" s="151"/>
      <c r="B361" s="162"/>
      <c r="C361" s="163"/>
      <c r="D361" s="164"/>
      <c r="E361" s="163"/>
      <c r="F361" s="165"/>
      <c r="G361" s="165"/>
      <c r="H361" s="164"/>
      <c r="I361" s="163"/>
      <c r="J361" s="152"/>
      <c r="K361" s="154"/>
      <c r="L361" s="152"/>
      <c r="M361" s="152"/>
      <c r="N361" s="155"/>
      <c r="O361" s="161"/>
      <c r="P361" s="157"/>
    </row>
    <row r="362" spans="1:16" ht="15.75" customHeight="1">
      <c r="A362" s="151"/>
      <c r="B362" s="162"/>
      <c r="C362" s="163"/>
      <c r="D362" s="164"/>
      <c r="E362" s="163"/>
      <c r="F362" s="165"/>
      <c r="G362" s="165"/>
      <c r="H362" s="164"/>
      <c r="I362" s="163"/>
      <c r="J362" s="152"/>
      <c r="K362" s="154"/>
      <c r="L362" s="152"/>
      <c r="M362" s="152"/>
      <c r="N362" s="155"/>
      <c r="O362" s="161"/>
      <c r="P362" s="157"/>
    </row>
    <row r="363" spans="1:16" ht="15.75" customHeight="1">
      <c r="A363" s="151"/>
      <c r="B363" s="162"/>
      <c r="C363" s="163"/>
      <c r="D363" s="164"/>
      <c r="E363" s="163"/>
      <c r="F363" s="165"/>
      <c r="G363" s="165"/>
      <c r="H363" s="164"/>
      <c r="I363" s="163"/>
      <c r="J363" s="152"/>
      <c r="K363" s="154"/>
      <c r="L363" s="152"/>
      <c r="M363" s="152"/>
      <c r="N363" s="155"/>
      <c r="O363" s="161"/>
      <c r="P363" s="157"/>
    </row>
    <row r="364" spans="1:16" ht="15.75" customHeight="1">
      <c r="A364" s="151"/>
      <c r="B364" s="162"/>
      <c r="C364" s="163"/>
      <c r="D364" s="164"/>
      <c r="E364" s="163"/>
      <c r="F364" s="165"/>
      <c r="G364" s="165"/>
      <c r="H364" s="164"/>
      <c r="I364" s="163"/>
      <c r="J364" s="152"/>
      <c r="K364" s="154"/>
      <c r="L364" s="152"/>
      <c r="M364" s="152"/>
      <c r="N364" s="155"/>
      <c r="O364" s="161"/>
      <c r="P364" s="157"/>
    </row>
    <row r="365" spans="1:16" ht="15.75" customHeight="1">
      <c r="A365" s="151"/>
      <c r="B365" s="162"/>
      <c r="C365" s="163"/>
      <c r="D365" s="164"/>
      <c r="E365" s="163"/>
      <c r="F365" s="165"/>
      <c r="G365" s="165"/>
      <c r="H365" s="164"/>
      <c r="I365" s="163"/>
      <c r="J365" s="152"/>
      <c r="K365" s="154"/>
      <c r="L365" s="152"/>
      <c r="M365" s="152"/>
      <c r="N365" s="155"/>
      <c r="O365" s="161"/>
      <c r="P365" s="157"/>
    </row>
    <row r="366" spans="1:16" ht="15.75" customHeight="1">
      <c r="A366" s="151"/>
      <c r="B366" s="162"/>
      <c r="C366" s="163"/>
      <c r="D366" s="164"/>
      <c r="E366" s="163"/>
      <c r="F366" s="165"/>
      <c r="G366" s="165"/>
      <c r="H366" s="164"/>
      <c r="I366" s="163"/>
      <c r="J366" s="152"/>
      <c r="K366" s="154"/>
      <c r="L366" s="152"/>
      <c r="M366" s="152"/>
      <c r="N366" s="155"/>
      <c r="O366" s="161"/>
      <c r="P366" s="157"/>
    </row>
    <row r="367" spans="1:16" ht="15.75" customHeight="1">
      <c r="A367" s="151"/>
      <c r="B367" s="162"/>
      <c r="C367" s="163"/>
      <c r="D367" s="164"/>
      <c r="E367" s="163"/>
      <c r="F367" s="165"/>
      <c r="G367" s="165"/>
      <c r="H367" s="164"/>
      <c r="I367" s="163"/>
      <c r="J367" s="152"/>
      <c r="K367" s="154"/>
      <c r="L367" s="152"/>
      <c r="M367" s="152"/>
      <c r="N367" s="155"/>
      <c r="O367" s="161"/>
      <c r="P367" s="157"/>
    </row>
    <row r="368" spans="1:16" ht="15.75" customHeight="1">
      <c r="A368" s="151"/>
      <c r="B368" s="162"/>
      <c r="C368" s="163"/>
      <c r="D368" s="164"/>
      <c r="E368" s="163"/>
      <c r="F368" s="165"/>
      <c r="G368" s="165"/>
      <c r="H368" s="164"/>
      <c r="I368" s="163"/>
      <c r="J368" s="152"/>
      <c r="K368" s="154"/>
      <c r="L368" s="152"/>
      <c r="M368" s="152"/>
      <c r="N368" s="155"/>
      <c r="O368" s="161"/>
      <c r="P368" s="157"/>
    </row>
    <row r="369" spans="1:16" ht="15.75" customHeight="1">
      <c r="A369" s="151"/>
      <c r="B369" s="162"/>
      <c r="C369" s="163"/>
      <c r="D369" s="164"/>
      <c r="E369" s="163"/>
      <c r="F369" s="165"/>
      <c r="G369" s="165"/>
      <c r="H369" s="164"/>
      <c r="I369" s="163"/>
      <c r="J369" s="152"/>
      <c r="K369" s="154"/>
      <c r="L369" s="152"/>
      <c r="M369" s="152"/>
      <c r="N369" s="155"/>
      <c r="O369" s="161"/>
      <c r="P369" s="157"/>
    </row>
    <row r="370" spans="1:16" ht="15.75" customHeight="1">
      <c r="A370" s="151"/>
      <c r="B370" s="162"/>
      <c r="C370" s="163"/>
      <c r="D370" s="164"/>
      <c r="E370" s="163"/>
      <c r="F370" s="165"/>
      <c r="G370" s="165"/>
      <c r="H370" s="164"/>
      <c r="I370" s="163"/>
      <c r="J370" s="152"/>
      <c r="K370" s="154"/>
      <c r="L370" s="152"/>
      <c r="M370" s="152"/>
      <c r="N370" s="155"/>
      <c r="O370" s="161"/>
      <c r="P370" s="157"/>
    </row>
    <row r="371" spans="1:16" ht="15.75" customHeight="1">
      <c r="A371" s="151"/>
      <c r="B371" s="162"/>
      <c r="C371" s="163"/>
      <c r="D371" s="164"/>
      <c r="E371" s="163"/>
      <c r="F371" s="165"/>
      <c r="G371" s="165"/>
      <c r="H371" s="164"/>
      <c r="I371" s="163"/>
      <c r="J371" s="152"/>
      <c r="K371" s="154"/>
      <c r="L371" s="152"/>
      <c r="M371" s="152"/>
      <c r="N371" s="155"/>
      <c r="O371" s="161"/>
      <c r="P371" s="157"/>
    </row>
    <row r="372" spans="1:16" ht="15.75" customHeight="1">
      <c r="A372" s="151"/>
      <c r="B372" s="162"/>
      <c r="C372" s="163"/>
      <c r="D372" s="164"/>
      <c r="E372" s="163"/>
      <c r="F372" s="165"/>
      <c r="G372" s="165"/>
      <c r="H372" s="164"/>
      <c r="I372" s="163"/>
      <c r="J372" s="152"/>
      <c r="K372" s="154"/>
      <c r="L372" s="152"/>
      <c r="M372" s="152"/>
      <c r="N372" s="155"/>
      <c r="O372" s="161"/>
      <c r="P372" s="157"/>
    </row>
    <row r="373" spans="1:16" ht="15.75" customHeight="1">
      <c r="A373" s="151"/>
      <c r="B373" s="162"/>
      <c r="C373" s="163"/>
      <c r="D373" s="164"/>
      <c r="E373" s="163"/>
      <c r="F373" s="165"/>
      <c r="G373" s="165"/>
      <c r="H373" s="164"/>
      <c r="I373" s="163"/>
      <c r="J373" s="152"/>
      <c r="K373" s="154"/>
      <c r="L373" s="152"/>
      <c r="M373" s="152"/>
      <c r="N373" s="155"/>
      <c r="O373" s="161"/>
      <c r="P373" s="157"/>
    </row>
    <row r="374" spans="1:16" ht="15.75" customHeight="1">
      <c r="A374" s="151"/>
      <c r="B374" s="162"/>
      <c r="C374" s="163"/>
      <c r="D374" s="164"/>
      <c r="E374" s="163"/>
      <c r="F374" s="165"/>
      <c r="G374" s="165"/>
      <c r="H374" s="164"/>
      <c r="I374" s="163"/>
      <c r="J374" s="152"/>
      <c r="K374" s="154"/>
      <c r="L374" s="152"/>
      <c r="M374" s="152"/>
      <c r="N374" s="155"/>
      <c r="O374" s="161"/>
      <c r="P374" s="157"/>
    </row>
    <row r="375" spans="1:16" ht="15.75" customHeight="1">
      <c r="A375" s="151"/>
      <c r="B375" s="162"/>
      <c r="C375" s="163"/>
      <c r="D375" s="164"/>
      <c r="E375" s="163"/>
      <c r="F375" s="165"/>
      <c r="G375" s="165"/>
      <c r="H375" s="164"/>
      <c r="I375" s="163"/>
      <c r="J375" s="152"/>
      <c r="K375" s="154"/>
      <c r="L375" s="152"/>
      <c r="M375" s="152"/>
      <c r="N375" s="155"/>
      <c r="O375" s="161"/>
      <c r="P375" s="157"/>
    </row>
    <row r="376" spans="1:16" ht="15.75" customHeight="1">
      <c r="A376" s="151"/>
      <c r="B376" s="162"/>
      <c r="C376" s="163"/>
      <c r="D376" s="164"/>
      <c r="E376" s="163"/>
      <c r="F376" s="165"/>
      <c r="G376" s="165"/>
      <c r="H376" s="164"/>
      <c r="I376" s="163"/>
      <c r="J376" s="152"/>
      <c r="K376" s="154"/>
      <c r="L376" s="152"/>
      <c r="M376" s="152"/>
      <c r="N376" s="155"/>
      <c r="O376" s="161"/>
      <c r="P376" s="157"/>
    </row>
    <row r="377" spans="1:16" ht="15.75" customHeight="1">
      <c r="A377" s="151"/>
      <c r="B377" s="162"/>
      <c r="C377" s="163"/>
      <c r="D377" s="164"/>
      <c r="E377" s="163"/>
      <c r="F377" s="165"/>
      <c r="G377" s="165"/>
      <c r="H377" s="164"/>
      <c r="I377" s="163"/>
      <c r="J377" s="152"/>
      <c r="K377" s="154"/>
      <c r="L377" s="152"/>
      <c r="M377" s="152"/>
      <c r="N377" s="155"/>
      <c r="O377" s="161"/>
      <c r="P377" s="157"/>
    </row>
    <row r="378" spans="1:16" ht="15.75" customHeight="1">
      <c r="A378" s="151"/>
      <c r="B378" s="162"/>
      <c r="C378" s="163"/>
      <c r="D378" s="164"/>
      <c r="E378" s="163"/>
      <c r="F378" s="165"/>
      <c r="G378" s="165"/>
      <c r="H378" s="164"/>
      <c r="I378" s="163"/>
      <c r="J378" s="152"/>
      <c r="K378" s="154"/>
      <c r="L378" s="152"/>
      <c r="M378" s="152"/>
      <c r="N378" s="155"/>
      <c r="O378" s="161"/>
      <c r="P378" s="157"/>
    </row>
    <row r="379" spans="1:16" ht="15.75" customHeight="1">
      <c r="A379" s="151"/>
      <c r="B379" s="162"/>
      <c r="C379" s="163"/>
      <c r="D379" s="164"/>
      <c r="E379" s="163"/>
      <c r="F379" s="165"/>
      <c r="G379" s="165"/>
      <c r="H379" s="164"/>
      <c r="I379" s="163"/>
      <c r="J379" s="152"/>
      <c r="K379" s="154"/>
      <c r="L379" s="152"/>
      <c r="M379" s="152"/>
      <c r="N379" s="155"/>
      <c r="O379" s="161"/>
      <c r="P379" s="157"/>
    </row>
    <row r="380" spans="1:16" ht="15.75" customHeight="1">
      <c r="A380" s="151"/>
      <c r="B380" s="162"/>
      <c r="C380" s="163"/>
      <c r="D380" s="164"/>
      <c r="E380" s="163"/>
      <c r="F380" s="165"/>
      <c r="G380" s="165"/>
      <c r="H380" s="164"/>
      <c r="I380" s="163"/>
      <c r="J380" s="152"/>
      <c r="K380" s="154"/>
      <c r="L380" s="152"/>
      <c r="M380" s="152"/>
      <c r="N380" s="155"/>
      <c r="O380" s="161"/>
      <c r="P380" s="157"/>
    </row>
    <row r="381" spans="1:16" ht="15.75" customHeight="1">
      <c r="A381" s="151"/>
      <c r="B381" s="162"/>
      <c r="C381" s="163"/>
      <c r="D381" s="164"/>
      <c r="E381" s="163"/>
      <c r="F381" s="165"/>
      <c r="G381" s="165"/>
      <c r="H381" s="164"/>
      <c r="I381" s="163"/>
      <c r="J381" s="152"/>
      <c r="K381" s="154"/>
      <c r="L381" s="152"/>
      <c r="M381" s="152"/>
      <c r="N381" s="155"/>
      <c r="O381" s="161"/>
      <c r="P381" s="157"/>
    </row>
    <row r="382" spans="1:16" ht="15.75" customHeight="1">
      <c r="A382" s="151"/>
      <c r="B382" s="162"/>
      <c r="C382" s="163"/>
      <c r="D382" s="164"/>
      <c r="E382" s="163"/>
      <c r="F382" s="165"/>
      <c r="G382" s="165"/>
      <c r="H382" s="164"/>
      <c r="I382" s="163"/>
      <c r="J382" s="152"/>
      <c r="K382" s="154"/>
      <c r="L382" s="152"/>
      <c r="M382" s="152"/>
      <c r="N382" s="155"/>
      <c r="O382" s="161"/>
      <c r="P382" s="157"/>
    </row>
    <row r="383" spans="1:16" ht="15.75" customHeight="1">
      <c r="A383" s="151"/>
      <c r="B383" s="162"/>
      <c r="C383" s="163"/>
      <c r="D383" s="164"/>
      <c r="E383" s="163"/>
      <c r="F383" s="165"/>
      <c r="G383" s="165"/>
      <c r="H383" s="164"/>
      <c r="I383" s="163"/>
      <c r="J383" s="152"/>
      <c r="K383" s="154"/>
      <c r="L383" s="152"/>
      <c r="M383" s="152"/>
      <c r="N383" s="155"/>
      <c r="O383" s="161"/>
      <c r="P383" s="157"/>
    </row>
    <row r="384" spans="1:16" ht="15.75" customHeight="1">
      <c r="A384" s="151"/>
      <c r="B384" s="162"/>
      <c r="C384" s="163"/>
      <c r="D384" s="164"/>
      <c r="E384" s="163"/>
      <c r="F384" s="165"/>
      <c r="G384" s="165"/>
      <c r="H384" s="164"/>
      <c r="I384" s="163"/>
      <c r="J384" s="152"/>
      <c r="K384" s="154"/>
      <c r="L384" s="152"/>
      <c r="M384" s="152"/>
      <c r="N384" s="155"/>
      <c r="O384" s="161"/>
      <c r="P384" s="157"/>
    </row>
    <row r="385" spans="1:16" ht="15.75" customHeight="1">
      <c r="A385" s="151"/>
      <c r="B385" s="162"/>
      <c r="C385" s="163"/>
      <c r="D385" s="164"/>
      <c r="E385" s="163"/>
      <c r="F385" s="165"/>
      <c r="G385" s="165"/>
      <c r="H385" s="164"/>
      <c r="I385" s="163"/>
      <c r="J385" s="152"/>
      <c r="K385" s="154"/>
      <c r="L385" s="152"/>
      <c r="M385" s="152"/>
      <c r="N385" s="155"/>
      <c r="O385" s="161"/>
      <c r="P385" s="157"/>
    </row>
    <row r="386" spans="1:16" ht="15.75" customHeight="1">
      <c r="A386" s="151"/>
      <c r="B386" s="162"/>
      <c r="C386" s="163"/>
      <c r="D386" s="164"/>
      <c r="E386" s="163"/>
      <c r="F386" s="165"/>
      <c r="G386" s="165"/>
      <c r="H386" s="164"/>
      <c r="I386" s="163"/>
      <c r="J386" s="152"/>
      <c r="K386" s="154"/>
      <c r="L386" s="152"/>
      <c r="M386" s="152"/>
      <c r="N386" s="155"/>
      <c r="O386" s="161"/>
      <c r="P386" s="157"/>
    </row>
    <row r="387" spans="1:16" ht="15.75" customHeight="1">
      <c r="A387" s="151"/>
      <c r="B387" s="162"/>
      <c r="C387" s="163"/>
      <c r="D387" s="164"/>
      <c r="E387" s="163"/>
      <c r="F387" s="165"/>
      <c r="G387" s="165"/>
      <c r="H387" s="164"/>
      <c r="I387" s="163"/>
      <c r="J387" s="152"/>
      <c r="K387" s="154"/>
      <c r="L387" s="152"/>
      <c r="M387" s="152"/>
      <c r="N387" s="155"/>
      <c r="O387" s="161"/>
      <c r="P387" s="157"/>
    </row>
    <row r="388" spans="1:16" ht="15.75" customHeight="1">
      <c r="A388" s="151"/>
      <c r="B388" s="162"/>
      <c r="C388" s="163"/>
      <c r="D388" s="164"/>
      <c r="E388" s="163"/>
      <c r="F388" s="165"/>
      <c r="G388" s="165"/>
      <c r="H388" s="164"/>
      <c r="I388" s="163"/>
      <c r="J388" s="152"/>
      <c r="K388" s="154"/>
      <c r="L388" s="152"/>
      <c r="M388" s="152"/>
      <c r="N388" s="155"/>
      <c r="O388" s="161"/>
      <c r="P388" s="157"/>
    </row>
    <row r="389" spans="1:16" ht="15.75" customHeight="1">
      <c r="A389" s="151"/>
      <c r="B389" s="162"/>
      <c r="C389" s="163"/>
      <c r="D389" s="164"/>
      <c r="E389" s="163"/>
      <c r="F389" s="165"/>
      <c r="G389" s="165"/>
      <c r="H389" s="164"/>
      <c r="I389" s="163"/>
      <c r="J389" s="152"/>
      <c r="K389" s="154"/>
      <c r="L389" s="152"/>
      <c r="M389" s="152"/>
      <c r="N389" s="155"/>
      <c r="O389" s="161"/>
      <c r="P389" s="157"/>
    </row>
    <row r="390" spans="1:16" ht="15.75" customHeight="1">
      <c r="A390" s="151"/>
      <c r="B390" s="162"/>
      <c r="C390" s="163"/>
      <c r="D390" s="164"/>
      <c r="E390" s="163"/>
      <c r="F390" s="165"/>
      <c r="G390" s="165"/>
      <c r="H390" s="164"/>
      <c r="I390" s="163"/>
      <c r="J390" s="152"/>
      <c r="K390" s="154"/>
      <c r="L390" s="152"/>
      <c r="M390" s="152"/>
      <c r="N390" s="155"/>
      <c r="O390" s="161"/>
      <c r="P390" s="157"/>
    </row>
    <row r="391" spans="1:16" ht="15.75" customHeight="1">
      <c r="A391" s="151"/>
      <c r="B391" s="162"/>
      <c r="C391" s="163"/>
      <c r="D391" s="164"/>
      <c r="E391" s="163"/>
      <c r="F391" s="165"/>
      <c r="G391" s="165"/>
      <c r="H391" s="164"/>
      <c r="I391" s="163"/>
      <c r="J391" s="152"/>
      <c r="K391" s="154"/>
      <c r="L391" s="152"/>
      <c r="M391" s="152"/>
      <c r="N391" s="155"/>
      <c r="O391" s="161"/>
      <c r="P391" s="157"/>
    </row>
    <row r="392" spans="1:16" ht="15.75" customHeight="1">
      <c r="A392" s="151"/>
      <c r="B392" s="162"/>
      <c r="C392" s="163"/>
      <c r="D392" s="164"/>
      <c r="E392" s="163"/>
      <c r="F392" s="165"/>
      <c r="G392" s="165"/>
      <c r="H392" s="164"/>
      <c r="I392" s="163"/>
      <c r="J392" s="152"/>
      <c r="K392" s="154"/>
      <c r="L392" s="152"/>
      <c r="M392" s="152"/>
      <c r="N392" s="155"/>
      <c r="O392" s="161"/>
      <c r="P392" s="157"/>
    </row>
    <row r="393" spans="1:16" ht="15.75" customHeight="1">
      <c r="A393" s="151"/>
      <c r="B393" s="162"/>
      <c r="C393" s="163"/>
      <c r="D393" s="164"/>
      <c r="E393" s="163"/>
      <c r="F393" s="165"/>
      <c r="G393" s="165"/>
      <c r="H393" s="164"/>
      <c r="I393" s="163"/>
      <c r="J393" s="152"/>
      <c r="K393" s="154"/>
      <c r="L393" s="152"/>
      <c r="M393" s="152"/>
      <c r="N393" s="155"/>
      <c r="O393" s="161"/>
      <c r="P393" s="157"/>
    </row>
    <row r="394" spans="1:16" ht="15.75" customHeight="1">
      <c r="A394" s="151"/>
      <c r="B394" s="162"/>
      <c r="C394" s="163"/>
      <c r="D394" s="164"/>
      <c r="E394" s="163"/>
      <c r="F394" s="165"/>
      <c r="G394" s="165"/>
      <c r="H394" s="164"/>
      <c r="I394" s="163"/>
      <c r="J394" s="152"/>
      <c r="K394" s="154"/>
      <c r="L394" s="152"/>
      <c r="M394" s="152"/>
      <c r="N394" s="155"/>
      <c r="O394" s="161"/>
      <c r="P394" s="157"/>
    </row>
    <row r="395" spans="1:16" ht="15.75" customHeight="1">
      <c r="A395" s="151"/>
      <c r="B395" s="162"/>
      <c r="C395" s="163"/>
      <c r="D395" s="164"/>
      <c r="E395" s="163"/>
      <c r="F395" s="165"/>
      <c r="G395" s="165"/>
      <c r="H395" s="164"/>
      <c r="I395" s="163"/>
      <c r="J395" s="152"/>
      <c r="K395" s="154"/>
      <c r="L395" s="152"/>
      <c r="M395" s="152"/>
      <c r="N395" s="155"/>
      <c r="O395" s="161"/>
      <c r="P395" s="157"/>
    </row>
    <row r="396" spans="1:16" ht="15.75" customHeight="1">
      <c r="A396" s="151"/>
      <c r="B396" s="162"/>
      <c r="C396" s="163"/>
      <c r="D396" s="164"/>
      <c r="E396" s="163"/>
      <c r="F396" s="165"/>
      <c r="G396" s="165"/>
      <c r="H396" s="164"/>
      <c r="I396" s="163"/>
      <c r="J396" s="152"/>
      <c r="K396" s="154"/>
      <c r="L396" s="152"/>
      <c r="M396" s="152"/>
      <c r="N396" s="155"/>
      <c r="O396" s="161"/>
      <c r="P396" s="157"/>
    </row>
    <row r="397" spans="1:16" ht="15.75" customHeight="1">
      <c r="A397" s="151"/>
      <c r="B397" s="162"/>
      <c r="C397" s="163"/>
      <c r="D397" s="164"/>
      <c r="E397" s="163"/>
      <c r="F397" s="165"/>
      <c r="G397" s="165"/>
      <c r="H397" s="164"/>
      <c r="I397" s="163"/>
      <c r="J397" s="152"/>
      <c r="K397" s="154"/>
      <c r="L397" s="152"/>
      <c r="M397" s="152"/>
      <c r="N397" s="155"/>
      <c r="O397" s="161"/>
      <c r="P397" s="157"/>
    </row>
    <row r="398" spans="1:16" ht="15.75" customHeight="1">
      <c r="A398" s="151"/>
      <c r="B398" s="162"/>
      <c r="C398" s="163"/>
      <c r="D398" s="164"/>
      <c r="E398" s="163"/>
      <c r="F398" s="165"/>
      <c r="G398" s="165"/>
      <c r="H398" s="164"/>
      <c r="I398" s="163"/>
      <c r="J398" s="152"/>
      <c r="K398" s="154"/>
      <c r="L398" s="152"/>
      <c r="M398" s="152"/>
      <c r="N398" s="155"/>
      <c r="O398" s="161"/>
      <c r="P398" s="157"/>
    </row>
    <row r="399" spans="1:16" ht="15.75" customHeight="1">
      <c r="A399" s="151"/>
      <c r="B399" s="162"/>
      <c r="C399" s="163"/>
      <c r="D399" s="164"/>
      <c r="E399" s="163"/>
      <c r="F399" s="165"/>
      <c r="G399" s="165"/>
      <c r="H399" s="164"/>
      <c r="I399" s="163"/>
      <c r="J399" s="152"/>
      <c r="K399" s="154"/>
      <c r="L399" s="152"/>
      <c r="M399" s="152"/>
      <c r="N399" s="155"/>
      <c r="O399" s="161"/>
      <c r="P399" s="157"/>
    </row>
    <row r="400" spans="1:16" ht="15.75" customHeight="1">
      <c r="A400" s="151"/>
      <c r="B400" s="162"/>
      <c r="C400" s="163"/>
      <c r="D400" s="164"/>
      <c r="E400" s="163"/>
      <c r="F400" s="165"/>
      <c r="G400" s="165"/>
      <c r="H400" s="164"/>
      <c r="I400" s="163"/>
      <c r="J400" s="152"/>
      <c r="K400" s="154"/>
      <c r="L400" s="152"/>
      <c r="M400" s="152"/>
      <c r="N400" s="155"/>
      <c r="O400" s="161"/>
      <c r="P400" s="157"/>
    </row>
    <row r="401" spans="1:16" ht="15.75" customHeight="1">
      <c r="A401" s="151"/>
      <c r="B401" s="162"/>
      <c r="C401" s="163"/>
      <c r="D401" s="164"/>
      <c r="E401" s="163"/>
      <c r="F401" s="165"/>
      <c r="G401" s="165"/>
      <c r="H401" s="164"/>
      <c r="I401" s="163"/>
      <c r="J401" s="152"/>
      <c r="K401" s="154"/>
      <c r="L401" s="152"/>
      <c r="M401" s="152"/>
      <c r="N401" s="155"/>
      <c r="O401" s="161"/>
      <c r="P401" s="157"/>
    </row>
    <row r="402" spans="1:16" ht="15.75" customHeight="1">
      <c r="A402" s="151"/>
      <c r="B402" s="162"/>
      <c r="C402" s="163"/>
      <c r="D402" s="164"/>
      <c r="E402" s="163"/>
      <c r="F402" s="165"/>
      <c r="G402" s="165"/>
      <c r="H402" s="164"/>
      <c r="I402" s="163"/>
      <c r="J402" s="152"/>
      <c r="K402" s="154"/>
      <c r="L402" s="152"/>
      <c r="M402" s="152"/>
      <c r="N402" s="155"/>
      <c r="O402" s="161"/>
      <c r="P402" s="157"/>
    </row>
    <row r="403" spans="1:16" ht="15.75" customHeight="1">
      <c r="A403" s="151"/>
      <c r="B403" s="162"/>
      <c r="C403" s="163"/>
      <c r="D403" s="164"/>
      <c r="E403" s="163"/>
      <c r="F403" s="165"/>
      <c r="G403" s="165"/>
      <c r="H403" s="164"/>
      <c r="I403" s="163"/>
      <c r="J403" s="152"/>
      <c r="K403" s="154"/>
      <c r="L403" s="152"/>
      <c r="M403" s="152"/>
      <c r="N403" s="155"/>
      <c r="O403" s="161"/>
      <c r="P403" s="157"/>
    </row>
    <row r="404" spans="1:16" ht="15.75" customHeight="1">
      <c r="A404" s="151"/>
      <c r="B404" s="162"/>
      <c r="C404" s="163"/>
      <c r="D404" s="164"/>
      <c r="E404" s="163"/>
      <c r="F404" s="165"/>
      <c r="G404" s="165"/>
      <c r="H404" s="164"/>
      <c r="I404" s="163"/>
      <c r="J404" s="152"/>
      <c r="K404" s="154"/>
      <c r="L404" s="152"/>
      <c r="M404" s="152"/>
      <c r="N404" s="155"/>
      <c r="O404" s="161"/>
      <c r="P404" s="157"/>
    </row>
    <row r="405" spans="1:16" ht="15.75" customHeight="1">
      <c r="A405" s="151"/>
      <c r="B405" s="162"/>
      <c r="C405" s="163"/>
      <c r="D405" s="164"/>
      <c r="E405" s="163"/>
      <c r="F405" s="165"/>
      <c r="G405" s="165"/>
      <c r="H405" s="164"/>
      <c r="I405" s="163"/>
      <c r="J405" s="152"/>
      <c r="K405" s="154"/>
      <c r="L405" s="152"/>
      <c r="M405" s="152"/>
      <c r="N405" s="155"/>
      <c r="O405" s="161"/>
      <c r="P405" s="157"/>
    </row>
    <row r="406" spans="1:16" ht="15.75" customHeight="1">
      <c r="A406" s="151"/>
      <c r="B406" s="162"/>
      <c r="C406" s="163"/>
      <c r="D406" s="164"/>
      <c r="E406" s="163"/>
      <c r="F406" s="165"/>
      <c r="G406" s="165"/>
      <c r="H406" s="164"/>
      <c r="I406" s="163"/>
      <c r="J406" s="152"/>
      <c r="K406" s="154"/>
      <c r="L406" s="152"/>
      <c r="M406" s="152"/>
      <c r="N406" s="155"/>
      <c r="O406" s="161"/>
      <c r="P406" s="157"/>
    </row>
    <row r="407" spans="1:16" ht="15.75" customHeight="1">
      <c r="A407" s="151"/>
      <c r="B407" s="162"/>
      <c r="C407" s="163"/>
      <c r="D407" s="164"/>
      <c r="E407" s="163"/>
      <c r="F407" s="165"/>
      <c r="G407" s="165"/>
      <c r="H407" s="164"/>
      <c r="I407" s="163"/>
      <c r="J407" s="152"/>
      <c r="K407" s="154"/>
      <c r="L407" s="152"/>
      <c r="M407" s="152"/>
      <c r="N407" s="155"/>
      <c r="O407" s="161"/>
      <c r="P407" s="157"/>
    </row>
    <row r="408" spans="1:16" ht="15.75" customHeight="1">
      <c r="A408" s="151"/>
      <c r="B408" s="162"/>
      <c r="C408" s="163"/>
      <c r="D408" s="164"/>
      <c r="E408" s="163"/>
      <c r="F408" s="165"/>
      <c r="G408" s="165"/>
      <c r="H408" s="164"/>
      <c r="I408" s="163"/>
      <c r="J408" s="152"/>
      <c r="K408" s="154"/>
      <c r="L408" s="152"/>
      <c r="M408" s="152"/>
      <c r="N408" s="155"/>
      <c r="O408" s="161"/>
      <c r="P408" s="157"/>
    </row>
    <row r="409" spans="1:16" ht="15.75" customHeight="1">
      <c r="A409" s="151"/>
      <c r="B409" s="162"/>
      <c r="C409" s="163"/>
      <c r="D409" s="164"/>
      <c r="E409" s="163"/>
      <c r="F409" s="165"/>
      <c r="G409" s="165"/>
      <c r="H409" s="164"/>
      <c r="I409" s="163"/>
      <c r="J409" s="152"/>
      <c r="K409" s="154"/>
      <c r="L409" s="152"/>
      <c r="M409" s="152"/>
      <c r="N409" s="155"/>
      <c r="O409" s="161"/>
      <c r="P409" s="157"/>
    </row>
    <row r="410" spans="1:16" ht="15.75" customHeight="1">
      <c r="A410" s="151"/>
      <c r="B410" s="162"/>
      <c r="C410" s="163"/>
      <c r="D410" s="164"/>
      <c r="E410" s="163"/>
      <c r="F410" s="165"/>
      <c r="G410" s="165"/>
      <c r="H410" s="164"/>
      <c r="I410" s="163"/>
      <c r="J410" s="152"/>
      <c r="K410" s="154"/>
      <c r="L410" s="152"/>
      <c r="M410" s="152"/>
      <c r="N410" s="155"/>
      <c r="O410" s="161"/>
      <c r="P410" s="157"/>
    </row>
    <row r="411" spans="1:16" ht="15.75" customHeight="1">
      <c r="A411" s="151"/>
      <c r="B411" s="162"/>
      <c r="C411" s="163"/>
      <c r="D411" s="164"/>
      <c r="E411" s="163"/>
      <c r="F411" s="165"/>
      <c r="G411" s="165"/>
      <c r="H411" s="164"/>
      <c r="I411" s="163"/>
      <c r="J411" s="152"/>
      <c r="K411" s="154"/>
      <c r="L411" s="152"/>
      <c r="M411" s="152"/>
      <c r="N411" s="155"/>
      <c r="O411" s="161"/>
      <c r="P411" s="157"/>
    </row>
    <row r="412" spans="1:16" ht="15.75" customHeight="1">
      <c r="A412" s="151"/>
      <c r="B412" s="162"/>
      <c r="C412" s="163"/>
      <c r="D412" s="164"/>
      <c r="E412" s="163"/>
      <c r="F412" s="165"/>
      <c r="G412" s="165"/>
      <c r="H412" s="164"/>
      <c r="I412" s="163"/>
      <c r="J412" s="152"/>
      <c r="K412" s="154"/>
      <c r="L412" s="152"/>
      <c r="M412" s="152"/>
      <c r="N412" s="155"/>
      <c r="O412" s="161"/>
      <c r="P412" s="157"/>
    </row>
    <row r="413" spans="1:16" ht="15.75" customHeight="1">
      <c r="A413" s="151"/>
      <c r="B413" s="162"/>
      <c r="C413" s="163"/>
      <c r="D413" s="164"/>
      <c r="E413" s="163"/>
      <c r="F413" s="165"/>
      <c r="G413" s="165"/>
      <c r="H413" s="164"/>
      <c r="I413" s="163"/>
      <c r="J413" s="152"/>
      <c r="K413" s="154"/>
      <c r="L413" s="152"/>
      <c r="M413" s="152"/>
      <c r="N413" s="155"/>
      <c r="O413" s="161"/>
      <c r="P413" s="157"/>
    </row>
    <row r="414" spans="1:16" ht="15.75" customHeight="1">
      <c r="A414" s="151"/>
      <c r="B414" s="162"/>
      <c r="C414" s="163"/>
      <c r="D414" s="164"/>
      <c r="E414" s="163"/>
      <c r="F414" s="165"/>
      <c r="G414" s="165"/>
      <c r="H414" s="164"/>
      <c r="I414" s="163"/>
      <c r="J414" s="152"/>
      <c r="K414" s="154"/>
      <c r="L414" s="152"/>
      <c r="M414" s="152"/>
      <c r="N414" s="155"/>
      <c r="O414" s="161"/>
      <c r="P414" s="157"/>
    </row>
    <row r="415" spans="1:16" ht="15.75" customHeight="1">
      <c r="A415" s="151"/>
      <c r="B415" s="162"/>
      <c r="C415" s="163"/>
      <c r="D415" s="164"/>
      <c r="E415" s="163"/>
      <c r="F415" s="165"/>
      <c r="G415" s="165"/>
      <c r="H415" s="164"/>
      <c r="I415" s="163"/>
      <c r="J415" s="152"/>
      <c r="K415" s="154"/>
      <c r="L415" s="152"/>
      <c r="M415" s="152"/>
      <c r="N415" s="155"/>
      <c r="O415" s="161"/>
      <c r="P415" s="157"/>
    </row>
    <row r="416" spans="1:16" ht="15.75" customHeight="1">
      <c r="A416" s="151"/>
      <c r="B416" s="162"/>
      <c r="C416" s="163"/>
      <c r="D416" s="164"/>
      <c r="E416" s="163"/>
      <c r="F416" s="165"/>
      <c r="G416" s="165"/>
      <c r="H416" s="164"/>
      <c r="I416" s="163"/>
      <c r="J416" s="152"/>
      <c r="K416" s="154"/>
      <c r="L416" s="152"/>
      <c r="M416" s="152"/>
      <c r="N416" s="155"/>
      <c r="O416" s="161"/>
      <c r="P416" s="157"/>
    </row>
    <row r="417" spans="1:16" ht="15.75" customHeight="1">
      <c r="A417" s="151"/>
      <c r="B417" s="162"/>
      <c r="C417" s="163"/>
      <c r="D417" s="164"/>
      <c r="E417" s="163"/>
      <c r="F417" s="165"/>
      <c r="G417" s="165"/>
      <c r="H417" s="164"/>
      <c r="I417" s="163"/>
      <c r="J417" s="152"/>
      <c r="K417" s="154"/>
      <c r="L417" s="152"/>
      <c r="M417" s="152"/>
      <c r="N417" s="155"/>
      <c r="O417" s="161"/>
      <c r="P417" s="157"/>
    </row>
    <row r="418" spans="1:16" ht="15.75" customHeight="1">
      <c r="A418" s="151"/>
      <c r="B418" s="162"/>
      <c r="C418" s="163"/>
      <c r="D418" s="164"/>
      <c r="E418" s="163"/>
      <c r="F418" s="165"/>
      <c r="G418" s="165"/>
      <c r="H418" s="164"/>
      <c r="I418" s="163"/>
      <c r="J418" s="152"/>
      <c r="K418" s="154"/>
      <c r="L418" s="152"/>
      <c r="M418" s="152"/>
      <c r="N418" s="155"/>
      <c r="O418" s="161"/>
      <c r="P418" s="157"/>
    </row>
    <row r="419" spans="1:16" ht="15.75" customHeight="1">
      <c r="A419" s="151"/>
      <c r="B419" s="162"/>
      <c r="C419" s="163"/>
      <c r="D419" s="164"/>
      <c r="E419" s="163"/>
      <c r="F419" s="165"/>
      <c r="G419" s="165"/>
      <c r="H419" s="164"/>
      <c r="I419" s="163"/>
      <c r="J419" s="152"/>
      <c r="K419" s="154"/>
      <c r="L419" s="152"/>
      <c r="M419" s="152"/>
      <c r="N419" s="155"/>
      <c r="O419" s="161"/>
      <c r="P419" s="157"/>
    </row>
    <row r="420" spans="1:16" ht="15.75" customHeight="1">
      <c r="A420" s="151"/>
      <c r="B420" s="162"/>
      <c r="C420" s="163"/>
      <c r="D420" s="164"/>
      <c r="E420" s="163"/>
      <c r="F420" s="165"/>
      <c r="G420" s="165"/>
      <c r="H420" s="164"/>
      <c r="I420" s="163"/>
      <c r="J420" s="152"/>
      <c r="K420" s="154"/>
      <c r="L420" s="152"/>
      <c r="M420" s="152"/>
      <c r="N420" s="155"/>
      <c r="O420" s="161"/>
      <c r="P420" s="157"/>
    </row>
    <row r="421" spans="1:16" ht="15.75" customHeight="1">
      <c r="A421" s="151"/>
      <c r="B421" s="162"/>
      <c r="C421" s="163"/>
      <c r="D421" s="164"/>
      <c r="E421" s="163"/>
      <c r="F421" s="165"/>
      <c r="G421" s="165"/>
      <c r="H421" s="164"/>
      <c r="I421" s="163"/>
      <c r="J421" s="152"/>
      <c r="K421" s="154"/>
      <c r="L421" s="152"/>
      <c r="M421" s="152"/>
      <c r="N421" s="155"/>
      <c r="O421" s="161"/>
      <c r="P421" s="157"/>
    </row>
    <row r="422" spans="1:16" ht="15.75" customHeight="1">
      <c r="A422" s="151"/>
      <c r="B422" s="162"/>
      <c r="C422" s="163"/>
      <c r="D422" s="164"/>
      <c r="E422" s="163"/>
      <c r="F422" s="165"/>
      <c r="G422" s="165"/>
      <c r="H422" s="164"/>
      <c r="I422" s="163"/>
      <c r="J422" s="152"/>
      <c r="K422" s="154"/>
      <c r="L422" s="152"/>
      <c r="M422" s="152"/>
      <c r="N422" s="155"/>
      <c r="O422" s="161"/>
      <c r="P422" s="157"/>
    </row>
    <row r="423" spans="1:16" ht="15.75" customHeight="1">
      <c r="A423" s="151"/>
      <c r="B423" s="162"/>
      <c r="C423" s="163"/>
      <c r="D423" s="164"/>
      <c r="E423" s="163"/>
      <c r="F423" s="165"/>
      <c r="G423" s="165"/>
      <c r="H423" s="164"/>
      <c r="I423" s="163"/>
      <c r="J423" s="152"/>
      <c r="K423" s="154"/>
      <c r="L423" s="152"/>
      <c r="M423" s="152"/>
      <c r="N423" s="155"/>
      <c r="O423" s="161"/>
      <c r="P423" s="157"/>
    </row>
    <row r="424" spans="1:16" ht="15.75" customHeight="1">
      <c r="A424" s="151"/>
      <c r="B424" s="162"/>
      <c r="C424" s="163"/>
      <c r="D424" s="164"/>
      <c r="E424" s="163"/>
      <c r="F424" s="165"/>
      <c r="G424" s="165"/>
      <c r="H424" s="164"/>
      <c r="I424" s="163"/>
      <c r="J424" s="152"/>
      <c r="K424" s="154"/>
      <c r="L424" s="152"/>
      <c r="M424" s="152"/>
      <c r="N424" s="155"/>
      <c r="O424" s="161"/>
      <c r="P424" s="157"/>
    </row>
    <row r="425" spans="1:16" ht="15.75" customHeight="1">
      <c r="A425" s="151"/>
      <c r="B425" s="162"/>
      <c r="C425" s="163"/>
      <c r="D425" s="164"/>
      <c r="E425" s="163"/>
      <c r="F425" s="165"/>
      <c r="G425" s="165"/>
      <c r="H425" s="164"/>
      <c r="I425" s="163"/>
      <c r="J425" s="152"/>
      <c r="K425" s="154"/>
      <c r="L425" s="152"/>
      <c r="M425" s="152"/>
      <c r="N425" s="155"/>
      <c r="O425" s="161"/>
      <c r="P425" s="157"/>
    </row>
    <row r="426" spans="1:16" ht="15.75" customHeight="1">
      <c r="A426" s="151"/>
      <c r="B426" s="162"/>
      <c r="C426" s="163"/>
      <c r="D426" s="164"/>
      <c r="E426" s="163"/>
      <c r="F426" s="165"/>
      <c r="G426" s="165"/>
      <c r="H426" s="164"/>
      <c r="I426" s="163"/>
      <c r="J426" s="152"/>
      <c r="K426" s="154"/>
      <c r="L426" s="152"/>
      <c r="M426" s="152"/>
      <c r="N426" s="155"/>
      <c r="O426" s="161"/>
      <c r="P426" s="157"/>
    </row>
    <row r="427" spans="1:16" ht="15.75" customHeight="1">
      <c r="A427" s="151"/>
      <c r="B427" s="162"/>
      <c r="C427" s="163"/>
      <c r="D427" s="164"/>
      <c r="E427" s="163"/>
      <c r="F427" s="165"/>
      <c r="G427" s="165"/>
      <c r="H427" s="164"/>
      <c r="I427" s="163"/>
      <c r="J427" s="152"/>
      <c r="K427" s="154"/>
      <c r="L427" s="152"/>
      <c r="M427" s="152"/>
      <c r="N427" s="155"/>
      <c r="O427" s="161"/>
      <c r="P427" s="157"/>
    </row>
    <row r="428" spans="1:16" ht="15.75" customHeight="1">
      <c r="A428" s="151"/>
      <c r="B428" s="162"/>
      <c r="C428" s="163"/>
      <c r="D428" s="164"/>
      <c r="E428" s="163"/>
      <c r="F428" s="165"/>
      <c r="G428" s="165"/>
      <c r="H428" s="164"/>
      <c r="I428" s="163"/>
      <c r="J428" s="152"/>
      <c r="K428" s="154"/>
      <c r="L428" s="152"/>
      <c r="M428" s="152"/>
      <c r="N428" s="155"/>
      <c r="O428" s="161"/>
      <c r="P428" s="157"/>
    </row>
    <row r="429" spans="1:16" ht="15.75" customHeight="1">
      <c r="A429" s="151"/>
      <c r="B429" s="162"/>
      <c r="C429" s="163"/>
      <c r="D429" s="164"/>
      <c r="E429" s="163"/>
      <c r="F429" s="165"/>
      <c r="G429" s="165"/>
      <c r="H429" s="164"/>
      <c r="I429" s="163"/>
      <c r="J429" s="152"/>
      <c r="K429" s="154"/>
      <c r="L429" s="152"/>
      <c r="M429" s="152"/>
      <c r="N429" s="155"/>
      <c r="O429" s="161"/>
      <c r="P429" s="157"/>
    </row>
    <row r="430" spans="1:16" ht="15.75" customHeight="1">
      <c r="A430" s="151"/>
      <c r="B430" s="162"/>
      <c r="C430" s="163"/>
      <c r="D430" s="164"/>
      <c r="E430" s="163"/>
      <c r="F430" s="165"/>
      <c r="G430" s="165"/>
      <c r="H430" s="164"/>
      <c r="I430" s="163"/>
      <c r="J430" s="152"/>
      <c r="K430" s="154"/>
      <c r="L430" s="152"/>
      <c r="M430" s="152"/>
      <c r="N430" s="155"/>
      <c r="O430" s="161"/>
      <c r="P430" s="157"/>
    </row>
    <row r="431" spans="1:16" ht="15.75" customHeight="1">
      <c r="A431" s="151"/>
      <c r="B431" s="162"/>
      <c r="C431" s="163"/>
      <c r="D431" s="164"/>
      <c r="E431" s="163"/>
      <c r="F431" s="165"/>
      <c r="G431" s="165"/>
      <c r="H431" s="164"/>
      <c r="I431" s="163"/>
      <c r="J431" s="152"/>
      <c r="K431" s="154"/>
      <c r="L431" s="152"/>
      <c r="M431" s="152"/>
      <c r="N431" s="155"/>
      <c r="O431" s="161"/>
      <c r="P431" s="157"/>
    </row>
    <row r="432" spans="1:16" ht="15.75" customHeight="1">
      <c r="A432" s="151"/>
      <c r="B432" s="162"/>
      <c r="C432" s="163"/>
      <c r="D432" s="164"/>
      <c r="E432" s="163"/>
      <c r="F432" s="165"/>
      <c r="G432" s="165"/>
      <c r="H432" s="164"/>
      <c r="I432" s="163"/>
      <c r="J432" s="152"/>
      <c r="K432" s="154"/>
      <c r="L432" s="152"/>
      <c r="M432" s="152"/>
      <c r="N432" s="155"/>
      <c r="O432" s="161"/>
      <c r="P432" s="157"/>
    </row>
    <row r="433" spans="1:16" ht="15.75" customHeight="1">
      <c r="A433" s="151"/>
      <c r="B433" s="162"/>
      <c r="C433" s="163"/>
      <c r="D433" s="164"/>
      <c r="E433" s="163"/>
      <c r="F433" s="165"/>
      <c r="G433" s="165"/>
      <c r="H433" s="164"/>
      <c r="I433" s="163"/>
      <c r="J433" s="152"/>
      <c r="K433" s="154"/>
      <c r="L433" s="152"/>
      <c r="M433" s="152"/>
      <c r="N433" s="155"/>
      <c r="O433" s="161"/>
      <c r="P433" s="157"/>
    </row>
    <row r="434" spans="1:16" ht="15.75" customHeight="1">
      <c r="A434" s="151"/>
      <c r="B434" s="162"/>
      <c r="C434" s="163"/>
      <c r="D434" s="164"/>
      <c r="E434" s="163"/>
      <c r="F434" s="165"/>
      <c r="G434" s="165"/>
      <c r="H434" s="164"/>
      <c r="I434" s="163"/>
      <c r="J434" s="152"/>
      <c r="K434" s="154"/>
      <c r="L434" s="152"/>
      <c r="M434" s="152"/>
      <c r="N434" s="155"/>
      <c r="O434" s="161"/>
      <c r="P434" s="157"/>
    </row>
    <row r="435" spans="1:16" ht="15.75" customHeight="1">
      <c r="A435" s="151"/>
      <c r="B435" s="162"/>
      <c r="C435" s="163"/>
      <c r="D435" s="164"/>
      <c r="E435" s="163"/>
      <c r="F435" s="165"/>
      <c r="G435" s="165"/>
      <c r="H435" s="164"/>
      <c r="I435" s="163"/>
      <c r="J435" s="152"/>
      <c r="K435" s="154"/>
      <c r="L435" s="152"/>
      <c r="M435" s="152"/>
      <c r="N435" s="155"/>
      <c r="O435" s="161"/>
      <c r="P435" s="157"/>
    </row>
    <row r="436" spans="1:16" ht="15.75" customHeight="1">
      <c r="A436" s="151"/>
      <c r="B436" s="162"/>
      <c r="C436" s="163"/>
      <c r="D436" s="164"/>
      <c r="E436" s="163"/>
      <c r="F436" s="165"/>
      <c r="G436" s="165"/>
      <c r="H436" s="164"/>
      <c r="I436" s="163"/>
      <c r="J436" s="152"/>
      <c r="K436" s="154"/>
      <c r="L436" s="152"/>
      <c r="M436" s="152"/>
      <c r="N436" s="155"/>
      <c r="O436" s="161"/>
      <c r="P436" s="157"/>
    </row>
    <row r="437" spans="1:16" ht="15.75" customHeight="1">
      <c r="A437" s="151"/>
      <c r="B437" s="162"/>
      <c r="C437" s="163"/>
      <c r="D437" s="164"/>
      <c r="E437" s="163"/>
      <c r="F437" s="165"/>
      <c r="G437" s="165"/>
      <c r="H437" s="164"/>
      <c r="I437" s="163"/>
      <c r="J437" s="152"/>
      <c r="K437" s="154"/>
      <c r="L437" s="152"/>
      <c r="M437" s="152"/>
      <c r="N437" s="155"/>
      <c r="O437" s="161"/>
      <c r="P437" s="157"/>
    </row>
    <row r="438" spans="1:16" ht="15.75" customHeight="1">
      <c r="A438" s="151"/>
      <c r="B438" s="162"/>
      <c r="C438" s="163"/>
      <c r="D438" s="164"/>
      <c r="E438" s="163"/>
      <c r="F438" s="165"/>
      <c r="G438" s="165"/>
      <c r="H438" s="164"/>
      <c r="I438" s="163"/>
      <c r="J438" s="152"/>
      <c r="K438" s="154"/>
      <c r="L438" s="152"/>
      <c r="M438" s="152"/>
      <c r="N438" s="155"/>
      <c r="O438" s="161"/>
      <c r="P438" s="157"/>
    </row>
    <row r="439" spans="1:16" ht="15.75" customHeight="1">
      <c r="A439" s="151"/>
      <c r="B439" s="162"/>
      <c r="C439" s="163"/>
      <c r="D439" s="164"/>
      <c r="E439" s="163"/>
      <c r="F439" s="165"/>
      <c r="G439" s="165"/>
      <c r="H439" s="164"/>
      <c r="I439" s="163"/>
      <c r="J439" s="152"/>
      <c r="K439" s="154"/>
      <c r="L439" s="152"/>
      <c r="M439" s="152"/>
      <c r="N439" s="155"/>
      <c r="O439" s="161"/>
      <c r="P439" s="157"/>
    </row>
    <row r="440" spans="1:16" ht="15.75" customHeight="1">
      <c r="A440" s="151"/>
      <c r="B440" s="162"/>
      <c r="C440" s="163"/>
      <c r="D440" s="164"/>
      <c r="E440" s="163"/>
      <c r="F440" s="165"/>
      <c r="G440" s="165"/>
      <c r="H440" s="164"/>
      <c r="I440" s="163"/>
      <c r="J440" s="152"/>
      <c r="K440" s="154"/>
      <c r="L440" s="152"/>
      <c r="M440" s="152"/>
      <c r="N440" s="155"/>
      <c r="O440" s="161"/>
      <c r="P440" s="157"/>
    </row>
    <row r="441" spans="1:16" ht="15.75" customHeight="1">
      <c r="A441" s="151"/>
      <c r="B441" s="162"/>
      <c r="C441" s="163"/>
      <c r="D441" s="164"/>
      <c r="E441" s="163"/>
      <c r="F441" s="165"/>
      <c r="G441" s="165"/>
      <c r="H441" s="164"/>
      <c r="I441" s="163"/>
      <c r="J441" s="152"/>
      <c r="K441" s="154"/>
      <c r="L441" s="152"/>
      <c r="M441" s="152"/>
      <c r="N441" s="155"/>
      <c r="O441" s="161"/>
      <c r="P441" s="157"/>
    </row>
    <row r="442" spans="1:16" ht="15.75" customHeight="1">
      <c r="A442" s="151"/>
      <c r="B442" s="162"/>
      <c r="C442" s="163"/>
      <c r="D442" s="164"/>
      <c r="E442" s="163"/>
      <c r="F442" s="165"/>
      <c r="G442" s="165"/>
      <c r="H442" s="164"/>
      <c r="I442" s="163"/>
      <c r="J442" s="152"/>
      <c r="K442" s="154"/>
      <c r="L442" s="152"/>
      <c r="M442" s="152"/>
      <c r="N442" s="155"/>
      <c r="O442" s="161"/>
      <c r="P442" s="157"/>
    </row>
    <row r="443" spans="1:16" ht="15.75" customHeight="1">
      <c r="A443" s="151"/>
      <c r="B443" s="162"/>
      <c r="C443" s="163"/>
      <c r="D443" s="164"/>
      <c r="E443" s="163"/>
      <c r="F443" s="165"/>
      <c r="G443" s="165"/>
      <c r="H443" s="164"/>
      <c r="I443" s="163"/>
      <c r="J443" s="152"/>
      <c r="K443" s="154"/>
      <c r="L443" s="152"/>
      <c r="M443" s="152"/>
      <c r="N443" s="155"/>
      <c r="O443" s="161"/>
      <c r="P443" s="157"/>
    </row>
    <row r="444" spans="1:16" ht="15.75" customHeight="1">
      <c r="A444" s="151"/>
      <c r="B444" s="162"/>
      <c r="C444" s="163"/>
      <c r="D444" s="164"/>
      <c r="E444" s="163"/>
      <c r="F444" s="165"/>
      <c r="G444" s="165"/>
      <c r="H444" s="164"/>
      <c r="I444" s="163"/>
      <c r="J444" s="152"/>
      <c r="K444" s="154"/>
      <c r="L444" s="152"/>
      <c r="M444" s="152"/>
      <c r="N444" s="155"/>
      <c r="O444" s="161"/>
      <c r="P444" s="157"/>
    </row>
    <row r="445" spans="1:16" ht="15.75" customHeight="1">
      <c r="A445" s="151"/>
      <c r="B445" s="162"/>
      <c r="C445" s="163"/>
      <c r="D445" s="164"/>
      <c r="E445" s="163"/>
      <c r="F445" s="165"/>
      <c r="G445" s="165"/>
      <c r="H445" s="164"/>
      <c r="I445" s="163"/>
      <c r="J445" s="152"/>
      <c r="K445" s="154"/>
      <c r="L445" s="152"/>
      <c r="M445" s="152"/>
      <c r="N445" s="155"/>
      <c r="O445" s="161"/>
      <c r="P445" s="157"/>
    </row>
    <row r="446" spans="1:16" ht="15.75" customHeight="1">
      <c r="A446" s="151"/>
      <c r="B446" s="162"/>
      <c r="C446" s="163"/>
      <c r="D446" s="164"/>
      <c r="E446" s="163"/>
      <c r="F446" s="165"/>
      <c r="G446" s="165"/>
      <c r="H446" s="164"/>
      <c r="I446" s="163"/>
      <c r="J446" s="152"/>
      <c r="K446" s="154"/>
      <c r="L446" s="152"/>
      <c r="M446" s="152"/>
      <c r="N446" s="155"/>
      <c r="O446" s="161"/>
      <c r="P446" s="157"/>
    </row>
    <row r="447" spans="1:16" ht="15.75" customHeight="1">
      <c r="A447" s="151"/>
      <c r="B447" s="162"/>
      <c r="C447" s="163"/>
      <c r="D447" s="164"/>
      <c r="E447" s="163"/>
      <c r="F447" s="165"/>
      <c r="G447" s="165"/>
      <c r="H447" s="164"/>
      <c r="I447" s="163"/>
      <c r="J447" s="152"/>
      <c r="K447" s="154"/>
      <c r="L447" s="152"/>
      <c r="M447" s="152"/>
      <c r="N447" s="155"/>
      <c r="O447" s="161"/>
      <c r="P447" s="157"/>
    </row>
    <row r="448" spans="1:16" ht="15.75" customHeight="1">
      <c r="A448" s="151"/>
      <c r="B448" s="162"/>
      <c r="C448" s="163"/>
      <c r="D448" s="164"/>
      <c r="E448" s="163"/>
      <c r="F448" s="165"/>
      <c r="G448" s="165"/>
      <c r="H448" s="164"/>
      <c r="I448" s="163"/>
      <c r="J448" s="152"/>
      <c r="K448" s="154"/>
      <c r="L448" s="152"/>
      <c r="M448" s="152"/>
      <c r="N448" s="155"/>
      <c r="O448" s="161"/>
      <c r="P448" s="157"/>
    </row>
    <row r="449" spans="1:16" ht="15.75" customHeight="1">
      <c r="A449" s="151"/>
      <c r="B449" s="162"/>
      <c r="C449" s="163"/>
      <c r="D449" s="164"/>
      <c r="E449" s="163"/>
      <c r="F449" s="165"/>
      <c r="G449" s="165"/>
      <c r="H449" s="164"/>
      <c r="I449" s="163"/>
      <c r="J449" s="152"/>
      <c r="K449" s="154"/>
      <c r="L449" s="152"/>
      <c r="M449" s="152"/>
      <c r="N449" s="155"/>
      <c r="O449" s="161"/>
      <c r="P449" s="157"/>
    </row>
    <row r="450" spans="1:16" ht="15.75" customHeight="1">
      <c r="A450" s="151"/>
      <c r="B450" s="162"/>
      <c r="C450" s="163"/>
      <c r="D450" s="164"/>
      <c r="E450" s="163"/>
      <c r="F450" s="165"/>
      <c r="G450" s="165"/>
      <c r="H450" s="164"/>
      <c r="I450" s="163"/>
      <c r="J450" s="152"/>
      <c r="K450" s="154"/>
      <c r="L450" s="152"/>
      <c r="M450" s="152"/>
      <c r="N450" s="155"/>
      <c r="O450" s="161"/>
      <c r="P450" s="157"/>
    </row>
    <row r="451" spans="1:16" ht="15.75" customHeight="1">
      <c r="A451" s="151"/>
      <c r="B451" s="162"/>
      <c r="C451" s="163"/>
      <c r="D451" s="164"/>
      <c r="E451" s="163"/>
      <c r="F451" s="165"/>
      <c r="G451" s="165"/>
      <c r="H451" s="164"/>
      <c r="I451" s="163"/>
      <c r="J451" s="152"/>
      <c r="K451" s="154"/>
      <c r="L451" s="152"/>
      <c r="M451" s="152"/>
      <c r="N451" s="155"/>
      <c r="O451" s="161"/>
      <c r="P451" s="157"/>
    </row>
    <row r="452" spans="1:16" ht="15.75" customHeight="1">
      <c r="A452" s="151"/>
      <c r="B452" s="162"/>
      <c r="C452" s="163"/>
      <c r="D452" s="164"/>
      <c r="E452" s="163"/>
      <c r="F452" s="165"/>
      <c r="G452" s="165"/>
      <c r="H452" s="164"/>
      <c r="I452" s="163"/>
      <c r="J452" s="152"/>
      <c r="K452" s="154"/>
      <c r="L452" s="152"/>
      <c r="M452" s="152"/>
      <c r="N452" s="155"/>
      <c r="O452" s="161"/>
      <c r="P452" s="157"/>
    </row>
    <row r="453" spans="1:16" ht="15.75" customHeight="1">
      <c r="A453" s="151"/>
      <c r="B453" s="162"/>
      <c r="C453" s="163"/>
      <c r="D453" s="164"/>
      <c r="E453" s="163"/>
      <c r="F453" s="165"/>
      <c r="G453" s="165"/>
      <c r="H453" s="164"/>
      <c r="I453" s="163"/>
      <c r="J453" s="152"/>
      <c r="K453" s="154"/>
      <c r="L453" s="152"/>
      <c r="M453" s="152"/>
      <c r="N453" s="155"/>
      <c r="O453" s="161"/>
      <c r="P453" s="157"/>
    </row>
    <row r="454" spans="1:16" ht="15.75" customHeight="1">
      <c r="A454" s="151"/>
      <c r="B454" s="162"/>
      <c r="C454" s="163"/>
      <c r="D454" s="164"/>
      <c r="E454" s="163"/>
      <c r="F454" s="165"/>
      <c r="G454" s="165"/>
      <c r="H454" s="164"/>
      <c r="I454" s="163"/>
      <c r="J454" s="152"/>
      <c r="K454" s="154"/>
      <c r="L454" s="152"/>
      <c r="M454" s="152"/>
      <c r="N454" s="155"/>
      <c r="O454" s="161"/>
      <c r="P454" s="157"/>
    </row>
    <row r="455" spans="1:16" ht="15.75" customHeight="1">
      <c r="A455" s="151"/>
      <c r="B455" s="162"/>
      <c r="C455" s="163"/>
      <c r="D455" s="164"/>
      <c r="E455" s="163"/>
      <c r="F455" s="165"/>
      <c r="G455" s="165"/>
      <c r="H455" s="164"/>
      <c r="I455" s="163"/>
      <c r="J455" s="152"/>
      <c r="K455" s="154"/>
      <c r="L455" s="152"/>
      <c r="M455" s="152"/>
      <c r="N455" s="155"/>
      <c r="O455" s="161"/>
      <c r="P455" s="157"/>
    </row>
    <row r="456" spans="1:16" ht="15.75" customHeight="1">
      <c r="A456" s="151"/>
      <c r="B456" s="162"/>
      <c r="C456" s="163"/>
      <c r="D456" s="164"/>
      <c r="E456" s="163"/>
      <c r="F456" s="165"/>
      <c r="G456" s="165"/>
      <c r="H456" s="164"/>
      <c r="I456" s="163"/>
      <c r="J456" s="152"/>
      <c r="K456" s="154"/>
      <c r="L456" s="152"/>
      <c r="M456" s="152"/>
      <c r="N456" s="155"/>
      <c r="O456" s="161"/>
      <c r="P456" s="157"/>
    </row>
    <row r="457" spans="1:16" ht="15.75" customHeight="1">
      <c r="A457" s="151"/>
      <c r="B457" s="162"/>
      <c r="C457" s="163"/>
      <c r="D457" s="164"/>
      <c r="E457" s="163"/>
      <c r="F457" s="165"/>
      <c r="G457" s="165"/>
      <c r="H457" s="164"/>
      <c r="I457" s="163"/>
      <c r="J457" s="152"/>
      <c r="K457" s="154"/>
      <c r="L457" s="152"/>
      <c r="M457" s="152"/>
      <c r="N457" s="155"/>
      <c r="O457" s="161"/>
      <c r="P457" s="157"/>
    </row>
    <row r="458" spans="1:16" ht="15.75" customHeight="1">
      <c r="A458" s="151"/>
      <c r="B458" s="162"/>
      <c r="C458" s="163"/>
      <c r="D458" s="164"/>
      <c r="E458" s="163"/>
      <c r="F458" s="165"/>
      <c r="G458" s="165"/>
      <c r="H458" s="164"/>
      <c r="I458" s="163"/>
      <c r="J458" s="152"/>
      <c r="K458" s="154"/>
      <c r="L458" s="152"/>
      <c r="M458" s="152"/>
      <c r="N458" s="155"/>
      <c r="O458" s="161"/>
      <c r="P458" s="157"/>
    </row>
    <row r="459" spans="1:16" ht="15.75" customHeight="1">
      <c r="A459" s="151"/>
      <c r="B459" s="162"/>
      <c r="C459" s="163"/>
      <c r="D459" s="164"/>
      <c r="E459" s="163"/>
      <c r="F459" s="165"/>
      <c r="G459" s="165"/>
      <c r="H459" s="164"/>
      <c r="I459" s="163"/>
      <c r="J459" s="152"/>
      <c r="K459" s="154"/>
      <c r="L459" s="152"/>
      <c r="M459" s="152"/>
      <c r="N459" s="155"/>
      <c r="O459" s="161"/>
      <c r="P459" s="157"/>
    </row>
    <row r="460" spans="1:16" ht="15.75" customHeight="1">
      <c r="A460" s="151"/>
      <c r="B460" s="162"/>
      <c r="C460" s="163"/>
      <c r="D460" s="164"/>
      <c r="E460" s="163"/>
      <c r="F460" s="165"/>
      <c r="G460" s="165"/>
      <c r="H460" s="164"/>
      <c r="I460" s="163"/>
      <c r="J460" s="152"/>
      <c r="K460" s="154"/>
      <c r="L460" s="152"/>
      <c r="M460" s="152"/>
      <c r="N460" s="155"/>
      <c r="O460" s="161"/>
      <c r="P460" s="157"/>
    </row>
    <row r="461" spans="1:16" ht="15.75" customHeight="1">
      <c r="A461" s="151"/>
      <c r="B461" s="162"/>
      <c r="C461" s="163"/>
      <c r="D461" s="164"/>
      <c r="E461" s="163"/>
      <c r="F461" s="165"/>
      <c r="G461" s="165"/>
      <c r="H461" s="164"/>
      <c r="I461" s="163"/>
      <c r="J461" s="152"/>
      <c r="K461" s="154"/>
      <c r="L461" s="152"/>
      <c r="M461" s="152"/>
      <c r="N461" s="155"/>
      <c r="O461" s="161"/>
      <c r="P461" s="157"/>
    </row>
    <row r="462" spans="1:16" ht="15.75" customHeight="1">
      <c r="A462" s="151"/>
      <c r="B462" s="162"/>
      <c r="C462" s="163"/>
      <c r="D462" s="164"/>
      <c r="E462" s="163"/>
      <c r="F462" s="165"/>
      <c r="G462" s="165"/>
      <c r="H462" s="164"/>
      <c r="I462" s="163"/>
      <c r="J462" s="152"/>
      <c r="K462" s="154"/>
      <c r="L462" s="152"/>
      <c r="M462" s="152"/>
      <c r="N462" s="155"/>
      <c r="O462" s="161"/>
      <c r="P462" s="157"/>
    </row>
    <row r="463" spans="1:16" ht="15.75" customHeight="1">
      <c r="A463" s="151"/>
      <c r="B463" s="162"/>
      <c r="C463" s="163"/>
      <c r="D463" s="164"/>
      <c r="E463" s="163"/>
      <c r="F463" s="165"/>
      <c r="G463" s="165"/>
      <c r="H463" s="164"/>
      <c r="I463" s="163"/>
      <c r="J463" s="152"/>
      <c r="K463" s="154"/>
      <c r="L463" s="152"/>
      <c r="M463" s="152"/>
      <c r="N463" s="155"/>
      <c r="O463" s="161"/>
      <c r="P463" s="157"/>
    </row>
    <row r="464" spans="1:16" ht="15.75" customHeight="1">
      <c r="A464" s="151"/>
      <c r="B464" s="162"/>
      <c r="C464" s="163"/>
      <c r="D464" s="164"/>
      <c r="E464" s="163"/>
      <c r="F464" s="165"/>
      <c r="G464" s="165"/>
      <c r="H464" s="164"/>
      <c r="I464" s="163"/>
      <c r="J464" s="152"/>
      <c r="K464" s="154"/>
      <c r="L464" s="152"/>
      <c r="M464" s="152"/>
      <c r="N464" s="155"/>
      <c r="O464" s="161"/>
      <c r="P464" s="157"/>
    </row>
    <row r="465" spans="1:16" ht="15.75" customHeight="1">
      <c r="A465" s="151"/>
      <c r="B465" s="162"/>
      <c r="C465" s="163"/>
      <c r="D465" s="164"/>
      <c r="E465" s="163"/>
      <c r="F465" s="165"/>
      <c r="G465" s="165"/>
      <c r="H465" s="164"/>
      <c r="I465" s="163"/>
      <c r="J465" s="152"/>
      <c r="K465" s="154"/>
      <c r="L465" s="152"/>
      <c r="M465" s="152"/>
      <c r="N465" s="155"/>
      <c r="O465" s="161"/>
      <c r="P465" s="157"/>
    </row>
    <row r="466" spans="1:16" ht="15.75" customHeight="1">
      <c r="A466" s="151"/>
      <c r="B466" s="162"/>
      <c r="C466" s="163"/>
      <c r="D466" s="164"/>
      <c r="E466" s="163"/>
      <c r="F466" s="165"/>
      <c r="G466" s="165"/>
      <c r="H466" s="164"/>
      <c r="I466" s="163"/>
      <c r="J466" s="152"/>
      <c r="K466" s="154"/>
      <c r="L466" s="152"/>
      <c r="M466" s="152"/>
      <c r="N466" s="155"/>
      <c r="O466" s="161"/>
      <c r="P466" s="157"/>
    </row>
    <row r="467" spans="1:16" ht="15.75" customHeight="1">
      <c r="A467" s="151"/>
      <c r="B467" s="162"/>
      <c r="C467" s="163"/>
      <c r="D467" s="164"/>
      <c r="E467" s="163"/>
      <c r="F467" s="165"/>
      <c r="G467" s="165"/>
      <c r="H467" s="164"/>
      <c r="I467" s="163"/>
      <c r="J467" s="152"/>
      <c r="K467" s="154"/>
      <c r="L467" s="152"/>
      <c r="M467" s="152"/>
      <c r="N467" s="155"/>
      <c r="O467" s="161"/>
      <c r="P467" s="157"/>
    </row>
    <row r="468" spans="1:16" ht="15.75" customHeight="1">
      <c r="A468" s="151"/>
      <c r="B468" s="162"/>
      <c r="C468" s="163"/>
      <c r="D468" s="164"/>
      <c r="E468" s="163"/>
      <c r="F468" s="165"/>
      <c r="G468" s="165"/>
      <c r="H468" s="164"/>
      <c r="I468" s="163"/>
      <c r="J468" s="152"/>
      <c r="K468" s="154"/>
      <c r="L468" s="152"/>
      <c r="M468" s="152"/>
      <c r="N468" s="155"/>
      <c r="O468" s="161"/>
      <c r="P468" s="157"/>
    </row>
    <row r="469" spans="1:16" ht="15.75" customHeight="1">
      <c r="A469" s="151"/>
      <c r="B469" s="162"/>
      <c r="C469" s="163"/>
      <c r="D469" s="164"/>
      <c r="E469" s="163"/>
      <c r="F469" s="165"/>
      <c r="G469" s="165"/>
      <c r="H469" s="164"/>
      <c r="I469" s="163"/>
      <c r="J469" s="152"/>
      <c r="K469" s="154"/>
      <c r="L469" s="152"/>
      <c r="M469" s="152"/>
      <c r="N469" s="155"/>
      <c r="O469" s="161"/>
      <c r="P469" s="157"/>
    </row>
    <row r="470" spans="1:16" ht="15.75" customHeight="1">
      <c r="A470" s="151"/>
      <c r="B470" s="162"/>
      <c r="C470" s="163"/>
      <c r="D470" s="164"/>
      <c r="E470" s="163"/>
      <c r="F470" s="165"/>
      <c r="G470" s="165"/>
      <c r="H470" s="164"/>
      <c r="I470" s="163"/>
      <c r="J470" s="152"/>
      <c r="K470" s="154"/>
      <c r="L470" s="152"/>
      <c r="M470" s="152"/>
      <c r="N470" s="155"/>
      <c r="O470" s="161"/>
      <c r="P470" s="157"/>
    </row>
    <row r="471" spans="1:16" ht="15.75" customHeight="1">
      <c r="A471" s="151"/>
      <c r="B471" s="162"/>
      <c r="C471" s="163"/>
      <c r="D471" s="164"/>
      <c r="E471" s="163"/>
      <c r="F471" s="165"/>
      <c r="G471" s="165"/>
      <c r="H471" s="164"/>
      <c r="I471" s="163"/>
      <c r="J471" s="152"/>
      <c r="K471" s="154"/>
      <c r="L471" s="152"/>
      <c r="M471" s="152"/>
      <c r="N471" s="155"/>
      <c r="O471" s="161"/>
      <c r="P471" s="157"/>
    </row>
    <row r="472" spans="1:16" ht="15.75" customHeight="1">
      <c r="A472" s="151"/>
      <c r="B472" s="162"/>
      <c r="C472" s="163"/>
      <c r="D472" s="164"/>
      <c r="E472" s="163"/>
      <c r="F472" s="165"/>
      <c r="G472" s="165"/>
      <c r="H472" s="164"/>
      <c r="I472" s="163"/>
      <c r="J472" s="152"/>
      <c r="K472" s="154"/>
      <c r="L472" s="152"/>
      <c r="M472" s="152"/>
      <c r="N472" s="155"/>
      <c r="O472" s="161"/>
      <c r="P472" s="157"/>
    </row>
    <row r="473" spans="1:16" ht="15.75" customHeight="1">
      <c r="A473" s="151"/>
      <c r="B473" s="162"/>
      <c r="C473" s="163"/>
      <c r="D473" s="164"/>
      <c r="E473" s="163"/>
      <c r="F473" s="165"/>
      <c r="G473" s="165"/>
      <c r="H473" s="164"/>
      <c r="I473" s="163"/>
      <c r="J473" s="152"/>
      <c r="K473" s="154"/>
      <c r="L473" s="152"/>
      <c r="M473" s="152"/>
      <c r="N473" s="155"/>
      <c r="O473" s="161"/>
      <c r="P473" s="157"/>
    </row>
    <row r="474" spans="1:16" ht="15.75" customHeight="1">
      <c r="A474" s="151"/>
      <c r="B474" s="162"/>
      <c r="C474" s="163"/>
      <c r="D474" s="164"/>
      <c r="E474" s="163"/>
      <c r="F474" s="165"/>
      <c r="G474" s="165"/>
      <c r="H474" s="164"/>
      <c r="I474" s="163"/>
      <c r="J474" s="152"/>
      <c r="K474" s="154"/>
      <c r="L474" s="152"/>
      <c r="M474" s="152"/>
      <c r="N474" s="155"/>
      <c r="O474" s="161"/>
      <c r="P474" s="157"/>
    </row>
    <row r="475" spans="1:16" ht="15.75" customHeight="1">
      <c r="A475" s="151"/>
      <c r="B475" s="162"/>
      <c r="C475" s="163"/>
      <c r="D475" s="164"/>
      <c r="E475" s="163"/>
      <c r="F475" s="165"/>
      <c r="G475" s="165"/>
      <c r="H475" s="164"/>
      <c r="I475" s="163"/>
      <c r="J475" s="152"/>
      <c r="K475" s="154"/>
      <c r="L475" s="152"/>
      <c r="M475" s="152"/>
      <c r="N475" s="155"/>
      <c r="O475" s="161"/>
      <c r="P475" s="157"/>
    </row>
    <row r="476" spans="1:16" ht="15.75" customHeight="1">
      <c r="A476" s="151"/>
      <c r="B476" s="162"/>
      <c r="C476" s="163"/>
      <c r="D476" s="164"/>
      <c r="E476" s="163"/>
      <c r="F476" s="165"/>
      <c r="G476" s="165"/>
      <c r="H476" s="164"/>
      <c r="I476" s="163"/>
      <c r="J476" s="152"/>
      <c r="K476" s="154"/>
      <c r="L476" s="152"/>
      <c r="M476" s="152"/>
      <c r="N476" s="155"/>
      <c r="O476" s="161"/>
      <c r="P476" s="157"/>
    </row>
    <row r="477" spans="1:16" ht="15.75" customHeight="1">
      <c r="A477" s="151"/>
      <c r="B477" s="162"/>
      <c r="C477" s="163"/>
      <c r="D477" s="164"/>
      <c r="E477" s="163"/>
      <c r="F477" s="165"/>
      <c r="G477" s="165"/>
      <c r="H477" s="164"/>
      <c r="I477" s="163"/>
      <c r="J477" s="152"/>
      <c r="K477" s="154"/>
      <c r="L477" s="152"/>
      <c r="M477" s="152"/>
      <c r="N477" s="155"/>
      <c r="O477" s="161"/>
      <c r="P477" s="157"/>
    </row>
    <row r="478" spans="1:16" ht="15.75" customHeight="1">
      <c r="A478" s="151"/>
      <c r="B478" s="162"/>
      <c r="C478" s="163"/>
      <c r="D478" s="164"/>
      <c r="E478" s="163"/>
      <c r="F478" s="165"/>
      <c r="G478" s="165"/>
      <c r="H478" s="164"/>
      <c r="I478" s="163"/>
      <c r="J478" s="152"/>
      <c r="K478" s="154"/>
      <c r="L478" s="152"/>
      <c r="M478" s="152"/>
      <c r="N478" s="155"/>
      <c r="O478" s="161"/>
      <c r="P478" s="157"/>
    </row>
    <row r="479" spans="1:16" ht="15.75" customHeight="1">
      <c r="A479" s="151"/>
      <c r="B479" s="162"/>
      <c r="C479" s="163"/>
      <c r="D479" s="164"/>
      <c r="E479" s="163"/>
      <c r="F479" s="165"/>
      <c r="G479" s="165"/>
      <c r="H479" s="164"/>
      <c r="I479" s="163"/>
      <c r="J479" s="152"/>
      <c r="K479" s="154"/>
      <c r="L479" s="152"/>
      <c r="M479" s="152"/>
      <c r="N479" s="155"/>
      <c r="O479" s="161"/>
      <c r="P479" s="157"/>
    </row>
    <row r="480" spans="1:16" ht="15.75" customHeight="1">
      <c r="A480" s="151"/>
      <c r="B480" s="162"/>
      <c r="C480" s="163"/>
      <c r="D480" s="164"/>
      <c r="E480" s="163"/>
      <c r="F480" s="165"/>
      <c r="G480" s="165"/>
      <c r="H480" s="164"/>
      <c r="I480" s="163"/>
      <c r="J480" s="152"/>
      <c r="K480" s="154"/>
      <c r="L480" s="152"/>
      <c r="M480" s="152"/>
      <c r="N480" s="155"/>
      <c r="O480" s="161"/>
      <c r="P480" s="157"/>
    </row>
    <row r="481" spans="1:16" ht="15.75" customHeight="1">
      <c r="A481" s="151"/>
      <c r="B481" s="162"/>
      <c r="C481" s="163"/>
      <c r="D481" s="164"/>
      <c r="E481" s="163"/>
      <c r="F481" s="165"/>
      <c r="G481" s="165"/>
      <c r="H481" s="164"/>
      <c r="I481" s="163"/>
      <c r="J481" s="152"/>
      <c r="K481" s="154"/>
      <c r="L481" s="152"/>
      <c r="M481" s="152"/>
      <c r="N481" s="155"/>
      <c r="O481" s="161"/>
      <c r="P481" s="157"/>
    </row>
    <row r="482" spans="1:16" ht="15.75" customHeight="1">
      <c r="A482" s="151"/>
      <c r="B482" s="162"/>
      <c r="C482" s="163"/>
      <c r="D482" s="164"/>
      <c r="E482" s="163"/>
      <c r="F482" s="165"/>
      <c r="G482" s="165"/>
      <c r="H482" s="164"/>
      <c r="I482" s="163"/>
      <c r="J482" s="152"/>
      <c r="K482" s="154"/>
      <c r="L482" s="152"/>
      <c r="M482" s="152"/>
      <c r="N482" s="155"/>
      <c r="O482" s="161"/>
      <c r="P482" s="157"/>
    </row>
    <row r="483" spans="1:16" ht="15.75" customHeight="1">
      <c r="A483" s="151"/>
      <c r="B483" s="162"/>
      <c r="C483" s="163"/>
      <c r="D483" s="164"/>
      <c r="E483" s="163"/>
      <c r="F483" s="165"/>
      <c r="G483" s="165"/>
      <c r="H483" s="164"/>
      <c r="I483" s="163"/>
      <c r="J483" s="152"/>
      <c r="K483" s="154"/>
      <c r="L483" s="152"/>
      <c r="M483" s="152"/>
      <c r="N483" s="155"/>
      <c r="O483" s="161"/>
      <c r="P483" s="157"/>
    </row>
    <row r="484" spans="1:16" ht="15.75" customHeight="1">
      <c r="A484" s="151"/>
      <c r="B484" s="162"/>
      <c r="C484" s="163"/>
      <c r="D484" s="164"/>
      <c r="E484" s="163"/>
      <c r="F484" s="165"/>
      <c r="G484" s="165"/>
      <c r="H484" s="164"/>
      <c r="I484" s="163"/>
      <c r="J484" s="152"/>
      <c r="K484" s="154"/>
      <c r="L484" s="152"/>
      <c r="M484" s="152"/>
      <c r="N484" s="155"/>
      <c r="O484" s="161"/>
      <c r="P484" s="157"/>
    </row>
    <row r="485" spans="1:16" ht="15.75" customHeight="1">
      <c r="A485" s="151"/>
      <c r="B485" s="162"/>
      <c r="C485" s="163"/>
      <c r="D485" s="164"/>
      <c r="E485" s="163"/>
      <c r="F485" s="165"/>
      <c r="G485" s="165"/>
      <c r="H485" s="164"/>
      <c r="I485" s="163"/>
      <c r="J485" s="152"/>
      <c r="K485" s="154"/>
      <c r="L485" s="152"/>
      <c r="M485" s="152"/>
      <c r="N485" s="155"/>
      <c r="O485" s="161"/>
      <c r="P485" s="157"/>
    </row>
    <row r="486" spans="1:16" ht="15.75" customHeight="1">
      <c r="A486" s="151"/>
      <c r="B486" s="162"/>
      <c r="C486" s="163"/>
      <c r="D486" s="164"/>
      <c r="E486" s="163"/>
      <c r="F486" s="165"/>
      <c r="G486" s="165"/>
      <c r="H486" s="164"/>
      <c r="I486" s="163"/>
      <c r="J486" s="152"/>
      <c r="K486" s="154"/>
      <c r="L486" s="152"/>
      <c r="M486" s="152"/>
      <c r="N486" s="155"/>
      <c r="O486" s="161"/>
      <c r="P486" s="157"/>
    </row>
    <row r="487" spans="1:16" ht="15.75" customHeight="1">
      <c r="A487" s="151"/>
      <c r="B487" s="162"/>
      <c r="C487" s="163"/>
      <c r="D487" s="164"/>
      <c r="E487" s="163"/>
      <c r="F487" s="165"/>
      <c r="G487" s="165"/>
      <c r="H487" s="164"/>
      <c r="I487" s="163"/>
      <c r="J487" s="152"/>
      <c r="K487" s="154"/>
      <c r="L487" s="152"/>
      <c r="M487" s="152"/>
      <c r="N487" s="155"/>
      <c r="O487" s="161"/>
      <c r="P487" s="157"/>
    </row>
    <row r="488" spans="1:16" ht="15.75" customHeight="1">
      <c r="A488" s="151"/>
      <c r="B488" s="162"/>
      <c r="C488" s="163"/>
      <c r="D488" s="164"/>
      <c r="E488" s="163"/>
      <c r="F488" s="165"/>
      <c r="G488" s="165"/>
      <c r="H488" s="164"/>
      <c r="I488" s="163"/>
      <c r="J488" s="152"/>
      <c r="K488" s="154"/>
      <c r="L488" s="152"/>
      <c r="M488" s="152"/>
      <c r="N488" s="155"/>
      <c r="O488" s="161"/>
      <c r="P488" s="157"/>
    </row>
    <row r="489" spans="1:16" ht="15.75" customHeight="1">
      <c r="A489" s="151"/>
      <c r="B489" s="162"/>
      <c r="C489" s="163"/>
      <c r="D489" s="164"/>
      <c r="E489" s="163"/>
      <c r="F489" s="165"/>
      <c r="G489" s="165"/>
      <c r="H489" s="164"/>
      <c r="I489" s="163"/>
      <c r="J489" s="152"/>
      <c r="K489" s="154"/>
      <c r="L489" s="152"/>
      <c r="M489" s="152"/>
      <c r="N489" s="155"/>
      <c r="O489" s="161"/>
      <c r="P489" s="157"/>
    </row>
    <row r="490" spans="1:16" ht="15.75" customHeight="1">
      <c r="A490" s="151"/>
      <c r="B490" s="162"/>
      <c r="C490" s="163"/>
      <c r="D490" s="164"/>
      <c r="E490" s="163"/>
      <c r="F490" s="165"/>
      <c r="G490" s="165"/>
      <c r="H490" s="164"/>
      <c r="I490" s="163"/>
      <c r="J490" s="152"/>
      <c r="K490" s="154"/>
      <c r="L490" s="152"/>
      <c r="M490" s="152"/>
      <c r="N490" s="155"/>
      <c r="O490" s="161"/>
      <c r="P490" s="157"/>
    </row>
    <row r="491" spans="1:16" ht="15.75" customHeight="1">
      <c r="A491" s="151"/>
      <c r="B491" s="162"/>
      <c r="C491" s="163"/>
      <c r="D491" s="164"/>
      <c r="E491" s="163"/>
      <c r="F491" s="165"/>
      <c r="G491" s="165"/>
      <c r="H491" s="164"/>
      <c r="I491" s="163"/>
      <c r="J491" s="152"/>
      <c r="K491" s="154"/>
      <c r="L491" s="152"/>
      <c r="M491" s="152"/>
      <c r="N491" s="155"/>
      <c r="O491" s="161"/>
      <c r="P491" s="157"/>
    </row>
    <row r="492" spans="1:16" ht="15.75" customHeight="1">
      <c r="A492" s="151"/>
      <c r="B492" s="162"/>
      <c r="C492" s="163"/>
      <c r="D492" s="164"/>
      <c r="E492" s="163"/>
      <c r="F492" s="165"/>
      <c r="G492" s="165"/>
      <c r="H492" s="164"/>
      <c r="I492" s="163"/>
      <c r="J492" s="152"/>
      <c r="K492" s="154"/>
      <c r="L492" s="152"/>
      <c r="M492" s="152"/>
      <c r="N492" s="155"/>
      <c r="O492" s="161"/>
      <c r="P492" s="157"/>
    </row>
    <row r="493" spans="1:16" ht="15.75" customHeight="1">
      <c r="A493" s="151"/>
      <c r="B493" s="162"/>
      <c r="C493" s="163"/>
      <c r="D493" s="164"/>
      <c r="E493" s="163"/>
      <c r="F493" s="165"/>
      <c r="G493" s="165"/>
      <c r="H493" s="164"/>
      <c r="I493" s="163"/>
      <c r="J493" s="152"/>
      <c r="K493" s="154"/>
      <c r="L493" s="152"/>
      <c r="M493" s="152"/>
      <c r="N493" s="155"/>
      <c r="O493" s="161"/>
      <c r="P493" s="157"/>
    </row>
    <row r="494" spans="1:16" ht="15.75" customHeight="1">
      <c r="A494" s="151"/>
      <c r="B494" s="162"/>
      <c r="C494" s="163"/>
      <c r="D494" s="164"/>
      <c r="E494" s="163"/>
      <c r="F494" s="165"/>
      <c r="G494" s="165"/>
      <c r="H494" s="164"/>
      <c r="I494" s="163"/>
      <c r="J494" s="152"/>
      <c r="K494" s="154"/>
      <c r="L494" s="152"/>
      <c r="M494" s="152"/>
      <c r="N494" s="155"/>
      <c r="O494" s="161"/>
      <c r="P494" s="157"/>
    </row>
    <row r="495" spans="1:16" ht="15.75" customHeight="1">
      <c r="A495" s="151"/>
      <c r="B495" s="162"/>
      <c r="C495" s="163"/>
      <c r="D495" s="164"/>
      <c r="E495" s="163"/>
      <c r="F495" s="165"/>
      <c r="G495" s="165"/>
      <c r="H495" s="164"/>
      <c r="I495" s="163"/>
      <c r="J495" s="152"/>
      <c r="K495" s="154"/>
      <c r="L495" s="152"/>
      <c r="M495" s="152"/>
      <c r="N495" s="155"/>
      <c r="O495" s="161"/>
      <c r="P495" s="157"/>
    </row>
    <row r="496" spans="1:16" ht="15.75" customHeight="1">
      <c r="A496" s="151"/>
      <c r="B496" s="162"/>
      <c r="C496" s="163"/>
      <c r="D496" s="164"/>
      <c r="E496" s="163"/>
      <c r="F496" s="165"/>
      <c r="G496" s="165"/>
      <c r="H496" s="164"/>
      <c r="I496" s="163"/>
      <c r="J496" s="152"/>
      <c r="K496" s="154"/>
      <c r="L496" s="152"/>
      <c r="M496" s="152"/>
      <c r="N496" s="155"/>
      <c r="O496" s="161"/>
      <c r="P496" s="157"/>
    </row>
    <row r="497" spans="1:16" ht="15.75" customHeight="1">
      <c r="A497" s="151"/>
      <c r="B497" s="162"/>
      <c r="C497" s="163"/>
      <c r="D497" s="164"/>
      <c r="E497" s="163"/>
      <c r="F497" s="165"/>
      <c r="G497" s="165"/>
      <c r="H497" s="164"/>
      <c r="I497" s="163"/>
      <c r="J497" s="152"/>
      <c r="K497" s="154"/>
      <c r="L497" s="152"/>
      <c r="M497" s="152"/>
      <c r="N497" s="155"/>
      <c r="O497" s="161"/>
      <c r="P497" s="157"/>
    </row>
    <row r="498" spans="1:16" ht="15.75" customHeight="1">
      <c r="A498" s="151"/>
      <c r="B498" s="162"/>
      <c r="C498" s="163"/>
      <c r="D498" s="164"/>
      <c r="E498" s="163"/>
      <c r="F498" s="165"/>
      <c r="G498" s="165"/>
      <c r="H498" s="164"/>
      <c r="I498" s="163"/>
      <c r="J498" s="152"/>
      <c r="K498" s="154"/>
      <c r="L498" s="152"/>
      <c r="M498" s="152"/>
      <c r="N498" s="155"/>
      <c r="O498" s="161"/>
      <c r="P498" s="157"/>
    </row>
    <row r="499" spans="1:16" ht="15.75" customHeight="1">
      <c r="A499" s="151"/>
      <c r="B499" s="162"/>
      <c r="C499" s="163"/>
      <c r="D499" s="164"/>
      <c r="E499" s="163"/>
      <c r="F499" s="165"/>
      <c r="G499" s="165"/>
      <c r="H499" s="164"/>
      <c r="I499" s="163"/>
      <c r="J499" s="152"/>
      <c r="K499" s="154"/>
      <c r="L499" s="152"/>
      <c r="M499" s="152"/>
      <c r="N499" s="155"/>
      <c r="O499" s="161"/>
      <c r="P499" s="157"/>
    </row>
    <row r="500" spans="1:16" ht="15.75" customHeight="1">
      <c r="A500" s="151"/>
      <c r="B500" s="162"/>
      <c r="C500" s="163"/>
      <c r="D500" s="164"/>
      <c r="E500" s="163"/>
      <c r="F500" s="165"/>
      <c r="G500" s="165"/>
      <c r="H500" s="164"/>
      <c r="I500" s="163"/>
      <c r="J500" s="152"/>
      <c r="K500" s="154"/>
      <c r="L500" s="152"/>
      <c r="M500" s="152"/>
      <c r="N500" s="155"/>
      <c r="O500" s="161"/>
      <c r="P500" s="157"/>
    </row>
    <row r="501" spans="1:16" ht="15.75" customHeight="1">
      <c r="A501" s="151"/>
      <c r="B501" s="162"/>
      <c r="C501" s="163"/>
      <c r="D501" s="164"/>
      <c r="E501" s="163"/>
      <c r="F501" s="165"/>
      <c r="G501" s="165"/>
      <c r="H501" s="164"/>
      <c r="I501" s="163"/>
      <c r="J501" s="152"/>
      <c r="K501" s="154"/>
      <c r="L501" s="152"/>
      <c r="M501" s="152"/>
      <c r="N501" s="155"/>
      <c r="O501" s="161"/>
      <c r="P501" s="157"/>
    </row>
    <row r="502" spans="1:16" ht="15.75" customHeight="1">
      <c r="A502" s="151"/>
      <c r="B502" s="162"/>
      <c r="C502" s="163"/>
      <c r="D502" s="164"/>
      <c r="E502" s="163"/>
      <c r="F502" s="165"/>
      <c r="G502" s="165"/>
      <c r="H502" s="164"/>
      <c r="I502" s="163"/>
      <c r="J502" s="152"/>
      <c r="K502" s="154"/>
      <c r="L502" s="152"/>
      <c r="M502" s="152"/>
      <c r="N502" s="155"/>
      <c r="O502" s="161"/>
      <c r="P502" s="157"/>
    </row>
    <row r="503" spans="1:16" ht="15.75" customHeight="1">
      <c r="A503" s="151"/>
      <c r="B503" s="162"/>
      <c r="C503" s="163"/>
      <c r="D503" s="164"/>
      <c r="E503" s="163"/>
      <c r="F503" s="165"/>
      <c r="G503" s="165"/>
      <c r="H503" s="164"/>
      <c r="I503" s="163"/>
      <c r="J503" s="152"/>
      <c r="K503" s="154"/>
      <c r="L503" s="152"/>
      <c r="M503" s="152"/>
      <c r="N503" s="155"/>
      <c r="O503" s="161"/>
      <c r="P503" s="157"/>
    </row>
    <row r="504" spans="1:16" ht="15.75" customHeight="1">
      <c r="A504" s="151"/>
      <c r="B504" s="162"/>
      <c r="C504" s="163"/>
      <c r="D504" s="164"/>
      <c r="E504" s="163"/>
      <c r="F504" s="165"/>
      <c r="G504" s="165"/>
      <c r="H504" s="164"/>
      <c r="I504" s="163"/>
      <c r="J504" s="152"/>
      <c r="K504" s="154"/>
      <c r="L504" s="152"/>
      <c r="M504" s="152"/>
      <c r="N504" s="155"/>
      <c r="O504" s="161"/>
      <c r="P504" s="157"/>
    </row>
    <row r="505" spans="1:16" ht="15.75" customHeight="1">
      <c r="A505" s="151"/>
      <c r="B505" s="162"/>
      <c r="C505" s="163"/>
      <c r="D505" s="164"/>
      <c r="E505" s="163"/>
      <c r="F505" s="165"/>
      <c r="G505" s="165"/>
      <c r="H505" s="164"/>
      <c r="I505" s="163"/>
      <c r="J505" s="152"/>
      <c r="K505" s="154"/>
      <c r="L505" s="152"/>
      <c r="M505" s="152"/>
      <c r="N505" s="155"/>
      <c r="O505" s="161"/>
      <c r="P505" s="157"/>
    </row>
    <row r="506" spans="1:16" ht="15.75" customHeight="1">
      <c r="A506" s="151"/>
      <c r="B506" s="162"/>
      <c r="C506" s="163"/>
      <c r="D506" s="164"/>
      <c r="E506" s="163"/>
      <c r="F506" s="165"/>
      <c r="G506" s="165"/>
      <c r="H506" s="164"/>
      <c r="I506" s="163"/>
      <c r="J506" s="152"/>
      <c r="K506" s="154"/>
      <c r="L506" s="152"/>
      <c r="M506" s="152"/>
      <c r="N506" s="155"/>
      <c r="O506" s="161"/>
      <c r="P506" s="157"/>
    </row>
    <row r="507" spans="1:16" ht="15.75" customHeight="1">
      <c r="A507" s="151"/>
      <c r="B507" s="162"/>
      <c r="C507" s="163"/>
      <c r="D507" s="164"/>
      <c r="E507" s="163"/>
      <c r="F507" s="165"/>
      <c r="G507" s="165"/>
      <c r="H507" s="164"/>
      <c r="I507" s="163"/>
      <c r="J507" s="152"/>
      <c r="K507" s="154"/>
      <c r="L507" s="152"/>
      <c r="M507" s="152"/>
      <c r="N507" s="155"/>
      <c r="O507" s="161"/>
      <c r="P507" s="157"/>
    </row>
    <row r="508" spans="1:16" ht="15.75" customHeight="1">
      <c r="A508" s="151"/>
      <c r="B508" s="162"/>
      <c r="C508" s="163"/>
      <c r="D508" s="164"/>
      <c r="E508" s="163"/>
      <c r="F508" s="165"/>
      <c r="G508" s="165"/>
      <c r="H508" s="164"/>
      <c r="I508" s="163"/>
      <c r="J508" s="152"/>
      <c r="K508" s="154"/>
      <c r="L508" s="152"/>
      <c r="M508" s="152"/>
      <c r="N508" s="155"/>
      <c r="O508" s="161"/>
      <c r="P508" s="157"/>
    </row>
    <row r="509" spans="1:16" ht="15.75" customHeight="1">
      <c r="A509" s="151"/>
      <c r="B509" s="162"/>
      <c r="C509" s="163"/>
      <c r="D509" s="164"/>
      <c r="E509" s="163"/>
      <c r="F509" s="165"/>
      <c r="G509" s="165"/>
      <c r="H509" s="164"/>
      <c r="I509" s="163"/>
      <c r="J509" s="152"/>
      <c r="K509" s="154"/>
      <c r="L509" s="152"/>
      <c r="M509" s="152"/>
      <c r="N509" s="155"/>
      <c r="O509" s="161"/>
      <c r="P509" s="157"/>
    </row>
    <row r="510" spans="1:16" ht="15.75" customHeight="1">
      <c r="A510" s="151"/>
      <c r="B510" s="162"/>
      <c r="C510" s="163"/>
      <c r="D510" s="164"/>
      <c r="E510" s="163"/>
      <c r="F510" s="165"/>
      <c r="G510" s="165"/>
      <c r="H510" s="164"/>
      <c r="I510" s="163"/>
      <c r="J510" s="152"/>
      <c r="K510" s="154"/>
      <c r="L510" s="152"/>
      <c r="M510" s="152"/>
      <c r="N510" s="155"/>
      <c r="O510" s="161"/>
      <c r="P510" s="157"/>
    </row>
    <row r="511" spans="1:16" ht="15.75" customHeight="1">
      <c r="A511" s="151"/>
      <c r="B511" s="162"/>
      <c r="C511" s="163"/>
      <c r="D511" s="164"/>
      <c r="E511" s="163"/>
      <c r="F511" s="165"/>
      <c r="G511" s="165"/>
      <c r="H511" s="164"/>
      <c r="I511" s="163"/>
      <c r="J511" s="152"/>
      <c r="K511" s="154"/>
      <c r="L511" s="152"/>
      <c r="M511" s="152"/>
      <c r="N511" s="155"/>
      <c r="O511" s="161"/>
      <c r="P511" s="157"/>
    </row>
    <row r="512" spans="1:16" ht="15.75" customHeight="1">
      <c r="A512" s="151"/>
      <c r="B512" s="162"/>
      <c r="C512" s="163"/>
      <c r="D512" s="164"/>
      <c r="E512" s="163"/>
      <c r="F512" s="165"/>
      <c r="G512" s="165"/>
      <c r="H512" s="164"/>
      <c r="I512" s="163"/>
      <c r="J512" s="152"/>
      <c r="K512" s="154"/>
      <c r="L512" s="152"/>
      <c r="M512" s="152"/>
      <c r="N512" s="155"/>
      <c r="O512" s="161"/>
      <c r="P512" s="157"/>
    </row>
    <row r="513" spans="1:16" ht="15.75" customHeight="1">
      <c r="A513" s="151"/>
      <c r="B513" s="162"/>
      <c r="C513" s="163"/>
      <c r="D513" s="164"/>
      <c r="E513" s="163"/>
      <c r="F513" s="165"/>
      <c r="G513" s="165"/>
      <c r="H513" s="164"/>
      <c r="I513" s="163"/>
      <c r="J513" s="152"/>
      <c r="K513" s="154"/>
      <c r="L513" s="152"/>
      <c r="M513" s="152"/>
      <c r="N513" s="155"/>
      <c r="O513" s="161"/>
      <c r="P513" s="157"/>
    </row>
    <row r="514" spans="1:16" ht="15.75" customHeight="1">
      <c r="A514" s="151"/>
      <c r="B514" s="162"/>
      <c r="C514" s="163"/>
      <c r="D514" s="164"/>
      <c r="E514" s="163"/>
      <c r="F514" s="165"/>
      <c r="G514" s="165"/>
      <c r="H514" s="164"/>
      <c r="I514" s="163"/>
      <c r="J514" s="152"/>
      <c r="K514" s="154"/>
      <c r="L514" s="152"/>
      <c r="M514" s="152"/>
      <c r="N514" s="155"/>
      <c r="O514" s="161"/>
      <c r="P514" s="157"/>
    </row>
    <row r="515" spans="1:16" ht="15.75" customHeight="1">
      <c r="A515" s="151"/>
      <c r="B515" s="162"/>
      <c r="C515" s="163"/>
      <c r="D515" s="164"/>
      <c r="E515" s="163"/>
      <c r="F515" s="165"/>
      <c r="G515" s="165"/>
      <c r="H515" s="164"/>
      <c r="I515" s="163"/>
      <c r="J515" s="152"/>
      <c r="K515" s="154"/>
      <c r="L515" s="152"/>
      <c r="M515" s="152"/>
      <c r="N515" s="155"/>
      <c r="O515" s="161"/>
      <c r="P515" s="157"/>
    </row>
    <row r="516" spans="1:16" ht="15.75" customHeight="1">
      <c r="A516" s="151"/>
      <c r="B516" s="162"/>
      <c r="C516" s="163"/>
      <c r="D516" s="164"/>
      <c r="E516" s="163"/>
      <c r="F516" s="165"/>
      <c r="G516" s="165"/>
      <c r="H516" s="164"/>
      <c r="I516" s="163"/>
      <c r="J516" s="152"/>
      <c r="K516" s="154"/>
      <c r="L516" s="152"/>
      <c r="M516" s="152"/>
      <c r="N516" s="155"/>
      <c r="O516" s="161"/>
      <c r="P516" s="157"/>
    </row>
    <row r="517" spans="1:16" ht="15.75" customHeight="1">
      <c r="A517" s="151"/>
      <c r="B517" s="162"/>
      <c r="C517" s="163"/>
      <c r="D517" s="164"/>
      <c r="E517" s="163"/>
      <c r="F517" s="165"/>
      <c r="G517" s="165"/>
      <c r="H517" s="164"/>
      <c r="I517" s="163"/>
      <c r="J517" s="152"/>
      <c r="K517" s="154"/>
      <c r="L517" s="152"/>
      <c r="M517" s="152"/>
      <c r="N517" s="155"/>
      <c r="O517" s="161"/>
      <c r="P517" s="157"/>
    </row>
    <row r="518" spans="1:16" ht="15.75" customHeight="1">
      <c r="A518" s="151"/>
      <c r="B518" s="162"/>
      <c r="C518" s="163"/>
      <c r="D518" s="164"/>
      <c r="E518" s="163"/>
      <c r="F518" s="165"/>
      <c r="G518" s="165"/>
      <c r="H518" s="164"/>
      <c r="I518" s="163"/>
      <c r="J518" s="152"/>
      <c r="K518" s="154"/>
      <c r="L518" s="152"/>
      <c r="M518" s="152"/>
      <c r="N518" s="155"/>
      <c r="O518" s="161"/>
      <c r="P518" s="157"/>
    </row>
    <row r="519" spans="1:16" ht="15.75" customHeight="1">
      <c r="A519" s="151"/>
      <c r="B519" s="162"/>
      <c r="C519" s="163"/>
      <c r="D519" s="164"/>
      <c r="E519" s="163"/>
      <c r="F519" s="165"/>
      <c r="G519" s="165"/>
      <c r="H519" s="164"/>
      <c r="I519" s="163"/>
      <c r="J519" s="152"/>
      <c r="K519" s="154"/>
      <c r="L519" s="152"/>
      <c r="M519" s="152"/>
      <c r="N519" s="155"/>
      <c r="O519" s="161"/>
      <c r="P519" s="157"/>
    </row>
    <row r="520" spans="1:16" ht="15.75" customHeight="1">
      <c r="A520" s="151"/>
      <c r="B520" s="162"/>
      <c r="C520" s="163"/>
      <c r="D520" s="164"/>
      <c r="E520" s="163"/>
      <c r="F520" s="165"/>
      <c r="G520" s="165"/>
      <c r="H520" s="164"/>
      <c r="I520" s="163"/>
      <c r="J520" s="152"/>
      <c r="K520" s="154"/>
      <c r="L520" s="152"/>
      <c r="M520" s="152"/>
      <c r="N520" s="155"/>
      <c r="O520" s="161"/>
      <c r="P520" s="157"/>
    </row>
    <row r="521" spans="1:16" ht="15.75" customHeight="1">
      <c r="A521" s="151"/>
      <c r="B521" s="162"/>
      <c r="C521" s="163"/>
      <c r="D521" s="164"/>
      <c r="E521" s="163"/>
      <c r="F521" s="165"/>
      <c r="G521" s="165"/>
      <c r="H521" s="164"/>
      <c r="I521" s="163"/>
      <c r="J521" s="152"/>
      <c r="K521" s="154"/>
      <c r="L521" s="152"/>
      <c r="M521" s="152"/>
      <c r="N521" s="155"/>
      <c r="O521" s="161"/>
      <c r="P521" s="157"/>
    </row>
    <row r="522" spans="1:16" ht="15.75" customHeight="1">
      <c r="A522" s="151"/>
      <c r="B522" s="162"/>
      <c r="C522" s="163"/>
      <c r="D522" s="164"/>
      <c r="E522" s="163"/>
      <c r="F522" s="165"/>
      <c r="G522" s="165"/>
      <c r="H522" s="164"/>
      <c r="I522" s="163"/>
      <c r="J522" s="152"/>
      <c r="K522" s="154"/>
      <c r="L522" s="152"/>
      <c r="M522" s="152"/>
      <c r="N522" s="155"/>
      <c r="O522" s="161"/>
      <c r="P522" s="157"/>
    </row>
    <row r="523" spans="1:16" ht="15.75" customHeight="1">
      <c r="A523" s="151"/>
      <c r="B523" s="162"/>
      <c r="C523" s="163"/>
      <c r="D523" s="164"/>
      <c r="E523" s="163"/>
      <c r="F523" s="165"/>
      <c r="G523" s="165"/>
      <c r="H523" s="164"/>
      <c r="I523" s="163"/>
      <c r="J523" s="152"/>
      <c r="K523" s="154"/>
      <c r="L523" s="152"/>
      <c r="M523" s="152"/>
      <c r="N523" s="155"/>
      <c r="O523" s="161"/>
      <c r="P523" s="157"/>
    </row>
    <row r="524" spans="1:16" ht="15.75" customHeight="1">
      <c r="A524" s="151"/>
      <c r="B524" s="162"/>
      <c r="C524" s="163"/>
      <c r="D524" s="164"/>
      <c r="E524" s="163"/>
      <c r="F524" s="165"/>
      <c r="G524" s="165"/>
      <c r="H524" s="164"/>
      <c r="I524" s="163"/>
      <c r="J524" s="152"/>
      <c r="K524" s="154"/>
      <c r="L524" s="152"/>
      <c r="M524" s="152"/>
      <c r="N524" s="155"/>
      <c r="O524" s="161"/>
      <c r="P524" s="157"/>
    </row>
    <row r="525" spans="1:16" ht="15.75" customHeight="1">
      <c r="A525" s="151"/>
      <c r="B525" s="162"/>
      <c r="C525" s="163"/>
      <c r="D525" s="164"/>
      <c r="E525" s="163"/>
      <c r="F525" s="165"/>
      <c r="G525" s="165"/>
      <c r="H525" s="164"/>
      <c r="I525" s="163"/>
      <c r="J525" s="152"/>
      <c r="K525" s="154"/>
      <c r="L525" s="152"/>
      <c r="M525" s="152"/>
      <c r="N525" s="155"/>
      <c r="O525" s="161"/>
      <c r="P525" s="157"/>
    </row>
    <row r="526" spans="1:16" ht="15.75" customHeight="1">
      <c r="A526" s="151"/>
      <c r="B526" s="162"/>
      <c r="C526" s="163"/>
      <c r="D526" s="164"/>
      <c r="E526" s="163"/>
      <c r="F526" s="165"/>
      <c r="G526" s="165"/>
      <c r="H526" s="164"/>
      <c r="I526" s="163"/>
      <c r="J526" s="152"/>
      <c r="K526" s="154"/>
      <c r="L526" s="152"/>
      <c r="M526" s="152"/>
      <c r="N526" s="155"/>
      <c r="O526" s="161"/>
      <c r="P526" s="157"/>
    </row>
    <row r="527" spans="1:16" ht="15.75" customHeight="1">
      <c r="A527" s="151"/>
      <c r="B527" s="162"/>
      <c r="C527" s="163"/>
      <c r="D527" s="164"/>
      <c r="E527" s="163"/>
      <c r="F527" s="165"/>
      <c r="G527" s="165"/>
      <c r="H527" s="164"/>
      <c r="I527" s="163"/>
      <c r="J527" s="152"/>
      <c r="K527" s="154"/>
      <c r="L527" s="152"/>
      <c r="M527" s="152"/>
      <c r="N527" s="155"/>
      <c r="O527" s="161"/>
      <c r="P527" s="157"/>
    </row>
    <row r="528" spans="1:16" ht="15.75" customHeight="1">
      <c r="A528" s="151"/>
      <c r="B528" s="162"/>
      <c r="C528" s="163"/>
      <c r="D528" s="164"/>
      <c r="E528" s="163"/>
      <c r="F528" s="165"/>
      <c r="G528" s="165"/>
      <c r="H528" s="164"/>
      <c r="I528" s="163"/>
      <c r="J528" s="152"/>
      <c r="K528" s="154"/>
      <c r="L528" s="152"/>
      <c r="M528" s="152"/>
      <c r="N528" s="155"/>
      <c r="O528" s="161"/>
      <c r="P528" s="157"/>
    </row>
    <row r="529" spans="1:16" ht="15.75" customHeight="1">
      <c r="A529" s="151"/>
      <c r="B529" s="162"/>
      <c r="C529" s="163"/>
      <c r="D529" s="164"/>
      <c r="E529" s="163"/>
      <c r="F529" s="165"/>
      <c r="G529" s="165"/>
      <c r="H529" s="164"/>
      <c r="I529" s="163"/>
      <c r="J529" s="152"/>
      <c r="K529" s="154"/>
      <c r="L529" s="152"/>
      <c r="M529" s="152"/>
      <c r="N529" s="155"/>
      <c r="O529" s="161"/>
      <c r="P529" s="157"/>
    </row>
    <row r="530" spans="1:16" ht="15.75" customHeight="1">
      <c r="A530" s="151"/>
      <c r="B530" s="162"/>
      <c r="C530" s="163"/>
      <c r="D530" s="164"/>
      <c r="E530" s="163"/>
      <c r="F530" s="165"/>
      <c r="G530" s="165"/>
      <c r="H530" s="164"/>
      <c r="I530" s="163"/>
      <c r="J530" s="152"/>
      <c r="K530" s="154"/>
      <c r="L530" s="152"/>
      <c r="M530" s="152"/>
      <c r="N530" s="155"/>
      <c r="O530" s="161"/>
      <c r="P530" s="157"/>
    </row>
    <row r="531" spans="1:16" ht="15.75" customHeight="1">
      <c r="A531" s="151"/>
      <c r="B531" s="162"/>
      <c r="C531" s="163"/>
      <c r="D531" s="164"/>
      <c r="E531" s="163"/>
      <c r="F531" s="165"/>
      <c r="G531" s="165"/>
      <c r="H531" s="164"/>
      <c r="I531" s="163"/>
      <c r="J531" s="152"/>
      <c r="K531" s="154"/>
      <c r="L531" s="152"/>
      <c r="M531" s="152"/>
      <c r="N531" s="155"/>
      <c r="O531" s="161"/>
      <c r="P531" s="157"/>
    </row>
    <row r="532" spans="1:16" ht="15.75" customHeight="1">
      <c r="A532" s="151"/>
      <c r="B532" s="162"/>
      <c r="C532" s="163"/>
      <c r="D532" s="164"/>
      <c r="E532" s="163"/>
      <c r="F532" s="165"/>
      <c r="G532" s="165"/>
      <c r="H532" s="164"/>
      <c r="I532" s="163"/>
      <c r="J532" s="152"/>
      <c r="K532" s="154"/>
      <c r="L532" s="152"/>
      <c r="M532" s="152"/>
      <c r="N532" s="155"/>
      <c r="O532" s="161"/>
      <c r="P532" s="157"/>
    </row>
    <row r="533" spans="1:16" ht="15.75" customHeight="1">
      <c r="A533" s="151"/>
      <c r="B533" s="162"/>
      <c r="C533" s="163"/>
      <c r="D533" s="164"/>
      <c r="E533" s="163"/>
      <c r="F533" s="165"/>
      <c r="G533" s="165"/>
      <c r="H533" s="164"/>
      <c r="I533" s="163"/>
      <c r="J533" s="152"/>
      <c r="K533" s="154"/>
      <c r="L533" s="152"/>
      <c r="M533" s="152"/>
      <c r="N533" s="155"/>
      <c r="O533" s="161"/>
      <c r="P533" s="157"/>
    </row>
    <row r="534" spans="1:16" ht="15.75" customHeight="1">
      <c r="A534" s="151"/>
      <c r="B534" s="162"/>
      <c r="C534" s="163"/>
      <c r="D534" s="164"/>
      <c r="E534" s="163"/>
      <c r="F534" s="165"/>
      <c r="G534" s="165"/>
      <c r="H534" s="164"/>
      <c r="I534" s="163"/>
      <c r="J534" s="152"/>
      <c r="K534" s="154"/>
      <c r="L534" s="152"/>
      <c r="M534" s="152"/>
      <c r="N534" s="155"/>
      <c r="O534" s="161"/>
      <c r="P534" s="157"/>
    </row>
    <row r="535" spans="1:16" ht="15.75" customHeight="1">
      <c r="A535" s="151"/>
      <c r="B535" s="162"/>
      <c r="C535" s="163"/>
      <c r="D535" s="164"/>
      <c r="E535" s="163"/>
      <c r="F535" s="165"/>
      <c r="G535" s="165"/>
      <c r="H535" s="164"/>
      <c r="I535" s="163"/>
      <c r="J535" s="152"/>
      <c r="K535" s="154"/>
      <c r="L535" s="152"/>
      <c r="M535" s="152"/>
      <c r="N535" s="155"/>
      <c r="O535" s="161"/>
      <c r="P535" s="157"/>
    </row>
    <row r="536" spans="1:16" ht="15.75" customHeight="1">
      <c r="A536" s="151"/>
      <c r="B536" s="162"/>
      <c r="C536" s="163"/>
      <c r="D536" s="164"/>
      <c r="E536" s="163"/>
      <c r="F536" s="165"/>
      <c r="G536" s="165"/>
      <c r="H536" s="164"/>
      <c r="I536" s="163"/>
      <c r="J536" s="152"/>
      <c r="K536" s="154"/>
      <c r="L536" s="152"/>
      <c r="M536" s="152"/>
      <c r="N536" s="155"/>
      <c r="O536" s="161"/>
      <c r="P536" s="157"/>
    </row>
    <row r="537" spans="1:16" ht="15.75" customHeight="1">
      <c r="A537" s="151"/>
      <c r="B537" s="162"/>
      <c r="C537" s="163"/>
      <c r="D537" s="164"/>
      <c r="E537" s="163"/>
      <c r="F537" s="165"/>
      <c r="G537" s="165"/>
      <c r="H537" s="164"/>
      <c r="I537" s="163"/>
      <c r="J537" s="152"/>
      <c r="K537" s="154"/>
      <c r="L537" s="152"/>
      <c r="M537" s="152"/>
      <c r="N537" s="155"/>
      <c r="O537" s="161"/>
      <c r="P537" s="157"/>
    </row>
    <row r="538" spans="1:16" ht="15.75" customHeight="1">
      <c r="A538" s="151"/>
      <c r="B538" s="162"/>
      <c r="C538" s="163"/>
      <c r="D538" s="164"/>
      <c r="E538" s="163"/>
      <c r="F538" s="165"/>
      <c r="G538" s="165"/>
      <c r="H538" s="164"/>
      <c r="I538" s="163"/>
      <c r="J538" s="152"/>
      <c r="K538" s="154"/>
      <c r="L538" s="152"/>
      <c r="M538" s="152"/>
      <c r="N538" s="155"/>
      <c r="O538" s="161"/>
      <c r="P538" s="157"/>
    </row>
    <row r="539" spans="1:16" ht="15.75" customHeight="1">
      <c r="A539" s="151"/>
      <c r="B539" s="162"/>
      <c r="C539" s="163"/>
      <c r="D539" s="164"/>
      <c r="E539" s="163"/>
      <c r="F539" s="165"/>
      <c r="G539" s="165"/>
      <c r="H539" s="164"/>
      <c r="I539" s="163"/>
      <c r="J539" s="152"/>
      <c r="K539" s="154"/>
      <c r="L539" s="152"/>
      <c r="M539" s="152"/>
      <c r="N539" s="155"/>
      <c r="O539" s="161"/>
      <c r="P539" s="157"/>
    </row>
    <row r="540" spans="1:16" ht="15.75" customHeight="1">
      <c r="A540" s="151"/>
      <c r="B540" s="162"/>
      <c r="C540" s="163"/>
      <c r="D540" s="164"/>
      <c r="E540" s="163"/>
      <c r="F540" s="165"/>
      <c r="G540" s="165"/>
      <c r="H540" s="164"/>
      <c r="I540" s="163"/>
      <c r="J540" s="152"/>
      <c r="K540" s="154"/>
      <c r="L540" s="152"/>
      <c r="M540" s="152"/>
      <c r="N540" s="155"/>
      <c r="O540" s="161"/>
      <c r="P540" s="157"/>
    </row>
    <row r="541" spans="1:16" ht="15.75" customHeight="1">
      <c r="A541" s="151"/>
      <c r="B541" s="162"/>
      <c r="C541" s="163"/>
      <c r="D541" s="164"/>
      <c r="E541" s="163"/>
      <c r="F541" s="165"/>
      <c r="G541" s="165"/>
      <c r="H541" s="164"/>
      <c r="I541" s="163"/>
      <c r="J541" s="152"/>
      <c r="K541" s="154"/>
      <c r="L541" s="152"/>
      <c r="M541" s="152"/>
      <c r="N541" s="155"/>
      <c r="O541" s="161"/>
      <c r="P541" s="157"/>
    </row>
    <row r="542" spans="1:16" ht="15.75" customHeight="1">
      <c r="A542" s="151"/>
      <c r="B542" s="162"/>
      <c r="C542" s="163"/>
      <c r="D542" s="164"/>
      <c r="E542" s="163"/>
      <c r="F542" s="165"/>
      <c r="G542" s="165"/>
      <c r="H542" s="164"/>
      <c r="I542" s="163"/>
      <c r="J542" s="152"/>
      <c r="K542" s="154"/>
      <c r="L542" s="152"/>
      <c r="M542" s="152"/>
      <c r="N542" s="155"/>
      <c r="O542" s="161"/>
      <c r="P542" s="157"/>
    </row>
    <row r="543" spans="1:16" ht="15.75" customHeight="1">
      <c r="A543" s="151"/>
      <c r="B543" s="162"/>
      <c r="C543" s="163"/>
      <c r="D543" s="164"/>
      <c r="E543" s="163"/>
      <c r="F543" s="165"/>
      <c r="G543" s="165"/>
      <c r="H543" s="164"/>
      <c r="I543" s="163"/>
      <c r="J543" s="152"/>
      <c r="K543" s="154"/>
      <c r="L543" s="152"/>
      <c r="M543" s="152"/>
      <c r="N543" s="155"/>
      <c r="O543" s="161"/>
      <c r="P543" s="157"/>
    </row>
    <row r="544" spans="1:16" ht="15.75" customHeight="1">
      <c r="A544" s="151"/>
      <c r="B544" s="162"/>
      <c r="C544" s="163"/>
      <c r="D544" s="164"/>
      <c r="E544" s="163"/>
      <c r="F544" s="165"/>
      <c r="G544" s="165"/>
      <c r="H544" s="164"/>
      <c r="I544" s="163"/>
      <c r="J544" s="152"/>
      <c r="K544" s="154"/>
      <c r="L544" s="152"/>
      <c r="M544" s="152"/>
      <c r="N544" s="155"/>
      <c r="O544" s="161"/>
      <c r="P544" s="157"/>
    </row>
    <row r="545" spans="1:16" ht="15.75" customHeight="1">
      <c r="A545" s="151"/>
      <c r="B545" s="162"/>
      <c r="C545" s="163"/>
      <c r="D545" s="164"/>
      <c r="E545" s="163"/>
      <c r="F545" s="165"/>
      <c r="G545" s="165"/>
      <c r="H545" s="164"/>
      <c r="I545" s="163"/>
      <c r="J545" s="152"/>
      <c r="K545" s="154"/>
      <c r="L545" s="152"/>
      <c r="M545" s="152"/>
      <c r="N545" s="155"/>
      <c r="O545" s="161"/>
      <c r="P545" s="157"/>
    </row>
    <row r="546" spans="1:16" ht="15.75" customHeight="1">
      <c r="A546" s="151"/>
      <c r="B546" s="162"/>
      <c r="C546" s="163"/>
      <c r="D546" s="164"/>
      <c r="E546" s="163"/>
      <c r="F546" s="165"/>
      <c r="G546" s="165"/>
      <c r="H546" s="164"/>
      <c r="I546" s="163"/>
      <c r="J546" s="152"/>
      <c r="K546" s="154"/>
      <c r="L546" s="152"/>
      <c r="M546" s="152"/>
      <c r="N546" s="155"/>
      <c r="O546" s="161"/>
      <c r="P546" s="157"/>
    </row>
    <row r="547" spans="1:16" ht="15.75" customHeight="1">
      <c r="A547" s="151"/>
      <c r="B547" s="162"/>
      <c r="C547" s="163"/>
      <c r="D547" s="164"/>
      <c r="E547" s="163"/>
      <c r="F547" s="165"/>
      <c r="G547" s="165"/>
      <c r="H547" s="164"/>
      <c r="I547" s="163"/>
      <c r="J547" s="152"/>
      <c r="K547" s="154"/>
      <c r="L547" s="152"/>
      <c r="M547" s="152"/>
      <c r="N547" s="155"/>
      <c r="O547" s="161"/>
      <c r="P547" s="157"/>
    </row>
    <row r="548" spans="1:16" ht="15.75" customHeight="1">
      <c r="A548" s="151"/>
      <c r="B548" s="162"/>
      <c r="C548" s="163"/>
      <c r="D548" s="164"/>
      <c r="E548" s="163"/>
      <c r="F548" s="165"/>
      <c r="G548" s="165"/>
      <c r="H548" s="164"/>
      <c r="I548" s="163"/>
      <c r="J548" s="152"/>
      <c r="K548" s="154"/>
      <c r="L548" s="152"/>
      <c r="M548" s="152"/>
      <c r="N548" s="155"/>
      <c r="O548" s="161"/>
      <c r="P548" s="157"/>
    </row>
    <row r="549" spans="1:16" ht="15.75" customHeight="1">
      <c r="A549" s="151"/>
      <c r="B549" s="162"/>
      <c r="C549" s="163"/>
      <c r="D549" s="164"/>
      <c r="E549" s="163"/>
      <c r="F549" s="165"/>
      <c r="G549" s="165"/>
      <c r="H549" s="164"/>
      <c r="I549" s="163"/>
      <c r="J549" s="152"/>
      <c r="K549" s="154"/>
      <c r="L549" s="152"/>
      <c r="M549" s="152"/>
      <c r="N549" s="155"/>
      <c r="O549" s="161"/>
      <c r="P549" s="157"/>
    </row>
    <row r="550" spans="1:16" ht="15.75" customHeight="1">
      <c r="A550" s="151"/>
      <c r="B550" s="162"/>
      <c r="C550" s="163"/>
      <c r="D550" s="164"/>
      <c r="E550" s="163"/>
      <c r="F550" s="165"/>
      <c r="G550" s="165"/>
      <c r="H550" s="164"/>
      <c r="I550" s="163"/>
      <c r="J550" s="152"/>
      <c r="K550" s="154"/>
      <c r="L550" s="152"/>
      <c r="M550" s="152"/>
      <c r="N550" s="155"/>
      <c r="O550" s="161"/>
      <c r="P550" s="157"/>
    </row>
    <row r="551" spans="1:16" ht="15.75" customHeight="1">
      <c r="A551" s="151"/>
      <c r="B551" s="162"/>
      <c r="C551" s="163"/>
      <c r="D551" s="164"/>
      <c r="E551" s="163"/>
      <c r="F551" s="165"/>
      <c r="G551" s="165"/>
      <c r="H551" s="164"/>
      <c r="I551" s="163"/>
      <c r="J551" s="152"/>
      <c r="K551" s="154"/>
      <c r="L551" s="152"/>
      <c r="M551" s="152"/>
      <c r="N551" s="155"/>
      <c r="O551" s="161"/>
      <c r="P551" s="157"/>
    </row>
    <row r="552" spans="1:16" ht="15.75" customHeight="1">
      <c r="A552" s="151"/>
      <c r="B552" s="162"/>
      <c r="C552" s="163"/>
      <c r="D552" s="164"/>
      <c r="E552" s="163"/>
      <c r="F552" s="165"/>
      <c r="G552" s="165"/>
      <c r="H552" s="164"/>
      <c r="I552" s="163"/>
      <c r="J552" s="152"/>
      <c r="K552" s="154"/>
      <c r="L552" s="152"/>
      <c r="M552" s="152"/>
      <c r="N552" s="155"/>
      <c r="O552" s="161"/>
      <c r="P552" s="157"/>
    </row>
    <row r="553" spans="1:16" ht="15.75" customHeight="1">
      <c r="A553" s="151"/>
      <c r="B553" s="162"/>
      <c r="C553" s="163"/>
      <c r="D553" s="164"/>
      <c r="E553" s="163"/>
      <c r="F553" s="165"/>
      <c r="G553" s="165"/>
      <c r="H553" s="164"/>
      <c r="I553" s="163"/>
      <c r="J553" s="152"/>
      <c r="K553" s="154"/>
      <c r="L553" s="152"/>
      <c r="M553" s="152"/>
      <c r="N553" s="155"/>
      <c r="O553" s="161"/>
      <c r="P553" s="157"/>
    </row>
    <row r="554" spans="1:16" ht="15.75" customHeight="1">
      <c r="A554" s="151"/>
      <c r="B554" s="162"/>
      <c r="C554" s="163"/>
      <c r="D554" s="164"/>
      <c r="E554" s="163"/>
      <c r="F554" s="165"/>
      <c r="G554" s="165"/>
      <c r="H554" s="164"/>
      <c r="I554" s="163"/>
      <c r="J554" s="152"/>
      <c r="K554" s="154"/>
      <c r="L554" s="152"/>
      <c r="M554" s="152"/>
      <c r="N554" s="155"/>
      <c r="O554" s="161"/>
      <c r="P554" s="157"/>
    </row>
    <row r="555" spans="1:16" ht="15.75" customHeight="1">
      <c r="A555" s="151"/>
      <c r="B555" s="162"/>
      <c r="C555" s="163"/>
      <c r="D555" s="164"/>
      <c r="E555" s="163"/>
      <c r="F555" s="165"/>
      <c r="G555" s="165"/>
      <c r="H555" s="164"/>
      <c r="I555" s="163"/>
      <c r="J555" s="152"/>
      <c r="K555" s="154"/>
      <c r="L555" s="152"/>
      <c r="M555" s="152"/>
      <c r="N555" s="155"/>
      <c r="O555" s="161"/>
      <c r="P555" s="157"/>
    </row>
    <row r="556" spans="1:16" ht="15.75" customHeight="1">
      <c r="A556" s="151"/>
      <c r="B556" s="162"/>
      <c r="C556" s="163"/>
      <c r="D556" s="164"/>
      <c r="E556" s="163"/>
      <c r="F556" s="165"/>
      <c r="G556" s="165"/>
      <c r="H556" s="164"/>
      <c r="I556" s="163"/>
      <c r="J556" s="152"/>
      <c r="K556" s="154"/>
      <c r="L556" s="152"/>
      <c r="M556" s="152"/>
      <c r="N556" s="155"/>
      <c r="O556" s="161"/>
      <c r="P556" s="157"/>
    </row>
    <row r="557" spans="1:16" ht="15.75" customHeight="1">
      <c r="A557" s="151"/>
      <c r="B557" s="162"/>
      <c r="C557" s="163"/>
      <c r="D557" s="164"/>
      <c r="E557" s="163"/>
      <c r="F557" s="165"/>
      <c r="G557" s="165"/>
      <c r="H557" s="164"/>
      <c r="I557" s="163"/>
      <c r="J557" s="152"/>
      <c r="K557" s="154"/>
      <c r="L557" s="152"/>
      <c r="M557" s="152"/>
      <c r="N557" s="155"/>
      <c r="O557" s="161"/>
      <c r="P557" s="157"/>
    </row>
    <row r="558" spans="1:16" ht="15.75" customHeight="1">
      <c r="A558" s="151"/>
      <c r="B558" s="162"/>
      <c r="C558" s="163"/>
      <c r="D558" s="164"/>
      <c r="E558" s="163"/>
      <c r="F558" s="165"/>
      <c r="G558" s="165"/>
      <c r="H558" s="164"/>
      <c r="I558" s="163"/>
      <c r="J558" s="152"/>
      <c r="K558" s="154"/>
      <c r="L558" s="152"/>
      <c r="M558" s="152"/>
      <c r="N558" s="155"/>
      <c r="O558" s="161"/>
      <c r="P558" s="157"/>
    </row>
    <row r="559" spans="1:16" ht="15.75" customHeight="1">
      <c r="A559" s="151"/>
      <c r="B559" s="162"/>
      <c r="C559" s="163"/>
      <c r="D559" s="164"/>
      <c r="E559" s="163"/>
      <c r="F559" s="165"/>
      <c r="G559" s="165"/>
      <c r="H559" s="164"/>
      <c r="I559" s="163"/>
      <c r="J559" s="152"/>
      <c r="K559" s="154"/>
      <c r="L559" s="152"/>
      <c r="M559" s="152"/>
      <c r="N559" s="155"/>
      <c r="O559" s="161"/>
      <c r="P559" s="157"/>
    </row>
    <row r="560" spans="1:16" ht="15.75" customHeight="1">
      <c r="A560" s="151"/>
      <c r="B560" s="162"/>
      <c r="C560" s="163"/>
      <c r="D560" s="164"/>
      <c r="E560" s="163"/>
      <c r="F560" s="165"/>
      <c r="G560" s="165"/>
      <c r="H560" s="164"/>
      <c r="I560" s="163"/>
      <c r="J560" s="152"/>
      <c r="K560" s="154"/>
      <c r="L560" s="152"/>
      <c r="M560" s="152"/>
      <c r="N560" s="155"/>
      <c r="O560" s="161"/>
      <c r="P560" s="157"/>
    </row>
    <row r="561" spans="1:16" ht="15.75" customHeight="1">
      <c r="A561" s="151"/>
      <c r="B561" s="162"/>
      <c r="C561" s="163"/>
      <c r="D561" s="164"/>
      <c r="E561" s="163"/>
      <c r="F561" s="165"/>
      <c r="G561" s="165"/>
      <c r="H561" s="164"/>
      <c r="I561" s="163"/>
      <c r="J561" s="152"/>
      <c r="K561" s="154"/>
      <c r="L561" s="152"/>
      <c r="M561" s="152"/>
      <c r="N561" s="155"/>
      <c r="O561" s="161"/>
      <c r="P561" s="157"/>
    </row>
    <row r="562" spans="1:16" ht="15.75" customHeight="1">
      <c r="A562" s="151"/>
      <c r="B562" s="162"/>
      <c r="C562" s="163"/>
      <c r="D562" s="164"/>
      <c r="E562" s="163"/>
      <c r="F562" s="165"/>
      <c r="G562" s="165"/>
      <c r="H562" s="164"/>
      <c r="I562" s="163"/>
      <c r="J562" s="152"/>
      <c r="K562" s="154"/>
      <c r="L562" s="152"/>
      <c r="M562" s="152"/>
      <c r="N562" s="155"/>
      <c r="O562" s="161"/>
      <c r="P562" s="157"/>
    </row>
    <row r="563" spans="1:16" ht="15.75" customHeight="1">
      <c r="A563" s="151"/>
      <c r="B563" s="162"/>
      <c r="C563" s="163"/>
      <c r="D563" s="164"/>
      <c r="E563" s="163"/>
      <c r="F563" s="165"/>
      <c r="G563" s="165"/>
      <c r="H563" s="164"/>
      <c r="I563" s="163"/>
      <c r="J563" s="152"/>
      <c r="K563" s="154"/>
      <c r="L563" s="152"/>
      <c r="M563" s="152"/>
      <c r="N563" s="155"/>
      <c r="O563" s="161"/>
      <c r="P563" s="157"/>
    </row>
    <row r="564" spans="1:16" ht="15.75" customHeight="1">
      <c r="A564" s="151"/>
      <c r="B564" s="162"/>
      <c r="C564" s="163"/>
      <c r="D564" s="164"/>
      <c r="E564" s="163"/>
      <c r="F564" s="165"/>
      <c r="G564" s="165"/>
      <c r="H564" s="164"/>
      <c r="I564" s="163"/>
      <c r="J564" s="152"/>
      <c r="K564" s="154"/>
      <c r="L564" s="152"/>
      <c r="M564" s="152"/>
      <c r="N564" s="155"/>
      <c r="O564" s="161"/>
      <c r="P564" s="157"/>
    </row>
    <row r="565" spans="1:16" ht="15.75" customHeight="1">
      <c r="A565" s="151"/>
      <c r="B565" s="162"/>
      <c r="C565" s="163"/>
      <c r="D565" s="164"/>
      <c r="E565" s="163"/>
      <c r="F565" s="165"/>
      <c r="G565" s="165"/>
      <c r="H565" s="164"/>
      <c r="I565" s="163"/>
      <c r="J565" s="152"/>
      <c r="K565" s="154"/>
      <c r="L565" s="152"/>
      <c r="M565" s="152"/>
      <c r="N565" s="155"/>
      <c r="O565" s="161"/>
      <c r="P565" s="157"/>
    </row>
    <row r="566" spans="1:16" ht="15.75" customHeight="1">
      <c r="A566" s="151"/>
      <c r="B566" s="162"/>
      <c r="C566" s="163"/>
      <c r="D566" s="164"/>
      <c r="E566" s="163"/>
      <c r="F566" s="165"/>
      <c r="G566" s="165"/>
      <c r="H566" s="164"/>
      <c r="I566" s="163"/>
      <c r="J566" s="152"/>
      <c r="K566" s="154"/>
      <c r="L566" s="152"/>
      <c r="M566" s="152"/>
      <c r="N566" s="155"/>
      <c r="O566" s="161"/>
      <c r="P566" s="157"/>
    </row>
    <row r="567" spans="1:16" ht="15.75" customHeight="1">
      <c r="A567" s="151"/>
      <c r="B567" s="162"/>
      <c r="C567" s="163"/>
      <c r="D567" s="164"/>
      <c r="E567" s="163"/>
      <c r="F567" s="165"/>
      <c r="G567" s="165"/>
      <c r="H567" s="164"/>
      <c r="I567" s="163"/>
      <c r="J567" s="152"/>
      <c r="K567" s="154"/>
      <c r="L567" s="152"/>
      <c r="M567" s="152"/>
      <c r="N567" s="155"/>
      <c r="O567" s="161"/>
      <c r="P567" s="157"/>
    </row>
    <row r="568" spans="1:16" ht="15.75" customHeight="1">
      <c r="A568" s="151"/>
      <c r="B568" s="162"/>
      <c r="C568" s="163"/>
      <c r="D568" s="164"/>
      <c r="E568" s="163"/>
      <c r="F568" s="165"/>
      <c r="G568" s="165"/>
      <c r="H568" s="164"/>
      <c r="I568" s="163"/>
      <c r="J568" s="152"/>
      <c r="K568" s="154"/>
      <c r="L568" s="152"/>
      <c r="M568" s="152"/>
      <c r="N568" s="155"/>
      <c r="O568" s="161"/>
      <c r="P568" s="157"/>
    </row>
    <row r="569" spans="1:16" ht="15.75" customHeight="1">
      <c r="A569" s="151"/>
      <c r="B569" s="162"/>
      <c r="C569" s="163"/>
      <c r="D569" s="164"/>
      <c r="E569" s="163"/>
      <c r="F569" s="165"/>
      <c r="G569" s="165"/>
      <c r="H569" s="164"/>
      <c r="I569" s="163"/>
      <c r="J569" s="152"/>
      <c r="K569" s="154"/>
      <c r="L569" s="152"/>
      <c r="M569" s="152"/>
      <c r="N569" s="155"/>
      <c r="O569" s="161"/>
      <c r="P569" s="157"/>
    </row>
    <row r="570" spans="1:16" ht="15.75" customHeight="1">
      <c r="A570" s="151"/>
      <c r="B570" s="162"/>
      <c r="C570" s="163"/>
      <c r="D570" s="164"/>
      <c r="E570" s="163"/>
      <c r="F570" s="165"/>
      <c r="G570" s="165"/>
      <c r="H570" s="164"/>
      <c r="I570" s="163"/>
      <c r="J570" s="152"/>
      <c r="K570" s="154"/>
      <c r="L570" s="152"/>
      <c r="M570" s="152"/>
      <c r="N570" s="155"/>
      <c r="O570" s="161"/>
      <c r="P570" s="157"/>
    </row>
    <row r="571" spans="1:16" ht="15.75" customHeight="1">
      <c r="A571" s="151"/>
      <c r="B571" s="162"/>
      <c r="C571" s="163"/>
      <c r="D571" s="164"/>
      <c r="E571" s="163"/>
      <c r="F571" s="165"/>
      <c r="G571" s="165"/>
      <c r="H571" s="164"/>
      <c r="I571" s="163"/>
      <c r="J571" s="152"/>
      <c r="K571" s="154"/>
      <c r="L571" s="152"/>
      <c r="M571" s="152"/>
      <c r="N571" s="155"/>
      <c r="O571" s="161"/>
      <c r="P571" s="157"/>
    </row>
    <row r="572" spans="1:16" ht="15.75" customHeight="1">
      <c r="A572" s="151"/>
      <c r="B572" s="162"/>
      <c r="C572" s="163"/>
      <c r="D572" s="164"/>
      <c r="E572" s="163"/>
      <c r="F572" s="165"/>
      <c r="G572" s="165"/>
      <c r="H572" s="164"/>
      <c r="I572" s="163"/>
      <c r="J572" s="152"/>
      <c r="K572" s="154"/>
      <c r="L572" s="152"/>
      <c r="M572" s="152"/>
      <c r="N572" s="155"/>
      <c r="O572" s="161"/>
      <c r="P572" s="157"/>
    </row>
    <row r="573" spans="1:16" ht="15.75" customHeight="1">
      <c r="A573" s="151"/>
      <c r="B573" s="162"/>
      <c r="C573" s="163"/>
      <c r="D573" s="164"/>
      <c r="E573" s="163"/>
      <c r="F573" s="165"/>
      <c r="G573" s="165"/>
      <c r="H573" s="164"/>
      <c r="I573" s="163"/>
      <c r="J573" s="152"/>
      <c r="K573" s="154"/>
      <c r="L573" s="152"/>
      <c r="M573" s="152"/>
      <c r="N573" s="155"/>
      <c r="O573" s="161"/>
      <c r="P573" s="157"/>
    </row>
    <row r="574" spans="1:16" ht="15.75" customHeight="1">
      <c r="A574" s="151"/>
      <c r="B574" s="162"/>
      <c r="C574" s="163"/>
      <c r="D574" s="164"/>
      <c r="E574" s="163"/>
      <c r="F574" s="165"/>
      <c r="G574" s="165"/>
      <c r="H574" s="164"/>
      <c r="I574" s="163"/>
      <c r="J574" s="152"/>
      <c r="K574" s="154"/>
      <c r="L574" s="152"/>
      <c r="M574" s="152"/>
      <c r="N574" s="155"/>
      <c r="O574" s="161"/>
      <c r="P574" s="157"/>
    </row>
    <row r="575" spans="1:16" ht="15.75" customHeight="1">
      <c r="A575" s="151"/>
      <c r="B575" s="162"/>
      <c r="C575" s="163"/>
      <c r="D575" s="164"/>
      <c r="E575" s="163"/>
      <c r="F575" s="165"/>
      <c r="G575" s="165"/>
      <c r="H575" s="164"/>
      <c r="I575" s="163"/>
      <c r="J575" s="152"/>
      <c r="K575" s="154"/>
      <c r="L575" s="152"/>
      <c r="M575" s="152"/>
      <c r="N575" s="155"/>
      <c r="O575" s="161"/>
      <c r="P575" s="157"/>
    </row>
    <row r="576" spans="1:16" ht="15.75" customHeight="1">
      <c r="A576" s="151"/>
      <c r="B576" s="162"/>
      <c r="C576" s="163"/>
      <c r="D576" s="164"/>
      <c r="E576" s="163"/>
      <c r="F576" s="165"/>
      <c r="G576" s="165"/>
      <c r="H576" s="164"/>
      <c r="I576" s="163"/>
      <c r="J576" s="152"/>
      <c r="K576" s="154"/>
      <c r="L576" s="152"/>
      <c r="M576" s="152"/>
      <c r="N576" s="155"/>
      <c r="O576" s="161"/>
      <c r="P576" s="157"/>
    </row>
    <row r="577" spans="1:16" ht="15.75" customHeight="1">
      <c r="A577" s="151"/>
      <c r="B577" s="162"/>
      <c r="C577" s="163"/>
      <c r="D577" s="164"/>
      <c r="E577" s="163"/>
      <c r="F577" s="165"/>
      <c r="G577" s="165"/>
      <c r="H577" s="164"/>
      <c r="I577" s="163"/>
      <c r="J577" s="152"/>
      <c r="K577" s="154"/>
      <c r="L577" s="152"/>
      <c r="M577" s="152"/>
      <c r="N577" s="155"/>
      <c r="O577" s="161"/>
      <c r="P577" s="157"/>
    </row>
    <row r="578" spans="1:16" ht="15.75" customHeight="1">
      <c r="A578" s="151"/>
      <c r="B578" s="162"/>
      <c r="C578" s="163"/>
      <c r="D578" s="164"/>
      <c r="E578" s="163"/>
      <c r="F578" s="165"/>
      <c r="G578" s="165"/>
      <c r="H578" s="164"/>
      <c r="I578" s="163"/>
      <c r="J578" s="152"/>
      <c r="K578" s="154"/>
      <c r="L578" s="152"/>
      <c r="M578" s="152"/>
      <c r="N578" s="155"/>
      <c r="O578" s="161"/>
      <c r="P578" s="157"/>
    </row>
    <row r="579" spans="1:16" ht="15.75" customHeight="1">
      <c r="A579" s="151"/>
      <c r="B579" s="162"/>
      <c r="C579" s="163"/>
      <c r="D579" s="164"/>
      <c r="E579" s="163"/>
      <c r="F579" s="165"/>
      <c r="G579" s="165"/>
      <c r="H579" s="164"/>
      <c r="I579" s="163"/>
      <c r="J579" s="152"/>
      <c r="K579" s="154"/>
      <c r="L579" s="152"/>
      <c r="M579" s="152"/>
      <c r="N579" s="155"/>
      <c r="O579" s="161"/>
      <c r="P579" s="157"/>
    </row>
    <row r="580" spans="1:16" ht="15.75" customHeight="1">
      <c r="A580" s="151"/>
      <c r="B580" s="162"/>
      <c r="C580" s="163"/>
      <c r="D580" s="164"/>
      <c r="E580" s="163"/>
      <c r="F580" s="165"/>
      <c r="G580" s="165"/>
      <c r="H580" s="164"/>
      <c r="I580" s="163"/>
      <c r="J580" s="152"/>
      <c r="K580" s="154"/>
      <c r="L580" s="152"/>
      <c r="M580" s="152"/>
      <c r="N580" s="155"/>
      <c r="O580" s="161"/>
      <c r="P580" s="157"/>
    </row>
    <row r="581" spans="1:16" ht="15.75" customHeight="1">
      <c r="A581" s="151"/>
      <c r="B581" s="162"/>
      <c r="C581" s="163"/>
      <c r="D581" s="164"/>
      <c r="E581" s="163"/>
      <c r="F581" s="165"/>
      <c r="G581" s="165"/>
      <c r="H581" s="164"/>
      <c r="I581" s="163"/>
      <c r="J581" s="152"/>
      <c r="K581" s="154"/>
      <c r="L581" s="152"/>
      <c r="M581" s="152"/>
      <c r="N581" s="155"/>
      <c r="O581" s="161"/>
      <c r="P581" s="157"/>
    </row>
    <row r="582" spans="1:16" ht="15.75" customHeight="1">
      <c r="A582" s="151"/>
      <c r="B582" s="162"/>
      <c r="C582" s="163"/>
      <c r="D582" s="164"/>
      <c r="E582" s="163"/>
      <c r="F582" s="165"/>
      <c r="G582" s="165"/>
      <c r="H582" s="164"/>
      <c r="I582" s="163"/>
      <c r="J582" s="152"/>
      <c r="K582" s="154"/>
      <c r="L582" s="152"/>
      <c r="M582" s="152"/>
      <c r="N582" s="155"/>
      <c r="O582" s="161"/>
      <c r="P582" s="157"/>
    </row>
    <row r="583" spans="1:16" ht="15.75" customHeight="1">
      <c r="A583" s="151"/>
      <c r="B583" s="162"/>
      <c r="C583" s="163"/>
      <c r="D583" s="164"/>
      <c r="E583" s="163"/>
      <c r="F583" s="165"/>
      <c r="G583" s="165"/>
      <c r="H583" s="164"/>
      <c r="I583" s="163"/>
      <c r="J583" s="152"/>
      <c r="K583" s="154"/>
      <c r="L583" s="152"/>
      <c r="M583" s="152"/>
      <c r="N583" s="155"/>
      <c r="O583" s="161"/>
      <c r="P583" s="157"/>
    </row>
    <row r="584" spans="1:16" ht="15.75" customHeight="1">
      <c r="A584" s="151"/>
      <c r="B584" s="162"/>
      <c r="C584" s="163"/>
      <c r="D584" s="164"/>
      <c r="E584" s="163"/>
      <c r="F584" s="165"/>
      <c r="G584" s="165"/>
      <c r="H584" s="164"/>
      <c r="I584" s="163"/>
      <c r="J584" s="152"/>
      <c r="K584" s="154"/>
      <c r="L584" s="152"/>
      <c r="M584" s="152"/>
      <c r="N584" s="155"/>
      <c r="O584" s="161"/>
      <c r="P584" s="157"/>
    </row>
    <row r="585" spans="1:16" ht="15.75" customHeight="1">
      <c r="A585" s="151"/>
      <c r="B585" s="162"/>
      <c r="C585" s="163"/>
      <c r="D585" s="164"/>
      <c r="E585" s="163"/>
      <c r="F585" s="165"/>
      <c r="G585" s="165"/>
      <c r="H585" s="164"/>
      <c r="I585" s="163"/>
      <c r="J585" s="152"/>
      <c r="K585" s="154"/>
      <c r="L585" s="152"/>
      <c r="M585" s="152"/>
      <c r="N585" s="155"/>
      <c r="O585" s="161"/>
      <c r="P585" s="157"/>
    </row>
    <row r="586" spans="1:16" ht="15.75" customHeight="1">
      <c r="A586" s="151"/>
      <c r="B586" s="162"/>
      <c r="C586" s="163"/>
      <c r="D586" s="164"/>
      <c r="E586" s="163"/>
      <c r="F586" s="165"/>
      <c r="G586" s="165"/>
      <c r="H586" s="164"/>
      <c r="I586" s="163"/>
      <c r="J586" s="152"/>
      <c r="K586" s="154"/>
      <c r="L586" s="152"/>
      <c r="M586" s="152"/>
      <c r="N586" s="155"/>
      <c r="O586" s="161"/>
      <c r="P586" s="157"/>
    </row>
    <row r="587" spans="1:16" ht="15.75" customHeight="1">
      <c r="A587" s="151"/>
      <c r="B587" s="162"/>
      <c r="C587" s="163"/>
      <c r="D587" s="164"/>
      <c r="E587" s="163"/>
      <c r="F587" s="165"/>
      <c r="G587" s="165"/>
      <c r="H587" s="164"/>
      <c r="I587" s="163"/>
      <c r="J587" s="152"/>
      <c r="K587" s="154"/>
      <c r="L587" s="152"/>
      <c r="M587" s="152"/>
      <c r="N587" s="155"/>
      <c r="O587" s="161"/>
      <c r="P587" s="157"/>
    </row>
    <row r="588" spans="1:16" ht="15.75" customHeight="1">
      <c r="A588" s="151"/>
      <c r="B588" s="162"/>
      <c r="C588" s="163"/>
      <c r="D588" s="164"/>
      <c r="E588" s="163"/>
      <c r="F588" s="165"/>
      <c r="G588" s="165"/>
      <c r="H588" s="164"/>
      <c r="I588" s="163"/>
      <c r="J588" s="152"/>
      <c r="K588" s="154"/>
      <c r="L588" s="152"/>
      <c r="M588" s="152"/>
      <c r="N588" s="155"/>
      <c r="O588" s="161"/>
      <c r="P588" s="157"/>
    </row>
    <row r="589" spans="1:16" ht="15.75" customHeight="1">
      <c r="A589" s="151"/>
      <c r="B589" s="162"/>
      <c r="C589" s="163"/>
      <c r="D589" s="164"/>
      <c r="E589" s="163"/>
      <c r="F589" s="165"/>
      <c r="G589" s="165"/>
      <c r="H589" s="164"/>
      <c r="I589" s="163"/>
      <c r="J589" s="152"/>
      <c r="K589" s="154"/>
      <c r="L589" s="152"/>
      <c r="M589" s="152"/>
      <c r="N589" s="155"/>
      <c r="O589" s="161"/>
      <c r="P589" s="157"/>
    </row>
    <row r="590" spans="1:16" ht="15.75" customHeight="1">
      <c r="A590" s="151"/>
      <c r="B590" s="162"/>
      <c r="C590" s="163"/>
      <c r="D590" s="164"/>
      <c r="E590" s="163"/>
      <c r="F590" s="165"/>
      <c r="G590" s="165"/>
      <c r="H590" s="164"/>
      <c r="I590" s="163"/>
      <c r="J590" s="152"/>
      <c r="K590" s="154"/>
      <c r="L590" s="152"/>
      <c r="M590" s="152"/>
      <c r="N590" s="155"/>
      <c r="O590" s="161"/>
      <c r="P590" s="157"/>
    </row>
    <row r="591" spans="1:16" ht="15.75" customHeight="1">
      <c r="A591" s="151"/>
      <c r="B591" s="162"/>
      <c r="C591" s="163"/>
      <c r="D591" s="164"/>
      <c r="E591" s="163"/>
      <c r="F591" s="165"/>
      <c r="G591" s="165"/>
      <c r="H591" s="164"/>
      <c r="I591" s="163"/>
      <c r="J591" s="152"/>
      <c r="K591" s="154"/>
      <c r="L591" s="152"/>
      <c r="M591" s="152"/>
      <c r="N591" s="155"/>
      <c r="O591" s="161"/>
      <c r="P591" s="157"/>
    </row>
    <row r="592" spans="1:16" ht="15.75" customHeight="1">
      <c r="A592" s="151"/>
      <c r="B592" s="162"/>
      <c r="C592" s="163"/>
      <c r="D592" s="164"/>
      <c r="E592" s="163"/>
      <c r="F592" s="165"/>
      <c r="G592" s="165"/>
      <c r="H592" s="164"/>
      <c r="I592" s="163"/>
      <c r="J592" s="152"/>
      <c r="K592" s="154"/>
      <c r="L592" s="152"/>
      <c r="M592" s="152"/>
      <c r="N592" s="155"/>
      <c r="O592" s="161"/>
      <c r="P592" s="157"/>
    </row>
    <row r="593" spans="1:16" ht="15.75" customHeight="1">
      <c r="A593" s="151"/>
      <c r="B593" s="162"/>
      <c r="C593" s="163"/>
      <c r="D593" s="164"/>
      <c r="E593" s="163"/>
      <c r="F593" s="165"/>
      <c r="G593" s="165"/>
      <c r="H593" s="164"/>
      <c r="I593" s="163"/>
      <c r="J593" s="152"/>
      <c r="K593" s="154"/>
      <c r="L593" s="152"/>
      <c r="M593" s="152"/>
      <c r="N593" s="155"/>
      <c r="O593" s="161"/>
      <c r="P593" s="157"/>
    </row>
    <row r="594" spans="1:16" ht="15.75" customHeight="1">
      <c r="A594" s="151"/>
      <c r="B594" s="162"/>
      <c r="C594" s="163"/>
      <c r="D594" s="164"/>
      <c r="E594" s="163"/>
      <c r="F594" s="165"/>
      <c r="G594" s="165"/>
      <c r="H594" s="164"/>
      <c r="I594" s="163"/>
      <c r="J594" s="152"/>
      <c r="K594" s="154"/>
      <c r="L594" s="152"/>
      <c r="M594" s="152"/>
      <c r="N594" s="155"/>
      <c r="O594" s="161"/>
      <c r="P594" s="157"/>
    </row>
    <row r="595" spans="1:16" ht="15.75" customHeight="1">
      <c r="A595" s="151"/>
      <c r="B595" s="162"/>
      <c r="C595" s="163"/>
      <c r="D595" s="164"/>
      <c r="E595" s="163"/>
      <c r="F595" s="165"/>
      <c r="G595" s="165"/>
      <c r="H595" s="164"/>
      <c r="I595" s="163"/>
      <c r="J595" s="152"/>
      <c r="K595" s="154"/>
      <c r="L595" s="152"/>
      <c r="M595" s="152"/>
      <c r="N595" s="155"/>
      <c r="O595" s="161"/>
      <c r="P595" s="157"/>
    </row>
    <row r="596" spans="1:16" ht="15.75" customHeight="1">
      <c r="A596" s="151"/>
      <c r="B596" s="162"/>
      <c r="C596" s="163"/>
      <c r="D596" s="164"/>
      <c r="E596" s="163"/>
      <c r="F596" s="165"/>
      <c r="G596" s="165"/>
      <c r="H596" s="164"/>
      <c r="I596" s="163"/>
      <c r="J596" s="152"/>
      <c r="K596" s="154"/>
      <c r="L596" s="152"/>
      <c r="M596" s="152"/>
      <c r="N596" s="155"/>
      <c r="O596" s="161"/>
      <c r="P596" s="157"/>
    </row>
    <row r="597" spans="1:16" ht="15.75" customHeight="1">
      <c r="A597" s="151"/>
      <c r="B597" s="162"/>
      <c r="C597" s="163"/>
      <c r="D597" s="164"/>
      <c r="E597" s="163"/>
      <c r="F597" s="165"/>
      <c r="G597" s="165"/>
      <c r="H597" s="164"/>
      <c r="I597" s="163"/>
      <c r="J597" s="152"/>
      <c r="K597" s="154"/>
      <c r="L597" s="152"/>
      <c r="M597" s="152"/>
      <c r="N597" s="155"/>
      <c r="O597" s="161"/>
      <c r="P597" s="157"/>
    </row>
    <row r="598" spans="1:16" ht="15.75" customHeight="1">
      <c r="A598" s="151"/>
      <c r="B598" s="162"/>
      <c r="C598" s="163"/>
      <c r="D598" s="164"/>
      <c r="E598" s="163"/>
      <c r="F598" s="165"/>
      <c r="G598" s="165"/>
      <c r="H598" s="164"/>
      <c r="I598" s="163"/>
      <c r="J598" s="152"/>
      <c r="K598" s="154"/>
      <c r="L598" s="152"/>
      <c r="M598" s="152"/>
      <c r="N598" s="155"/>
      <c r="O598" s="161"/>
      <c r="P598" s="157"/>
    </row>
    <row r="599" spans="1:16" ht="15.75" customHeight="1">
      <c r="A599" s="151"/>
      <c r="B599" s="162"/>
      <c r="C599" s="163"/>
      <c r="D599" s="164"/>
      <c r="E599" s="163"/>
      <c r="F599" s="165"/>
      <c r="G599" s="165"/>
      <c r="H599" s="164"/>
      <c r="I599" s="163"/>
      <c r="J599" s="152"/>
      <c r="K599" s="154"/>
      <c r="L599" s="152"/>
      <c r="M599" s="152"/>
      <c r="N599" s="155"/>
      <c r="O599" s="161"/>
      <c r="P599" s="157"/>
    </row>
    <row r="600" spans="1:16" ht="15.75" customHeight="1">
      <c r="A600" s="151"/>
      <c r="B600" s="162"/>
      <c r="C600" s="163"/>
      <c r="D600" s="164"/>
      <c r="E600" s="163"/>
      <c r="F600" s="165"/>
      <c r="G600" s="165"/>
      <c r="H600" s="164"/>
      <c r="I600" s="163"/>
      <c r="J600" s="152"/>
      <c r="K600" s="154"/>
      <c r="L600" s="152"/>
      <c r="M600" s="152"/>
      <c r="N600" s="155"/>
      <c r="O600" s="161"/>
      <c r="P600" s="157"/>
    </row>
    <row r="601" spans="1:16" ht="15.75" customHeight="1">
      <c r="A601" s="151"/>
      <c r="B601" s="162"/>
      <c r="C601" s="163"/>
      <c r="D601" s="164"/>
      <c r="E601" s="163"/>
      <c r="F601" s="165"/>
      <c r="G601" s="165"/>
      <c r="H601" s="164"/>
      <c r="I601" s="163"/>
      <c r="J601" s="152"/>
      <c r="K601" s="154"/>
      <c r="L601" s="152"/>
      <c r="M601" s="152"/>
      <c r="N601" s="155"/>
      <c r="O601" s="161"/>
      <c r="P601" s="157"/>
    </row>
    <row r="602" spans="1:16" ht="15.75" customHeight="1">
      <c r="A602" s="151"/>
      <c r="B602" s="162"/>
      <c r="C602" s="163"/>
      <c r="D602" s="164"/>
      <c r="E602" s="163"/>
      <c r="F602" s="165"/>
      <c r="G602" s="165"/>
      <c r="H602" s="164"/>
      <c r="I602" s="163"/>
      <c r="J602" s="152"/>
      <c r="K602" s="154"/>
      <c r="L602" s="152"/>
      <c r="M602" s="152"/>
      <c r="N602" s="155"/>
      <c r="O602" s="161"/>
      <c r="P602" s="157"/>
    </row>
    <row r="603" spans="1:16" ht="15.75" customHeight="1">
      <c r="A603" s="151"/>
      <c r="B603" s="162"/>
      <c r="C603" s="163"/>
      <c r="D603" s="164"/>
      <c r="E603" s="163"/>
      <c r="F603" s="165"/>
      <c r="G603" s="165"/>
      <c r="H603" s="164"/>
      <c r="I603" s="163"/>
      <c r="J603" s="152"/>
      <c r="K603" s="154"/>
      <c r="L603" s="152"/>
      <c r="M603" s="152"/>
      <c r="N603" s="155"/>
      <c r="O603" s="161"/>
      <c r="P603" s="157"/>
    </row>
    <row r="604" spans="1:16" ht="15.75" customHeight="1">
      <c r="A604" s="151"/>
      <c r="B604" s="162"/>
      <c r="C604" s="163"/>
      <c r="D604" s="164"/>
      <c r="E604" s="163"/>
      <c r="F604" s="165"/>
      <c r="G604" s="165"/>
      <c r="H604" s="164"/>
      <c r="I604" s="163"/>
      <c r="J604" s="152"/>
      <c r="K604" s="154"/>
      <c r="L604" s="152"/>
      <c r="M604" s="152"/>
      <c r="N604" s="155"/>
      <c r="O604" s="161"/>
      <c r="P604" s="157"/>
    </row>
    <row r="605" spans="1:16" ht="15.75" customHeight="1">
      <c r="A605" s="151"/>
      <c r="B605" s="162"/>
      <c r="C605" s="163"/>
      <c r="D605" s="164"/>
      <c r="E605" s="163"/>
      <c r="F605" s="165"/>
      <c r="G605" s="165"/>
      <c r="H605" s="164"/>
      <c r="I605" s="163"/>
      <c r="J605" s="152"/>
      <c r="K605" s="154"/>
      <c r="L605" s="152"/>
      <c r="M605" s="152"/>
      <c r="N605" s="155"/>
      <c r="O605" s="161"/>
      <c r="P605" s="157"/>
    </row>
    <row r="606" spans="1:16" ht="15.75" customHeight="1">
      <c r="A606" s="151"/>
      <c r="B606" s="162"/>
      <c r="C606" s="163"/>
      <c r="D606" s="164"/>
      <c r="E606" s="163"/>
      <c r="F606" s="165"/>
      <c r="G606" s="165"/>
      <c r="H606" s="164"/>
      <c r="I606" s="163"/>
      <c r="J606" s="152"/>
      <c r="K606" s="154"/>
      <c r="L606" s="152"/>
      <c r="M606" s="152"/>
      <c r="N606" s="155"/>
      <c r="O606" s="161"/>
      <c r="P606" s="157"/>
    </row>
    <row r="607" spans="1:16" ht="15.75" customHeight="1">
      <c r="A607" s="151"/>
      <c r="B607" s="162"/>
      <c r="C607" s="163"/>
      <c r="D607" s="164"/>
      <c r="E607" s="163"/>
      <c r="F607" s="165"/>
      <c r="G607" s="165"/>
      <c r="H607" s="164"/>
      <c r="I607" s="163"/>
      <c r="J607" s="152"/>
      <c r="K607" s="154"/>
      <c r="L607" s="152"/>
      <c r="M607" s="152"/>
      <c r="N607" s="155"/>
      <c r="O607" s="161"/>
      <c r="P607" s="157"/>
    </row>
    <row r="608" spans="1:16" ht="15.75" customHeight="1">
      <c r="A608" s="151"/>
      <c r="B608" s="162"/>
      <c r="C608" s="163"/>
      <c r="D608" s="164"/>
      <c r="E608" s="163"/>
      <c r="F608" s="165"/>
      <c r="G608" s="165"/>
      <c r="H608" s="164"/>
      <c r="I608" s="163"/>
      <c r="J608" s="152"/>
      <c r="K608" s="154"/>
      <c r="L608" s="152"/>
      <c r="M608" s="152"/>
      <c r="N608" s="155"/>
      <c r="O608" s="161"/>
      <c r="P608" s="157"/>
    </row>
    <row r="609" spans="1:16" ht="15.75" customHeight="1">
      <c r="A609" s="151"/>
      <c r="B609" s="162"/>
      <c r="C609" s="163"/>
      <c r="D609" s="164"/>
      <c r="E609" s="163"/>
      <c r="F609" s="165"/>
      <c r="G609" s="165"/>
      <c r="H609" s="164"/>
      <c r="I609" s="163"/>
      <c r="J609" s="152"/>
      <c r="K609" s="154"/>
      <c r="L609" s="152"/>
      <c r="M609" s="152"/>
      <c r="N609" s="155"/>
      <c r="O609" s="161"/>
      <c r="P609" s="157"/>
    </row>
    <row r="610" spans="1:16" ht="15.75" customHeight="1">
      <c r="A610" s="151"/>
      <c r="B610" s="162"/>
      <c r="C610" s="163"/>
      <c r="D610" s="164"/>
      <c r="E610" s="163"/>
      <c r="F610" s="165"/>
      <c r="G610" s="165"/>
      <c r="H610" s="164"/>
      <c r="I610" s="163"/>
      <c r="J610" s="152"/>
      <c r="K610" s="154"/>
      <c r="L610" s="152"/>
      <c r="M610" s="152"/>
      <c r="N610" s="155"/>
      <c r="O610" s="161"/>
      <c r="P610" s="157"/>
    </row>
    <row r="611" spans="1:16" ht="15.75" customHeight="1">
      <c r="A611" s="151"/>
      <c r="B611" s="162"/>
      <c r="C611" s="163"/>
      <c r="D611" s="164"/>
      <c r="E611" s="163"/>
      <c r="F611" s="165"/>
      <c r="G611" s="165"/>
      <c r="H611" s="164"/>
      <c r="I611" s="163"/>
      <c r="J611" s="152"/>
      <c r="K611" s="154"/>
      <c r="L611" s="152"/>
      <c r="M611" s="152"/>
      <c r="N611" s="155"/>
      <c r="O611" s="161"/>
      <c r="P611" s="157"/>
    </row>
    <row r="612" spans="1:16" ht="15.75" customHeight="1">
      <c r="A612" s="151"/>
      <c r="B612" s="162"/>
      <c r="C612" s="163"/>
      <c r="D612" s="164"/>
      <c r="E612" s="163"/>
      <c r="F612" s="165"/>
      <c r="G612" s="165"/>
      <c r="H612" s="164"/>
      <c r="I612" s="163"/>
      <c r="J612" s="152"/>
      <c r="K612" s="154"/>
      <c r="L612" s="152"/>
      <c r="M612" s="152"/>
      <c r="N612" s="155"/>
      <c r="O612" s="161"/>
      <c r="P612" s="157"/>
    </row>
    <row r="613" spans="1:16" ht="15.75" customHeight="1">
      <c r="A613" s="151"/>
      <c r="B613" s="162"/>
      <c r="C613" s="163"/>
      <c r="D613" s="164"/>
      <c r="E613" s="163"/>
      <c r="F613" s="165"/>
      <c r="G613" s="165"/>
      <c r="H613" s="164"/>
      <c r="I613" s="163"/>
      <c r="J613" s="152"/>
      <c r="K613" s="154"/>
      <c r="L613" s="152"/>
      <c r="M613" s="152"/>
      <c r="N613" s="155"/>
      <c r="O613" s="161"/>
      <c r="P613" s="157"/>
    </row>
    <row r="614" spans="1:16" ht="15.75" customHeight="1">
      <c r="A614" s="151"/>
      <c r="B614" s="162"/>
      <c r="C614" s="163"/>
      <c r="D614" s="164"/>
      <c r="E614" s="163"/>
      <c r="F614" s="165"/>
      <c r="G614" s="165"/>
      <c r="H614" s="164"/>
      <c r="I614" s="163"/>
      <c r="J614" s="152"/>
      <c r="K614" s="154"/>
      <c r="L614" s="152"/>
      <c r="M614" s="152"/>
      <c r="N614" s="155"/>
      <c r="O614" s="161"/>
      <c r="P614" s="157"/>
    </row>
    <row r="615" spans="1:16" ht="15.75" customHeight="1">
      <c r="A615" s="151"/>
      <c r="B615" s="162"/>
      <c r="C615" s="163"/>
      <c r="D615" s="164"/>
      <c r="E615" s="163"/>
      <c r="F615" s="165"/>
      <c r="G615" s="165"/>
      <c r="H615" s="164"/>
      <c r="I615" s="163"/>
      <c r="J615" s="152"/>
      <c r="K615" s="154"/>
      <c r="L615" s="152"/>
      <c r="M615" s="152"/>
      <c r="N615" s="155"/>
      <c r="O615" s="161"/>
      <c r="P615" s="157"/>
    </row>
    <row r="616" spans="1:16" ht="15.75" customHeight="1">
      <c r="A616" s="151"/>
      <c r="B616" s="162"/>
      <c r="C616" s="163"/>
      <c r="D616" s="164"/>
      <c r="E616" s="163"/>
      <c r="F616" s="165"/>
      <c r="G616" s="165"/>
      <c r="H616" s="164"/>
      <c r="I616" s="163"/>
      <c r="J616" s="152"/>
      <c r="K616" s="154"/>
      <c r="L616" s="152"/>
      <c r="M616" s="152"/>
      <c r="N616" s="155"/>
      <c r="O616" s="161"/>
      <c r="P616" s="157"/>
    </row>
    <row r="617" spans="1:16" ht="15.75" customHeight="1">
      <c r="A617" s="151"/>
      <c r="B617" s="162"/>
      <c r="C617" s="163"/>
      <c r="D617" s="164"/>
      <c r="E617" s="163"/>
      <c r="F617" s="165"/>
      <c r="G617" s="165"/>
      <c r="H617" s="164"/>
      <c r="I617" s="163"/>
      <c r="J617" s="152"/>
      <c r="K617" s="154"/>
      <c r="L617" s="152"/>
      <c r="M617" s="152"/>
      <c r="N617" s="155"/>
      <c r="O617" s="161"/>
      <c r="P617" s="157"/>
    </row>
    <row r="618" spans="1:16" ht="15.75" customHeight="1">
      <c r="A618" s="151"/>
      <c r="B618" s="162"/>
      <c r="C618" s="163"/>
      <c r="D618" s="164"/>
      <c r="E618" s="163"/>
      <c r="F618" s="165"/>
      <c r="G618" s="165"/>
      <c r="H618" s="164"/>
      <c r="I618" s="163"/>
      <c r="J618" s="152"/>
      <c r="K618" s="154"/>
      <c r="L618" s="152"/>
      <c r="M618" s="152"/>
      <c r="N618" s="155"/>
      <c r="O618" s="161"/>
      <c r="P618" s="157"/>
    </row>
    <row r="619" spans="1:16" ht="15.75" customHeight="1">
      <c r="A619" s="151"/>
      <c r="B619" s="162"/>
      <c r="C619" s="163"/>
      <c r="D619" s="164"/>
      <c r="E619" s="163"/>
      <c r="F619" s="165"/>
      <c r="G619" s="165"/>
      <c r="H619" s="164"/>
      <c r="I619" s="163"/>
      <c r="J619" s="152"/>
      <c r="K619" s="154"/>
      <c r="L619" s="152"/>
      <c r="M619" s="152"/>
      <c r="N619" s="155"/>
      <c r="O619" s="161"/>
      <c r="P619" s="157"/>
    </row>
    <row r="620" spans="1:16" ht="15.75" customHeight="1">
      <c r="A620" s="151"/>
      <c r="B620" s="162"/>
      <c r="C620" s="163"/>
      <c r="D620" s="164"/>
      <c r="E620" s="163"/>
      <c r="F620" s="165"/>
      <c r="G620" s="165"/>
      <c r="H620" s="164"/>
      <c r="I620" s="163"/>
      <c r="J620" s="152"/>
      <c r="K620" s="154"/>
      <c r="L620" s="152"/>
      <c r="M620" s="152"/>
      <c r="N620" s="155"/>
      <c r="O620" s="161"/>
      <c r="P620" s="157"/>
    </row>
    <row r="621" spans="1:16" ht="15.75" customHeight="1">
      <c r="A621" s="151"/>
      <c r="B621" s="162"/>
      <c r="C621" s="163"/>
      <c r="D621" s="164"/>
      <c r="E621" s="163"/>
      <c r="F621" s="165"/>
      <c r="G621" s="165"/>
      <c r="H621" s="164"/>
      <c r="I621" s="163"/>
      <c r="J621" s="152"/>
      <c r="K621" s="154"/>
      <c r="L621" s="152"/>
      <c r="M621" s="152"/>
      <c r="N621" s="155"/>
      <c r="O621" s="161"/>
      <c r="P621" s="157"/>
    </row>
    <row r="622" spans="1:16" ht="15.75" customHeight="1">
      <c r="A622" s="151"/>
      <c r="B622" s="162"/>
      <c r="C622" s="163"/>
      <c r="D622" s="164"/>
      <c r="E622" s="163"/>
      <c r="F622" s="165"/>
      <c r="G622" s="165"/>
      <c r="H622" s="164"/>
      <c r="I622" s="163"/>
      <c r="J622" s="152"/>
      <c r="K622" s="154"/>
      <c r="L622" s="152"/>
      <c r="M622" s="152"/>
      <c r="N622" s="155"/>
      <c r="O622" s="161"/>
      <c r="P622" s="157"/>
    </row>
    <row r="623" spans="1:16" ht="15.75" customHeight="1">
      <c r="A623" s="151"/>
      <c r="B623" s="162"/>
      <c r="C623" s="163"/>
      <c r="D623" s="164"/>
      <c r="E623" s="163"/>
      <c r="F623" s="165"/>
      <c r="G623" s="165"/>
      <c r="H623" s="164"/>
      <c r="I623" s="163"/>
      <c r="J623" s="152"/>
      <c r="K623" s="154"/>
      <c r="L623" s="152"/>
      <c r="M623" s="152"/>
      <c r="N623" s="155"/>
      <c r="O623" s="161"/>
      <c r="P623" s="157"/>
    </row>
    <row r="624" spans="1:16" ht="15.75" customHeight="1">
      <c r="A624" s="151"/>
      <c r="B624" s="162"/>
      <c r="C624" s="163"/>
      <c r="D624" s="164"/>
      <c r="E624" s="163"/>
      <c r="F624" s="165"/>
      <c r="G624" s="165"/>
      <c r="H624" s="164"/>
      <c r="I624" s="163"/>
      <c r="J624" s="152"/>
      <c r="K624" s="154"/>
      <c r="L624" s="152"/>
      <c r="M624" s="152"/>
      <c r="N624" s="155"/>
      <c r="O624" s="161"/>
      <c r="P624" s="157"/>
    </row>
    <row r="625" spans="1:16" ht="15.75" customHeight="1">
      <c r="A625" s="151"/>
      <c r="B625" s="162"/>
      <c r="C625" s="163"/>
      <c r="D625" s="164"/>
      <c r="E625" s="163"/>
      <c r="F625" s="165"/>
      <c r="G625" s="165"/>
      <c r="H625" s="164"/>
      <c r="I625" s="163"/>
      <c r="J625" s="152"/>
      <c r="K625" s="154"/>
      <c r="L625" s="152"/>
      <c r="M625" s="152"/>
      <c r="N625" s="155"/>
      <c r="O625" s="161"/>
      <c r="P625" s="157"/>
    </row>
    <row r="626" spans="1:16" ht="15.75" customHeight="1">
      <c r="A626" s="151"/>
      <c r="B626" s="162"/>
      <c r="C626" s="163"/>
      <c r="D626" s="164"/>
      <c r="E626" s="163"/>
      <c r="F626" s="165"/>
      <c r="G626" s="165"/>
      <c r="H626" s="164"/>
      <c r="I626" s="163"/>
      <c r="J626" s="152"/>
      <c r="K626" s="154"/>
      <c r="L626" s="152"/>
      <c r="M626" s="152"/>
      <c r="N626" s="155"/>
      <c r="O626" s="161"/>
      <c r="P626" s="157"/>
    </row>
    <row r="627" spans="1:16" ht="15.75" customHeight="1">
      <c r="A627" s="151"/>
      <c r="B627" s="162"/>
      <c r="C627" s="163"/>
      <c r="D627" s="164"/>
      <c r="E627" s="163"/>
      <c r="F627" s="165"/>
      <c r="G627" s="165"/>
      <c r="H627" s="164"/>
      <c r="I627" s="163"/>
      <c r="J627" s="152"/>
      <c r="K627" s="154"/>
      <c r="L627" s="152"/>
      <c r="M627" s="152"/>
      <c r="N627" s="155"/>
      <c r="O627" s="161"/>
      <c r="P627" s="157"/>
    </row>
    <row r="628" spans="1:16" ht="15.75" customHeight="1">
      <c r="A628" s="151"/>
      <c r="B628" s="162"/>
      <c r="C628" s="163"/>
      <c r="D628" s="164"/>
      <c r="E628" s="163"/>
      <c r="F628" s="165"/>
      <c r="G628" s="165"/>
      <c r="H628" s="164"/>
      <c r="I628" s="163"/>
      <c r="J628" s="152"/>
      <c r="K628" s="154"/>
      <c r="L628" s="152"/>
      <c r="M628" s="152"/>
      <c r="N628" s="155"/>
      <c r="O628" s="161"/>
      <c r="P628" s="157"/>
    </row>
    <row r="629" spans="1:16" ht="15.75" customHeight="1">
      <c r="A629" s="151"/>
      <c r="B629" s="162"/>
      <c r="C629" s="163"/>
      <c r="D629" s="164"/>
      <c r="E629" s="163"/>
      <c r="F629" s="165"/>
      <c r="G629" s="165"/>
      <c r="H629" s="164"/>
      <c r="I629" s="163"/>
      <c r="J629" s="152"/>
      <c r="K629" s="154"/>
      <c r="L629" s="152"/>
      <c r="M629" s="152"/>
      <c r="N629" s="155"/>
      <c r="O629" s="161"/>
      <c r="P629" s="157"/>
    </row>
    <row r="630" spans="1:16" ht="15.75" customHeight="1">
      <c r="A630" s="151"/>
      <c r="B630" s="162"/>
      <c r="C630" s="163"/>
      <c r="D630" s="164"/>
      <c r="E630" s="163"/>
      <c r="F630" s="165"/>
      <c r="G630" s="165"/>
      <c r="H630" s="164"/>
      <c r="I630" s="163"/>
      <c r="J630" s="152"/>
      <c r="K630" s="154"/>
      <c r="L630" s="152"/>
      <c r="M630" s="152"/>
      <c r="N630" s="155"/>
      <c r="O630" s="161"/>
      <c r="P630" s="157"/>
    </row>
    <row r="631" spans="1:16" ht="15.75" customHeight="1">
      <c r="A631" s="151"/>
      <c r="B631" s="162"/>
      <c r="C631" s="163"/>
      <c r="D631" s="164"/>
      <c r="E631" s="163"/>
      <c r="F631" s="165"/>
      <c r="G631" s="165"/>
      <c r="H631" s="164"/>
      <c r="I631" s="163"/>
      <c r="J631" s="152"/>
      <c r="K631" s="154"/>
      <c r="L631" s="152"/>
      <c r="M631" s="152"/>
      <c r="N631" s="155"/>
      <c r="O631" s="161"/>
      <c r="P631" s="157"/>
    </row>
    <row r="632" spans="1:16" ht="15.75" customHeight="1">
      <c r="A632" s="151"/>
      <c r="B632" s="162"/>
      <c r="C632" s="163"/>
      <c r="D632" s="164"/>
      <c r="E632" s="163"/>
      <c r="F632" s="165"/>
      <c r="G632" s="165"/>
      <c r="H632" s="164"/>
      <c r="I632" s="163"/>
      <c r="J632" s="152"/>
      <c r="K632" s="154"/>
      <c r="L632" s="152"/>
      <c r="M632" s="152"/>
      <c r="N632" s="155"/>
      <c r="O632" s="161"/>
      <c r="P632" s="157"/>
    </row>
    <row r="633" spans="1:16" ht="15.75" customHeight="1">
      <c r="A633" s="151"/>
      <c r="B633" s="162"/>
      <c r="C633" s="163"/>
      <c r="D633" s="164"/>
      <c r="E633" s="163"/>
      <c r="F633" s="165"/>
      <c r="G633" s="165"/>
      <c r="H633" s="164"/>
      <c r="I633" s="163"/>
      <c r="J633" s="152"/>
      <c r="K633" s="154"/>
      <c r="L633" s="152"/>
      <c r="M633" s="152"/>
      <c r="N633" s="155"/>
      <c r="O633" s="161"/>
      <c r="P633" s="157"/>
    </row>
    <row r="634" spans="1:16" ht="15.75" customHeight="1">
      <c r="A634" s="151"/>
      <c r="B634" s="162"/>
      <c r="C634" s="163"/>
      <c r="D634" s="164"/>
      <c r="E634" s="163"/>
      <c r="F634" s="165"/>
      <c r="G634" s="165"/>
      <c r="H634" s="164"/>
      <c r="I634" s="163"/>
      <c r="J634" s="152"/>
      <c r="K634" s="154"/>
      <c r="L634" s="152"/>
      <c r="M634" s="152"/>
      <c r="N634" s="155"/>
      <c r="O634" s="161"/>
      <c r="P634" s="157"/>
    </row>
    <row r="635" spans="1:16" ht="15.75" customHeight="1">
      <c r="A635" s="151"/>
      <c r="B635" s="162"/>
      <c r="C635" s="163"/>
      <c r="D635" s="164"/>
      <c r="E635" s="163"/>
      <c r="F635" s="165"/>
      <c r="G635" s="165"/>
      <c r="H635" s="164"/>
      <c r="I635" s="163"/>
      <c r="J635" s="152"/>
      <c r="K635" s="154"/>
      <c r="L635" s="152"/>
      <c r="M635" s="152"/>
      <c r="N635" s="155"/>
      <c r="O635" s="161"/>
      <c r="P635" s="157"/>
    </row>
    <row r="636" spans="1:16" ht="15.75" customHeight="1">
      <c r="A636" s="151"/>
      <c r="B636" s="162"/>
      <c r="C636" s="163"/>
      <c r="D636" s="164"/>
      <c r="E636" s="163"/>
      <c r="F636" s="165"/>
      <c r="G636" s="165"/>
      <c r="H636" s="164"/>
      <c r="I636" s="163"/>
      <c r="J636" s="152"/>
      <c r="K636" s="154"/>
      <c r="L636" s="152"/>
      <c r="M636" s="152"/>
      <c r="N636" s="155"/>
      <c r="O636" s="161"/>
      <c r="P636" s="157"/>
    </row>
    <row r="637" spans="1:16" ht="15.75" customHeight="1">
      <c r="A637" s="151"/>
      <c r="B637" s="162"/>
      <c r="C637" s="163"/>
      <c r="D637" s="164"/>
      <c r="E637" s="163"/>
      <c r="F637" s="165"/>
      <c r="G637" s="165"/>
      <c r="H637" s="164"/>
      <c r="I637" s="163"/>
      <c r="J637" s="152"/>
      <c r="K637" s="154"/>
      <c r="L637" s="152"/>
      <c r="M637" s="152"/>
      <c r="N637" s="155"/>
      <c r="O637" s="161"/>
      <c r="P637" s="157"/>
    </row>
    <row r="638" spans="1:16" ht="15.75" customHeight="1">
      <c r="A638" s="151"/>
      <c r="B638" s="162"/>
      <c r="C638" s="163"/>
      <c r="D638" s="164"/>
      <c r="E638" s="163"/>
      <c r="F638" s="165"/>
      <c r="G638" s="165"/>
      <c r="H638" s="164"/>
      <c r="I638" s="163"/>
      <c r="J638" s="152"/>
      <c r="K638" s="154"/>
      <c r="L638" s="152"/>
      <c r="M638" s="152"/>
      <c r="N638" s="155"/>
      <c r="O638" s="161"/>
      <c r="P638" s="157"/>
    </row>
    <row r="639" spans="1:16" ht="15.75" customHeight="1">
      <c r="A639" s="151"/>
      <c r="B639" s="162"/>
      <c r="C639" s="163"/>
      <c r="D639" s="164"/>
      <c r="E639" s="163"/>
      <c r="F639" s="165"/>
      <c r="G639" s="165"/>
      <c r="H639" s="164"/>
      <c r="I639" s="163"/>
      <c r="J639" s="152"/>
      <c r="K639" s="154"/>
      <c r="L639" s="152"/>
      <c r="M639" s="152"/>
      <c r="N639" s="155"/>
      <c r="O639" s="161"/>
      <c r="P639" s="157"/>
    </row>
    <row r="640" spans="1:16" ht="15.75" customHeight="1">
      <c r="A640" s="151"/>
      <c r="B640" s="162"/>
      <c r="C640" s="163"/>
      <c r="D640" s="164"/>
      <c r="E640" s="163"/>
      <c r="F640" s="165"/>
      <c r="G640" s="165"/>
      <c r="H640" s="164"/>
      <c r="I640" s="163"/>
      <c r="J640" s="152"/>
      <c r="K640" s="154"/>
      <c r="L640" s="152"/>
      <c r="M640" s="152"/>
      <c r="N640" s="155"/>
      <c r="O640" s="161"/>
      <c r="P640" s="157"/>
    </row>
    <row r="641" spans="1:16" ht="15.75" customHeight="1">
      <c r="A641" s="151"/>
      <c r="B641" s="162"/>
      <c r="C641" s="163"/>
      <c r="D641" s="164"/>
      <c r="E641" s="163"/>
      <c r="F641" s="165"/>
      <c r="G641" s="165"/>
      <c r="H641" s="164"/>
      <c r="I641" s="163"/>
      <c r="J641" s="152"/>
      <c r="K641" s="154"/>
      <c r="L641" s="152"/>
      <c r="M641" s="152"/>
      <c r="N641" s="155"/>
      <c r="O641" s="161"/>
      <c r="P641" s="157"/>
    </row>
    <row r="642" spans="1:16" ht="15.75" customHeight="1">
      <c r="A642" s="151"/>
      <c r="B642" s="162"/>
      <c r="C642" s="163"/>
      <c r="D642" s="164"/>
      <c r="E642" s="163"/>
      <c r="F642" s="165"/>
      <c r="G642" s="165"/>
      <c r="H642" s="164"/>
      <c r="I642" s="163"/>
      <c r="J642" s="152"/>
      <c r="K642" s="154"/>
      <c r="L642" s="152"/>
      <c r="M642" s="152"/>
      <c r="N642" s="155"/>
      <c r="O642" s="161"/>
      <c r="P642" s="157"/>
    </row>
    <row r="643" spans="1:16" ht="15.75" customHeight="1">
      <c r="A643" s="151"/>
      <c r="B643" s="162"/>
      <c r="C643" s="163"/>
      <c r="D643" s="164"/>
      <c r="E643" s="163"/>
      <c r="F643" s="165"/>
      <c r="G643" s="165"/>
      <c r="H643" s="164"/>
      <c r="I643" s="163"/>
      <c r="J643" s="152"/>
      <c r="K643" s="154"/>
      <c r="L643" s="152"/>
      <c r="M643" s="152"/>
      <c r="N643" s="155"/>
      <c r="O643" s="161"/>
      <c r="P643" s="157"/>
    </row>
    <row r="644" spans="1:16" ht="15.75" customHeight="1">
      <c r="A644" s="151"/>
      <c r="B644" s="162"/>
      <c r="C644" s="163"/>
      <c r="D644" s="164"/>
      <c r="E644" s="163"/>
      <c r="F644" s="165"/>
      <c r="G644" s="165"/>
      <c r="H644" s="164"/>
      <c r="I644" s="163"/>
      <c r="J644" s="152"/>
      <c r="K644" s="154"/>
      <c r="L644" s="152"/>
      <c r="M644" s="152"/>
      <c r="N644" s="155"/>
      <c r="O644" s="161"/>
      <c r="P644" s="157"/>
    </row>
    <row r="645" spans="1:16" ht="15.75" customHeight="1">
      <c r="A645" s="151"/>
      <c r="B645" s="162"/>
      <c r="C645" s="163"/>
      <c r="D645" s="164"/>
      <c r="E645" s="163"/>
      <c r="F645" s="165"/>
      <c r="G645" s="165"/>
      <c r="H645" s="164"/>
      <c r="I645" s="163"/>
      <c r="J645" s="152"/>
      <c r="K645" s="154"/>
      <c r="L645" s="152"/>
      <c r="M645" s="152"/>
      <c r="N645" s="155"/>
      <c r="O645" s="161"/>
      <c r="P645" s="157"/>
    </row>
    <row r="646" spans="1:16" ht="15.75" customHeight="1">
      <c r="A646" s="151"/>
      <c r="B646" s="162"/>
      <c r="C646" s="163"/>
      <c r="D646" s="164"/>
      <c r="E646" s="163"/>
      <c r="F646" s="165"/>
      <c r="G646" s="165"/>
      <c r="H646" s="164"/>
      <c r="I646" s="163"/>
      <c r="J646" s="152"/>
      <c r="K646" s="154"/>
      <c r="L646" s="152"/>
      <c r="M646" s="152"/>
      <c r="N646" s="155"/>
      <c r="O646" s="161"/>
      <c r="P646" s="157"/>
    </row>
    <row r="647" spans="1:16" ht="15.75" customHeight="1">
      <c r="A647" s="151"/>
      <c r="B647" s="162"/>
      <c r="C647" s="163"/>
      <c r="D647" s="164"/>
      <c r="E647" s="163"/>
      <c r="F647" s="165"/>
      <c r="G647" s="165"/>
      <c r="H647" s="164"/>
      <c r="I647" s="163"/>
      <c r="J647" s="152"/>
      <c r="K647" s="154"/>
      <c r="L647" s="152"/>
      <c r="M647" s="152"/>
      <c r="N647" s="155"/>
      <c r="O647" s="161"/>
      <c r="P647" s="157"/>
    </row>
    <row r="648" spans="1:16" ht="15.75" customHeight="1">
      <c r="A648" s="151"/>
      <c r="B648" s="162"/>
      <c r="C648" s="163"/>
      <c r="D648" s="164"/>
      <c r="E648" s="163"/>
      <c r="F648" s="165"/>
      <c r="G648" s="165"/>
      <c r="H648" s="164"/>
      <c r="I648" s="163"/>
      <c r="J648" s="152"/>
      <c r="K648" s="154"/>
      <c r="L648" s="152"/>
      <c r="M648" s="152"/>
      <c r="N648" s="155"/>
      <c r="O648" s="161"/>
      <c r="P648" s="157"/>
    </row>
    <row r="649" spans="1:16" ht="15.75" customHeight="1">
      <c r="A649" s="151"/>
      <c r="B649" s="162"/>
      <c r="C649" s="163"/>
      <c r="D649" s="164"/>
      <c r="E649" s="163"/>
      <c r="F649" s="165"/>
      <c r="G649" s="165"/>
      <c r="H649" s="164"/>
      <c r="I649" s="163"/>
      <c r="J649" s="152"/>
      <c r="K649" s="154"/>
      <c r="L649" s="152"/>
      <c r="M649" s="152"/>
      <c r="N649" s="155"/>
      <c r="O649" s="161"/>
      <c r="P649" s="157"/>
    </row>
    <row r="650" spans="1:16" ht="15.75" customHeight="1">
      <c r="A650" s="151"/>
      <c r="B650" s="162"/>
      <c r="C650" s="163"/>
      <c r="D650" s="164"/>
      <c r="E650" s="163"/>
      <c r="F650" s="165"/>
      <c r="G650" s="165"/>
      <c r="H650" s="164"/>
      <c r="I650" s="163"/>
      <c r="J650" s="152"/>
      <c r="K650" s="154"/>
      <c r="L650" s="152"/>
      <c r="M650" s="152"/>
      <c r="N650" s="155"/>
      <c r="O650" s="161"/>
      <c r="P650" s="157"/>
    </row>
    <row r="651" spans="1:16" ht="15.75" customHeight="1">
      <c r="A651" s="151"/>
      <c r="B651" s="162"/>
      <c r="C651" s="163"/>
      <c r="D651" s="164"/>
      <c r="E651" s="163"/>
      <c r="F651" s="165"/>
      <c r="G651" s="165"/>
      <c r="H651" s="164"/>
      <c r="I651" s="163"/>
      <c r="J651" s="152"/>
      <c r="K651" s="154"/>
      <c r="L651" s="152"/>
      <c r="M651" s="152"/>
      <c r="N651" s="155"/>
      <c r="O651" s="161"/>
      <c r="P651" s="157"/>
    </row>
    <row r="652" spans="1:16" ht="15.75" customHeight="1">
      <c r="A652" s="151"/>
      <c r="B652" s="162"/>
      <c r="C652" s="163"/>
      <c r="D652" s="164"/>
      <c r="E652" s="163"/>
      <c r="F652" s="165"/>
      <c r="G652" s="165"/>
      <c r="H652" s="164"/>
      <c r="I652" s="163"/>
      <c r="J652" s="152"/>
      <c r="K652" s="154"/>
      <c r="L652" s="152"/>
      <c r="M652" s="152"/>
      <c r="N652" s="155"/>
      <c r="O652" s="161"/>
      <c r="P652" s="157"/>
    </row>
    <row r="653" spans="1:16" ht="15.75" customHeight="1">
      <c r="A653" s="151"/>
      <c r="B653" s="162"/>
      <c r="C653" s="163"/>
      <c r="D653" s="164"/>
      <c r="E653" s="163"/>
      <c r="F653" s="165"/>
      <c r="G653" s="165"/>
      <c r="H653" s="164"/>
      <c r="I653" s="163"/>
      <c r="J653" s="152"/>
      <c r="K653" s="154"/>
      <c r="L653" s="152"/>
      <c r="M653" s="152"/>
      <c r="N653" s="155"/>
      <c r="O653" s="161"/>
      <c r="P653" s="157"/>
    </row>
    <row r="654" spans="1:16" ht="15.75" customHeight="1">
      <c r="A654" s="151"/>
      <c r="B654" s="162"/>
      <c r="C654" s="163"/>
      <c r="D654" s="164"/>
      <c r="E654" s="163"/>
      <c r="F654" s="165"/>
      <c r="G654" s="165"/>
      <c r="H654" s="164"/>
      <c r="I654" s="163"/>
      <c r="J654" s="152"/>
      <c r="K654" s="154"/>
      <c r="L654" s="152"/>
      <c r="M654" s="152"/>
      <c r="N654" s="155"/>
      <c r="O654" s="161"/>
      <c r="P654" s="157"/>
    </row>
    <row r="655" spans="1:16" ht="15.75" customHeight="1">
      <c r="A655" s="151"/>
      <c r="B655" s="162"/>
      <c r="C655" s="163"/>
      <c r="D655" s="164"/>
      <c r="E655" s="163"/>
      <c r="F655" s="165"/>
      <c r="G655" s="165"/>
      <c r="H655" s="164"/>
      <c r="I655" s="163"/>
      <c r="J655" s="152"/>
      <c r="K655" s="154"/>
      <c r="L655" s="152"/>
      <c r="M655" s="152"/>
      <c r="N655" s="155"/>
      <c r="O655" s="161"/>
      <c r="P655" s="157"/>
    </row>
    <row r="656" spans="1:16" ht="15.75" customHeight="1">
      <c r="A656" s="151"/>
      <c r="B656" s="162"/>
      <c r="C656" s="163"/>
      <c r="D656" s="164"/>
      <c r="E656" s="163"/>
      <c r="F656" s="165"/>
      <c r="G656" s="165"/>
      <c r="H656" s="164"/>
      <c r="I656" s="163"/>
      <c r="J656" s="152"/>
      <c r="K656" s="154"/>
      <c r="L656" s="152"/>
      <c r="M656" s="152"/>
      <c r="N656" s="155"/>
      <c r="O656" s="161"/>
      <c r="P656" s="157"/>
    </row>
    <row r="657" spans="1:16" ht="15.75" customHeight="1">
      <c r="A657" s="151"/>
      <c r="B657" s="162"/>
      <c r="C657" s="163"/>
      <c r="D657" s="164"/>
      <c r="E657" s="163"/>
      <c r="F657" s="165"/>
      <c r="G657" s="165"/>
      <c r="H657" s="164"/>
      <c r="I657" s="163"/>
      <c r="J657" s="152"/>
      <c r="K657" s="154"/>
      <c r="L657" s="152"/>
      <c r="M657" s="152"/>
      <c r="N657" s="155"/>
      <c r="O657" s="161"/>
      <c r="P657" s="157"/>
    </row>
    <row r="658" spans="1:16" ht="15.75" customHeight="1">
      <c r="A658" s="151"/>
      <c r="B658" s="162"/>
      <c r="C658" s="163"/>
      <c r="D658" s="164"/>
      <c r="E658" s="163"/>
      <c r="F658" s="165"/>
      <c r="G658" s="165"/>
      <c r="H658" s="164"/>
      <c r="I658" s="163"/>
      <c r="J658" s="152"/>
      <c r="K658" s="154"/>
      <c r="L658" s="152"/>
      <c r="M658" s="152"/>
      <c r="N658" s="155"/>
      <c r="O658" s="161"/>
      <c r="P658" s="157"/>
    </row>
    <row r="659" spans="1:16" ht="15.75" customHeight="1">
      <c r="A659" s="151"/>
      <c r="B659" s="162"/>
      <c r="C659" s="163"/>
      <c r="D659" s="164"/>
      <c r="E659" s="163"/>
      <c r="F659" s="165"/>
      <c r="G659" s="165"/>
      <c r="H659" s="164"/>
      <c r="I659" s="163"/>
      <c r="J659" s="152"/>
      <c r="K659" s="154"/>
      <c r="L659" s="152"/>
      <c r="M659" s="152"/>
      <c r="N659" s="155"/>
      <c r="O659" s="161"/>
      <c r="P659" s="157"/>
    </row>
    <row r="660" spans="1:16" ht="15.75" customHeight="1">
      <c r="A660" s="151"/>
      <c r="B660" s="162"/>
      <c r="C660" s="163"/>
      <c r="D660" s="164"/>
      <c r="E660" s="163"/>
      <c r="F660" s="165"/>
      <c r="G660" s="165"/>
      <c r="H660" s="164"/>
      <c r="I660" s="163"/>
      <c r="J660" s="152"/>
      <c r="K660" s="154"/>
      <c r="L660" s="152"/>
      <c r="M660" s="152"/>
      <c r="N660" s="155"/>
      <c r="O660" s="161"/>
      <c r="P660" s="157"/>
    </row>
    <row r="661" spans="1:16" ht="15.75" customHeight="1">
      <c r="A661" s="151"/>
      <c r="B661" s="162"/>
      <c r="C661" s="163"/>
      <c r="D661" s="164"/>
      <c r="E661" s="163"/>
      <c r="F661" s="165"/>
      <c r="G661" s="165"/>
      <c r="H661" s="164"/>
      <c r="I661" s="163"/>
      <c r="J661" s="152"/>
      <c r="K661" s="154"/>
      <c r="L661" s="152"/>
      <c r="M661" s="152"/>
      <c r="N661" s="155"/>
      <c r="O661" s="161"/>
      <c r="P661" s="157"/>
    </row>
    <row r="662" spans="1:16" ht="15.75" customHeight="1">
      <c r="A662" s="151"/>
      <c r="B662" s="162"/>
      <c r="C662" s="163"/>
      <c r="D662" s="164"/>
      <c r="E662" s="163"/>
      <c r="F662" s="165"/>
      <c r="G662" s="165"/>
      <c r="H662" s="164"/>
      <c r="I662" s="163"/>
      <c r="J662" s="152"/>
      <c r="K662" s="154"/>
      <c r="L662" s="152"/>
      <c r="M662" s="152"/>
      <c r="N662" s="155"/>
      <c r="O662" s="161"/>
      <c r="P662" s="157"/>
    </row>
    <row r="663" spans="1:16" ht="15.75" customHeight="1">
      <c r="A663" s="151"/>
      <c r="B663" s="162"/>
      <c r="C663" s="163"/>
      <c r="D663" s="164"/>
      <c r="E663" s="163"/>
      <c r="F663" s="165"/>
      <c r="G663" s="165"/>
      <c r="H663" s="164"/>
      <c r="I663" s="163"/>
      <c r="J663" s="152"/>
      <c r="K663" s="154"/>
      <c r="L663" s="152"/>
      <c r="M663" s="152"/>
      <c r="N663" s="155"/>
      <c r="O663" s="161"/>
      <c r="P663" s="157"/>
    </row>
    <row r="664" spans="1:16" ht="15.75" customHeight="1">
      <c r="A664" s="151"/>
      <c r="B664" s="162"/>
      <c r="C664" s="163"/>
      <c r="D664" s="164"/>
      <c r="E664" s="163"/>
      <c r="F664" s="165"/>
      <c r="G664" s="165"/>
      <c r="H664" s="164"/>
      <c r="I664" s="163"/>
      <c r="J664" s="152"/>
      <c r="K664" s="154"/>
      <c r="L664" s="152"/>
      <c r="M664" s="152"/>
      <c r="N664" s="155"/>
      <c r="O664" s="161"/>
      <c r="P664" s="157"/>
    </row>
    <row r="665" spans="1:16" ht="15.75" customHeight="1">
      <c r="A665" s="151"/>
      <c r="B665" s="162"/>
      <c r="C665" s="163"/>
      <c r="D665" s="164"/>
      <c r="E665" s="163"/>
      <c r="F665" s="165"/>
      <c r="G665" s="165"/>
      <c r="H665" s="164"/>
      <c r="I665" s="163"/>
      <c r="J665" s="152"/>
      <c r="K665" s="154"/>
      <c r="L665" s="152"/>
      <c r="M665" s="152"/>
      <c r="N665" s="155"/>
      <c r="O665" s="161"/>
      <c r="P665" s="157"/>
    </row>
    <row r="666" spans="1:16" ht="15.75" customHeight="1">
      <c r="A666" s="151"/>
      <c r="B666" s="162"/>
      <c r="C666" s="163"/>
      <c r="D666" s="164"/>
      <c r="E666" s="163"/>
      <c r="F666" s="165"/>
      <c r="G666" s="165"/>
      <c r="H666" s="164"/>
      <c r="I666" s="163"/>
      <c r="J666" s="152"/>
      <c r="K666" s="154"/>
      <c r="L666" s="152"/>
      <c r="M666" s="152"/>
      <c r="N666" s="155"/>
      <c r="O666" s="161"/>
      <c r="P666" s="157"/>
    </row>
    <row r="667" spans="1:16" ht="15.75" customHeight="1">
      <c r="A667" s="151"/>
      <c r="B667" s="162"/>
      <c r="C667" s="163"/>
      <c r="D667" s="164"/>
      <c r="E667" s="163"/>
      <c r="F667" s="165"/>
      <c r="G667" s="165"/>
      <c r="H667" s="164"/>
      <c r="I667" s="163"/>
      <c r="J667" s="152"/>
      <c r="K667" s="154"/>
      <c r="L667" s="152"/>
      <c r="M667" s="152"/>
      <c r="N667" s="155"/>
      <c r="O667" s="161"/>
      <c r="P667" s="157"/>
    </row>
    <row r="668" spans="1:16" ht="15.75" customHeight="1">
      <c r="A668" s="151"/>
      <c r="B668" s="162"/>
      <c r="C668" s="163"/>
      <c r="D668" s="164"/>
      <c r="E668" s="163"/>
      <c r="F668" s="165"/>
      <c r="G668" s="165"/>
      <c r="H668" s="164"/>
      <c r="I668" s="163"/>
      <c r="J668" s="152"/>
      <c r="K668" s="154"/>
      <c r="L668" s="152"/>
      <c r="M668" s="152"/>
      <c r="N668" s="155"/>
      <c r="O668" s="161"/>
      <c r="P668" s="157"/>
    </row>
    <row r="669" spans="1:16" ht="15.75" customHeight="1">
      <c r="A669" s="151"/>
      <c r="B669" s="162"/>
      <c r="C669" s="163"/>
      <c r="D669" s="164"/>
      <c r="E669" s="163"/>
      <c r="F669" s="165"/>
      <c r="G669" s="165"/>
      <c r="H669" s="164"/>
      <c r="I669" s="163"/>
      <c r="J669" s="152"/>
      <c r="K669" s="154"/>
      <c r="L669" s="152"/>
      <c r="M669" s="152"/>
      <c r="N669" s="155"/>
      <c r="O669" s="161"/>
      <c r="P669" s="157"/>
    </row>
    <row r="670" spans="1:16" ht="15.75" customHeight="1">
      <c r="A670" s="151"/>
      <c r="B670" s="162"/>
      <c r="C670" s="163"/>
      <c r="D670" s="164"/>
      <c r="E670" s="163"/>
      <c r="F670" s="165"/>
      <c r="G670" s="165"/>
      <c r="H670" s="164"/>
      <c r="I670" s="163"/>
      <c r="J670" s="152"/>
      <c r="K670" s="154"/>
      <c r="L670" s="152"/>
      <c r="M670" s="152"/>
      <c r="N670" s="155"/>
      <c r="O670" s="161"/>
      <c r="P670" s="157"/>
    </row>
    <row r="671" spans="1:16" ht="15.75" customHeight="1">
      <c r="A671" s="151"/>
      <c r="B671" s="162"/>
      <c r="C671" s="163"/>
      <c r="D671" s="164"/>
      <c r="E671" s="163"/>
      <c r="F671" s="165"/>
      <c r="G671" s="165"/>
      <c r="H671" s="164"/>
      <c r="I671" s="163"/>
      <c r="J671" s="152"/>
      <c r="K671" s="154"/>
      <c r="L671" s="152"/>
      <c r="M671" s="152"/>
      <c r="N671" s="155"/>
      <c r="O671" s="161"/>
      <c r="P671" s="157"/>
    </row>
    <row r="672" spans="1:16" ht="15.75" customHeight="1">
      <c r="A672" s="151"/>
      <c r="B672" s="162"/>
      <c r="C672" s="163"/>
      <c r="D672" s="164"/>
      <c r="E672" s="163"/>
      <c r="F672" s="165"/>
      <c r="G672" s="165"/>
      <c r="H672" s="164"/>
      <c r="I672" s="163"/>
      <c r="J672" s="152"/>
      <c r="K672" s="154"/>
      <c r="L672" s="152"/>
      <c r="M672" s="152"/>
      <c r="N672" s="155"/>
      <c r="O672" s="161"/>
      <c r="P672" s="157"/>
    </row>
    <row r="673" spans="1:16" ht="15.75" customHeight="1">
      <c r="A673" s="151"/>
      <c r="B673" s="162"/>
      <c r="C673" s="163"/>
      <c r="D673" s="164"/>
      <c r="E673" s="163"/>
      <c r="F673" s="165"/>
      <c r="G673" s="165"/>
      <c r="H673" s="164"/>
      <c r="I673" s="163"/>
      <c r="J673" s="152"/>
      <c r="K673" s="154"/>
      <c r="L673" s="152"/>
      <c r="M673" s="152"/>
      <c r="N673" s="155"/>
      <c r="O673" s="161"/>
      <c r="P673" s="157"/>
    </row>
    <row r="674" spans="1:16" ht="15.75" customHeight="1">
      <c r="A674" s="151"/>
      <c r="B674" s="162"/>
      <c r="C674" s="163"/>
      <c r="D674" s="164"/>
      <c r="E674" s="163"/>
      <c r="F674" s="165"/>
      <c r="G674" s="165"/>
      <c r="H674" s="164"/>
      <c r="I674" s="163"/>
      <c r="J674" s="152"/>
      <c r="K674" s="154"/>
      <c r="L674" s="152"/>
      <c r="M674" s="152"/>
      <c r="N674" s="155"/>
      <c r="O674" s="161"/>
      <c r="P674" s="157"/>
    </row>
    <row r="675" spans="1:16" ht="15.75" customHeight="1">
      <c r="A675" s="151"/>
      <c r="B675" s="162"/>
      <c r="C675" s="163"/>
      <c r="D675" s="164"/>
      <c r="E675" s="163"/>
      <c r="F675" s="165"/>
      <c r="G675" s="165"/>
      <c r="H675" s="164"/>
      <c r="I675" s="163"/>
      <c r="J675" s="152"/>
      <c r="K675" s="154"/>
      <c r="L675" s="152"/>
      <c r="M675" s="152"/>
      <c r="N675" s="155"/>
      <c r="O675" s="161"/>
      <c r="P675" s="157"/>
    </row>
    <row r="676" spans="1:16" ht="15.75" customHeight="1">
      <c r="A676" s="151"/>
      <c r="B676" s="162"/>
      <c r="C676" s="163"/>
      <c r="D676" s="164"/>
      <c r="E676" s="163"/>
      <c r="F676" s="165"/>
      <c r="G676" s="165"/>
      <c r="H676" s="164"/>
      <c r="I676" s="163"/>
      <c r="J676" s="152"/>
      <c r="K676" s="154"/>
      <c r="L676" s="152"/>
      <c r="M676" s="152"/>
      <c r="N676" s="155"/>
      <c r="O676" s="161"/>
      <c r="P676" s="157"/>
    </row>
    <row r="677" spans="1:16" ht="15.75" customHeight="1">
      <c r="A677" s="151"/>
      <c r="B677" s="162"/>
      <c r="C677" s="163"/>
      <c r="D677" s="164"/>
      <c r="E677" s="163"/>
      <c r="F677" s="165"/>
      <c r="G677" s="165"/>
      <c r="H677" s="164"/>
      <c r="I677" s="163"/>
      <c r="J677" s="152"/>
      <c r="K677" s="154"/>
      <c r="L677" s="152"/>
      <c r="M677" s="152"/>
      <c r="N677" s="155"/>
      <c r="O677" s="161"/>
      <c r="P677" s="157"/>
    </row>
    <row r="678" spans="1:16" ht="15.75" customHeight="1">
      <c r="A678" s="151"/>
      <c r="B678" s="162"/>
      <c r="C678" s="163"/>
      <c r="D678" s="164"/>
      <c r="E678" s="163"/>
      <c r="F678" s="165"/>
      <c r="G678" s="165"/>
      <c r="H678" s="164"/>
      <c r="I678" s="163"/>
      <c r="J678" s="152"/>
      <c r="K678" s="154"/>
      <c r="L678" s="152"/>
      <c r="M678" s="152"/>
      <c r="N678" s="155"/>
      <c r="O678" s="161"/>
      <c r="P678" s="157"/>
    </row>
    <row r="679" spans="1:16" ht="15.75" customHeight="1">
      <c r="A679" s="151"/>
      <c r="B679" s="162"/>
      <c r="C679" s="163"/>
      <c r="D679" s="164"/>
      <c r="E679" s="163"/>
      <c r="F679" s="165"/>
      <c r="G679" s="165"/>
      <c r="H679" s="164"/>
      <c r="I679" s="163"/>
      <c r="J679" s="152"/>
      <c r="K679" s="154"/>
      <c r="L679" s="152"/>
      <c r="M679" s="152"/>
      <c r="N679" s="155"/>
      <c r="O679" s="161"/>
      <c r="P679" s="157"/>
    </row>
    <row r="680" spans="1:16" ht="15.75" customHeight="1">
      <c r="A680" s="151"/>
      <c r="B680" s="162"/>
      <c r="C680" s="163"/>
      <c r="D680" s="164"/>
      <c r="E680" s="163"/>
      <c r="F680" s="165"/>
      <c r="G680" s="165"/>
      <c r="H680" s="164"/>
      <c r="I680" s="163"/>
      <c r="J680" s="152"/>
      <c r="K680" s="154"/>
      <c r="L680" s="152"/>
      <c r="M680" s="152"/>
      <c r="N680" s="155"/>
      <c r="O680" s="161"/>
      <c r="P680" s="157"/>
    </row>
    <row r="681" spans="1:16" ht="15.75" customHeight="1">
      <c r="A681" s="151"/>
      <c r="B681" s="162"/>
      <c r="C681" s="163"/>
      <c r="D681" s="164"/>
      <c r="E681" s="163"/>
      <c r="F681" s="165"/>
      <c r="G681" s="165"/>
      <c r="H681" s="164"/>
      <c r="I681" s="163"/>
      <c r="J681" s="152"/>
      <c r="K681" s="154"/>
      <c r="L681" s="152"/>
      <c r="M681" s="152"/>
      <c r="N681" s="155"/>
      <c r="O681" s="161"/>
      <c r="P681" s="157"/>
    </row>
    <row r="682" spans="1:16" ht="15.75" customHeight="1">
      <c r="A682" s="151"/>
      <c r="B682" s="162"/>
      <c r="C682" s="163"/>
      <c r="D682" s="164"/>
      <c r="E682" s="163"/>
      <c r="F682" s="165"/>
      <c r="G682" s="165"/>
      <c r="H682" s="164"/>
      <c r="I682" s="163"/>
      <c r="J682" s="152"/>
      <c r="K682" s="154"/>
      <c r="L682" s="152"/>
      <c r="M682" s="152"/>
      <c r="N682" s="155"/>
      <c r="O682" s="161"/>
      <c r="P682" s="157"/>
    </row>
    <row r="683" spans="1:16" ht="15.75" customHeight="1">
      <c r="A683" s="151"/>
      <c r="B683" s="162"/>
      <c r="C683" s="163"/>
      <c r="D683" s="164"/>
      <c r="E683" s="163"/>
      <c r="F683" s="165"/>
      <c r="G683" s="165"/>
      <c r="H683" s="164"/>
      <c r="I683" s="163"/>
      <c r="J683" s="152"/>
      <c r="K683" s="154"/>
      <c r="L683" s="152"/>
      <c r="M683" s="152"/>
      <c r="N683" s="155"/>
      <c r="O683" s="161"/>
      <c r="P683" s="157"/>
    </row>
    <row r="684" spans="1:16" ht="15.75" customHeight="1">
      <c r="A684" s="151"/>
      <c r="B684" s="162"/>
      <c r="C684" s="163"/>
      <c r="D684" s="164"/>
      <c r="E684" s="163"/>
      <c r="F684" s="165"/>
      <c r="G684" s="165"/>
      <c r="H684" s="164"/>
      <c r="I684" s="163"/>
      <c r="J684" s="152"/>
      <c r="K684" s="154"/>
      <c r="L684" s="152"/>
      <c r="M684" s="152"/>
      <c r="N684" s="155"/>
      <c r="O684" s="161"/>
      <c r="P684" s="157"/>
    </row>
    <row r="685" spans="1:16" ht="15.75" customHeight="1">
      <c r="A685" s="151"/>
      <c r="B685" s="162"/>
      <c r="C685" s="163"/>
      <c r="D685" s="164"/>
      <c r="E685" s="163"/>
      <c r="F685" s="165"/>
      <c r="G685" s="165"/>
      <c r="H685" s="164"/>
      <c r="I685" s="163"/>
      <c r="J685" s="152"/>
      <c r="K685" s="154"/>
      <c r="L685" s="152"/>
      <c r="M685" s="152"/>
      <c r="N685" s="155"/>
      <c r="O685" s="161"/>
      <c r="P685" s="157"/>
    </row>
    <row r="686" spans="1:16" ht="15.75" customHeight="1">
      <c r="A686" s="151"/>
      <c r="B686" s="162"/>
      <c r="C686" s="163"/>
      <c r="D686" s="164"/>
      <c r="E686" s="163"/>
      <c r="F686" s="165"/>
      <c r="G686" s="165"/>
      <c r="H686" s="164"/>
      <c r="I686" s="163"/>
      <c r="J686" s="152"/>
      <c r="K686" s="154"/>
      <c r="L686" s="152"/>
      <c r="M686" s="152"/>
      <c r="N686" s="155"/>
      <c r="O686" s="161"/>
      <c r="P686" s="157"/>
    </row>
    <row r="687" spans="1:16" ht="15.75" customHeight="1">
      <c r="A687" s="151"/>
      <c r="B687" s="162"/>
      <c r="C687" s="163"/>
      <c r="D687" s="164"/>
      <c r="E687" s="163"/>
      <c r="F687" s="165"/>
      <c r="G687" s="165"/>
      <c r="H687" s="164"/>
      <c r="I687" s="163"/>
      <c r="J687" s="152"/>
      <c r="K687" s="154"/>
      <c r="L687" s="152"/>
      <c r="M687" s="152"/>
      <c r="N687" s="155"/>
      <c r="O687" s="161"/>
      <c r="P687" s="157"/>
    </row>
    <row r="688" spans="1:16" ht="15.75" customHeight="1">
      <c r="A688" s="151"/>
      <c r="B688" s="162"/>
      <c r="C688" s="163"/>
      <c r="D688" s="164"/>
      <c r="E688" s="163"/>
      <c r="F688" s="165"/>
      <c r="G688" s="165"/>
      <c r="H688" s="164"/>
      <c r="I688" s="163"/>
      <c r="J688" s="152"/>
      <c r="K688" s="154"/>
      <c r="L688" s="152"/>
      <c r="M688" s="152"/>
      <c r="N688" s="155"/>
      <c r="O688" s="161"/>
      <c r="P688" s="157"/>
    </row>
    <row r="689" spans="1:16" ht="15.75" customHeight="1">
      <c r="A689" s="151"/>
      <c r="B689" s="162"/>
      <c r="C689" s="163"/>
      <c r="D689" s="164"/>
      <c r="E689" s="163"/>
      <c r="F689" s="165"/>
      <c r="G689" s="165"/>
      <c r="H689" s="164"/>
      <c r="I689" s="163"/>
      <c r="J689" s="152"/>
      <c r="K689" s="154"/>
      <c r="L689" s="152"/>
      <c r="M689" s="152"/>
      <c r="N689" s="155"/>
      <c r="O689" s="161"/>
      <c r="P689" s="157"/>
    </row>
    <row r="690" spans="1:16" ht="15.75" customHeight="1">
      <c r="A690" s="151"/>
      <c r="B690" s="162"/>
      <c r="C690" s="163"/>
      <c r="D690" s="164"/>
      <c r="E690" s="163"/>
      <c r="F690" s="165"/>
      <c r="G690" s="165"/>
      <c r="H690" s="164"/>
      <c r="I690" s="163"/>
      <c r="J690" s="152"/>
      <c r="K690" s="154"/>
      <c r="L690" s="152"/>
      <c r="M690" s="152"/>
      <c r="N690" s="155"/>
      <c r="O690" s="161"/>
      <c r="P690" s="157"/>
    </row>
    <row r="691" spans="1:16" ht="15.75" customHeight="1">
      <c r="A691" s="151"/>
      <c r="B691" s="162"/>
      <c r="C691" s="163"/>
      <c r="D691" s="164"/>
      <c r="E691" s="163"/>
      <c r="F691" s="165"/>
      <c r="G691" s="165"/>
      <c r="H691" s="164"/>
      <c r="I691" s="163"/>
      <c r="J691" s="152"/>
      <c r="K691" s="154"/>
      <c r="L691" s="152"/>
      <c r="M691" s="152"/>
      <c r="N691" s="155"/>
      <c r="O691" s="161"/>
      <c r="P691" s="157"/>
    </row>
    <row r="692" spans="1:16" ht="15.75" customHeight="1">
      <c r="A692" s="151"/>
      <c r="B692" s="162"/>
      <c r="C692" s="163"/>
      <c r="D692" s="164"/>
      <c r="E692" s="163"/>
      <c r="F692" s="165"/>
      <c r="G692" s="165"/>
      <c r="H692" s="164"/>
      <c r="I692" s="163"/>
      <c r="J692" s="152"/>
      <c r="K692" s="154"/>
      <c r="L692" s="152"/>
      <c r="M692" s="152"/>
      <c r="N692" s="155"/>
      <c r="O692" s="161"/>
      <c r="P692" s="157"/>
    </row>
    <row r="693" spans="1:16" ht="15.75" customHeight="1">
      <c r="A693" s="151"/>
      <c r="B693" s="162"/>
      <c r="C693" s="163"/>
      <c r="D693" s="164"/>
      <c r="E693" s="163"/>
      <c r="F693" s="165"/>
      <c r="G693" s="165"/>
      <c r="H693" s="164"/>
      <c r="I693" s="163"/>
      <c r="J693" s="152"/>
      <c r="K693" s="154"/>
      <c r="L693" s="152"/>
      <c r="M693" s="152"/>
      <c r="N693" s="155"/>
      <c r="O693" s="161"/>
      <c r="P693" s="157"/>
    </row>
    <row r="694" spans="1:16" ht="15.75" customHeight="1">
      <c r="A694" s="151"/>
      <c r="B694" s="162"/>
      <c r="C694" s="163"/>
      <c r="D694" s="164"/>
      <c r="E694" s="163"/>
      <c r="F694" s="165"/>
      <c r="G694" s="165"/>
      <c r="H694" s="164"/>
      <c r="I694" s="163"/>
      <c r="J694" s="152"/>
      <c r="K694" s="154"/>
      <c r="L694" s="152"/>
      <c r="M694" s="152"/>
      <c r="N694" s="155"/>
      <c r="O694" s="161"/>
      <c r="P694" s="157"/>
    </row>
    <row r="695" spans="1:16" ht="15.75" customHeight="1">
      <c r="A695" s="151"/>
      <c r="B695" s="162"/>
      <c r="C695" s="163"/>
      <c r="D695" s="164"/>
      <c r="E695" s="163"/>
      <c r="F695" s="165"/>
      <c r="G695" s="165"/>
      <c r="H695" s="164"/>
      <c r="I695" s="163"/>
      <c r="J695" s="152"/>
      <c r="K695" s="154"/>
      <c r="L695" s="152"/>
      <c r="M695" s="152"/>
      <c r="N695" s="155"/>
      <c r="O695" s="161"/>
      <c r="P695" s="157"/>
    </row>
    <row r="696" spans="1:16" ht="15.75" customHeight="1">
      <c r="A696" s="151"/>
      <c r="B696" s="162"/>
      <c r="C696" s="163"/>
      <c r="D696" s="164"/>
      <c r="E696" s="163"/>
      <c r="F696" s="165"/>
      <c r="G696" s="165"/>
      <c r="H696" s="164"/>
      <c r="I696" s="163"/>
      <c r="J696" s="152"/>
      <c r="K696" s="154"/>
      <c r="L696" s="152"/>
      <c r="M696" s="152"/>
      <c r="N696" s="155"/>
      <c r="O696" s="161"/>
      <c r="P696" s="157"/>
    </row>
    <row r="697" spans="1:16" ht="15.75" customHeight="1">
      <c r="A697" s="151"/>
      <c r="B697" s="162"/>
      <c r="C697" s="163"/>
      <c r="D697" s="164"/>
      <c r="E697" s="163"/>
      <c r="F697" s="165"/>
      <c r="G697" s="165"/>
      <c r="H697" s="164"/>
      <c r="I697" s="163"/>
      <c r="J697" s="152"/>
      <c r="K697" s="154"/>
      <c r="L697" s="152"/>
      <c r="M697" s="152"/>
      <c r="N697" s="155"/>
      <c r="O697" s="161"/>
      <c r="P697" s="157"/>
    </row>
    <row r="698" spans="1:16" ht="15.75" customHeight="1">
      <c r="A698" s="151"/>
      <c r="B698" s="162"/>
      <c r="C698" s="163"/>
      <c r="D698" s="164"/>
      <c r="E698" s="163"/>
      <c r="F698" s="165"/>
      <c r="G698" s="165"/>
      <c r="H698" s="164"/>
      <c r="I698" s="163"/>
      <c r="J698" s="152"/>
      <c r="K698" s="154"/>
      <c r="L698" s="152"/>
      <c r="M698" s="152"/>
      <c r="N698" s="155"/>
      <c r="O698" s="161"/>
      <c r="P698" s="157"/>
    </row>
    <row r="699" spans="1:16" ht="15.75" customHeight="1">
      <c r="A699" s="151"/>
      <c r="B699" s="162"/>
      <c r="C699" s="163"/>
      <c r="D699" s="164"/>
      <c r="E699" s="163"/>
      <c r="F699" s="165"/>
      <c r="G699" s="165"/>
      <c r="H699" s="164"/>
      <c r="I699" s="163"/>
      <c r="J699" s="152"/>
      <c r="K699" s="154"/>
      <c r="L699" s="152"/>
      <c r="M699" s="152"/>
      <c r="N699" s="155"/>
      <c r="O699" s="161"/>
      <c r="P699" s="157"/>
    </row>
    <row r="700" spans="1:16" ht="15.75" customHeight="1">
      <c r="A700" s="151"/>
      <c r="B700" s="162"/>
      <c r="C700" s="163"/>
      <c r="D700" s="164"/>
      <c r="E700" s="163"/>
      <c r="F700" s="165"/>
      <c r="G700" s="165"/>
      <c r="H700" s="164"/>
      <c r="I700" s="163"/>
      <c r="J700" s="152"/>
      <c r="K700" s="154"/>
      <c r="L700" s="152"/>
      <c r="M700" s="152"/>
      <c r="N700" s="155"/>
      <c r="O700" s="161"/>
      <c r="P700" s="157"/>
    </row>
    <row r="701" spans="1:16" ht="15.75" customHeight="1">
      <c r="A701" s="151"/>
      <c r="B701" s="162"/>
      <c r="C701" s="163"/>
      <c r="D701" s="164"/>
      <c r="E701" s="163"/>
      <c r="F701" s="165"/>
      <c r="G701" s="165"/>
      <c r="H701" s="164"/>
      <c r="I701" s="163"/>
      <c r="J701" s="152"/>
      <c r="K701" s="154"/>
      <c r="L701" s="152"/>
      <c r="M701" s="152"/>
      <c r="N701" s="155"/>
      <c r="O701" s="161"/>
      <c r="P701" s="157"/>
    </row>
    <row r="702" spans="1:16" ht="15.75" customHeight="1">
      <c r="A702" s="151"/>
      <c r="B702" s="162"/>
      <c r="C702" s="163"/>
      <c r="D702" s="164"/>
      <c r="E702" s="163"/>
      <c r="F702" s="165"/>
      <c r="G702" s="165"/>
      <c r="H702" s="164"/>
      <c r="I702" s="163"/>
      <c r="J702" s="152"/>
      <c r="K702" s="154"/>
      <c r="L702" s="152"/>
      <c r="M702" s="152"/>
      <c r="N702" s="155"/>
      <c r="O702" s="161"/>
      <c r="P702" s="157"/>
    </row>
    <row r="703" spans="1:16" ht="15.75" customHeight="1">
      <c r="A703" s="151"/>
      <c r="B703" s="162"/>
      <c r="C703" s="163"/>
      <c r="D703" s="164"/>
      <c r="E703" s="163"/>
      <c r="F703" s="165"/>
      <c r="G703" s="165"/>
      <c r="H703" s="164"/>
      <c r="I703" s="163"/>
      <c r="J703" s="152"/>
      <c r="K703" s="154"/>
      <c r="L703" s="152"/>
      <c r="M703" s="152"/>
      <c r="N703" s="155"/>
      <c r="O703" s="161"/>
      <c r="P703" s="157"/>
    </row>
    <row r="704" spans="1:16" ht="15.75" customHeight="1">
      <c r="A704" s="151"/>
      <c r="B704" s="162"/>
      <c r="C704" s="163"/>
      <c r="D704" s="164"/>
      <c r="E704" s="163"/>
      <c r="F704" s="165"/>
      <c r="G704" s="165"/>
      <c r="H704" s="164"/>
      <c r="I704" s="163"/>
      <c r="J704" s="152"/>
      <c r="K704" s="154"/>
      <c r="L704" s="152"/>
      <c r="M704" s="152"/>
      <c r="N704" s="155"/>
      <c r="O704" s="161"/>
      <c r="P704" s="157"/>
    </row>
    <row r="705" spans="1:16" ht="15.75" customHeight="1">
      <c r="A705" s="151"/>
      <c r="B705" s="162"/>
      <c r="C705" s="163"/>
      <c r="D705" s="164"/>
      <c r="E705" s="163"/>
      <c r="F705" s="165"/>
      <c r="G705" s="165"/>
      <c r="H705" s="164"/>
      <c r="I705" s="163"/>
      <c r="J705" s="152"/>
      <c r="K705" s="154"/>
      <c r="L705" s="152"/>
      <c r="M705" s="152"/>
      <c r="N705" s="155"/>
      <c r="O705" s="161"/>
      <c r="P705" s="157"/>
    </row>
    <row r="706" spans="1:16" ht="15.75" customHeight="1">
      <c r="A706" s="151"/>
      <c r="B706" s="162"/>
      <c r="C706" s="163"/>
      <c r="D706" s="164"/>
      <c r="E706" s="163"/>
      <c r="F706" s="165"/>
      <c r="G706" s="165"/>
      <c r="H706" s="164"/>
      <c r="I706" s="163"/>
      <c r="J706" s="152"/>
      <c r="K706" s="154"/>
      <c r="L706" s="152"/>
      <c r="M706" s="152"/>
      <c r="N706" s="155"/>
      <c r="O706" s="161"/>
      <c r="P706" s="157"/>
    </row>
    <row r="707" spans="1:16" ht="15.75" customHeight="1">
      <c r="A707" s="151"/>
      <c r="B707" s="162"/>
      <c r="C707" s="163"/>
      <c r="D707" s="164"/>
      <c r="E707" s="163"/>
      <c r="F707" s="165"/>
      <c r="G707" s="165"/>
      <c r="H707" s="164"/>
      <c r="I707" s="163"/>
      <c r="J707" s="152"/>
      <c r="K707" s="154"/>
      <c r="L707" s="152"/>
      <c r="M707" s="152"/>
      <c r="N707" s="155"/>
      <c r="O707" s="161"/>
      <c r="P707" s="157"/>
    </row>
    <row r="708" spans="1:16" ht="15.75" customHeight="1">
      <c r="A708" s="151"/>
      <c r="B708" s="162"/>
      <c r="C708" s="163"/>
      <c r="D708" s="164"/>
      <c r="E708" s="163"/>
      <c r="F708" s="165"/>
      <c r="G708" s="165"/>
      <c r="H708" s="164"/>
      <c r="I708" s="163"/>
      <c r="J708" s="152"/>
      <c r="K708" s="154"/>
      <c r="L708" s="152"/>
      <c r="M708" s="152"/>
      <c r="N708" s="155"/>
      <c r="O708" s="161"/>
      <c r="P708" s="157"/>
    </row>
    <row r="709" spans="1:16" ht="15.75" customHeight="1">
      <c r="A709" s="151"/>
      <c r="B709" s="162"/>
      <c r="C709" s="163"/>
      <c r="D709" s="164"/>
      <c r="E709" s="163"/>
      <c r="F709" s="165"/>
      <c r="G709" s="165"/>
      <c r="H709" s="164"/>
      <c r="I709" s="163"/>
      <c r="J709" s="152"/>
      <c r="K709" s="154"/>
      <c r="L709" s="152"/>
      <c r="M709" s="152"/>
      <c r="N709" s="155"/>
      <c r="O709" s="161"/>
      <c r="P709" s="157"/>
    </row>
    <row r="710" spans="1:16" ht="15.75" customHeight="1">
      <c r="A710" s="151"/>
      <c r="B710" s="162"/>
      <c r="C710" s="163"/>
      <c r="D710" s="164"/>
      <c r="E710" s="163"/>
      <c r="F710" s="165"/>
      <c r="G710" s="165"/>
      <c r="H710" s="164"/>
      <c r="I710" s="163"/>
      <c r="J710" s="152"/>
      <c r="K710" s="154"/>
      <c r="L710" s="152"/>
      <c r="M710" s="152"/>
      <c r="N710" s="155"/>
      <c r="O710" s="161"/>
      <c r="P710" s="157"/>
    </row>
    <row r="711" spans="1:16" ht="15.75" customHeight="1">
      <c r="A711" s="151"/>
      <c r="B711" s="162"/>
      <c r="C711" s="163"/>
      <c r="D711" s="164"/>
      <c r="E711" s="163"/>
      <c r="F711" s="165"/>
      <c r="G711" s="165"/>
      <c r="H711" s="164"/>
      <c r="I711" s="163"/>
      <c r="J711" s="152"/>
      <c r="K711" s="154"/>
      <c r="L711" s="152"/>
      <c r="M711" s="152"/>
      <c r="N711" s="155"/>
      <c r="O711" s="161"/>
      <c r="P711" s="157"/>
    </row>
    <row r="712" spans="1:16" ht="15.75" customHeight="1">
      <c r="A712" s="151"/>
      <c r="B712" s="162"/>
      <c r="C712" s="163"/>
      <c r="D712" s="164"/>
      <c r="E712" s="163"/>
      <c r="F712" s="165"/>
      <c r="G712" s="165"/>
      <c r="H712" s="164"/>
      <c r="I712" s="163"/>
      <c r="J712" s="152"/>
      <c r="K712" s="154"/>
      <c r="L712" s="152"/>
      <c r="M712" s="152"/>
      <c r="N712" s="155"/>
      <c r="O712" s="161"/>
      <c r="P712" s="157"/>
    </row>
    <row r="713" spans="1:16" ht="15.75" customHeight="1">
      <c r="A713" s="151"/>
      <c r="B713" s="162"/>
      <c r="C713" s="163"/>
      <c r="D713" s="164"/>
      <c r="E713" s="163"/>
      <c r="F713" s="165"/>
      <c r="G713" s="165"/>
      <c r="H713" s="164"/>
      <c r="I713" s="163"/>
      <c r="J713" s="152"/>
      <c r="K713" s="154"/>
      <c r="L713" s="152"/>
      <c r="M713" s="152"/>
      <c r="N713" s="155"/>
      <c r="O713" s="161"/>
      <c r="P713" s="157"/>
    </row>
    <row r="714" spans="1:16" ht="15.75" customHeight="1">
      <c r="A714" s="151"/>
      <c r="B714" s="162"/>
      <c r="C714" s="163"/>
      <c r="D714" s="164"/>
      <c r="E714" s="163"/>
      <c r="F714" s="165"/>
      <c r="G714" s="165"/>
      <c r="H714" s="164"/>
      <c r="I714" s="163"/>
      <c r="J714" s="152"/>
      <c r="K714" s="154"/>
      <c r="L714" s="152"/>
      <c r="M714" s="152"/>
      <c r="N714" s="155"/>
      <c r="O714" s="161"/>
      <c r="P714" s="157"/>
    </row>
    <row r="715" spans="1:16" ht="15.75" customHeight="1">
      <c r="A715" s="151"/>
      <c r="B715" s="162"/>
      <c r="C715" s="163"/>
      <c r="D715" s="164"/>
      <c r="E715" s="163"/>
      <c r="F715" s="165"/>
      <c r="G715" s="165"/>
      <c r="H715" s="164"/>
      <c r="I715" s="163"/>
      <c r="J715" s="152"/>
      <c r="K715" s="154"/>
      <c r="L715" s="152"/>
      <c r="M715" s="152"/>
      <c r="N715" s="155"/>
      <c r="O715" s="161"/>
      <c r="P715" s="157"/>
    </row>
    <row r="716" spans="1:16" ht="15.75" customHeight="1">
      <c r="A716" s="151"/>
      <c r="B716" s="162"/>
      <c r="C716" s="163"/>
      <c r="D716" s="164"/>
      <c r="E716" s="163"/>
      <c r="F716" s="165"/>
      <c r="G716" s="165"/>
      <c r="H716" s="164"/>
      <c r="I716" s="163"/>
      <c r="J716" s="152"/>
      <c r="K716" s="154"/>
      <c r="L716" s="152"/>
      <c r="M716" s="152"/>
      <c r="N716" s="155"/>
      <c r="O716" s="161"/>
      <c r="P716" s="157"/>
    </row>
    <row r="717" spans="1:16" ht="15.75" customHeight="1">
      <c r="A717" s="151"/>
      <c r="B717" s="162"/>
      <c r="C717" s="163"/>
      <c r="D717" s="164"/>
      <c r="E717" s="163"/>
      <c r="F717" s="165"/>
      <c r="G717" s="165"/>
      <c r="H717" s="164"/>
      <c r="I717" s="163"/>
      <c r="J717" s="152"/>
      <c r="K717" s="154"/>
      <c r="L717" s="152"/>
      <c r="M717" s="152"/>
      <c r="N717" s="155"/>
      <c r="O717" s="161"/>
      <c r="P717" s="157"/>
    </row>
    <row r="718" spans="1:16" ht="15.75" customHeight="1">
      <c r="A718" s="151"/>
      <c r="B718" s="162"/>
      <c r="C718" s="163"/>
      <c r="D718" s="164"/>
      <c r="E718" s="163"/>
      <c r="F718" s="165"/>
      <c r="G718" s="165"/>
      <c r="H718" s="164"/>
      <c r="I718" s="163"/>
      <c r="J718" s="152"/>
      <c r="K718" s="154"/>
      <c r="L718" s="152"/>
      <c r="M718" s="152"/>
      <c r="N718" s="155"/>
      <c r="O718" s="161"/>
      <c r="P718" s="157"/>
    </row>
    <row r="719" spans="1:16" ht="15.75" customHeight="1">
      <c r="A719" s="151"/>
      <c r="B719" s="162"/>
      <c r="C719" s="163"/>
      <c r="D719" s="164"/>
      <c r="E719" s="163"/>
      <c r="F719" s="165"/>
      <c r="G719" s="165"/>
      <c r="H719" s="164"/>
      <c r="I719" s="163"/>
      <c r="J719" s="152"/>
      <c r="K719" s="154"/>
      <c r="L719" s="152"/>
      <c r="M719" s="152"/>
      <c r="N719" s="155"/>
      <c r="O719" s="161"/>
      <c r="P719" s="157"/>
    </row>
    <row r="720" spans="1:16" ht="15.75" customHeight="1">
      <c r="A720" s="151"/>
      <c r="B720" s="162"/>
      <c r="C720" s="163"/>
      <c r="D720" s="164"/>
      <c r="E720" s="163"/>
      <c r="F720" s="165"/>
      <c r="G720" s="165"/>
      <c r="H720" s="164"/>
      <c r="I720" s="163"/>
      <c r="J720" s="152"/>
      <c r="K720" s="154"/>
      <c r="L720" s="152"/>
      <c r="M720" s="152"/>
      <c r="N720" s="155"/>
      <c r="O720" s="161"/>
      <c r="P720" s="157"/>
    </row>
    <row r="721" spans="1:16" ht="15.75" customHeight="1">
      <c r="A721" s="151"/>
      <c r="B721" s="162"/>
      <c r="C721" s="163"/>
      <c r="D721" s="164"/>
      <c r="E721" s="163"/>
      <c r="F721" s="165"/>
      <c r="G721" s="165"/>
      <c r="H721" s="164"/>
      <c r="I721" s="163"/>
      <c r="J721" s="152"/>
      <c r="K721" s="154"/>
      <c r="L721" s="152"/>
      <c r="M721" s="152"/>
      <c r="N721" s="155"/>
      <c r="O721" s="161"/>
      <c r="P721" s="157"/>
    </row>
    <row r="722" spans="1:16" ht="15.75" customHeight="1">
      <c r="A722" s="151"/>
      <c r="B722" s="162"/>
      <c r="C722" s="163"/>
      <c r="D722" s="164"/>
      <c r="E722" s="163"/>
      <c r="F722" s="165"/>
      <c r="G722" s="165"/>
      <c r="H722" s="164"/>
      <c r="I722" s="163"/>
      <c r="J722" s="152"/>
      <c r="K722" s="154"/>
      <c r="L722" s="152"/>
      <c r="M722" s="152"/>
      <c r="N722" s="155"/>
      <c r="O722" s="161"/>
      <c r="P722" s="157"/>
    </row>
    <row r="723" spans="1:16" ht="15.75" customHeight="1">
      <c r="A723" s="151"/>
      <c r="B723" s="162"/>
      <c r="C723" s="163"/>
      <c r="D723" s="164"/>
      <c r="E723" s="163"/>
      <c r="F723" s="165"/>
      <c r="G723" s="165"/>
      <c r="H723" s="164"/>
      <c r="I723" s="163"/>
      <c r="J723" s="152"/>
      <c r="K723" s="154"/>
      <c r="L723" s="152"/>
      <c r="M723" s="152"/>
      <c r="N723" s="155"/>
      <c r="O723" s="161"/>
      <c r="P723" s="157"/>
    </row>
    <row r="724" spans="1:16" ht="15.75" customHeight="1">
      <c r="A724" s="151"/>
      <c r="B724" s="162"/>
      <c r="C724" s="163"/>
      <c r="D724" s="164"/>
      <c r="E724" s="163"/>
      <c r="F724" s="165"/>
      <c r="G724" s="165"/>
      <c r="H724" s="164"/>
      <c r="I724" s="163"/>
      <c r="J724" s="152"/>
      <c r="K724" s="154"/>
      <c r="L724" s="152"/>
      <c r="M724" s="152"/>
      <c r="N724" s="155"/>
      <c r="O724" s="161"/>
      <c r="P724" s="157"/>
    </row>
    <row r="725" spans="1:16" ht="15.75" customHeight="1">
      <c r="A725" s="151"/>
      <c r="B725" s="162"/>
      <c r="C725" s="163"/>
      <c r="D725" s="164"/>
      <c r="E725" s="163"/>
      <c r="F725" s="165"/>
      <c r="G725" s="165"/>
      <c r="H725" s="164"/>
      <c r="I725" s="163"/>
      <c r="J725" s="152"/>
      <c r="K725" s="154"/>
      <c r="L725" s="152"/>
      <c r="M725" s="152"/>
      <c r="N725" s="155"/>
      <c r="O725" s="161"/>
      <c r="P725" s="157"/>
    </row>
    <row r="726" spans="1:16" ht="15.75" customHeight="1">
      <c r="A726" s="151"/>
      <c r="B726" s="162"/>
      <c r="C726" s="163"/>
      <c r="D726" s="164"/>
      <c r="E726" s="163"/>
      <c r="F726" s="165"/>
      <c r="G726" s="165"/>
      <c r="H726" s="164"/>
      <c r="I726" s="163"/>
      <c r="J726" s="152"/>
      <c r="K726" s="154"/>
      <c r="L726" s="152"/>
      <c r="M726" s="152"/>
      <c r="N726" s="155"/>
      <c r="O726" s="161"/>
      <c r="P726" s="157"/>
    </row>
    <row r="727" spans="1:16" ht="15.75" customHeight="1">
      <c r="A727" s="151"/>
      <c r="B727" s="162"/>
      <c r="C727" s="163"/>
      <c r="D727" s="164"/>
      <c r="E727" s="163"/>
      <c r="F727" s="165"/>
      <c r="G727" s="165"/>
      <c r="H727" s="164"/>
      <c r="I727" s="163"/>
      <c r="J727" s="152"/>
      <c r="K727" s="154"/>
      <c r="L727" s="152"/>
      <c r="M727" s="152"/>
      <c r="N727" s="155"/>
      <c r="O727" s="161"/>
      <c r="P727" s="157"/>
    </row>
    <row r="728" spans="1:16" ht="15.75" customHeight="1">
      <c r="A728" s="151"/>
      <c r="B728" s="162"/>
      <c r="C728" s="163"/>
      <c r="D728" s="164"/>
      <c r="E728" s="163"/>
      <c r="F728" s="165"/>
      <c r="G728" s="165"/>
      <c r="H728" s="164"/>
      <c r="I728" s="163"/>
      <c r="J728" s="152"/>
      <c r="K728" s="154"/>
      <c r="L728" s="152"/>
      <c r="M728" s="152"/>
      <c r="N728" s="155"/>
      <c r="O728" s="161"/>
      <c r="P728" s="157"/>
    </row>
    <row r="729" spans="1:16" ht="15.75" customHeight="1">
      <c r="A729" s="151"/>
      <c r="B729" s="162"/>
      <c r="C729" s="163"/>
      <c r="D729" s="164"/>
      <c r="E729" s="163"/>
      <c r="F729" s="165"/>
      <c r="G729" s="165"/>
      <c r="H729" s="164"/>
      <c r="I729" s="163"/>
      <c r="J729" s="152"/>
      <c r="K729" s="154"/>
      <c r="L729" s="152"/>
      <c r="M729" s="152"/>
      <c r="N729" s="155"/>
      <c r="O729" s="161"/>
      <c r="P729" s="157"/>
    </row>
    <row r="730" spans="1:16" ht="15.75" customHeight="1">
      <c r="A730" s="151"/>
      <c r="B730" s="162"/>
      <c r="C730" s="163"/>
      <c r="D730" s="164"/>
      <c r="E730" s="163"/>
      <c r="F730" s="165"/>
      <c r="G730" s="165"/>
      <c r="H730" s="164"/>
      <c r="I730" s="163"/>
      <c r="J730" s="152"/>
      <c r="K730" s="154"/>
      <c r="L730" s="152"/>
      <c r="M730" s="152"/>
      <c r="N730" s="155"/>
      <c r="O730" s="161"/>
      <c r="P730" s="157"/>
    </row>
    <row r="731" spans="1:16" ht="15.75" customHeight="1">
      <c r="A731" s="151"/>
      <c r="B731" s="162"/>
      <c r="C731" s="163"/>
      <c r="D731" s="164"/>
      <c r="E731" s="163"/>
      <c r="F731" s="165"/>
      <c r="G731" s="165"/>
      <c r="H731" s="164"/>
      <c r="I731" s="163"/>
      <c r="J731" s="152"/>
      <c r="K731" s="154"/>
      <c r="L731" s="152"/>
      <c r="M731" s="152"/>
      <c r="N731" s="155"/>
      <c r="O731" s="161"/>
      <c r="P731" s="157"/>
    </row>
    <row r="732" spans="1:16" ht="15.75" customHeight="1">
      <c r="A732" s="151"/>
      <c r="B732" s="162"/>
      <c r="C732" s="163"/>
      <c r="D732" s="164"/>
      <c r="E732" s="163"/>
      <c r="F732" s="165"/>
      <c r="G732" s="165"/>
      <c r="H732" s="164"/>
      <c r="I732" s="163"/>
      <c r="J732" s="152"/>
      <c r="K732" s="154"/>
      <c r="L732" s="152"/>
      <c r="M732" s="152"/>
      <c r="N732" s="155"/>
      <c r="O732" s="161"/>
      <c r="P732" s="157"/>
    </row>
    <row r="733" spans="1:16" ht="15.75" customHeight="1">
      <c r="A733" s="151"/>
      <c r="B733" s="162"/>
      <c r="C733" s="163"/>
      <c r="D733" s="164"/>
      <c r="E733" s="163"/>
      <c r="F733" s="165"/>
      <c r="G733" s="165"/>
      <c r="H733" s="164"/>
      <c r="I733" s="163"/>
      <c r="J733" s="152"/>
      <c r="K733" s="154"/>
      <c r="L733" s="152"/>
      <c r="M733" s="152"/>
      <c r="N733" s="155"/>
      <c r="O733" s="161"/>
      <c r="P733" s="157"/>
    </row>
    <row r="734" spans="1:16" ht="15.75" customHeight="1">
      <c r="A734" s="151"/>
      <c r="B734" s="162"/>
      <c r="C734" s="163"/>
      <c r="D734" s="164"/>
      <c r="E734" s="163"/>
      <c r="F734" s="165"/>
      <c r="G734" s="165"/>
      <c r="H734" s="164"/>
      <c r="I734" s="163"/>
      <c r="J734" s="152"/>
      <c r="K734" s="154"/>
      <c r="L734" s="152"/>
      <c r="M734" s="152"/>
      <c r="N734" s="155"/>
      <c r="O734" s="161"/>
      <c r="P734" s="157"/>
    </row>
    <row r="735" spans="1:16" ht="15.75" customHeight="1">
      <c r="A735" s="151"/>
      <c r="B735" s="162"/>
      <c r="C735" s="163"/>
      <c r="D735" s="164"/>
      <c r="E735" s="163"/>
      <c r="F735" s="165"/>
      <c r="G735" s="165"/>
      <c r="H735" s="164"/>
      <c r="I735" s="163"/>
      <c r="J735" s="152"/>
      <c r="K735" s="154"/>
      <c r="L735" s="152"/>
      <c r="M735" s="152"/>
      <c r="N735" s="155"/>
      <c r="O735" s="161"/>
      <c r="P735" s="157"/>
    </row>
    <row r="736" spans="1:16" ht="15.75" customHeight="1">
      <c r="A736" s="151"/>
      <c r="B736" s="162"/>
      <c r="C736" s="163"/>
      <c r="D736" s="164"/>
      <c r="E736" s="163"/>
      <c r="F736" s="165"/>
      <c r="G736" s="165"/>
      <c r="H736" s="164"/>
      <c r="I736" s="163"/>
      <c r="J736" s="152"/>
      <c r="K736" s="154"/>
      <c r="L736" s="152"/>
      <c r="M736" s="152"/>
      <c r="N736" s="155"/>
      <c r="O736" s="161"/>
      <c r="P736" s="157"/>
    </row>
    <row r="737" spans="1:16" ht="15.75" customHeight="1">
      <c r="A737" s="151"/>
      <c r="B737" s="162"/>
      <c r="C737" s="163"/>
      <c r="D737" s="164"/>
      <c r="E737" s="163"/>
      <c r="F737" s="165"/>
      <c r="G737" s="165"/>
      <c r="H737" s="164"/>
      <c r="I737" s="163"/>
      <c r="J737" s="152"/>
      <c r="K737" s="154"/>
      <c r="L737" s="152"/>
      <c r="M737" s="152"/>
      <c r="N737" s="155"/>
      <c r="O737" s="161"/>
      <c r="P737" s="157"/>
    </row>
    <row r="738" spans="1:16" ht="15.75" customHeight="1">
      <c r="A738" s="151"/>
      <c r="B738" s="162"/>
      <c r="C738" s="163"/>
      <c r="D738" s="164"/>
      <c r="E738" s="163"/>
      <c r="F738" s="165"/>
      <c r="G738" s="165"/>
      <c r="H738" s="164"/>
      <c r="I738" s="163"/>
      <c r="J738" s="152"/>
      <c r="K738" s="154"/>
      <c r="L738" s="152"/>
      <c r="M738" s="152"/>
      <c r="N738" s="155"/>
      <c r="O738" s="161"/>
      <c r="P738" s="157"/>
    </row>
    <row r="739" spans="1:16" ht="15.75" customHeight="1">
      <c r="A739" s="151"/>
      <c r="B739" s="162"/>
      <c r="C739" s="163"/>
      <c r="D739" s="164"/>
      <c r="E739" s="163"/>
      <c r="F739" s="165"/>
      <c r="G739" s="165"/>
      <c r="H739" s="164"/>
      <c r="I739" s="163"/>
      <c r="J739" s="152"/>
      <c r="K739" s="154"/>
      <c r="L739" s="152"/>
      <c r="M739" s="152"/>
      <c r="N739" s="155"/>
      <c r="O739" s="161"/>
      <c r="P739" s="157"/>
    </row>
    <row r="740" spans="1:16" ht="15.75" customHeight="1">
      <c r="A740" s="151"/>
      <c r="B740" s="162"/>
      <c r="C740" s="163"/>
      <c r="D740" s="164"/>
      <c r="E740" s="163"/>
      <c r="F740" s="165"/>
      <c r="G740" s="165"/>
      <c r="H740" s="164"/>
      <c r="I740" s="163"/>
      <c r="J740" s="152"/>
      <c r="K740" s="154"/>
      <c r="L740" s="152"/>
      <c r="M740" s="152"/>
      <c r="N740" s="155"/>
      <c r="O740" s="161"/>
      <c r="P740" s="157"/>
    </row>
    <row r="741" spans="1:16" ht="15.75" customHeight="1">
      <c r="A741" s="151"/>
      <c r="B741" s="162"/>
      <c r="C741" s="163"/>
      <c r="D741" s="164"/>
      <c r="E741" s="163"/>
      <c r="F741" s="165"/>
      <c r="G741" s="165"/>
      <c r="H741" s="164"/>
      <c r="I741" s="163"/>
      <c r="J741" s="152"/>
      <c r="K741" s="154"/>
      <c r="L741" s="152"/>
      <c r="M741" s="152"/>
      <c r="N741" s="155"/>
      <c r="O741" s="161"/>
      <c r="P741" s="157"/>
    </row>
    <row r="742" spans="1:16" ht="15.75" customHeight="1">
      <c r="A742" s="151"/>
      <c r="B742" s="162"/>
      <c r="C742" s="163"/>
      <c r="D742" s="164"/>
      <c r="E742" s="163"/>
      <c r="F742" s="165"/>
      <c r="G742" s="165"/>
      <c r="H742" s="164"/>
      <c r="I742" s="163"/>
      <c r="J742" s="152"/>
      <c r="K742" s="154"/>
      <c r="L742" s="152"/>
      <c r="M742" s="152"/>
      <c r="N742" s="155"/>
      <c r="O742" s="161"/>
      <c r="P742" s="157"/>
    </row>
    <row r="743" spans="1:16" ht="15.75" customHeight="1">
      <c r="A743" s="151"/>
      <c r="B743" s="162"/>
      <c r="C743" s="163"/>
      <c r="D743" s="164"/>
      <c r="E743" s="163"/>
      <c r="F743" s="165"/>
      <c r="G743" s="165"/>
      <c r="H743" s="164"/>
      <c r="I743" s="163"/>
      <c r="J743" s="152"/>
      <c r="K743" s="154"/>
      <c r="L743" s="152"/>
      <c r="M743" s="152"/>
      <c r="N743" s="155"/>
      <c r="O743" s="161"/>
      <c r="P743" s="157"/>
    </row>
    <row r="744" spans="1:16" ht="15.75" customHeight="1">
      <c r="A744" s="151"/>
      <c r="B744" s="162"/>
      <c r="C744" s="163"/>
      <c r="D744" s="164"/>
      <c r="E744" s="163"/>
      <c r="F744" s="165"/>
      <c r="G744" s="165"/>
      <c r="H744" s="164"/>
      <c r="I744" s="163"/>
      <c r="J744" s="152"/>
      <c r="K744" s="154"/>
      <c r="L744" s="152"/>
      <c r="M744" s="152"/>
      <c r="N744" s="155"/>
      <c r="O744" s="161"/>
      <c r="P744" s="157"/>
    </row>
    <row r="745" spans="1:16" ht="15.75" customHeight="1">
      <c r="A745" s="151"/>
      <c r="B745" s="162"/>
      <c r="C745" s="163"/>
      <c r="D745" s="164"/>
      <c r="E745" s="163"/>
      <c r="F745" s="165"/>
      <c r="G745" s="165"/>
      <c r="H745" s="164"/>
      <c r="I745" s="163"/>
      <c r="J745" s="152"/>
      <c r="K745" s="154"/>
      <c r="L745" s="152"/>
      <c r="M745" s="152"/>
      <c r="N745" s="155"/>
      <c r="O745" s="161"/>
      <c r="P745" s="157"/>
    </row>
    <row r="746" spans="1:16" ht="15.75" customHeight="1">
      <c r="A746" s="151"/>
      <c r="B746" s="162"/>
      <c r="C746" s="163"/>
      <c r="D746" s="164"/>
      <c r="E746" s="163"/>
      <c r="F746" s="165"/>
      <c r="G746" s="165"/>
      <c r="H746" s="164"/>
      <c r="I746" s="163"/>
      <c r="J746" s="152"/>
      <c r="K746" s="154"/>
      <c r="L746" s="152"/>
      <c r="M746" s="152"/>
      <c r="N746" s="155"/>
      <c r="O746" s="161"/>
      <c r="P746" s="157"/>
    </row>
    <row r="747" spans="1:16" ht="15.75" customHeight="1">
      <c r="A747" s="151"/>
      <c r="B747" s="162"/>
      <c r="C747" s="163"/>
      <c r="D747" s="164"/>
      <c r="E747" s="163"/>
      <c r="F747" s="165"/>
      <c r="G747" s="165"/>
      <c r="H747" s="164"/>
      <c r="I747" s="163"/>
      <c r="J747" s="152"/>
      <c r="K747" s="154"/>
      <c r="L747" s="152"/>
      <c r="M747" s="152"/>
      <c r="N747" s="155"/>
      <c r="O747" s="161"/>
      <c r="P747" s="157"/>
    </row>
    <row r="748" spans="1:16" ht="15.75" customHeight="1">
      <c r="A748" s="151"/>
      <c r="B748" s="162"/>
      <c r="C748" s="163"/>
      <c r="D748" s="164"/>
      <c r="E748" s="163"/>
      <c r="F748" s="165"/>
      <c r="G748" s="165"/>
      <c r="H748" s="164"/>
      <c r="I748" s="163"/>
      <c r="J748" s="152"/>
      <c r="K748" s="154"/>
      <c r="L748" s="152"/>
      <c r="M748" s="152"/>
      <c r="N748" s="155"/>
      <c r="O748" s="161"/>
      <c r="P748" s="157"/>
    </row>
    <row r="749" spans="1:16" ht="15.75" customHeight="1">
      <c r="A749" s="151"/>
      <c r="B749" s="162"/>
      <c r="C749" s="163"/>
      <c r="D749" s="164"/>
      <c r="E749" s="163"/>
      <c r="F749" s="165"/>
      <c r="G749" s="165"/>
      <c r="H749" s="164"/>
      <c r="I749" s="163"/>
      <c r="J749" s="152"/>
      <c r="K749" s="154"/>
      <c r="L749" s="152"/>
      <c r="M749" s="152"/>
      <c r="N749" s="155"/>
      <c r="O749" s="161"/>
      <c r="P749" s="157"/>
    </row>
    <row r="750" spans="1:16" ht="15.75" customHeight="1">
      <c r="A750" s="151"/>
      <c r="B750" s="162"/>
      <c r="C750" s="163"/>
      <c r="D750" s="164"/>
      <c r="E750" s="163"/>
      <c r="F750" s="165"/>
      <c r="G750" s="165"/>
      <c r="H750" s="164"/>
      <c r="I750" s="163"/>
      <c r="J750" s="152"/>
      <c r="K750" s="154"/>
      <c r="L750" s="152"/>
      <c r="M750" s="152"/>
      <c r="N750" s="155"/>
      <c r="O750" s="161"/>
      <c r="P750" s="157"/>
    </row>
    <row r="751" spans="1:16" ht="15.75" customHeight="1">
      <c r="A751" s="151"/>
      <c r="B751" s="162"/>
      <c r="C751" s="163"/>
      <c r="D751" s="164"/>
      <c r="E751" s="163"/>
      <c r="F751" s="165"/>
      <c r="G751" s="165"/>
      <c r="H751" s="164"/>
      <c r="I751" s="163"/>
      <c r="J751" s="152"/>
      <c r="K751" s="154"/>
      <c r="L751" s="152"/>
      <c r="M751" s="152"/>
      <c r="N751" s="155"/>
      <c r="O751" s="161"/>
      <c r="P751" s="157"/>
    </row>
    <row r="752" spans="1:16" ht="15.75" customHeight="1">
      <c r="A752" s="151"/>
      <c r="B752" s="162"/>
      <c r="C752" s="163"/>
      <c r="D752" s="164"/>
      <c r="E752" s="163"/>
      <c r="F752" s="165"/>
      <c r="G752" s="165"/>
      <c r="H752" s="164"/>
      <c r="I752" s="163"/>
      <c r="J752" s="152"/>
      <c r="K752" s="154"/>
      <c r="L752" s="152"/>
      <c r="M752" s="152"/>
      <c r="N752" s="155"/>
      <c r="O752" s="161"/>
      <c r="P752" s="157"/>
    </row>
    <row r="753" spans="1:16" ht="15.75" customHeight="1">
      <c r="A753" s="151"/>
      <c r="B753" s="162"/>
      <c r="C753" s="163"/>
      <c r="D753" s="164"/>
      <c r="E753" s="163"/>
      <c r="F753" s="165"/>
      <c r="G753" s="165"/>
      <c r="H753" s="164"/>
      <c r="I753" s="163"/>
      <c r="J753" s="152"/>
      <c r="K753" s="154"/>
      <c r="L753" s="152"/>
      <c r="M753" s="152"/>
      <c r="N753" s="155"/>
      <c r="O753" s="161"/>
      <c r="P753" s="157"/>
    </row>
    <row r="754" spans="1:16" ht="15.75" customHeight="1">
      <c r="A754" s="151"/>
      <c r="B754" s="162"/>
      <c r="C754" s="163"/>
      <c r="D754" s="164"/>
      <c r="E754" s="163"/>
      <c r="F754" s="165"/>
      <c r="G754" s="165"/>
      <c r="H754" s="164"/>
      <c r="I754" s="163"/>
      <c r="J754" s="152"/>
      <c r="K754" s="154"/>
      <c r="L754" s="152"/>
      <c r="M754" s="152"/>
      <c r="N754" s="155"/>
      <c r="O754" s="161"/>
      <c r="P754" s="157"/>
    </row>
    <row r="755" spans="1:16" ht="15.75" customHeight="1">
      <c r="A755" s="151"/>
      <c r="B755" s="162"/>
      <c r="C755" s="163"/>
      <c r="D755" s="164"/>
      <c r="E755" s="163"/>
      <c r="F755" s="165"/>
      <c r="G755" s="165"/>
      <c r="H755" s="164"/>
      <c r="I755" s="163"/>
      <c r="J755" s="152"/>
      <c r="K755" s="154"/>
      <c r="L755" s="152"/>
      <c r="M755" s="152"/>
      <c r="N755" s="155"/>
      <c r="O755" s="161"/>
      <c r="P755" s="157"/>
    </row>
    <row r="756" spans="1:16" ht="15.75" customHeight="1">
      <c r="A756" s="151"/>
      <c r="B756" s="162"/>
      <c r="C756" s="163"/>
      <c r="D756" s="164"/>
      <c r="E756" s="163"/>
      <c r="F756" s="165"/>
      <c r="G756" s="165"/>
      <c r="H756" s="164"/>
      <c r="I756" s="163"/>
      <c r="J756" s="152"/>
      <c r="K756" s="154"/>
      <c r="L756" s="152"/>
      <c r="M756" s="152"/>
      <c r="N756" s="155"/>
      <c r="O756" s="161"/>
      <c r="P756" s="157"/>
    </row>
    <row r="757" spans="1:16" ht="15.75" customHeight="1">
      <c r="A757" s="151"/>
      <c r="B757" s="162"/>
      <c r="C757" s="163"/>
      <c r="D757" s="164"/>
      <c r="E757" s="163"/>
      <c r="F757" s="165"/>
      <c r="G757" s="165"/>
      <c r="H757" s="164"/>
      <c r="I757" s="163"/>
      <c r="J757" s="152"/>
      <c r="K757" s="154"/>
      <c r="L757" s="152"/>
      <c r="M757" s="152"/>
      <c r="N757" s="155"/>
      <c r="O757" s="161"/>
      <c r="P757" s="157"/>
    </row>
    <row r="758" spans="1:16" ht="15.75" customHeight="1">
      <c r="A758" s="151"/>
      <c r="B758" s="162"/>
      <c r="C758" s="163"/>
      <c r="D758" s="164"/>
      <c r="E758" s="163"/>
      <c r="F758" s="165"/>
      <c r="G758" s="165"/>
      <c r="H758" s="164"/>
      <c r="I758" s="163"/>
      <c r="J758" s="152"/>
      <c r="K758" s="154"/>
      <c r="L758" s="152"/>
      <c r="M758" s="152"/>
      <c r="N758" s="155"/>
      <c r="O758" s="161"/>
      <c r="P758" s="157"/>
    </row>
    <row r="759" spans="1:16" ht="15.75" customHeight="1">
      <c r="A759" s="151"/>
      <c r="B759" s="162"/>
      <c r="C759" s="163"/>
      <c r="D759" s="164"/>
      <c r="E759" s="163"/>
      <c r="F759" s="165"/>
      <c r="G759" s="165"/>
      <c r="H759" s="164"/>
      <c r="I759" s="163"/>
      <c r="J759" s="152"/>
      <c r="K759" s="154"/>
      <c r="L759" s="152"/>
      <c r="M759" s="152"/>
      <c r="N759" s="155"/>
      <c r="O759" s="161"/>
      <c r="P759" s="157"/>
    </row>
    <row r="760" spans="1:16" ht="15.75" customHeight="1">
      <c r="A760" s="151"/>
      <c r="B760" s="162"/>
      <c r="C760" s="163"/>
      <c r="D760" s="164"/>
      <c r="E760" s="163"/>
      <c r="F760" s="165"/>
      <c r="G760" s="165"/>
      <c r="H760" s="164"/>
      <c r="I760" s="163"/>
      <c r="J760" s="152"/>
      <c r="K760" s="154"/>
      <c r="L760" s="152"/>
      <c r="M760" s="152"/>
      <c r="N760" s="155"/>
      <c r="O760" s="161"/>
      <c r="P760" s="157"/>
    </row>
    <row r="761" spans="1:16" ht="15.75" customHeight="1">
      <c r="A761" s="151"/>
      <c r="B761" s="162"/>
      <c r="C761" s="163"/>
      <c r="D761" s="164"/>
      <c r="E761" s="163"/>
      <c r="F761" s="165"/>
      <c r="G761" s="165"/>
      <c r="H761" s="164"/>
      <c r="I761" s="163"/>
      <c r="J761" s="152"/>
      <c r="K761" s="154"/>
      <c r="L761" s="152"/>
      <c r="M761" s="152"/>
      <c r="N761" s="155"/>
      <c r="O761" s="161"/>
      <c r="P761" s="157"/>
    </row>
    <row r="762" spans="1:16" ht="15.75" customHeight="1">
      <c r="A762" s="151"/>
      <c r="B762" s="162"/>
      <c r="C762" s="163"/>
      <c r="D762" s="164"/>
      <c r="E762" s="163"/>
      <c r="F762" s="165"/>
      <c r="G762" s="165"/>
      <c r="H762" s="164"/>
      <c r="I762" s="163"/>
      <c r="J762" s="152"/>
      <c r="K762" s="154"/>
      <c r="L762" s="152"/>
      <c r="M762" s="152"/>
      <c r="N762" s="155"/>
      <c r="O762" s="161"/>
      <c r="P762" s="157"/>
    </row>
    <row r="763" spans="1:16" ht="15.75" customHeight="1">
      <c r="A763" s="151"/>
      <c r="B763" s="162"/>
      <c r="C763" s="163"/>
      <c r="D763" s="164"/>
      <c r="E763" s="163"/>
      <c r="F763" s="165"/>
      <c r="G763" s="165"/>
      <c r="H763" s="164"/>
      <c r="I763" s="163"/>
      <c r="J763" s="152"/>
      <c r="K763" s="154"/>
      <c r="L763" s="152"/>
      <c r="M763" s="152"/>
      <c r="N763" s="155"/>
      <c r="O763" s="161"/>
      <c r="P763" s="157"/>
    </row>
    <row r="764" spans="1:16" ht="15.75" customHeight="1">
      <c r="A764" s="151"/>
      <c r="B764" s="162"/>
      <c r="C764" s="163"/>
      <c r="D764" s="164"/>
      <c r="E764" s="163"/>
      <c r="F764" s="165"/>
      <c r="G764" s="165"/>
      <c r="H764" s="164"/>
      <c r="I764" s="163"/>
      <c r="J764" s="152"/>
      <c r="K764" s="154"/>
      <c r="L764" s="152"/>
      <c r="M764" s="152"/>
      <c r="N764" s="155"/>
      <c r="O764" s="161"/>
      <c r="P764" s="157"/>
    </row>
    <row r="765" spans="1:16" ht="15.75" customHeight="1">
      <c r="A765" s="151"/>
      <c r="B765" s="162"/>
      <c r="C765" s="163"/>
      <c r="D765" s="164"/>
      <c r="E765" s="163"/>
      <c r="F765" s="165"/>
      <c r="G765" s="165"/>
      <c r="H765" s="164"/>
      <c r="I765" s="163"/>
      <c r="J765" s="152"/>
      <c r="K765" s="154"/>
      <c r="L765" s="152"/>
      <c r="M765" s="152"/>
      <c r="N765" s="155"/>
      <c r="O765" s="161"/>
      <c r="P765" s="157"/>
    </row>
    <row r="766" spans="1:16" ht="15.75" customHeight="1">
      <c r="A766" s="151"/>
      <c r="B766" s="162"/>
      <c r="C766" s="163"/>
      <c r="D766" s="164"/>
      <c r="E766" s="163"/>
      <c r="F766" s="165"/>
      <c r="G766" s="165"/>
      <c r="H766" s="164"/>
      <c r="I766" s="163"/>
      <c r="J766" s="152"/>
      <c r="K766" s="154"/>
      <c r="L766" s="152"/>
      <c r="M766" s="152"/>
      <c r="N766" s="155"/>
      <c r="O766" s="161"/>
      <c r="P766" s="157"/>
    </row>
    <row r="767" spans="1:16" ht="15.75" customHeight="1">
      <c r="A767" s="151"/>
      <c r="B767" s="162"/>
      <c r="C767" s="163"/>
      <c r="D767" s="164"/>
      <c r="E767" s="163"/>
      <c r="F767" s="165"/>
      <c r="G767" s="165"/>
      <c r="H767" s="164"/>
      <c r="I767" s="163"/>
      <c r="J767" s="152"/>
      <c r="K767" s="154"/>
      <c r="L767" s="152"/>
      <c r="M767" s="152"/>
      <c r="N767" s="155"/>
      <c r="O767" s="161"/>
      <c r="P767" s="157"/>
    </row>
    <row r="768" spans="1:16" ht="15.75" customHeight="1">
      <c r="A768" s="151"/>
      <c r="B768" s="162"/>
      <c r="C768" s="163"/>
      <c r="D768" s="164"/>
      <c r="E768" s="163"/>
      <c r="F768" s="165"/>
      <c r="G768" s="165"/>
      <c r="H768" s="164"/>
      <c r="I768" s="163"/>
      <c r="J768" s="152"/>
      <c r="K768" s="154"/>
      <c r="L768" s="152"/>
      <c r="M768" s="152"/>
      <c r="N768" s="155"/>
      <c r="O768" s="161"/>
      <c r="P768" s="157"/>
    </row>
    <row r="769" spans="1:16" ht="15.75" customHeight="1">
      <c r="A769" s="151"/>
      <c r="B769" s="162"/>
      <c r="C769" s="163"/>
      <c r="D769" s="164"/>
      <c r="E769" s="163"/>
      <c r="F769" s="165"/>
      <c r="G769" s="165"/>
      <c r="H769" s="164"/>
      <c r="I769" s="163"/>
      <c r="J769" s="152"/>
      <c r="K769" s="154"/>
      <c r="L769" s="152"/>
      <c r="M769" s="152"/>
      <c r="N769" s="155"/>
      <c r="O769" s="161"/>
      <c r="P769" s="157"/>
    </row>
    <row r="770" spans="1:16" ht="15.75" customHeight="1">
      <c r="A770" s="151"/>
      <c r="B770" s="162"/>
      <c r="C770" s="163"/>
      <c r="D770" s="164"/>
      <c r="E770" s="163"/>
      <c r="F770" s="165"/>
      <c r="G770" s="165"/>
      <c r="H770" s="164"/>
      <c r="I770" s="163"/>
      <c r="J770" s="152"/>
      <c r="K770" s="154"/>
      <c r="L770" s="152"/>
      <c r="M770" s="152"/>
      <c r="N770" s="155"/>
      <c r="O770" s="161"/>
      <c r="P770" s="157"/>
    </row>
    <row r="771" spans="1:16" ht="15.75" customHeight="1">
      <c r="A771" s="151"/>
      <c r="B771" s="162"/>
      <c r="C771" s="163"/>
      <c r="D771" s="164"/>
      <c r="E771" s="163"/>
      <c r="F771" s="165"/>
      <c r="G771" s="165"/>
      <c r="H771" s="164"/>
      <c r="I771" s="163"/>
      <c r="J771" s="152"/>
      <c r="K771" s="154"/>
      <c r="L771" s="152"/>
      <c r="M771" s="152"/>
      <c r="N771" s="155"/>
      <c r="O771" s="161"/>
      <c r="P771" s="157"/>
    </row>
    <row r="772" spans="1:16" ht="15.75" customHeight="1">
      <c r="A772" s="151"/>
      <c r="B772" s="162"/>
      <c r="C772" s="163"/>
      <c r="D772" s="164"/>
      <c r="E772" s="163"/>
      <c r="F772" s="165"/>
      <c r="G772" s="165"/>
      <c r="H772" s="164"/>
      <c r="I772" s="163"/>
      <c r="J772" s="152"/>
      <c r="K772" s="154"/>
      <c r="L772" s="152"/>
      <c r="M772" s="152"/>
      <c r="N772" s="155"/>
      <c r="O772" s="161"/>
      <c r="P772" s="157"/>
    </row>
    <row r="773" spans="1:16" ht="15.75" customHeight="1">
      <c r="A773" s="151"/>
      <c r="B773" s="162"/>
      <c r="C773" s="163"/>
      <c r="D773" s="164"/>
      <c r="E773" s="163"/>
      <c r="F773" s="165"/>
      <c r="G773" s="165"/>
      <c r="H773" s="164"/>
      <c r="I773" s="163"/>
      <c r="J773" s="152"/>
      <c r="K773" s="154"/>
      <c r="L773" s="152"/>
      <c r="M773" s="152"/>
      <c r="N773" s="155"/>
      <c r="O773" s="161"/>
      <c r="P773" s="157"/>
    </row>
    <row r="774" spans="1:16" ht="15.75" customHeight="1">
      <c r="A774" s="151"/>
      <c r="B774" s="162"/>
      <c r="C774" s="163"/>
      <c r="D774" s="164"/>
      <c r="E774" s="163"/>
      <c r="F774" s="165"/>
      <c r="G774" s="165"/>
      <c r="H774" s="164"/>
      <c r="I774" s="163"/>
      <c r="J774" s="152"/>
      <c r="K774" s="154"/>
      <c r="L774" s="152"/>
      <c r="M774" s="152"/>
      <c r="N774" s="155"/>
      <c r="O774" s="161"/>
      <c r="P774" s="157"/>
    </row>
    <row r="775" spans="1:16" ht="15.75" customHeight="1">
      <c r="A775" s="151"/>
      <c r="B775" s="162"/>
      <c r="C775" s="163"/>
      <c r="D775" s="164"/>
      <c r="E775" s="163"/>
      <c r="F775" s="165"/>
      <c r="G775" s="165"/>
      <c r="H775" s="164"/>
      <c r="I775" s="163"/>
      <c r="J775" s="152"/>
      <c r="K775" s="154"/>
      <c r="L775" s="152"/>
      <c r="M775" s="152"/>
      <c r="N775" s="155"/>
      <c r="O775" s="161"/>
      <c r="P775" s="157"/>
    </row>
    <row r="776" spans="1:16" ht="15.75" customHeight="1">
      <c r="A776" s="151"/>
      <c r="B776" s="162"/>
      <c r="C776" s="163"/>
      <c r="D776" s="164"/>
      <c r="E776" s="163"/>
      <c r="F776" s="165"/>
      <c r="G776" s="165"/>
      <c r="H776" s="164"/>
      <c r="I776" s="163"/>
      <c r="J776" s="152"/>
      <c r="K776" s="154"/>
      <c r="L776" s="152"/>
      <c r="M776" s="152"/>
      <c r="N776" s="155"/>
      <c r="O776" s="161"/>
      <c r="P776" s="157"/>
    </row>
    <row r="777" spans="1:16" ht="15.75" customHeight="1">
      <c r="A777" s="151"/>
      <c r="B777" s="162"/>
      <c r="C777" s="163"/>
      <c r="D777" s="164"/>
      <c r="E777" s="163"/>
      <c r="F777" s="165"/>
      <c r="G777" s="165"/>
      <c r="H777" s="164"/>
      <c r="I777" s="163"/>
      <c r="J777" s="152"/>
      <c r="K777" s="154"/>
      <c r="L777" s="152"/>
      <c r="M777" s="152"/>
      <c r="N777" s="155"/>
      <c r="O777" s="161"/>
      <c r="P777" s="157"/>
    </row>
    <row r="778" spans="1:16" ht="15.75" customHeight="1">
      <c r="A778" s="151"/>
      <c r="B778" s="162"/>
      <c r="C778" s="163"/>
      <c r="D778" s="164"/>
      <c r="E778" s="163"/>
      <c r="F778" s="165"/>
      <c r="G778" s="165"/>
      <c r="H778" s="164"/>
      <c r="I778" s="163"/>
      <c r="J778" s="152"/>
      <c r="K778" s="154"/>
      <c r="L778" s="152"/>
      <c r="M778" s="152"/>
      <c r="N778" s="155"/>
      <c r="O778" s="161"/>
      <c r="P778" s="157"/>
    </row>
    <row r="779" spans="1:16" ht="15.75" customHeight="1">
      <c r="A779" s="151"/>
      <c r="B779" s="162"/>
      <c r="C779" s="163"/>
      <c r="D779" s="164"/>
      <c r="E779" s="163"/>
      <c r="F779" s="165"/>
      <c r="G779" s="165"/>
      <c r="H779" s="164"/>
      <c r="I779" s="163"/>
      <c r="J779" s="152"/>
      <c r="K779" s="154"/>
      <c r="L779" s="152"/>
      <c r="M779" s="152"/>
      <c r="N779" s="155"/>
      <c r="O779" s="161"/>
      <c r="P779" s="157"/>
    </row>
    <row r="780" spans="1:16" ht="15.75" customHeight="1">
      <c r="A780" s="151"/>
      <c r="B780" s="162"/>
      <c r="C780" s="163"/>
      <c r="D780" s="164"/>
      <c r="E780" s="163"/>
      <c r="F780" s="165"/>
      <c r="G780" s="165"/>
      <c r="H780" s="164"/>
      <c r="I780" s="163"/>
      <c r="J780" s="152"/>
      <c r="K780" s="154"/>
      <c r="L780" s="152"/>
      <c r="M780" s="152"/>
      <c r="N780" s="155"/>
      <c r="O780" s="161"/>
      <c r="P780" s="157"/>
    </row>
    <row r="781" spans="1:16" ht="15.75" customHeight="1">
      <c r="A781" s="151"/>
      <c r="B781" s="162"/>
      <c r="C781" s="163"/>
      <c r="D781" s="164"/>
      <c r="E781" s="163"/>
      <c r="F781" s="165"/>
      <c r="G781" s="165"/>
      <c r="H781" s="164"/>
      <c r="I781" s="163"/>
      <c r="J781" s="152"/>
      <c r="K781" s="154"/>
      <c r="L781" s="152"/>
      <c r="M781" s="152"/>
      <c r="N781" s="155"/>
      <c r="O781" s="161"/>
      <c r="P781" s="157"/>
    </row>
    <row r="782" spans="1:16" ht="15.75" customHeight="1">
      <c r="A782" s="151"/>
      <c r="B782" s="162"/>
      <c r="C782" s="163"/>
      <c r="D782" s="164"/>
      <c r="E782" s="163"/>
      <c r="F782" s="165"/>
      <c r="G782" s="165"/>
      <c r="H782" s="164"/>
      <c r="I782" s="163"/>
      <c r="J782" s="152"/>
      <c r="K782" s="154"/>
      <c r="L782" s="152"/>
      <c r="M782" s="152"/>
      <c r="N782" s="155"/>
      <c r="O782" s="161"/>
      <c r="P782" s="157"/>
    </row>
    <row r="783" spans="1:16" ht="15.75" customHeight="1">
      <c r="A783" s="151"/>
      <c r="B783" s="162"/>
      <c r="C783" s="163"/>
      <c r="D783" s="164"/>
      <c r="E783" s="163"/>
      <c r="F783" s="165"/>
      <c r="G783" s="165"/>
      <c r="H783" s="164"/>
      <c r="I783" s="163"/>
      <c r="J783" s="152"/>
      <c r="K783" s="154"/>
      <c r="L783" s="152"/>
      <c r="M783" s="152"/>
      <c r="N783" s="155"/>
      <c r="O783" s="161"/>
      <c r="P783" s="157"/>
    </row>
    <row r="784" spans="1:16" ht="15.75" customHeight="1">
      <c r="A784" s="151"/>
      <c r="B784" s="162"/>
      <c r="C784" s="163"/>
      <c r="D784" s="164"/>
      <c r="E784" s="163"/>
      <c r="F784" s="165"/>
      <c r="G784" s="165"/>
      <c r="H784" s="164"/>
      <c r="I784" s="163"/>
      <c r="J784" s="152"/>
      <c r="K784" s="154"/>
      <c r="L784" s="152"/>
      <c r="M784" s="152"/>
      <c r="N784" s="155"/>
      <c r="O784" s="161"/>
      <c r="P784" s="157"/>
    </row>
    <row r="785" spans="1:16" ht="15.75" customHeight="1">
      <c r="A785" s="151"/>
      <c r="B785" s="162"/>
      <c r="C785" s="163"/>
      <c r="D785" s="164"/>
      <c r="E785" s="163"/>
      <c r="F785" s="165"/>
      <c r="G785" s="165"/>
      <c r="H785" s="164"/>
      <c r="I785" s="163"/>
      <c r="J785" s="152"/>
      <c r="K785" s="154"/>
      <c r="L785" s="152"/>
      <c r="M785" s="152"/>
      <c r="N785" s="155"/>
      <c r="O785" s="161"/>
      <c r="P785" s="157"/>
    </row>
    <row r="786" spans="1:16" ht="15.75" customHeight="1">
      <c r="A786" s="151"/>
      <c r="B786" s="162"/>
      <c r="C786" s="163"/>
      <c r="D786" s="164"/>
      <c r="E786" s="163"/>
      <c r="F786" s="165"/>
      <c r="G786" s="165"/>
      <c r="H786" s="164"/>
      <c r="I786" s="163"/>
      <c r="J786" s="152"/>
      <c r="K786" s="154"/>
      <c r="L786" s="152"/>
      <c r="M786" s="152"/>
      <c r="N786" s="155"/>
      <c r="O786" s="161"/>
      <c r="P786" s="157"/>
    </row>
    <row r="787" spans="1:16" ht="15.75" customHeight="1">
      <c r="A787" s="151"/>
      <c r="B787" s="162"/>
      <c r="C787" s="163"/>
      <c r="D787" s="164"/>
      <c r="E787" s="163"/>
      <c r="F787" s="165"/>
      <c r="G787" s="165"/>
      <c r="H787" s="164"/>
      <c r="I787" s="163"/>
      <c r="J787" s="152"/>
      <c r="K787" s="154"/>
      <c r="L787" s="152"/>
      <c r="M787" s="152"/>
      <c r="N787" s="155"/>
      <c r="O787" s="161"/>
      <c r="P787" s="157"/>
    </row>
    <row r="788" spans="1:16" ht="15.75" customHeight="1">
      <c r="A788" s="151"/>
      <c r="B788" s="162"/>
      <c r="C788" s="163"/>
      <c r="D788" s="164"/>
      <c r="E788" s="163"/>
      <c r="F788" s="165"/>
      <c r="G788" s="165"/>
      <c r="H788" s="164"/>
      <c r="I788" s="163"/>
      <c r="J788" s="152"/>
      <c r="K788" s="154"/>
      <c r="L788" s="152"/>
      <c r="M788" s="152"/>
      <c r="N788" s="155"/>
      <c r="O788" s="161"/>
      <c r="P788" s="157"/>
    </row>
    <row r="789" spans="1:16" ht="15.75" customHeight="1">
      <c r="A789" s="151"/>
      <c r="B789" s="162"/>
      <c r="C789" s="163"/>
      <c r="D789" s="164"/>
      <c r="E789" s="163"/>
      <c r="F789" s="165"/>
      <c r="G789" s="165"/>
      <c r="H789" s="164"/>
      <c r="I789" s="163"/>
      <c r="J789" s="152"/>
      <c r="K789" s="154"/>
      <c r="L789" s="152"/>
      <c r="M789" s="152"/>
      <c r="N789" s="155"/>
      <c r="O789" s="161"/>
      <c r="P789" s="157"/>
    </row>
    <row r="790" spans="1:16" ht="15.75" customHeight="1">
      <c r="A790" s="151"/>
      <c r="B790" s="162"/>
      <c r="C790" s="163"/>
      <c r="D790" s="164"/>
      <c r="E790" s="163"/>
      <c r="F790" s="165"/>
      <c r="G790" s="165"/>
      <c r="H790" s="164"/>
      <c r="I790" s="163"/>
      <c r="J790" s="152"/>
      <c r="K790" s="154"/>
      <c r="L790" s="152"/>
      <c r="M790" s="152"/>
      <c r="N790" s="155"/>
      <c r="O790" s="161"/>
      <c r="P790" s="157"/>
    </row>
    <row r="791" spans="1:16" ht="15.75" customHeight="1">
      <c r="A791" s="151"/>
      <c r="B791" s="162"/>
      <c r="C791" s="163"/>
      <c r="D791" s="164"/>
      <c r="E791" s="163"/>
      <c r="F791" s="165"/>
      <c r="G791" s="165"/>
      <c r="H791" s="164"/>
      <c r="I791" s="163"/>
      <c r="J791" s="152"/>
      <c r="K791" s="154"/>
      <c r="L791" s="152"/>
      <c r="M791" s="152"/>
      <c r="N791" s="155"/>
      <c r="O791" s="161"/>
      <c r="P791" s="157"/>
    </row>
    <row r="792" spans="1:16" ht="15.75" customHeight="1">
      <c r="A792" s="151"/>
      <c r="B792" s="162"/>
      <c r="C792" s="163"/>
      <c r="D792" s="164"/>
      <c r="E792" s="163"/>
      <c r="F792" s="165"/>
      <c r="G792" s="165"/>
      <c r="H792" s="164"/>
      <c r="I792" s="163"/>
      <c r="J792" s="152"/>
      <c r="K792" s="154"/>
      <c r="L792" s="152"/>
      <c r="M792" s="152"/>
      <c r="N792" s="155"/>
      <c r="O792" s="161"/>
      <c r="P792" s="157"/>
    </row>
    <row r="793" spans="1:16" ht="15.75" customHeight="1">
      <c r="A793" s="151"/>
      <c r="B793" s="162"/>
      <c r="C793" s="163"/>
      <c r="D793" s="164"/>
      <c r="E793" s="163"/>
      <c r="F793" s="165"/>
      <c r="G793" s="165"/>
      <c r="H793" s="164"/>
      <c r="I793" s="163"/>
      <c r="J793" s="152"/>
      <c r="K793" s="154"/>
      <c r="L793" s="152"/>
      <c r="M793" s="152"/>
      <c r="N793" s="155"/>
      <c r="O793" s="161"/>
      <c r="P793" s="157"/>
    </row>
    <row r="794" spans="1:16" ht="15.75" customHeight="1">
      <c r="A794" s="151"/>
      <c r="B794" s="162"/>
      <c r="C794" s="163"/>
      <c r="D794" s="164"/>
      <c r="E794" s="163"/>
      <c r="F794" s="165"/>
      <c r="G794" s="165"/>
      <c r="H794" s="164"/>
      <c r="I794" s="163"/>
      <c r="J794" s="152"/>
      <c r="K794" s="154"/>
      <c r="L794" s="152"/>
      <c r="M794" s="152"/>
      <c r="N794" s="155"/>
      <c r="O794" s="161"/>
      <c r="P794" s="157"/>
    </row>
    <row r="795" spans="1:16" ht="15.75" customHeight="1">
      <c r="A795" s="151"/>
      <c r="B795" s="162"/>
      <c r="C795" s="163"/>
      <c r="D795" s="164"/>
      <c r="E795" s="163"/>
      <c r="F795" s="165"/>
      <c r="G795" s="165"/>
      <c r="H795" s="164"/>
      <c r="I795" s="163"/>
      <c r="J795" s="152"/>
      <c r="K795" s="154"/>
      <c r="L795" s="152"/>
      <c r="M795" s="152"/>
      <c r="N795" s="155"/>
      <c r="O795" s="161"/>
      <c r="P795" s="157"/>
    </row>
    <row r="796" spans="1:16" ht="15.75" customHeight="1">
      <c r="A796" s="151"/>
      <c r="B796" s="162"/>
      <c r="C796" s="163"/>
      <c r="D796" s="164"/>
      <c r="E796" s="163"/>
      <c r="F796" s="165"/>
      <c r="G796" s="165"/>
      <c r="H796" s="164"/>
      <c r="I796" s="163"/>
      <c r="J796" s="152"/>
      <c r="K796" s="154"/>
      <c r="L796" s="152"/>
      <c r="M796" s="152"/>
      <c r="N796" s="155"/>
      <c r="O796" s="161"/>
      <c r="P796" s="157"/>
    </row>
    <row r="797" spans="1:16" ht="15.75" customHeight="1">
      <c r="A797" s="151"/>
      <c r="B797" s="162"/>
      <c r="C797" s="163"/>
      <c r="D797" s="164"/>
      <c r="E797" s="163"/>
      <c r="F797" s="165"/>
      <c r="G797" s="165"/>
      <c r="H797" s="164"/>
      <c r="I797" s="163"/>
      <c r="J797" s="152"/>
      <c r="K797" s="154"/>
      <c r="L797" s="152"/>
      <c r="M797" s="152"/>
      <c r="N797" s="155"/>
      <c r="O797" s="161"/>
      <c r="P797" s="157"/>
    </row>
    <row r="798" spans="1:16" ht="15.75" customHeight="1">
      <c r="A798" s="151"/>
      <c r="B798" s="162"/>
      <c r="C798" s="163"/>
      <c r="D798" s="164"/>
      <c r="E798" s="163"/>
      <c r="F798" s="165"/>
      <c r="G798" s="165"/>
      <c r="H798" s="164"/>
      <c r="I798" s="163"/>
      <c r="J798" s="152"/>
      <c r="K798" s="154"/>
      <c r="L798" s="152"/>
      <c r="M798" s="152"/>
      <c r="N798" s="155"/>
      <c r="O798" s="161"/>
      <c r="P798" s="157"/>
    </row>
    <row r="799" spans="1:16" ht="15.75" customHeight="1">
      <c r="A799" s="151"/>
      <c r="B799" s="162"/>
      <c r="C799" s="163"/>
      <c r="D799" s="164"/>
      <c r="E799" s="163"/>
      <c r="F799" s="165"/>
      <c r="G799" s="165"/>
      <c r="H799" s="164"/>
      <c r="I799" s="163"/>
      <c r="J799" s="152"/>
      <c r="K799" s="154"/>
      <c r="L799" s="152"/>
      <c r="M799" s="152"/>
      <c r="N799" s="155"/>
      <c r="O799" s="161"/>
      <c r="P799" s="157"/>
    </row>
    <row r="800" spans="1:16" ht="15.75" customHeight="1">
      <c r="A800" s="151"/>
      <c r="B800" s="162"/>
      <c r="C800" s="163"/>
      <c r="D800" s="164"/>
      <c r="E800" s="163"/>
      <c r="F800" s="165"/>
      <c r="G800" s="165"/>
      <c r="H800" s="164"/>
      <c r="I800" s="163"/>
      <c r="J800" s="152"/>
      <c r="K800" s="154"/>
      <c r="L800" s="152"/>
      <c r="M800" s="152"/>
      <c r="N800" s="155"/>
      <c r="O800" s="161"/>
      <c r="P800" s="157"/>
    </row>
    <row r="801" spans="1:16" ht="15.75" customHeight="1">
      <c r="A801" s="151"/>
      <c r="B801" s="162"/>
      <c r="C801" s="163"/>
      <c r="D801" s="164"/>
      <c r="E801" s="163"/>
      <c r="F801" s="165"/>
      <c r="G801" s="165"/>
      <c r="H801" s="164"/>
      <c r="I801" s="163"/>
      <c r="J801" s="152"/>
      <c r="K801" s="154"/>
      <c r="L801" s="152"/>
      <c r="M801" s="152"/>
      <c r="N801" s="155"/>
      <c r="O801" s="161"/>
      <c r="P801" s="157"/>
    </row>
    <row r="802" spans="1:16" ht="15.75" customHeight="1">
      <c r="A802" s="151"/>
      <c r="B802" s="162"/>
      <c r="C802" s="163"/>
      <c r="D802" s="164"/>
      <c r="E802" s="163"/>
      <c r="F802" s="165"/>
      <c r="G802" s="165"/>
      <c r="H802" s="164"/>
      <c r="I802" s="163"/>
      <c r="J802" s="152"/>
      <c r="K802" s="154"/>
      <c r="L802" s="152"/>
      <c r="M802" s="152"/>
      <c r="N802" s="155"/>
      <c r="O802" s="161"/>
      <c r="P802" s="157"/>
    </row>
    <row r="803" spans="1:16" ht="15.75" customHeight="1">
      <c r="A803" s="151"/>
      <c r="B803" s="162"/>
      <c r="C803" s="163"/>
      <c r="D803" s="164"/>
      <c r="E803" s="163"/>
      <c r="F803" s="165"/>
      <c r="G803" s="165"/>
      <c r="H803" s="164"/>
      <c r="I803" s="163"/>
      <c r="J803" s="152"/>
      <c r="K803" s="154"/>
      <c r="L803" s="152"/>
      <c r="M803" s="152"/>
      <c r="N803" s="155"/>
      <c r="O803" s="161"/>
      <c r="P803" s="157"/>
    </row>
    <row r="804" spans="1:16" ht="15.75" customHeight="1">
      <c r="A804" s="151"/>
      <c r="B804" s="162"/>
      <c r="C804" s="163"/>
      <c r="D804" s="164"/>
      <c r="E804" s="163"/>
      <c r="F804" s="165"/>
      <c r="G804" s="165"/>
      <c r="H804" s="164"/>
      <c r="I804" s="163"/>
      <c r="J804" s="152"/>
      <c r="K804" s="154"/>
      <c r="L804" s="152"/>
      <c r="M804" s="152"/>
      <c r="N804" s="155"/>
      <c r="O804" s="161"/>
      <c r="P804" s="157"/>
    </row>
    <row r="805" spans="1:16" ht="15.75" customHeight="1">
      <c r="A805" s="151"/>
      <c r="B805" s="162"/>
      <c r="C805" s="163"/>
      <c r="D805" s="164"/>
      <c r="E805" s="163"/>
      <c r="F805" s="165"/>
      <c r="G805" s="165"/>
      <c r="H805" s="164"/>
      <c r="I805" s="163"/>
      <c r="J805" s="152"/>
      <c r="K805" s="154"/>
      <c r="L805" s="152"/>
      <c r="M805" s="152"/>
      <c r="N805" s="155"/>
      <c r="O805" s="161"/>
      <c r="P805" s="157"/>
    </row>
    <row r="806" spans="1:16" ht="15.75" customHeight="1">
      <c r="A806" s="151"/>
      <c r="B806" s="162"/>
      <c r="C806" s="163"/>
      <c r="D806" s="164"/>
      <c r="E806" s="163"/>
      <c r="F806" s="165"/>
      <c r="G806" s="165"/>
      <c r="H806" s="164"/>
      <c r="I806" s="163"/>
      <c r="J806" s="152"/>
      <c r="K806" s="154"/>
      <c r="L806" s="152"/>
      <c r="M806" s="152"/>
      <c r="N806" s="155"/>
      <c r="O806" s="161"/>
      <c r="P806" s="157"/>
    </row>
    <row r="807" spans="1:16" ht="15.75" customHeight="1">
      <c r="A807" s="151"/>
      <c r="B807" s="162"/>
      <c r="C807" s="163"/>
      <c r="D807" s="164"/>
      <c r="E807" s="163"/>
      <c r="F807" s="165"/>
      <c r="G807" s="165"/>
      <c r="H807" s="164"/>
      <c r="I807" s="163"/>
      <c r="J807" s="152"/>
      <c r="K807" s="154"/>
      <c r="L807" s="152"/>
      <c r="M807" s="152"/>
      <c r="N807" s="155"/>
      <c r="O807" s="161"/>
      <c r="P807" s="157"/>
    </row>
    <row r="808" spans="1:16" ht="15.75" customHeight="1">
      <c r="A808" s="151"/>
      <c r="B808" s="162"/>
      <c r="C808" s="163"/>
      <c r="D808" s="164"/>
      <c r="E808" s="163"/>
      <c r="F808" s="165"/>
      <c r="G808" s="165"/>
      <c r="H808" s="164"/>
      <c r="I808" s="163"/>
      <c r="J808" s="152"/>
      <c r="K808" s="154"/>
      <c r="L808" s="152"/>
      <c r="M808" s="152"/>
      <c r="N808" s="155"/>
      <c r="O808" s="161"/>
      <c r="P808" s="157"/>
    </row>
    <row r="809" spans="1:16" ht="15.75" customHeight="1">
      <c r="A809" s="151"/>
      <c r="B809" s="162"/>
      <c r="C809" s="163"/>
      <c r="D809" s="164"/>
      <c r="E809" s="163"/>
      <c r="F809" s="165"/>
      <c r="G809" s="165"/>
      <c r="H809" s="164"/>
      <c r="I809" s="163"/>
      <c r="J809" s="152"/>
      <c r="K809" s="154"/>
      <c r="L809" s="152"/>
      <c r="M809" s="152"/>
      <c r="N809" s="155"/>
      <c r="O809" s="161"/>
      <c r="P809" s="157"/>
    </row>
    <row r="810" spans="1:16" ht="15.75" customHeight="1">
      <c r="A810" s="151"/>
      <c r="B810" s="162"/>
      <c r="C810" s="163"/>
      <c r="D810" s="164"/>
      <c r="E810" s="163"/>
      <c r="F810" s="165"/>
      <c r="G810" s="165"/>
      <c r="H810" s="164"/>
      <c r="I810" s="163"/>
      <c r="J810" s="152"/>
      <c r="K810" s="154"/>
      <c r="L810" s="152"/>
      <c r="M810" s="152"/>
      <c r="N810" s="155"/>
      <c r="O810" s="161"/>
      <c r="P810" s="157"/>
    </row>
    <row r="811" spans="1:16" ht="15.75" customHeight="1">
      <c r="A811" s="151"/>
      <c r="B811" s="162"/>
      <c r="C811" s="163"/>
      <c r="D811" s="164"/>
      <c r="E811" s="163"/>
      <c r="F811" s="165"/>
      <c r="G811" s="165"/>
      <c r="H811" s="164"/>
      <c r="I811" s="163"/>
      <c r="J811" s="152"/>
      <c r="K811" s="154"/>
      <c r="L811" s="152"/>
      <c r="M811" s="152"/>
      <c r="N811" s="155"/>
      <c r="O811" s="161"/>
      <c r="P811" s="157"/>
    </row>
    <row r="812" spans="1:16" ht="15.75" customHeight="1">
      <c r="A812" s="151"/>
      <c r="B812" s="162"/>
      <c r="C812" s="163"/>
      <c r="D812" s="164"/>
      <c r="E812" s="163"/>
      <c r="F812" s="165"/>
      <c r="G812" s="165"/>
      <c r="H812" s="164"/>
      <c r="I812" s="163"/>
      <c r="J812" s="152"/>
      <c r="K812" s="154"/>
      <c r="L812" s="152"/>
      <c r="M812" s="152"/>
      <c r="N812" s="155"/>
      <c r="O812" s="161"/>
      <c r="P812" s="157"/>
    </row>
    <row r="813" spans="1:16" ht="15.75" customHeight="1">
      <c r="A813" s="151"/>
      <c r="B813" s="162"/>
      <c r="C813" s="163"/>
      <c r="D813" s="164"/>
      <c r="E813" s="163"/>
      <c r="F813" s="165"/>
      <c r="G813" s="165"/>
      <c r="H813" s="164"/>
      <c r="I813" s="163"/>
      <c r="J813" s="152"/>
      <c r="K813" s="154"/>
      <c r="L813" s="152"/>
      <c r="M813" s="152"/>
      <c r="N813" s="155"/>
      <c r="O813" s="161"/>
      <c r="P813" s="157"/>
    </row>
    <row r="814" spans="1:16" ht="15.75" customHeight="1">
      <c r="A814" s="151"/>
      <c r="B814" s="162"/>
      <c r="C814" s="163"/>
      <c r="D814" s="164"/>
      <c r="E814" s="163"/>
      <c r="F814" s="165"/>
      <c r="G814" s="165"/>
      <c r="H814" s="164"/>
      <c r="I814" s="163"/>
      <c r="J814" s="152"/>
      <c r="K814" s="154"/>
      <c r="L814" s="152"/>
      <c r="M814" s="152"/>
      <c r="N814" s="155"/>
      <c r="O814" s="161"/>
      <c r="P814" s="157"/>
    </row>
    <row r="815" spans="1:16" ht="15.75" customHeight="1">
      <c r="A815" s="151"/>
      <c r="B815" s="162"/>
      <c r="C815" s="163"/>
      <c r="D815" s="164"/>
      <c r="E815" s="163"/>
      <c r="F815" s="165"/>
      <c r="G815" s="165"/>
      <c r="H815" s="164"/>
      <c r="I815" s="163"/>
      <c r="J815" s="152"/>
      <c r="K815" s="154"/>
      <c r="L815" s="152"/>
      <c r="M815" s="152"/>
      <c r="N815" s="155"/>
      <c r="O815" s="161"/>
      <c r="P815" s="157"/>
    </row>
    <row r="816" spans="1:16" ht="15.75" customHeight="1">
      <c r="A816" s="151"/>
      <c r="B816" s="162"/>
      <c r="C816" s="163"/>
      <c r="D816" s="164"/>
      <c r="E816" s="163"/>
      <c r="F816" s="165"/>
      <c r="G816" s="165"/>
      <c r="H816" s="164"/>
      <c r="I816" s="163"/>
      <c r="J816" s="152"/>
      <c r="K816" s="154"/>
      <c r="L816" s="152"/>
      <c r="M816" s="152"/>
      <c r="N816" s="155"/>
      <c r="O816" s="161"/>
      <c r="P816" s="157"/>
    </row>
    <row r="817" spans="1:16" ht="15.75" customHeight="1">
      <c r="A817" s="151"/>
      <c r="B817" s="162"/>
      <c r="C817" s="163"/>
      <c r="D817" s="164"/>
      <c r="E817" s="163"/>
      <c r="F817" s="165"/>
      <c r="G817" s="165"/>
      <c r="H817" s="164"/>
      <c r="I817" s="163"/>
      <c r="J817" s="152"/>
      <c r="K817" s="154"/>
      <c r="L817" s="152"/>
      <c r="M817" s="152"/>
      <c r="N817" s="155"/>
      <c r="O817" s="161"/>
      <c r="P817" s="157"/>
    </row>
    <row r="818" spans="1:16" ht="15.75" customHeight="1">
      <c r="A818" s="151"/>
      <c r="B818" s="162"/>
      <c r="C818" s="163"/>
      <c r="D818" s="164"/>
      <c r="E818" s="163"/>
      <c r="F818" s="165"/>
      <c r="G818" s="165"/>
      <c r="H818" s="164"/>
      <c r="I818" s="163"/>
      <c r="J818" s="152"/>
      <c r="K818" s="154"/>
      <c r="L818" s="152"/>
      <c r="M818" s="152"/>
      <c r="N818" s="155"/>
      <c r="O818" s="161"/>
      <c r="P818" s="157"/>
    </row>
    <row r="819" spans="1:16" ht="15.75" customHeight="1">
      <c r="A819" s="151"/>
      <c r="B819" s="162"/>
      <c r="C819" s="163"/>
      <c r="D819" s="164"/>
      <c r="E819" s="163"/>
      <c r="F819" s="165"/>
      <c r="G819" s="165"/>
      <c r="H819" s="164"/>
      <c r="I819" s="163"/>
      <c r="J819" s="152"/>
      <c r="K819" s="154"/>
      <c r="L819" s="152"/>
      <c r="M819" s="152"/>
      <c r="N819" s="155"/>
      <c r="O819" s="161"/>
      <c r="P819" s="157"/>
    </row>
    <row r="820" spans="1:16" ht="15.75" customHeight="1">
      <c r="A820" s="151"/>
      <c r="B820" s="162"/>
      <c r="C820" s="163"/>
      <c r="D820" s="164"/>
      <c r="E820" s="163"/>
      <c r="F820" s="165"/>
      <c r="G820" s="165"/>
      <c r="H820" s="164"/>
      <c r="I820" s="163"/>
      <c r="J820" s="152"/>
      <c r="K820" s="154"/>
      <c r="L820" s="152"/>
      <c r="M820" s="152"/>
      <c r="N820" s="155"/>
      <c r="O820" s="161"/>
      <c r="P820" s="157"/>
    </row>
    <row r="821" spans="1:16" ht="15.75" customHeight="1">
      <c r="A821" s="151"/>
      <c r="B821" s="162"/>
      <c r="C821" s="163"/>
      <c r="D821" s="164"/>
      <c r="E821" s="163"/>
      <c r="F821" s="165"/>
      <c r="G821" s="165"/>
      <c r="H821" s="164"/>
      <c r="I821" s="163"/>
      <c r="J821" s="152"/>
      <c r="K821" s="154"/>
      <c r="L821" s="152"/>
      <c r="M821" s="152"/>
      <c r="N821" s="155"/>
      <c r="O821" s="161"/>
      <c r="P821" s="157"/>
    </row>
    <row r="822" spans="1:16" ht="15.75" customHeight="1">
      <c r="A822" s="151"/>
      <c r="B822" s="162"/>
      <c r="C822" s="163"/>
      <c r="D822" s="164"/>
      <c r="E822" s="163"/>
      <c r="F822" s="165"/>
      <c r="G822" s="165"/>
      <c r="H822" s="164"/>
      <c r="I822" s="163"/>
      <c r="J822" s="152"/>
      <c r="K822" s="154"/>
      <c r="L822" s="152"/>
      <c r="M822" s="152"/>
      <c r="N822" s="155"/>
      <c r="O822" s="161"/>
      <c r="P822" s="157"/>
    </row>
    <row r="823" spans="1:16" ht="15.75" customHeight="1">
      <c r="A823" s="151"/>
      <c r="B823" s="162"/>
      <c r="C823" s="163"/>
      <c r="D823" s="164"/>
      <c r="E823" s="163"/>
      <c r="F823" s="165"/>
      <c r="G823" s="165"/>
      <c r="H823" s="164"/>
      <c r="I823" s="163"/>
      <c r="J823" s="152"/>
      <c r="K823" s="154"/>
      <c r="L823" s="152"/>
      <c r="M823" s="152"/>
      <c r="N823" s="155"/>
      <c r="O823" s="161"/>
      <c r="P823" s="157"/>
    </row>
    <row r="824" spans="1:16" ht="15.75" customHeight="1">
      <c r="A824" s="151"/>
      <c r="B824" s="162"/>
      <c r="C824" s="163"/>
      <c r="D824" s="164"/>
      <c r="E824" s="163"/>
      <c r="F824" s="165"/>
      <c r="G824" s="165"/>
      <c r="H824" s="164"/>
      <c r="I824" s="163"/>
      <c r="J824" s="152"/>
      <c r="K824" s="154"/>
      <c r="L824" s="152"/>
      <c r="M824" s="152"/>
      <c r="N824" s="155"/>
      <c r="O824" s="161"/>
      <c r="P824" s="157"/>
    </row>
    <row r="825" spans="1:16" ht="15.75" customHeight="1">
      <c r="A825" s="151"/>
      <c r="B825" s="162"/>
      <c r="C825" s="163"/>
      <c r="D825" s="164"/>
      <c r="E825" s="163"/>
      <c r="F825" s="165"/>
      <c r="G825" s="165"/>
      <c r="H825" s="164"/>
      <c r="I825" s="163"/>
      <c r="J825" s="152"/>
      <c r="K825" s="154"/>
      <c r="L825" s="152"/>
      <c r="M825" s="152"/>
      <c r="N825" s="155"/>
      <c r="O825" s="161"/>
      <c r="P825" s="157"/>
    </row>
    <row r="826" spans="1:16" ht="15.75" customHeight="1">
      <c r="A826" s="151"/>
      <c r="B826" s="162"/>
      <c r="C826" s="163"/>
      <c r="D826" s="164"/>
      <c r="E826" s="163"/>
      <c r="F826" s="165"/>
      <c r="G826" s="165"/>
      <c r="H826" s="164"/>
      <c r="I826" s="163"/>
      <c r="J826" s="152"/>
      <c r="K826" s="154"/>
      <c r="L826" s="152"/>
      <c r="M826" s="152"/>
      <c r="N826" s="155"/>
      <c r="O826" s="161"/>
      <c r="P826" s="157"/>
    </row>
    <row r="827" spans="1:16" ht="15.75" customHeight="1">
      <c r="A827" s="151"/>
      <c r="B827" s="162"/>
      <c r="C827" s="163"/>
      <c r="D827" s="164"/>
      <c r="E827" s="163"/>
      <c r="F827" s="165"/>
      <c r="G827" s="165"/>
      <c r="H827" s="164"/>
      <c r="I827" s="163"/>
      <c r="J827" s="152"/>
      <c r="K827" s="154"/>
      <c r="L827" s="152"/>
      <c r="M827" s="152"/>
      <c r="N827" s="155"/>
      <c r="O827" s="161"/>
      <c r="P827" s="157"/>
    </row>
    <row r="828" spans="1:16" ht="15.75" customHeight="1">
      <c r="A828" s="151"/>
      <c r="B828" s="162"/>
      <c r="C828" s="163"/>
      <c r="D828" s="164"/>
      <c r="E828" s="163"/>
      <c r="F828" s="165"/>
      <c r="G828" s="165"/>
      <c r="H828" s="164"/>
      <c r="I828" s="163"/>
      <c r="J828" s="152"/>
      <c r="K828" s="154"/>
      <c r="L828" s="152"/>
      <c r="M828" s="152"/>
      <c r="N828" s="155"/>
      <c r="O828" s="161"/>
      <c r="P828" s="157"/>
    </row>
    <row r="829" spans="1:16" ht="15.75" customHeight="1">
      <c r="A829" s="151"/>
      <c r="B829" s="162"/>
      <c r="C829" s="163"/>
      <c r="D829" s="164"/>
      <c r="E829" s="163"/>
      <c r="F829" s="165"/>
      <c r="G829" s="165"/>
      <c r="H829" s="164"/>
      <c r="I829" s="163"/>
      <c r="J829" s="152"/>
      <c r="K829" s="154"/>
      <c r="L829" s="152"/>
      <c r="M829" s="152"/>
      <c r="N829" s="155"/>
      <c r="O829" s="161"/>
      <c r="P829" s="157"/>
    </row>
    <row r="830" spans="1:16" ht="15.75" customHeight="1">
      <c r="A830" s="151"/>
      <c r="B830" s="162"/>
      <c r="C830" s="163"/>
      <c r="D830" s="164"/>
      <c r="E830" s="163"/>
      <c r="F830" s="165"/>
      <c r="G830" s="165"/>
      <c r="H830" s="164"/>
      <c r="I830" s="163"/>
      <c r="J830" s="152"/>
      <c r="K830" s="154"/>
      <c r="L830" s="152"/>
      <c r="M830" s="152"/>
      <c r="N830" s="155"/>
      <c r="O830" s="161"/>
      <c r="P830" s="157"/>
    </row>
    <row r="831" spans="1:16" ht="15.75" customHeight="1">
      <c r="A831" s="151"/>
      <c r="B831" s="162"/>
      <c r="C831" s="163"/>
      <c r="D831" s="164"/>
      <c r="E831" s="163"/>
      <c r="F831" s="165"/>
      <c r="G831" s="165"/>
      <c r="H831" s="164"/>
      <c r="I831" s="163"/>
      <c r="J831" s="152"/>
      <c r="K831" s="154"/>
      <c r="L831" s="152"/>
      <c r="M831" s="152"/>
      <c r="N831" s="155"/>
      <c r="O831" s="161"/>
      <c r="P831" s="157"/>
    </row>
    <row r="832" spans="1:16" ht="15.75" customHeight="1">
      <c r="A832" s="151"/>
      <c r="B832" s="162"/>
      <c r="C832" s="163"/>
      <c r="D832" s="164"/>
      <c r="E832" s="163"/>
      <c r="F832" s="165"/>
      <c r="G832" s="165"/>
      <c r="H832" s="164"/>
      <c r="I832" s="163"/>
      <c r="J832" s="152"/>
      <c r="K832" s="154"/>
      <c r="L832" s="152"/>
      <c r="M832" s="152"/>
      <c r="N832" s="155"/>
      <c r="O832" s="161"/>
      <c r="P832" s="157"/>
    </row>
    <row r="833" spans="1:16" ht="15.75" customHeight="1">
      <c r="A833" s="151"/>
      <c r="B833" s="162"/>
      <c r="C833" s="163"/>
      <c r="D833" s="164"/>
      <c r="E833" s="163"/>
      <c r="F833" s="165"/>
      <c r="G833" s="165"/>
      <c r="H833" s="164"/>
      <c r="I833" s="163"/>
      <c r="J833" s="152"/>
      <c r="K833" s="154"/>
      <c r="L833" s="152"/>
      <c r="M833" s="152"/>
      <c r="N833" s="155"/>
      <c r="O833" s="161"/>
      <c r="P833" s="157"/>
    </row>
    <row r="834" spans="1:16" ht="15.75" customHeight="1">
      <c r="A834" s="151"/>
      <c r="B834" s="162"/>
      <c r="C834" s="163"/>
      <c r="D834" s="164"/>
      <c r="E834" s="163"/>
      <c r="F834" s="165"/>
      <c r="G834" s="165"/>
      <c r="H834" s="164"/>
      <c r="I834" s="163"/>
      <c r="J834" s="152"/>
      <c r="K834" s="154"/>
      <c r="L834" s="152"/>
      <c r="M834" s="152"/>
      <c r="N834" s="155"/>
      <c r="O834" s="161"/>
      <c r="P834" s="157"/>
    </row>
    <row r="835" spans="1:16" ht="15.75" customHeight="1">
      <c r="A835" s="151"/>
      <c r="B835" s="162"/>
      <c r="C835" s="163"/>
      <c r="D835" s="164"/>
      <c r="E835" s="163"/>
      <c r="F835" s="165"/>
      <c r="G835" s="165"/>
      <c r="H835" s="164"/>
      <c r="I835" s="163"/>
      <c r="J835" s="152"/>
      <c r="K835" s="154"/>
      <c r="L835" s="152"/>
      <c r="M835" s="152"/>
      <c r="N835" s="155"/>
      <c r="O835" s="161"/>
      <c r="P835" s="157"/>
    </row>
    <row r="836" spans="1:16" ht="15.75" customHeight="1">
      <c r="A836" s="151"/>
      <c r="B836" s="162"/>
      <c r="C836" s="163"/>
      <c r="D836" s="164"/>
      <c r="E836" s="163"/>
      <c r="F836" s="165"/>
      <c r="G836" s="165"/>
      <c r="H836" s="164"/>
      <c r="I836" s="163"/>
      <c r="J836" s="152"/>
      <c r="K836" s="154"/>
      <c r="L836" s="152"/>
      <c r="M836" s="152"/>
      <c r="N836" s="155"/>
      <c r="O836" s="161"/>
      <c r="P836" s="157"/>
    </row>
    <row r="837" spans="1:16" ht="15.75" customHeight="1">
      <c r="A837" s="151"/>
      <c r="B837" s="162"/>
      <c r="C837" s="163"/>
      <c r="D837" s="164"/>
      <c r="E837" s="163"/>
      <c r="F837" s="165"/>
      <c r="G837" s="165"/>
      <c r="H837" s="164"/>
      <c r="I837" s="163"/>
      <c r="J837" s="152"/>
      <c r="K837" s="154"/>
      <c r="L837" s="152"/>
      <c r="M837" s="152"/>
      <c r="N837" s="155"/>
      <c r="O837" s="161"/>
      <c r="P837" s="157"/>
    </row>
    <row r="838" spans="1:16" ht="15.75" customHeight="1">
      <c r="A838" s="151"/>
      <c r="B838" s="162"/>
      <c r="C838" s="163"/>
      <c r="D838" s="164"/>
      <c r="E838" s="163"/>
      <c r="F838" s="165"/>
      <c r="G838" s="165"/>
      <c r="H838" s="164"/>
      <c r="I838" s="163"/>
      <c r="J838" s="152"/>
      <c r="K838" s="154"/>
      <c r="L838" s="152"/>
      <c r="M838" s="152"/>
      <c r="N838" s="155"/>
      <c r="O838" s="161"/>
      <c r="P838" s="157"/>
    </row>
    <row r="839" spans="1:16" ht="15.75" customHeight="1">
      <c r="A839" s="151"/>
      <c r="B839" s="162"/>
      <c r="C839" s="163"/>
      <c r="D839" s="164"/>
      <c r="E839" s="163"/>
      <c r="F839" s="165"/>
      <c r="G839" s="165"/>
      <c r="H839" s="164"/>
      <c r="I839" s="163"/>
      <c r="J839" s="152"/>
      <c r="K839" s="154"/>
      <c r="L839" s="152"/>
      <c r="M839" s="152"/>
      <c r="N839" s="155"/>
      <c r="O839" s="161"/>
      <c r="P839" s="157"/>
    </row>
    <row r="840" spans="1:16" ht="15.75" customHeight="1">
      <c r="A840" s="151"/>
      <c r="B840" s="162"/>
      <c r="C840" s="163"/>
      <c r="D840" s="164"/>
      <c r="E840" s="163"/>
      <c r="F840" s="165"/>
      <c r="G840" s="165"/>
      <c r="H840" s="164"/>
      <c r="I840" s="163"/>
      <c r="J840" s="152"/>
      <c r="K840" s="154"/>
      <c r="L840" s="152"/>
      <c r="M840" s="152"/>
      <c r="N840" s="155"/>
      <c r="O840" s="161"/>
      <c r="P840" s="157"/>
    </row>
    <row r="841" spans="1:16" ht="15.75" customHeight="1">
      <c r="A841" s="151"/>
      <c r="B841" s="162"/>
      <c r="C841" s="163"/>
      <c r="D841" s="164"/>
      <c r="E841" s="163"/>
      <c r="F841" s="165"/>
      <c r="G841" s="165"/>
      <c r="H841" s="164"/>
      <c r="I841" s="163"/>
      <c r="J841" s="152"/>
      <c r="K841" s="154"/>
      <c r="L841" s="152"/>
      <c r="M841" s="152"/>
      <c r="N841" s="155"/>
      <c r="O841" s="161"/>
      <c r="P841" s="157"/>
    </row>
    <row r="842" spans="1:16" ht="15.75" customHeight="1">
      <c r="A842" s="151"/>
      <c r="B842" s="162"/>
      <c r="C842" s="163"/>
      <c r="D842" s="164"/>
      <c r="E842" s="163"/>
      <c r="F842" s="165"/>
      <c r="G842" s="165"/>
      <c r="H842" s="164"/>
      <c r="I842" s="163"/>
      <c r="J842" s="152"/>
      <c r="K842" s="154"/>
      <c r="L842" s="152"/>
      <c r="M842" s="152"/>
      <c r="N842" s="155"/>
      <c r="O842" s="161"/>
      <c r="P842" s="157"/>
    </row>
    <row r="843" spans="1:16" ht="15.75" customHeight="1">
      <c r="A843" s="151"/>
      <c r="B843" s="162"/>
      <c r="C843" s="163"/>
      <c r="D843" s="164"/>
      <c r="E843" s="163"/>
      <c r="F843" s="165"/>
      <c r="G843" s="165"/>
      <c r="H843" s="164"/>
      <c r="I843" s="163"/>
      <c r="J843" s="152"/>
      <c r="K843" s="154"/>
      <c r="L843" s="152"/>
      <c r="M843" s="152"/>
      <c r="N843" s="155"/>
      <c r="O843" s="161"/>
      <c r="P843" s="157"/>
    </row>
    <row r="844" spans="1:16" ht="15.75" customHeight="1">
      <c r="A844" s="151"/>
      <c r="B844" s="162"/>
      <c r="C844" s="163"/>
      <c r="D844" s="164"/>
      <c r="E844" s="163"/>
      <c r="F844" s="165"/>
      <c r="G844" s="165"/>
      <c r="H844" s="164"/>
      <c r="I844" s="163"/>
      <c r="J844" s="152"/>
      <c r="K844" s="154"/>
      <c r="L844" s="152"/>
      <c r="M844" s="152"/>
      <c r="N844" s="155"/>
      <c r="O844" s="161"/>
      <c r="P844" s="157"/>
    </row>
    <row r="845" spans="1:16" ht="15.75" customHeight="1">
      <c r="A845" s="151"/>
      <c r="B845" s="162"/>
      <c r="C845" s="163"/>
      <c r="D845" s="164"/>
      <c r="E845" s="163"/>
      <c r="F845" s="165"/>
      <c r="G845" s="165"/>
      <c r="H845" s="164"/>
      <c r="I845" s="163"/>
      <c r="J845" s="152"/>
      <c r="K845" s="154"/>
      <c r="L845" s="152"/>
      <c r="M845" s="152"/>
      <c r="N845" s="155"/>
      <c r="O845" s="161"/>
      <c r="P845" s="157"/>
    </row>
    <row r="846" spans="1:16" ht="15.75" customHeight="1">
      <c r="A846" s="151"/>
      <c r="B846" s="162"/>
      <c r="C846" s="163"/>
      <c r="D846" s="164"/>
      <c r="E846" s="163"/>
      <c r="F846" s="165"/>
      <c r="G846" s="165"/>
      <c r="H846" s="164"/>
      <c r="I846" s="163"/>
      <c r="J846" s="152"/>
      <c r="K846" s="154"/>
      <c r="L846" s="152"/>
      <c r="M846" s="152"/>
      <c r="N846" s="155"/>
      <c r="O846" s="161"/>
      <c r="P846" s="157"/>
    </row>
    <row r="847" spans="1:16" ht="15.75" customHeight="1">
      <c r="A847" s="151"/>
      <c r="B847" s="162"/>
      <c r="C847" s="163"/>
      <c r="D847" s="164"/>
      <c r="E847" s="163"/>
      <c r="F847" s="165"/>
      <c r="G847" s="165"/>
      <c r="H847" s="164"/>
      <c r="I847" s="163"/>
      <c r="J847" s="152"/>
      <c r="K847" s="154"/>
      <c r="L847" s="152"/>
      <c r="M847" s="152"/>
      <c r="N847" s="155"/>
      <c r="O847" s="161"/>
      <c r="P847" s="157"/>
    </row>
    <row r="848" spans="1:16" ht="15.75" customHeight="1">
      <c r="A848" s="151"/>
      <c r="B848" s="162"/>
      <c r="C848" s="163"/>
      <c r="D848" s="164"/>
      <c r="E848" s="163"/>
      <c r="F848" s="165"/>
      <c r="G848" s="165"/>
      <c r="H848" s="164"/>
      <c r="I848" s="163"/>
      <c r="J848" s="152"/>
      <c r="K848" s="154"/>
      <c r="L848" s="152"/>
      <c r="M848" s="152"/>
      <c r="N848" s="155"/>
      <c r="O848" s="161"/>
      <c r="P848" s="157"/>
    </row>
    <row r="849" spans="1:16" ht="15.75" customHeight="1">
      <c r="A849" s="151"/>
      <c r="B849" s="162"/>
      <c r="C849" s="163"/>
      <c r="D849" s="164"/>
      <c r="E849" s="163"/>
      <c r="F849" s="165"/>
      <c r="G849" s="165"/>
      <c r="H849" s="164"/>
      <c r="I849" s="163"/>
      <c r="J849" s="152"/>
      <c r="K849" s="154"/>
      <c r="L849" s="152"/>
      <c r="M849" s="152"/>
      <c r="N849" s="155"/>
      <c r="O849" s="161"/>
      <c r="P849" s="157"/>
    </row>
    <row r="850" spans="1:16" ht="15.75" customHeight="1">
      <c r="A850" s="151"/>
      <c r="B850" s="162"/>
      <c r="C850" s="163"/>
      <c r="D850" s="164"/>
      <c r="E850" s="163"/>
      <c r="F850" s="165"/>
      <c r="G850" s="165"/>
      <c r="H850" s="164"/>
      <c r="I850" s="163"/>
      <c r="J850" s="152"/>
      <c r="K850" s="154"/>
      <c r="L850" s="152"/>
      <c r="M850" s="152"/>
      <c r="N850" s="155"/>
      <c r="O850" s="161"/>
      <c r="P850" s="157"/>
    </row>
    <row r="851" spans="1:16" ht="15.75" customHeight="1">
      <c r="A851" s="151"/>
      <c r="B851" s="162"/>
      <c r="C851" s="163"/>
      <c r="D851" s="164"/>
      <c r="E851" s="163"/>
      <c r="F851" s="165"/>
      <c r="G851" s="165"/>
      <c r="H851" s="164"/>
      <c r="I851" s="163"/>
      <c r="J851" s="152"/>
      <c r="K851" s="154"/>
      <c r="L851" s="152"/>
      <c r="M851" s="152"/>
      <c r="N851" s="155"/>
      <c r="O851" s="161"/>
      <c r="P851" s="157"/>
    </row>
    <row r="852" spans="1:16" ht="15.75" customHeight="1">
      <c r="A852" s="151"/>
      <c r="B852" s="162"/>
      <c r="C852" s="163"/>
      <c r="D852" s="164"/>
      <c r="E852" s="163"/>
      <c r="F852" s="165"/>
      <c r="G852" s="165"/>
      <c r="H852" s="164"/>
      <c r="I852" s="163"/>
      <c r="J852" s="152"/>
      <c r="K852" s="154"/>
      <c r="L852" s="152"/>
      <c r="M852" s="152"/>
      <c r="N852" s="155"/>
      <c r="O852" s="161"/>
      <c r="P852" s="157"/>
    </row>
    <row r="853" spans="1:16" ht="15.75" customHeight="1">
      <c r="A853" s="151"/>
      <c r="B853" s="162"/>
      <c r="C853" s="163"/>
      <c r="D853" s="164"/>
      <c r="E853" s="163"/>
      <c r="F853" s="165"/>
      <c r="G853" s="165"/>
      <c r="H853" s="164"/>
      <c r="I853" s="163"/>
      <c r="J853" s="152"/>
      <c r="K853" s="154"/>
      <c r="L853" s="152"/>
      <c r="M853" s="152"/>
      <c r="N853" s="155"/>
      <c r="O853" s="161"/>
      <c r="P853" s="157"/>
    </row>
    <row r="854" spans="1:16" ht="15.75" customHeight="1">
      <c r="A854" s="151"/>
      <c r="B854" s="162"/>
      <c r="C854" s="163"/>
      <c r="D854" s="164"/>
      <c r="E854" s="163"/>
      <c r="F854" s="165"/>
      <c r="G854" s="165"/>
      <c r="H854" s="164"/>
      <c r="I854" s="163"/>
      <c r="J854" s="152"/>
      <c r="K854" s="154"/>
      <c r="L854" s="152"/>
      <c r="M854" s="152"/>
      <c r="N854" s="155"/>
      <c r="O854" s="161"/>
      <c r="P854" s="157"/>
    </row>
    <row r="855" spans="1:16" ht="15.75" customHeight="1">
      <c r="A855" s="151"/>
      <c r="B855" s="162"/>
      <c r="C855" s="163"/>
      <c r="D855" s="164"/>
      <c r="E855" s="163"/>
      <c r="F855" s="165"/>
      <c r="G855" s="165"/>
      <c r="H855" s="164"/>
      <c r="I855" s="163"/>
      <c r="J855" s="152"/>
      <c r="K855" s="154"/>
      <c r="L855" s="152"/>
      <c r="M855" s="152"/>
      <c r="N855" s="155"/>
      <c r="O855" s="161"/>
      <c r="P855" s="157"/>
    </row>
    <row r="856" spans="1:16" ht="15.75" customHeight="1">
      <c r="A856" s="151"/>
      <c r="B856" s="162"/>
      <c r="C856" s="163"/>
      <c r="D856" s="164"/>
      <c r="E856" s="163"/>
      <c r="F856" s="165"/>
      <c r="G856" s="165"/>
      <c r="H856" s="164"/>
      <c r="I856" s="163"/>
      <c r="J856" s="152"/>
      <c r="K856" s="154"/>
      <c r="L856" s="152"/>
      <c r="M856" s="152"/>
      <c r="N856" s="155"/>
      <c r="O856" s="161"/>
      <c r="P856" s="157"/>
    </row>
    <row r="857" spans="1:16" ht="15.75" customHeight="1">
      <c r="A857" s="151"/>
      <c r="B857" s="162"/>
      <c r="C857" s="163"/>
      <c r="D857" s="164"/>
      <c r="E857" s="163"/>
      <c r="F857" s="165"/>
      <c r="G857" s="165"/>
      <c r="H857" s="164"/>
      <c r="I857" s="163"/>
      <c r="J857" s="152"/>
      <c r="K857" s="154"/>
      <c r="L857" s="152"/>
      <c r="M857" s="152"/>
      <c r="N857" s="155"/>
      <c r="O857" s="161"/>
      <c r="P857" s="157"/>
    </row>
    <row r="858" spans="1:16" ht="15.75" customHeight="1">
      <c r="A858" s="151"/>
      <c r="B858" s="162"/>
      <c r="C858" s="163"/>
      <c r="D858" s="164"/>
      <c r="E858" s="163"/>
      <c r="F858" s="165"/>
      <c r="G858" s="165"/>
      <c r="H858" s="164"/>
      <c r="I858" s="163"/>
      <c r="J858" s="152"/>
      <c r="K858" s="154"/>
      <c r="L858" s="152"/>
      <c r="M858" s="152"/>
      <c r="N858" s="155"/>
      <c r="O858" s="161"/>
      <c r="P858" s="157"/>
    </row>
    <row r="859" spans="1:16" ht="15.75" customHeight="1">
      <c r="A859" s="151"/>
      <c r="B859" s="162"/>
      <c r="C859" s="163"/>
      <c r="D859" s="164"/>
      <c r="E859" s="163"/>
      <c r="F859" s="165"/>
      <c r="G859" s="165"/>
      <c r="H859" s="164"/>
      <c r="I859" s="163"/>
      <c r="J859" s="152"/>
      <c r="K859" s="154"/>
      <c r="L859" s="152"/>
      <c r="M859" s="152"/>
      <c r="N859" s="155"/>
      <c r="O859" s="161"/>
      <c r="P859" s="157"/>
    </row>
    <row r="860" spans="1:16" ht="15.75" customHeight="1">
      <c r="A860" s="151"/>
      <c r="B860" s="162"/>
      <c r="C860" s="163"/>
      <c r="D860" s="164"/>
      <c r="E860" s="163"/>
      <c r="F860" s="165"/>
      <c r="G860" s="165"/>
      <c r="H860" s="164"/>
      <c r="I860" s="163"/>
      <c r="J860" s="152"/>
      <c r="K860" s="154"/>
      <c r="L860" s="152"/>
      <c r="M860" s="152"/>
      <c r="N860" s="155"/>
      <c r="O860" s="161"/>
      <c r="P860" s="157"/>
    </row>
    <row r="861" spans="1:16" ht="15.75" customHeight="1">
      <c r="A861" s="151"/>
      <c r="B861" s="162"/>
      <c r="C861" s="163"/>
      <c r="D861" s="164"/>
      <c r="E861" s="163"/>
      <c r="F861" s="165"/>
      <c r="G861" s="165"/>
      <c r="H861" s="164"/>
      <c r="I861" s="163"/>
      <c r="J861" s="152"/>
      <c r="K861" s="154"/>
      <c r="L861" s="152"/>
      <c r="M861" s="152"/>
      <c r="N861" s="155"/>
      <c r="O861" s="161"/>
      <c r="P861" s="157"/>
    </row>
    <row r="862" spans="1:16" ht="15.75" customHeight="1">
      <c r="A862" s="151"/>
      <c r="B862" s="162"/>
      <c r="C862" s="163"/>
      <c r="D862" s="164"/>
      <c r="E862" s="163"/>
      <c r="F862" s="165"/>
      <c r="G862" s="165"/>
      <c r="H862" s="164"/>
      <c r="I862" s="163"/>
      <c r="J862" s="152"/>
      <c r="K862" s="154"/>
      <c r="L862" s="152"/>
      <c r="M862" s="152"/>
      <c r="N862" s="155"/>
      <c r="O862" s="161"/>
      <c r="P862" s="157"/>
    </row>
    <row r="863" spans="1:16" ht="15.75" customHeight="1">
      <c r="A863" s="151"/>
      <c r="B863" s="162"/>
      <c r="C863" s="163"/>
      <c r="D863" s="164"/>
      <c r="E863" s="163"/>
      <c r="F863" s="165"/>
      <c r="G863" s="165"/>
      <c r="H863" s="164"/>
      <c r="I863" s="163"/>
      <c r="J863" s="152"/>
      <c r="K863" s="154"/>
      <c r="L863" s="152"/>
      <c r="M863" s="152"/>
      <c r="N863" s="155"/>
      <c r="O863" s="161"/>
      <c r="P863" s="157"/>
    </row>
    <row r="864" spans="1:16" ht="15.75" customHeight="1">
      <c r="A864" s="151"/>
      <c r="B864" s="162"/>
      <c r="C864" s="163"/>
      <c r="D864" s="164"/>
      <c r="E864" s="163"/>
      <c r="F864" s="165"/>
      <c r="G864" s="165"/>
      <c r="H864" s="164"/>
      <c r="I864" s="163"/>
      <c r="J864" s="152"/>
      <c r="K864" s="154"/>
      <c r="L864" s="152"/>
      <c r="M864" s="152"/>
      <c r="N864" s="155"/>
      <c r="O864" s="161"/>
      <c r="P864" s="157"/>
    </row>
    <row r="865" spans="1:16" ht="15.75" customHeight="1">
      <c r="A865" s="151"/>
      <c r="B865" s="162"/>
      <c r="C865" s="163"/>
      <c r="D865" s="164"/>
      <c r="E865" s="163"/>
      <c r="F865" s="165"/>
      <c r="G865" s="165"/>
      <c r="H865" s="164"/>
      <c r="I865" s="163"/>
      <c r="J865" s="152"/>
      <c r="K865" s="154"/>
      <c r="L865" s="152"/>
      <c r="M865" s="152"/>
      <c r="N865" s="155"/>
      <c r="O865" s="161"/>
      <c r="P865" s="157"/>
    </row>
    <row r="866" spans="1:16" ht="15.75" customHeight="1">
      <c r="A866" s="151"/>
      <c r="B866" s="162"/>
      <c r="C866" s="163"/>
      <c r="D866" s="164"/>
      <c r="E866" s="163"/>
      <c r="F866" s="165"/>
      <c r="G866" s="165"/>
      <c r="H866" s="164"/>
      <c r="I866" s="163"/>
      <c r="J866" s="152"/>
      <c r="K866" s="154"/>
      <c r="L866" s="152"/>
      <c r="M866" s="152"/>
      <c r="N866" s="155"/>
      <c r="O866" s="161"/>
      <c r="P866" s="157"/>
    </row>
    <row r="867" spans="1:16" ht="15.75" customHeight="1">
      <c r="A867" s="151"/>
      <c r="B867" s="162"/>
      <c r="C867" s="163"/>
      <c r="D867" s="164"/>
      <c r="E867" s="163"/>
      <c r="F867" s="165"/>
      <c r="G867" s="165"/>
      <c r="H867" s="164"/>
      <c r="I867" s="163"/>
      <c r="J867" s="152"/>
      <c r="K867" s="154"/>
      <c r="L867" s="152"/>
      <c r="M867" s="152"/>
      <c r="N867" s="155"/>
      <c r="O867" s="161"/>
      <c r="P867" s="157"/>
    </row>
    <row r="868" spans="1:16" ht="15.75" customHeight="1">
      <c r="A868" s="151"/>
      <c r="B868" s="162"/>
      <c r="C868" s="163"/>
      <c r="D868" s="164"/>
      <c r="E868" s="163"/>
      <c r="F868" s="165"/>
      <c r="G868" s="165"/>
      <c r="H868" s="164"/>
      <c r="I868" s="163"/>
      <c r="J868" s="152"/>
      <c r="K868" s="154"/>
      <c r="L868" s="152"/>
      <c r="M868" s="152"/>
      <c r="N868" s="155"/>
      <c r="O868" s="161"/>
      <c r="P868" s="157"/>
    </row>
    <row r="869" spans="1:16" ht="15.75" customHeight="1">
      <c r="A869" s="151"/>
      <c r="B869" s="162"/>
      <c r="C869" s="163"/>
      <c r="D869" s="164"/>
      <c r="E869" s="163"/>
      <c r="F869" s="165"/>
      <c r="G869" s="165"/>
      <c r="H869" s="164"/>
      <c r="I869" s="163"/>
      <c r="J869" s="152"/>
      <c r="K869" s="154"/>
      <c r="L869" s="152"/>
      <c r="M869" s="152"/>
      <c r="N869" s="155"/>
      <c r="O869" s="161"/>
      <c r="P869" s="157"/>
    </row>
    <row r="870" spans="1:16" ht="15.75" customHeight="1">
      <c r="A870" s="151"/>
      <c r="B870" s="162"/>
      <c r="C870" s="163"/>
      <c r="D870" s="164"/>
      <c r="E870" s="163"/>
      <c r="F870" s="165"/>
      <c r="G870" s="165"/>
      <c r="H870" s="164"/>
      <c r="I870" s="163"/>
      <c r="J870" s="152"/>
      <c r="K870" s="154"/>
      <c r="L870" s="152"/>
      <c r="M870" s="152"/>
      <c r="N870" s="155"/>
      <c r="O870" s="161"/>
      <c r="P870" s="157"/>
    </row>
    <row r="871" spans="1:16" ht="15.75" customHeight="1">
      <c r="A871" s="151"/>
      <c r="B871" s="162"/>
      <c r="C871" s="163"/>
      <c r="D871" s="164"/>
      <c r="E871" s="163"/>
      <c r="F871" s="165"/>
      <c r="G871" s="165"/>
      <c r="H871" s="164"/>
      <c r="I871" s="163"/>
      <c r="J871" s="152"/>
      <c r="K871" s="154"/>
      <c r="L871" s="152"/>
      <c r="M871" s="152"/>
      <c r="N871" s="155"/>
      <c r="O871" s="161"/>
      <c r="P871" s="157"/>
    </row>
    <row r="872" spans="1:16" ht="15.75" customHeight="1">
      <c r="A872" s="151"/>
      <c r="B872" s="162"/>
      <c r="C872" s="163"/>
      <c r="D872" s="164"/>
      <c r="E872" s="163"/>
      <c r="F872" s="165"/>
      <c r="G872" s="165"/>
      <c r="H872" s="164"/>
      <c r="I872" s="163"/>
      <c r="J872" s="152"/>
      <c r="K872" s="154"/>
      <c r="L872" s="152"/>
      <c r="M872" s="152"/>
      <c r="N872" s="155"/>
      <c r="O872" s="161"/>
      <c r="P872" s="157"/>
    </row>
    <row r="873" spans="1:16" ht="15.75" customHeight="1">
      <c r="A873" s="151"/>
      <c r="B873" s="162"/>
      <c r="C873" s="163"/>
      <c r="D873" s="164"/>
      <c r="E873" s="163"/>
      <c r="F873" s="165"/>
      <c r="G873" s="165"/>
      <c r="H873" s="164"/>
      <c r="I873" s="163"/>
      <c r="J873" s="152"/>
      <c r="K873" s="154"/>
      <c r="L873" s="152"/>
      <c r="M873" s="152"/>
      <c r="N873" s="155"/>
      <c r="O873" s="161"/>
      <c r="P873" s="157"/>
    </row>
    <row r="874" spans="1:16" ht="15.75" customHeight="1">
      <c r="A874" s="151"/>
      <c r="B874" s="162"/>
      <c r="C874" s="163"/>
      <c r="D874" s="164"/>
      <c r="E874" s="163"/>
      <c r="F874" s="165"/>
      <c r="G874" s="165"/>
      <c r="H874" s="164"/>
      <c r="I874" s="163"/>
      <c r="J874" s="152"/>
      <c r="K874" s="154"/>
      <c r="L874" s="152"/>
      <c r="M874" s="152"/>
      <c r="N874" s="155"/>
      <c r="O874" s="161"/>
      <c r="P874" s="157"/>
    </row>
    <row r="875" spans="1:16" ht="15.75" customHeight="1">
      <c r="A875" s="151"/>
      <c r="B875" s="162"/>
      <c r="C875" s="163"/>
      <c r="D875" s="164"/>
      <c r="E875" s="163"/>
      <c r="F875" s="165"/>
      <c r="G875" s="165"/>
      <c r="H875" s="164"/>
      <c r="I875" s="163"/>
      <c r="J875" s="152"/>
      <c r="K875" s="154"/>
      <c r="L875" s="152"/>
      <c r="M875" s="152"/>
      <c r="N875" s="155"/>
      <c r="O875" s="161"/>
      <c r="P875" s="157"/>
    </row>
    <row r="876" spans="1:16" ht="15.75" customHeight="1">
      <c r="A876" s="151"/>
      <c r="B876" s="162"/>
      <c r="C876" s="163"/>
      <c r="D876" s="164"/>
      <c r="E876" s="163"/>
      <c r="F876" s="165"/>
      <c r="G876" s="165"/>
      <c r="H876" s="164"/>
      <c r="I876" s="163"/>
      <c r="J876" s="152"/>
      <c r="K876" s="154"/>
      <c r="L876" s="152"/>
      <c r="M876" s="152"/>
      <c r="N876" s="155"/>
      <c r="O876" s="161"/>
      <c r="P876" s="157"/>
    </row>
    <row r="877" spans="1:16" ht="15.75" customHeight="1">
      <c r="A877" s="151"/>
      <c r="B877" s="162"/>
      <c r="C877" s="163"/>
      <c r="D877" s="164"/>
      <c r="E877" s="163"/>
      <c r="F877" s="165"/>
      <c r="G877" s="165"/>
      <c r="H877" s="164"/>
      <c r="I877" s="163"/>
      <c r="J877" s="152"/>
      <c r="K877" s="154"/>
      <c r="L877" s="152"/>
      <c r="M877" s="152"/>
      <c r="N877" s="155"/>
      <c r="O877" s="161"/>
      <c r="P877" s="157"/>
    </row>
    <row r="878" spans="1:16" ht="15.75" customHeight="1">
      <c r="A878" s="151"/>
      <c r="B878" s="162"/>
      <c r="C878" s="163"/>
      <c r="D878" s="164"/>
      <c r="E878" s="163"/>
      <c r="F878" s="165"/>
      <c r="G878" s="165"/>
      <c r="H878" s="164"/>
      <c r="I878" s="163"/>
      <c r="J878" s="152"/>
      <c r="K878" s="154"/>
      <c r="L878" s="152"/>
      <c r="M878" s="152"/>
      <c r="N878" s="155"/>
      <c r="O878" s="161"/>
      <c r="P878" s="157"/>
    </row>
    <row r="879" spans="1:16" ht="15.75" customHeight="1">
      <c r="A879" s="151"/>
      <c r="B879" s="162"/>
      <c r="C879" s="163"/>
      <c r="D879" s="164"/>
      <c r="E879" s="163"/>
      <c r="F879" s="165"/>
      <c r="G879" s="165"/>
      <c r="H879" s="164"/>
      <c r="I879" s="163"/>
      <c r="J879" s="152"/>
      <c r="K879" s="154"/>
      <c r="L879" s="152"/>
      <c r="M879" s="152"/>
      <c r="N879" s="155"/>
      <c r="O879" s="161"/>
      <c r="P879" s="157"/>
    </row>
    <row r="880" spans="1:16" ht="15.75" customHeight="1">
      <c r="A880" s="151"/>
      <c r="B880" s="162"/>
      <c r="C880" s="163"/>
      <c r="D880" s="164"/>
      <c r="E880" s="163"/>
      <c r="F880" s="165"/>
      <c r="G880" s="165"/>
      <c r="H880" s="164"/>
      <c r="I880" s="163"/>
      <c r="J880" s="152"/>
      <c r="K880" s="154"/>
      <c r="L880" s="152"/>
      <c r="M880" s="152"/>
      <c r="N880" s="155"/>
      <c r="O880" s="161"/>
      <c r="P880" s="157"/>
    </row>
    <row r="881" spans="1:16" ht="15.75" customHeight="1">
      <c r="A881" s="151"/>
      <c r="B881" s="162"/>
      <c r="C881" s="163"/>
      <c r="D881" s="164"/>
      <c r="E881" s="163"/>
      <c r="F881" s="165"/>
      <c r="G881" s="165"/>
      <c r="H881" s="164"/>
      <c r="I881" s="163"/>
      <c r="J881" s="152"/>
      <c r="K881" s="154"/>
      <c r="L881" s="152"/>
      <c r="M881" s="152"/>
      <c r="N881" s="155"/>
      <c r="O881" s="161"/>
      <c r="P881" s="157"/>
    </row>
    <row r="882" spans="1:16" ht="15.75" customHeight="1">
      <c r="A882" s="151"/>
      <c r="B882" s="162"/>
      <c r="C882" s="163"/>
      <c r="D882" s="164"/>
      <c r="E882" s="163"/>
      <c r="F882" s="165"/>
      <c r="G882" s="165"/>
      <c r="H882" s="164"/>
      <c r="I882" s="163"/>
      <c r="J882" s="152"/>
      <c r="K882" s="154"/>
      <c r="L882" s="152"/>
      <c r="M882" s="152"/>
      <c r="N882" s="155"/>
      <c r="O882" s="161"/>
      <c r="P882" s="157"/>
    </row>
    <row r="883" spans="1:16" ht="15.75" customHeight="1">
      <c r="A883" s="151"/>
      <c r="B883" s="162"/>
      <c r="C883" s="163"/>
      <c r="D883" s="164"/>
      <c r="E883" s="163"/>
      <c r="F883" s="165"/>
      <c r="G883" s="165"/>
      <c r="H883" s="164"/>
      <c r="I883" s="163"/>
      <c r="J883" s="152"/>
      <c r="K883" s="154"/>
      <c r="L883" s="152"/>
      <c r="M883" s="152"/>
      <c r="N883" s="155"/>
      <c r="O883" s="161"/>
      <c r="P883" s="157"/>
    </row>
    <row r="884" spans="1:16" ht="15.75" customHeight="1">
      <c r="A884" s="151"/>
      <c r="B884" s="162"/>
      <c r="C884" s="163"/>
      <c r="D884" s="164"/>
      <c r="E884" s="163"/>
      <c r="F884" s="165"/>
      <c r="G884" s="165"/>
      <c r="H884" s="164"/>
      <c r="I884" s="163"/>
      <c r="J884" s="152"/>
      <c r="K884" s="154"/>
      <c r="L884" s="152"/>
      <c r="M884" s="152"/>
      <c r="N884" s="155"/>
      <c r="O884" s="161"/>
      <c r="P884" s="157"/>
    </row>
    <row r="885" spans="1:16" ht="15.75" customHeight="1">
      <c r="A885" s="151"/>
      <c r="B885" s="162"/>
      <c r="C885" s="163"/>
      <c r="D885" s="164"/>
      <c r="E885" s="163"/>
      <c r="F885" s="165"/>
      <c r="G885" s="165"/>
      <c r="H885" s="164"/>
      <c r="I885" s="163"/>
      <c r="J885" s="152"/>
      <c r="K885" s="154"/>
      <c r="L885" s="152"/>
      <c r="M885" s="152"/>
      <c r="N885" s="155"/>
      <c r="O885" s="161"/>
      <c r="P885" s="157"/>
    </row>
    <row r="886" spans="1:16" ht="15.75" customHeight="1">
      <c r="A886" s="151"/>
      <c r="B886" s="162"/>
      <c r="C886" s="163"/>
      <c r="D886" s="164"/>
      <c r="E886" s="163"/>
      <c r="F886" s="165"/>
      <c r="G886" s="165"/>
      <c r="H886" s="164"/>
      <c r="I886" s="163"/>
      <c r="J886" s="152"/>
      <c r="K886" s="154"/>
      <c r="L886" s="152"/>
      <c r="M886" s="152"/>
      <c r="N886" s="155"/>
      <c r="O886" s="161"/>
      <c r="P886" s="157"/>
    </row>
    <row r="887" spans="1:16" ht="15.75" customHeight="1">
      <c r="A887" s="151"/>
      <c r="B887" s="162"/>
      <c r="C887" s="163"/>
      <c r="D887" s="164"/>
      <c r="E887" s="163"/>
      <c r="F887" s="165"/>
      <c r="G887" s="165"/>
      <c r="H887" s="164"/>
      <c r="I887" s="163"/>
      <c r="J887" s="152"/>
      <c r="K887" s="154"/>
      <c r="L887" s="152"/>
      <c r="M887" s="152"/>
      <c r="N887" s="155"/>
      <c r="O887" s="161"/>
      <c r="P887" s="157"/>
    </row>
    <row r="888" spans="1:16" ht="15.75" customHeight="1">
      <c r="A888" s="151"/>
      <c r="B888" s="162"/>
      <c r="C888" s="163"/>
      <c r="D888" s="164"/>
      <c r="E888" s="163"/>
      <c r="F888" s="165"/>
      <c r="G888" s="165"/>
      <c r="H888" s="164"/>
      <c r="I888" s="163"/>
      <c r="J888" s="152"/>
      <c r="K888" s="154"/>
      <c r="L888" s="152"/>
      <c r="M888" s="152"/>
      <c r="N888" s="155"/>
      <c r="O888" s="161"/>
      <c r="P888" s="157"/>
    </row>
    <row r="889" spans="1:16" ht="15.75" customHeight="1">
      <c r="A889" s="151"/>
      <c r="B889" s="162"/>
      <c r="C889" s="163"/>
      <c r="D889" s="164"/>
      <c r="E889" s="163"/>
      <c r="F889" s="165"/>
      <c r="G889" s="165"/>
      <c r="H889" s="164"/>
      <c r="I889" s="163"/>
      <c r="J889" s="152"/>
      <c r="K889" s="154"/>
      <c r="L889" s="152"/>
      <c r="M889" s="152"/>
      <c r="N889" s="155"/>
      <c r="O889" s="161"/>
      <c r="P889" s="157"/>
    </row>
    <row r="890" spans="1:16" ht="15.75" customHeight="1">
      <c r="A890" s="151"/>
      <c r="B890" s="162"/>
      <c r="C890" s="163"/>
      <c r="D890" s="164"/>
      <c r="E890" s="163"/>
      <c r="F890" s="165"/>
      <c r="G890" s="165"/>
      <c r="H890" s="164"/>
      <c r="I890" s="163"/>
      <c r="J890" s="152"/>
      <c r="K890" s="154"/>
      <c r="L890" s="152"/>
      <c r="M890" s="152"/>
      <c r="N890" s="155"/>
      <c r="O890" s="161"/>
      <c r="P890" s="157"/>
    </row>
    <row r="891" spans="1:16" ht="15.75" customHeight="1">
      <c r="A891" s="151"/>
      <c r="B891" s="162"/>
      <c r="C891" s="163"/>
      <c r="D891" s="164"/>
      <c r="E891" s="163"/>
      <c r="F891" s="165"/>
      <c r="G891" s="165"/>
      <c r="H891" s="164"/>
      <c r="I891" s="163"/>
      <c r="J891" s="152"/>
      <c r="K891" s="154"/>
      <c r="L891" s="152"/>
      <c r="M891" s="152"/>
      <c r="N891" s="155"/>
      <c r="O891" s="161"/>
      <c r="P891" s="157"/>
    </row>
    <row r="892" spans="1:16" ht="15.75" customHeight="1">
      <c r="A892" s="151"/>
      <c r="B892" s="162"/>
      <c r="C892" s="163"/>
      <c r="D892" s="164"/>
      <c r="E892" s="163"/>
      <c r="F892" s="165"/>
      <c r="G892" s="165"/>
      <c r="H892" s="164"/>
      <c r="I892" s="163"/>
      <c r="J892" s="152"/>
      <c r="K892" s="154"/>
      <c r="L892" s="152"/>
      <c r="M892" s="152"/>
      <c r="N892" s="155"/>
      <c r="O892" s="161"/>
      <c r="P892" s="157"/>
    </row>
    <row r="893" spans="1:16" ht="15.75" customHeight="1">
      <c r="A893" s="151"/>
      <c r="B893" s="162"/>
      <c r="C893" s="163"/>
      <c r="D893" s="164"/>
      <c r="E893" s="163"/>
      <c r="F893" s="165"/>
      <c r="G893" s="165"/>
      <c r="H893" s="164"/>
      <c r="I893" s="163"/>
      <c r="J893" s="152"/>
      <c r="K893" s="154"/>
      <c r="L893" s="152"/>
      <c r="M893" s="152"/>
      <c r="N893" s="155"/>
      <c r="O893" s="161"/>
      <c r="P893" s="157"/>
    </row>
    <row r="894" spans="1:16" ht="15.75" customHeight="1">
      <c r="A894" s="151"/>
      <c r="B894" s="162"/>
      <c r="C894" s="163"/>
      <c r="D894" s="164"/>
      <c r="E894" s="163"/>
      <c r="F894" s="165"/>
      <c r="G894" s="165"/>
      <c r="H894" s="164"/>
      <c r="I894" s="163"/>
      <c r="J894" s="152"/>
      <c r="K894" s="154"/>
      <c r="L894" s="152"/>
      <c r="M894" s="152"/>
      <c r="N894" s="155"/>
      <c r="O894" s="161"/>
      <c r="P894" s="157"/>
    </row>
    <row r="895" spans="1:16" ht="15.75" customHeight="1">
      <c r="A895" s="151"/>
      <c r="B895" s="162"/>
      <c r="C895" s="163"/>
      <c r="D895" s="164"/>
      <c r="E895" s="163"/>
      <c r="F895" s="165"/>
      <c r="G895" s="165"/>
      <c r="H895" s="164"/>
      <c r="I895" s="163"/>
      <c r="J895" s="152"/>
      <c r="K895" s="154"/>
      <c r="L895" s="152"/>
      <c r="M895" s="152"/>
      <c r="N895" s="155"/>
      <c r="O895" s="161"/>
      <c r="P895" s="157"/>
    </row>
    <row r="896" spans="1:16" ht="15.75" customHeight="1">
      <c r="A896" s="151"/>
      <c r="B896" s="162"/>
      <c r="C896" s="163"/>
      <c r="D896" s="164"/>
      <c r="E896" s="163"/>
      <c r="F896" s="165"/>
      <c r="G896" s="165"/>
      <c r="H896" s="164"/>
      <c r="I896" s="163"/>
      <c r="J896" s="152"/>
      <c r="K896" s="154"/>
      <c r="L896" s="152"/>
      <c r="M896" s="152"/>
      <c r="N896" s="155"/>
      <c r="O896" s="161"/>
      <c r="P896" s="157"/>
    </row>
    <row r="897" spans="1:16" ht="15.75" customHeight="1">
      <c r="A897" s="151"/>
      <c r="B897" s="162"/>
      <c r="C897" s="163"/>
      <c r="D897" s="164"/>
      <c r="E897" s="163"/>
      <c r="F897" s="165"/>
      <c r="G897" s="165"/>
      <c r="H897" s="164"/>
      <c r="I897" s="163"/>
      <c r="J897" s="152"/>
      <c r="K897" s="154"/>
      <c r="L897" s="152"/>
      <c r="M897" s="152"/>
      <c r="N897" s="155"/>
      <c r="O897" s="161"/>
      <c r="P897" s="157"/>
    </row>
    <row r="898" spans="1:16" ht="15.75" customHeight="1">
      <c r="A898" s="151"/>
      <c r="B898" s="162"/>
      <c r="C898" s="163"/>
      <c r="D898" s="164"/>
      <c r="E898" s="163"/>
      <c r="F898" s="165"/>
      <c r="G898" s="165"/>
      <c r="H898" s="164"/>
      <c r="I898" s="163"/>
      <c r="J898" s="152"/>
      <c r="K898" s="154"/>
      <c r="L898" s="152"/>
      <c r="M898" s="152"/>
      <c r="N898" s="155"/>
      <c r="O898" s="161"/>
      <c r="P898" s="157"/>
    </row>
    <row r="899" spans="1:16" ht="15.75" customHeight="1">
      <c r="A899" s="151"/>
      <c r="B899" s="162"/>
      <c r="C899" s="163"/>
      <c r="D899" s="164"/>
      <c r="E899" s="163"/>
      <c r="F899" s="165"/>
      <c r="G899" s="165"/>
      <c r="H899" s="164"/>
      <c r="I899" s="163"/>
      <c r="J899" s="152"/>
      <c r="K899" s="154"/>
      <c r="L899" s="152"/>
      <c r="M899" s="152"/>
      <c r="N899" s="155"/>
      <c r="O899" s="161"/>
      <c r="P899" s="157"/>
    </row>
    <row r="900" spans="1:16" ht="15.75" customHeight="1">
      <c r="A900" s="151"/>
      <c r="B900" s="162"/>
      <c r="C900" s="163"/>
      <c r="D900" s="164"/>
      <c r="E900" s="163"/>
      <c r="F900" s="165"/>
      <c r="G900" s="165"/>
      <c r="H900" s="164"/>
      <c r="I900" s="163"/>
      <c r="J900" s="152"/>
      <c r="K900" s="154"/>
      <c r="L900" s="152"/>
      <c r="M900" s="152"/>
      <c r="N900" s="155"/>
      <c r="O900" s="161"/>
      <c r="P900" s="157"/>
    </row>
    <row r="901" spans="1:16" ht="15.75" customHeight="1">
      <c r="A901" s="151"/>
      <c r="B901" s="162"/>
      <c r="C901" s="163"/>
      <c r="D901" s="164"/>
      <c r="E901" s="163"/>
      <c r="F901" s="165"/>
      <c r="G901" s="165"/>
      <c r="H901" s="164"/>
      <c r="I901" s="163"/>
      <c r="J901" s="152"/>
      <c r="K901" s="154"/>
      <c r="L901" s="152"/>
      <c r="M901" s="152"/>
      <c r="N901" s="155"/>
      <c r="O901" s="161"/>
      <c r="P901" s="157"/>
    </row>
    <row r="902" spans="1:16" ht="15.75" customHeight="1">
      <c r="A902" s="151"/>
      <c r="B902" s="162"/>
      <c r="C902" s="163"/>
      <c r="D902" s="164"/>
      <c r="E902" s="163"/>
      <c r="F902" s="165"/>
      <c r="G902" s="165"/>
      <c r="H902" s="164"/>
      <c r="I902" s="163"/>
      <c r="J902" s="152"/>
      <c r="K902" s="154"/>
      <c r="L902" s="152"/>
      <c r="M902" s="152"/>
      <c r="N902" s="155"/>
      <c r="O902" s="161"/>
      <c r="P902" s="157"/>
    </row>
    <row r="903" spans="1:16" ht="15.75" customHeight="1">
      <c r="A903" s="151"/>
      <c r="B903" s="162"/>
      <c r="C903" s="163"/>
      <c r="D903" s="164"/>
      <c r="E903" s="163"/>
      <c r="F903" s="165"/>
      <c r="G903" s="165"/>
      <c r="H903" s="164"/>
      <c r="I903" s="163"/>
      <c r="J903" s="152"/>
      <c r="K903" s="154"/>
      <c r="L903" s="152"/>
      <c r="M903" s="152"/>
      <c r="N903" s="155"/>
      <c r="O903" s="161"/>
      <c r="P903" s="157"/>
    </row>
    <row r="904" spans="1:16" ht="15.75" customHeight="1">
      <c r="A904" s="151"/>
      <c r="B904" s="162"/>
      <c r="C904" s="163"/>
      <c r="D904" s="164"/>
      <c r="E904" s="163"/>
      <c r="F904" s="165"/>
      <c r="G904" s="165"/>
      <c r="H904" s="164"/>
      <c r="I904" s="163"/>
      <c r="J904" s="152"/>
      <c r="K904" s="154"/>
      <c r="L904" s="152"/>
      <c r="M904" s="152"/>
      <c r="N904" s="155"/>
      <c r="O904" s="161"/>
      <c r="P904" s="157"/>
    </row>
    <row r="905" spans="1:16" ht="15.75" customHeight="1">
      <c r="A905" s="151"/>
      <c r="B905" s="162"/>
      <c r="C905" s="163"/>
      <c r="D905" s="164"/>
      <c r="E905" s="163"/>
      <c r="F905" s="165"/>
      <c r="G905" s="165"/>
      <c r="H905" s="164"/>
      <c r="I905" s="163"/>
      <c r="J905" s="152"/>
      <c r="K905" s="154"/>
      <c r="L905" s="152"/>
      <c r="M905" s="152"/>
      <c r="N905" s="155"/>
      <c r="O905" s="161"/>
      <c r="P905" s="157"/>
    </row>
    <row r="906" spans="1:16" ht="15.75" customHeight="1">
      <c r="A906" s="151"/>
      <c r="B906" s="162"/>
      <c r="C906" s="163"/>
      <c r="D906" s="164"/>
      <c r="E906" s="163"/>
      <c r="F906" s="165"/>
      <c r="G906" s="165"/>
      <c r="H906" s="164"/>
      <c r="I906" s="163"/>
      <c r="J906" s="152"/>
      <c r="K906" s="154"/>
      <c r="L906" s="152"/>
      <c r="M906" s="152"/>
      <c r="N906" s="155"/>
      <c r="O906" s="161"/>
      <c r="P906" s="157"/>
    </row>
    <row r="907" spans="1:16" ht="15.75" customHeight="1">
      <c r="A907" s="151"/>
      <c r="B907" s="162"/>
      <c r="C907" s="163"/>
      <c r="D907" s="164"/>
      <c r="E907" s="163"/>
      <c r="F907" s="165"/>
      <c r="G907" s="165"/>
      <c r="H907" s="164"/>
      <c r="I907" s="163"/>
      <c r="J907" s="152"/>
      <c r="K907" s="154"/>
      <c r="L907" s="152"/>
      <c r="M907" s="152"/>
      <c r="N907" s="155"/>
      <c r="O907" s="161"/>
      <c r="P907" s="157"/>
    </row>
    <row r="908" spans="1:16" ht="15.75" customHeight="1">
      <c r="A908" s="151"/>
      <c r="B908" s="162"/>
      <c r="C908" s="163"/>
      <c r="D908" s="164"/>
      <c r="E908" s="163"/>
      <c r="F908" s="165"/>
      <c r="G908" s="165"/>
      <c r="H908" s="164"/>
      <c r="I908" s="163"/>
      <c r="J908" s="152"/>
      <c r="K908" s="154"/>
      <c r="L908" s="152"/>
      <c r="M908" s="152"/>
      <c r="N908" s="155"/>
      <c r="O908" s="161"/>
      <c r="P908" s="157"/>
    </row>
    <row r="909" spans="1:16" ht="15.75" customHeight="1">
      <c r="A909" s="151"/>
      <c r="B909" s="162"/>
      <c r="C909" s="163"/>
      <c r="D909" s="164"/>
      <c r="E909" s="163"/>
      <c r="F909" s="165"/>
      <c r="G909" s="165"/>
      <c r="H909" s="164"/>
      <c r="I909" s="163"/>
      <c r="J909" s="152"/>
      <c r="K909" s="154"/>
      <c r="L909" s="152"/>
      <c r="M909" s="152"/>
      <c r="N909" s="155"/>
      <c r="O909" s="161"/>
      <c r="P909" s="157"/>
    </row>
    <row r="910" spans="1:16" ht="15.75" customHeight="1">
      <c r="A910" s="151"/>
      <c r="B910" s="162"/>
      <c r="C910" s="163"/>
      <c r="D910" s="164"/>
      <c r="E910" s="163"/>
      <c r="F910" s="165"/>
      <c r="G910" s="165"/>
      <c r="H910" s="164"/>
      <c r="I910" s="163"/>
      <c r="J910" s="152"/>
      <c r="K910" s="154"/>
      <c r="L910" s="152"/>
      <c r="M910" s="152"/>
      <c r="N910" s="155"/>
      <c r="O910" s="161"/>
      <c r="P910" s="157"/>
    </row>
    <row r="911" spans="1:16" ht="15.75" customHeight="1">
      <c r="A911" s="151"/>
      <c r="B911" s="162"/>
      <c r="C911" s="163"/>
      <c r="D911" s="164"/>
      <c r="E911" s="163"/>
      <c r="F911" s="165"/>
      <c r="G911" s="165"/>
      <c r="H911" s="164"/>
      <c r="I911" s="163"/>
      <c r="J911" s="152"/>
      <c r="K911" s="154"/>
      <c r="L911" s="152"/>
      <c r="M911" s="152"/>
      <c r="N911" s="155"/>
      <c r="O911" s="161"/>
      <c r="P911" s="157"/>
    </row>
    <row r="912" spans="1:16" ht="15.75" customHeight="1">
      <c r="A912" s="151"/>
      <c r="B912" s="162"/>
      <c r="C912" s="163"/>
      <c r="D912" s="164"/>
      <c r="E912" s="163"/>
      <c r="F912" s="165"/>
      <c r="G912" s="165"/>
      <c r="H912" s="164"/>
      <c r="I912" s="163"/>
      <c r="J912" s="152"/>
      <c r="K912" s="154"/>
      <c r="L912" s="152"/>
      <c r="M912" s="152"/>
      <c r="N912" s="155"/>
      <c r="O912" s="161"/>
      <c r="P912" s="157"/>
    </row>
    <row r="913" spans="1:16" ht="15.75" customHeight="1">
      <c r="A913" s="151"/>
      <c r="B913" s="162"/>
      <c r="C913" s="163"/>
      <c r="D913" s="164"/>
      <c r="E913" s="163"/>
      <c r="F913" s="165"/>
      <c r="G913" s="165"/>
      <c r="H913" s="164"/>
      <c r="I913" s="163"/>
      <c r="J913" s="152"/>
      <c r="K913" s="154"/>
      <c r="L913" s="152"/>
      <c r="M913" s="152"/>
      <c r="N913" s="155"/>
      <c r="O913" s="161"/>
      <c r="P913" s="157"/>
    </row>
    <row r="914" spans="1:16" ht="15.75" customHeight="1">
      <c r="A914" s="151"/>
      <c r="B914" s="162"/>
      <c r="C914" s="163"/>
      <c r="D914" s="164"/>
      <c r="E914" s="163"/>
      <c r="F914" s="165"/>
      <c r="G914" s="165"/>
      <c r="H914" s="164"/>
      <c r="I914" s="163"/>
      <c r="J914" s="152"/>
      <c r="K914" s="154"/>
      <c r="L914" s="152"/>
      <c r="M914" s="152"/>
      <c r="N914" s="155"/>
      <c r="O914" s="161"/>
      <c r="P914" s="157"/>
    </row>
    <row r="915" spans="1:16" ht="15.75" customHeight="1">
      <c r="A915" s="151"/>
      <c r="B915" s="162"/>
      <c r="C915" s="163"/>
      <c r="D915" s="164"/>
      <c r="E915" s="163"/>
      <c r="F915" s="165"/>
      <c r="G915" s="165"/>
      <c r="H915" s="164"/>
      <c r="I915" s="163"/>
      <c r="J915" s="152"/>
      <c r="K915" s="154"/>
      <c r="L915" s="152"/>
      <c r="M915" s="152"/>
      <c r="N915" s="155"/>
      <c r="O915" s="161"/>
      <c r="P915" s="157"/>
    </row>
    <row r="916" spans="1:16" ht="15.75" customHeight="1">
      <c r="A916" s="151"/>
      <c r="B916" s="162"/>
      <c r="C916" s="163"/>
      <c r="D916" s="164"/>
      <c r="E916" s="163"/>
      <c r="F916" s="165"/>
      <c r="G916" s="165"/>
      <c r="H916" s="164"/>
      <c r="I916" s="163"/>
      <c r="J916" s="152"/>
      <c r="K916" s="154"/>
      <c r="L916" s="152"/>
      <c r="M916" s="152"/>
      <c r="N916" s="155"/>
      <c r="O916" s="161"/>
      <c r="P916" s="157"/>
    </row>
    <row r="917" spans="1:16" ht="15.75" customHeight="1">
      <c r="A917" s="151"/>
      <c r="B917" s="162"/>
      <c r="C917" s="163"/>
      <c r="D917" s="164"/>
      <c r="E917" s="163"/>
      <c r="F917" s="165"/>
      <c r="G917" s="165"/>
      <c r="H917" s="164"/>
      <c r="I917" s="163"/>
      <c r="J917" s="152"/>
      <c r="K917" s="154"/>
      <c r="L917" s="152"/>
      <c r="M917" s="152"/>
      <c r="N917" s="155"/>
      <c r="O917" s="161"/>
      <c r="P917" s="157"/>
    </row>
    <row r="918" spans="1:16" ht="15.75" customHeight="1">
      <c r="A918" s="151"/>
      <c r="B918" s="162"/>
      <c r="C918" s="163"/>
      <c r="D918" s="164"/>
      <c r="E918" s="163"/>
      <c r="F918" s="165"/>
      <c r="G918" s="165"/>
      <c r="H918" s="164"/>
      <c r="I918" s="163"/>
      <c r="J918" s="152"/>
      <c r="K918" s="154"/>
      <c r="L918" s="152"/>
      <c r="M918" s="152"/>
      <c r="N918" s="155"/>
      <c r="O918" s="161"/>
      <c r="P918" s="157"/>
    </row>
    <row r="919" spans="1:16" ht="15.75" customHeight="1">
      <c r="A919" s="151"/>
      <c r="B919" s="162"/>
      <c r="C919" s="163"/>
      <c r="D919" s="164"/>
      <c r="E919" s="163"/>
      <c r="F919" s="165"/>
      <c r="G919" s="165"/>
      <c r="H919" s="164"/>
      <c r="I919" s="163"/>
      <c r="J919" s="152"/>
      <c r="K919" s="154"/>
      <c r="L919" s="152"/>
      <c r="M919" s="152"/>
      <c r="N919" s="155"/>
      <c r="O919" s="161"/>
      <c r="P919" s="157"/>
    </row>
    <row r="920" spans="1:16" ht="15.75" customHeight="1">
      <c r="A920" s="151"/>
      <c r="B920" s="162"/>
      <c r="C920" s="163"/>
      <c r="D920" s="164"/>
      <c r="E920" s="163"/>
      <c r="F920" s="165"/>
      <c r="G920" s="165"/>
      <c r="H920" s="164"/>
      <c r="I920" s="163"/>
      <c r="J920" s="152"/>
      <c r="K920" s="154"/>
      <c r="L920" s="152"/>
      <c r="M920" s="152"/>
      <c r="N920" s="155"/>
      <c r="O920" s="161"/>
      <c r="P920" s="157"/>
    </row>
    <row r="921" spans="1:16" ht="15.75" customHeight="1">
      <c r="A921" s="151"/>
      <c r="B921" s="162"/>
      <c r="C921" s="163"/>
      <c r="D921" s="164"/>
      <c r="E921" s="163"/>
      <c r="F921" s="165"/>
      <c r="G921" s="165"/>
      <c r="H921" s="164"/>
      <c r="I921" s="163"/>
      <c r="J921" s="152"/>
      <c r="K921" s="154"/>
      <c r="L921" s="152"/>
      <c r="M921" s="152"/>
      <c r="N921" s="155"/>
      <c r="O921" s="161"/>
      <c r="P921" s="157"/>
    </row>
    <row r="922" spans="1:16" ht="15.75" customHeight="1">
      <c r="A922" s="151"/>
      <c r="B922" s="162"/>
      <c r="C922" s="163"/>
      <c r="D922" s="164"/>
      <c r="E922" s="163"/>
      <c r="F922" s="165"/>
      <c r="G922" s="165"/>
      <c r="H922" s="164"/>
      <c r="I922" s="163"/>
      <c r="J922" s="152"/>
      <c r="K922" s="154"/>
      <c r="L922" s="152"/>
      <c r="M922" s="152"/>
      <c r="N922" s="155"/>
      <c r="O922" s="161"/>
      <c r="P922" s="157"/>
    </row>
    <row r="923" spans="1:16" ht="15.75" customHeight="1">
      <c r="A923" s="151"/>
      <c r="B923" s="162"/>
      <c r="C923" s="163"/>
      <c r="D923" s="164"/>
      <c r="E923" s="163"/>
      <c r="F923" s="165"/>
      <c r="G923" s="165"/>
      <c r="H923" s="164"/>
      <c r="I923" s="163"/>
      <c r="J923" s="152"/>
      <c r="K923" s="154"/>
      <c r="L923" s="152"/>
      <c r="M923" s="152"/>
      <c r="N923" s="155"/>
      <c r="O923" s="161"/>
      <c r="P923" s="157"/>
    </row>
    <row r="924" spans="1:16" ht="15.75" customHeight="1">
      <c r="A924" s="151"/>
      <c r="B924" s="162"/>
      <c r="C924" s="163"/>
      <c r="D924" s="164"/>
      <c r="E924" s="163"/>
      <c r="F924" s="165"/>
      <c r="G924" s="165"/>
      <c r="H924" s="164"/>
      <c r="I924" s="163"/>
      <c r="J924" s="152"/>
      <c r="K924" s="154"/>
      <c r="L924" s="152"/>
      <c r="M924" s="152"/>
      <c r="N924" s="155"/>
      <c r="O924" s="161"/>
      <c r="P924" s="157"/>
    </row>
    <row r="925" spans="1:16" ht="15.75" customHeight="1">
      <c r="A925" s="151"/>
      <c r="B925" s="162"/>
      <c r="C925" s="163"/>
      <c r="D925" s="164"/>
      <c r="E925" s="163"/>
      <c r="F925" s="165"/>
      <c r="G925" s="165"/>
      <c r="H925" s="164"/>
      <c r="I925" s="163"/>
      <c r="J925" s="152"/>
      <c r="K925" s="154"/>
      <c r="L925" s="152"/>
      <c r="M925" s="152"/>
      <c r="N925" s="155"/>
      <c r="O925" s="161"/>
      <c r="P925" s="157"/>
    </row>
    <row r="926" spans="1:16" ht="15.75" customHeight="1">
      <c r="A926" s="151"/>
      <c r="B926" s="162"/>
      <c r="C926" s="163"/>
      <c r="D926" s="164"/>
      <c r="E926" s="163"/>
      <c r="F926" s="165"/>
      <c r="G926" s="165"/>
      <c r="H926" s="164"/>
      <c r="I926" s="163"/>
      <c r="J926" s="152"/>
      <c r="K926" s="154"/>
      <c r="L926" s="152"/>
      <c r="M926" s="152"/>
      <c r="N926" s="155"/>
      <c r="O926" s="161"/>
      <c r="P926" s="157"/>
    </row>
    <row r="927" spans="1:16" ht="15.75" customHeight="1">
      <c r="A927" s="151"/>
      <c r="B927" s="162"/>
      <c r="C927" s="163"/>
      <c r="D927" s="164"/>
      <c r="E927" s="163"/>
      <c r="F927" s="165"/>
      <c r="G927" s="165"/>
      <c r="H927" s="164"/>
      <c r="I927" s="163"/>
      <c r="J927" s="152"/>
      <c r="K927" s="154"/>
      <c r="L927" s="152"/>
      <c r="M927" s="152"/>
      <c r="N927" s="155"/>
      <c r="O927" s="161"/>
      <c r="P927" s="157"/>
    </row>
    <row r="928" spans="1:16" ht="15.75" customHeight="1">
      <c r="A928" s="151"/>
      <c r="B928" s="162"/>
      <c r="C928" s="163"/>
      <c r="D928" s="164"/>
      <c r="E928" s="163"/>
      <c r="F928" s="165"/>
      <c r="G928" s="165"/>
      <c r="H928" s="164"/>
      <c r="I928" s="163"/>
      <c r="J928" s="152"/>
      <c r="K928" s="154"/>
      <c r="L928" s="152"/>
      <c r="M928" s="152"/>
      <c r="N928" s="155"/>
      <c r="O928" s="161"/>
      <c r="P928" s="157"/>
    </row>
    <row r="929" spans="1:16" ht="15.75" customHeight="1">
      <c r="A929" s="151"/>
      <c r="B929" s="162"/>
      <c r="C929" s="163"/>
      <c r="D929" s="164"/>
      <c r="E929" s="163"/>
      <c r="F929" s="165"/>
      <c r="G929" s="165"/>
      <c r="H929" s="164"/>
      <c r="I929" s="163"/>
      <c r="J929" s="152"/>
      <c r="K929" s="154"/>
      <c r="L929" s="152"/>
      <c r="M929" s="152"/>
      <c r="N929" s="155"/>
      <c r="O929" s="161"/>
      <c r="P929" s="157"/>
    </row>
    <row r="930" spans="1:16" ht="15.75" customHeight="1">
      <c r="A930" s="151"/>
      <c r="B930" s="162"/>
      <c r="C930" s="163"/>
      <c r="D930" s="164"/>
      <c r="E930" s="163"/>
      <c r="F930" s="165"/>
      <c r="G930" s="165"/>
      <c r="H930" s="164"/>
      <c r="I930" s="163"/>
      <c r="J930" s="152"/>
      <c r="K930" s="154"/>
      <c r="L930" s="152"/>
      <c r="M930" s="152"/>
      <c r="N930" s="155"/>
      <c r="O930" s="161"/>
      <c r="P930" s="157"/>
    </row>
    <row r="931" spans="1:16" ht="15.75" customHeight="1">
      <c r="A931" s="151"/>
      <c r="B931" s="162"/>
      <c r="C931" s="163"/>
      <c r="D931" s="164"/>
      <c r="E931" s="163"/>
      <c r="F931" s="165"/>
      <c r="G931" s="165"/>
      <c r="H931" s="164"/>
      <c r="I931" s="163"/>
      <c r="J931" s="152"/>
      <c r="K931" s="154"/>
      <c r="L931" s="152"/>
      <c r="M931" s="152"/>
      <c r="N931" s="155"/>
      <c r="O931" s="161"/>
      <c r="P931" s="157"/>
    </row>
    <row r="932" spans="1:16" ht="15.75" customHeight="1">
      <c r="A932" s="151"/>
      <c r="B932" s="162"/>
      <c r="C932" s="163"/>
      <c r="D932" s="164"/>
      <c r="E932" s="163"/>
      <c r="F932" s="165"/>
      <c r="G932" s="165"/>
      <c r="H932" s="164"/>
      <c r="I932" s="163"/>
      <c r="J932" s="152"/>
      <c r="K932" s="154"/>
      <c r="L932" s="152"/>
      <c r="M932" s="152"/>
      <c r="N932" s="155"/>
      <c r="O932" s="161"/>
      <c r="P932" s="157"/>
    </row>
    <row r="933" spans="1:16" ht="15.75" customHeight="1">
      <c r="A933" s="151"/>
      <c r="B933" s="162"/>
      <c r="C933" s="163"/>
      <c r="D933" s="164"/>
      <c r="E933" s="163"/>
      <c r="F933" s="165"/>
      <c r="G933" s="165"/>
      <c r="H933" s="164"/>
      <c r="I933" s="163"/>
      <c r="J933" s="152"/>
      <c r="K933" s="154"/>
      <c r="L933" s="152"/>
      <c r="M933" s="152"/>
      <c r="N933" s="155"/>
      <c r="O933" s="161"/>
      <c r="P933" s="157"/>
    </row>
    <row r="934" spans="1:16" ht="15.75" customHeight="1">
      <c r="A934" s="151"/>
      <c r="B934" s="162"/>
      <c r="C934" s="163"/>
      <c r="D934" s="164"/>
      <c r="E934" s="163"/>
      <c r="F934" s="165"/>
      <c r="G934" s="165"/>
      <c r="H934" s="164"/>
      <c r="I934" s="163"/>
      <c r="J934" s="152"/>
      <c r="K934" s="154"/>
      <c r="L934" s="152"/>
      <c r="M934" s="152"/>
      <c r="N934" s="155"/>
      <c r="O934" s="161"/>
      <c r="P934" s="157"/>
    </row>
    <row r="935" spans="1:16" ht="15.75" customHeight="1">
      <c r="A935" s="151"/>
      <c r="B935" s="162"/>
      <c r="C935" s="163"/>
      <c r="D935" s="164"/>
      <c r="E935" s="163"/>
      <c r="F935" s="165"/>
      <c r="G935" s="165"/>
      <c r="H935" s="164"/>
      <c r="I935" s="163"/>
      <c r="J935" s="152"/>
      <c r="K935" s="154"/>
      <c r="L935" s="152"/>
      <c r="M935" s="152"/>
      <c r="N935" s="155"/>
      <c r="O935" s="161"/>
      <c r="P935" s="157"/>
    </row>
    <row r="936" spans="1:16" ht="15.75" customHeight="1">
      <c r="A936" s="151"/>
      <c r="B936" s="162"/>
      <c r="C936" s="163"/>
      <c r="D936" s="164"/>
      <c r="E936" s="163"/>
      <c r="F936" s="165"/>
      <c r="G936" s="165"/>
      <c r="H936" s="164"/>
      <c r="I936" s="163"/>
      <c r="J936" s="152"/>
      <c r="K936" s="154"/>
      <c r="L936" s="152"/>
      <c r="M936" s="152"/>
      <c r="N936" s="155"/>
      <c r="O936" s="161"/>
      <c r="P936" s="157"/>
    </row>
    <row r="937" spans="1:16" ht="15.75" customHeight="1">
      <c r="A937" s="151"/>
      <c r="B937" s="162"/>
      <c r="C937" s="163"/>
      <c r="D937" s="164"/>
      <c r="E937" s="163"/>
      <c r="F937" s="165"/>
      <c r="G937" s="165"/>
      <c r="H937" s="164"/>
      <c r="I937" s="163"/>
      <c r="J937" s="152"/>
      <c r="K937" s="154"/>
      <c r="L937" s="152"/>
      <c r="M937" s="152"/>
      <c r="N937" s="155"/>
      <c r="O937" s="161"/>
      <c r="P937" s="157"/>
    </row>
    <row r="938" spans="1:16" ht="15.75" customHeight="1">
      <c r="A938" s="151"/>
      <c r="B938" s="162"/>
      <c r="C938" s="163"/>
      <c r="D938" s="164"/>
      <c r="E938" s="163"/>
      <c r="F938" s="165"/>
      <c r="G938" s="165"/>
      <c r="H938" s="164"/>
      <c r="I938" s="163"/>
      <c r="J938" s="152"/>
      <c r="K938" s="154"/>
      <c r="L938" s="152"/>
      <c r="M938" s="152"/>
      <c r="N938" s="155"/>
      <c r="O938" s="161"/>
      <c r="P938" s="157"/>
    </row>
    <row r="939" spans="1:16" ht="15.75" customHeight="1">
      <c r="A939" s="151"/>
      <c r="B939" s="162"/>
      <c r="C939" s="163"/>
      <c r="D939" s="164"/>
      <c r="E939" s="163"/>
      <c r="F939" s="165"/>
      <c r="G939" s="165"/>
      <c r="H939" s="164"/>
      <c r="I939" s="163"/>
      <c r="J939" s="152"/>
      <c r="K939" s="154"/>
      <c r="L939" s="152"/>
      <c r="M939" s="152"/>
      <c r="N939" s="155"/>
      <c r="O939" s="161"/>
      <c r="P939" s="157"/>
    </row>
    <row r="940" spans="1:16" ht="15.75" customHeight="1">
      <c r="A940" s="151"/>
      <c r="B940" s="162"/>
      <c r="C940" s="163"/>
      <c r="D940" s="164"/>
      <c r="E940" s="163"/>
      <c r="F940" s="165"/>
      <c r="G940" s="165"/>
      <c r="H940" s="164"/>
      <c r="I940" s="163"/>
      <c r="J940" s="152"/>
      <c r="K940" s="154"/>
      <c r="L940" s="152"/>
      <c r="M940" s="152"/>
      <c r="N940" s="155"/>
      <c r="O940" s="161"/>
      <c r="P940" s="157"/>
    </row>
    <row r="941" spans="1:16" ht="15.75" customHeight="1">
      <c r="A941" s="151"/>
      <c r="B941" s="162"/>
      <c r="C941" s="163"/>
      <c r="D941" s="164"/>
      <c r="E941" s="163"/>
      <c r="F941" s="165"/>
      <c r="G941" s="165"/>
      <c r="H941" s="164"/>
      <c r="I941" s="163"/>
      <c r="J941" s="152"/>
      <c r="K941" s="154"/>
      <c r="L941" s="152"/>
      <c r="M941" s="152"/>
      <c r="N941" s="155"/>
      <c r="O941" s="161"/>
      <c r="P941" s="157"/>
    </row>
    <row r="942" spans="1:16" ht="15.75" customHeight="1">
      <c r="A942" s="151"/>
      <c r="B942" s="162"/>
      <c r="C942" s="163"/>
      <c r="D942" s="164"/>
      <c r="E942" s="163"/>
      <c r="F942" s="165"/>
      <c r="G942" s="165"/>
      <c r="H942" s="164"/>
      <c r="I942" s="163"/>
      <c r="J942" s="152"/>
      <c r="K942" s="154"/>
      <c r="L942" s="152"/>
      <c r="M942" s="152"/>
      <c r="N942" s="155"/>
      <c r="O942" s="161"/>
      <c r="P942" s="157"/>
    </row>
    <row r="943" spans="1:16" ht="15.75" customHeight="1">
      <c r="A943" s="151"/>
      <c r="B943" s="162"/>
      <c r="C943" s="163"/>
      <c r="D943" s="164"/>
      <c r="E943" s="163"/>
      <c r="F943" s="165"/>
      <c r="G943" s="165"/>
      <c r="H943" s="164"/>
      <c r="I943" s="163"/>
      <c r="J943" s="152"/>
      <c r="K943" s="154"/>
      <c r="L943" s="152"/>
      <c r="M943" s="152"/>
      <c r="N943" s="155"/>
      <c r="O943" s="161"/>
      <c r="P943" s="157"/>
    </row>
    <row r="944" spans="1:16" ht="15.75" customHeight="1">
      <c r="A944" s="151"/>
      <c r="B944" s="162"/>
      <c r="C944" s="163"/>
      <c r="D944" s="164"/>
      <c r="E944" s="163"/>
      <c r="F944" s="165"/>
      <c r="G944" s="165"/>
      <c r="H944" s="164"/>
      <c r="I944" s="163"/>
      <c r="J944" s="152"/>
      <c r="K944" s="154"/>
      <c r="L944" s="152"/>
      <c r="M944" s="152"/>
      <c r="N944" s="155"/>
      <c r="O944" s="161"/>
      <c r="P944" s="157"/>
    </row>
    <row r="945" spans="1:16" ht="15.75" customHeight="1">
      <c r="A945" s="151"/>
      <c r="B945" s="162"/>
      <c r="C945" s="163"/>
      <c r="D945" s="164"/>
      <c r="E945" s="163"/>
      <c r="F945" s="165"/>
      <c r="G945" s="165"/>
      <c r="H945" s="164"/>
      <c r="I945" s="163"/>
      <c r="J945" s="152"/>
      <c r="K945" s="154"/>
      <c r="L945" s="152"/>
      <c r="M945" s="152"/>
      <c r="N945" s="155"/>
      <c r="O945" s="161"/>
      <c r="P945" s="157"/>
    </row>
    <row r="946" spans="1:16" ht="15.75" customHeight="1">
      <c r="A946" s="151"/>
      <c r="B946" s="162"/>
      <c r="C946" s="163"/>
      <c r="D946" s="164"/>
      <c r="E946" s="163"/>
      <c r="F946" s="165"/>
      <c r="G946" s="165"/>
      <c r="H946" s="164"/>
      <c r="I946" s="163"/>
      <c r="J946" s="152"/>
      <c r="K946" s="154"/>
      <c r="L946" s="152"/>
      <c r="M946" s="152"/>
      <c r="N946" s="155"/>
      <c r="O946" s="161"/>
      <c r="P946" s="157"/>
    </row>
    <row r="947" spans="1:16" ht="15.75" customHeight="1">
      <c r="A947" s="151"/>
      <c r="B947" s="162"/>
      <c r="C947" s="163"/>
      <c r="D947" s="164"/>
      <c r="E947" s="163"/>
      <c r="F947" s="165"/>
      <c r="G947" s="165"/>
      <c r="H947" s="164"/>
      <c r="I947" s="163"/>
      <c r="J947" s="152"/>
      <c r="K947" s="154"/>
      <c r="L947" s="152"/>
      <c r="M947" s="152"/>
      <c r="N947" s="155"/>
      <c r="O947" s="161"/>
      <c r="P947" s="157"/>
    </row>
    <row r="948" spans="1:16" ht="15.75" customHeight="1">
      <c r="A948" s="151"/>
      <c r="B948" s="162"/>
      <c r="C948" s="163"/>
      <c r="D948" s="164"/>
      <c r="E948" s="163"/>
      <c r="F948" s="165"/>
      <c r="G948" s="165"/>
      <c r="H948" s="164"/>
      <c r="I948" s="163"/>
      <c r="J948" s="152"/>
      <c r="K948" s="154"/>
      <c r="L948" s="152"/>
      <c r="M948" s="152"/>
      <c r="N948" s="155"/>
      <c r="O948" s="161"/>
      <c r="P948" s="157"/>
    </row>
    <row r="949" spans="1:16" ht="15.75" customHeight="1">
      <c r="A949" s="151"/>
      <c r="B949" s="162"/>
      <c r="C949" s="163"/>
      <c r="D949" s="164"/>
      <c r="E949" s="163"/>
      <c r="F949" s="165"/>
      <c r="G949" s="165"/>
      <c r="H949" s="164"/>
      <c r="I949" s="163"/>
      <c r="J949" s="152"/>
      <c r="K949" s="154"/>
      <c r="L949" s="152"/>
      <c r="M949" s="152"/>
      <c r="N949" s="155"/>
      <c r="O949" s="161"/>
      <c r="P949" s="157"/>
    </row>
    <row r="950" spans="1:16" ht="15.75" customHeight="1">
      <c r="A950" s="151"/>
      <c r="B950" s="162"/>
      <c r="C950" s="163"/>
      <c r="D950" s="164"/>
      <c r="E950" s="163"/>
      <c r="F950" s="165"/>
      <c r="G950" s="165"/>
      <c r="H950" s="164"/>
      <c r="I950" s="163"/>
      <c r="J950" s="152"/>
      <c r="K950" s="154"/>
      <c r="L950" s="152"/>
      <c r="M950" s="152"/>
      <c r="N950" s="155"/>
      <c r="O950" s="161"/>
      <c r="P950" s="157"/>
    </row>
    <row r="951" spans="1:16" ht="15.75" customHeight="1">
      <c r="A951" s="151"/>
      <c r="B951" s="162"/>
      <c r="C951" s="163"/>
      <c r="D951" s="164"/>
      <c r="E951" s="163"/>
      <c r="F951" s="165"/>
      <c r="G951" s="165"/>
      <c r="H951" s="164"/>
      <c r="I951" s="163"/>
      <c r="J951" s="152"/>
      <c r="K951" s="154"/>
      <c r="L951" s="152"/>
      <c r="M951" s="152"/>
      <c r="N951" s="155"/>
      <c r="O951" s="161"/>
      <c r="P951" s="157"/>
    </row>
    <row r="952" spans="1:16" ht="15.75" customHeight="1">
      <c r="A952" s="151"/>
      <c r="B952" s="162"/>
      <c r="C952" s="163"/>
      <c r="D952" s="164"/>
      <c r="E952" s="163"/>
      <c r="F952" s="165"/>
      <c r="G952" s="165"/>
      <c r="H952" s="164"/>
      <c r="I952" s="163"/>
      <c r="J952" s="152"/>
      <c r="K952" s="154"/>
      <c r="L952" s="152"/>
      <c r="M952" s="152"/>
      <c r="N952" s="155"/>
      <c r="O952" s="161"/>
      <c r="P952" s="157"/>
    </row>
    <row r="953" spans="1:16" ht="15.75" customHeight="1">
      <c r="A953" s="151"/>
      <c r="B953" s="162"/>
      <c r="C953" s="163"/>
      <c r="D953" s="164"/>
      <c r="E953" s="163"/>
      <c r="F953" s="165"/>
      <c r="G953" s="165"/>
      <c r="H953" s="164"/>
      <c r="I953" s="163"/>
      <c r="J953" s="152"/>
      <c r="K953" s="154"/>
      <c r="L953" s="152"/>
      <c r="M953" s="152"/>
      <c r="N953" s="155"/>
      <c r="O953" s="161"/>
      <c r="P953" s="157"/>
    </row>
    <row r="954" spans="1:16" ht="15.75" customHeight="1">
      <c r="A954" s="151"/>
      <c r="B954" s="162"/>
      <c r="C954" s="163"/>
      <c r="D954" s="164"/>
      <c r="E954" s="163"/>
      <c r="F954" s="165"/>
      <c r="G954" s="165"/>
      <c r="H954" s="164"/>
      <c r="I954" s="163"/>
      <c r="J954" s="152"/>
      <c r="K954" s="154"/>
      <c r="L954" s="152"/>
      <c r="M954" s="152"/>
      <c r="N954" s="155"/>
      <c r="O954" s="161"/>
      <c r="P954" s="157"/>
    </row>
    <row r="955" spans="1:16" ht="15.75" customHeight="1">
      <c r="A955" s="151"/>
      <c r="B955" s="162"/>
      <c r="C955" s="163"/>
      <c r="D955" s="164"/>
      <c r="E955" s="163"/>
      <c r="F955" s="165"/>
      <c r="G955" s="165"/>
      <c r="H955" s="164"/>
      <c r="I955" s="163"/>
      <c r="J955" s="152"/>
      <c r="K955" s="154"/>
      <c r="L955" s="152"/>
      <c r="M955" s="152"/>
      <c r="N955" s="155"/>
      <c r="O955" s="161"/>
      <c r="P955" s="157"/>
    </row>
    <row r="956" spans="1:16" ht="15.75" customHeight="1">
      <c r="A956" s="151"/>
      <c r="B956" s="162"/>
      <c r="C956" s="163"/>
      <c r="D956" s="164"/>
      <c r="E956" s="163"/>
      <c r="F956" s="165"/>
      <c r="G956" s="165"/>
      <c r="H956" s="164"/>
      <c r="I956" s="163"/>
      <c r="J956" s="152"/>
      <c r="K956" s="154"/>
      <c r="L956" s="152"/>
      <c r="M956" s="152"/>
      <c r="N956" s="155"/>
      <c r="O956" s="161"/>
      <c r="P956" s="157"/>
    </row>
    <row r="957" spans="1:16" ht="15.75" customHeight="1">
      <c r="A957" s="151"/>
      <c r="B957" s="162"/>
      <c r="C957" s="163"/>
      <c r="D957" s="164"/>
      <c r="E957" s="163"/>
      <c r="F957" s="165"/>
      <c r="G957" s="165"/>
      <c r="H957" s="164"/>
      <c r="I957" s="163"/>
      <c r="J957" s="152"/>
      <c r="K957" s="154"/>
      <c r="L957" s="152"/>
      <c r="M957" s="152"/>
      <c r="N957" s="155"/>
      <c r="O957" s="161"/>
      <c r="P957" s="157"/>
    </row>
    <row r="958" spans="1:16" ht="15.75" customHeight="1">
      <c r="A958" s="151"/>
      <c r="B958" s="162"/>
      <c r="C958" s="163"/>
      <c r="D958" s="164"/>
      <c r="E958" s="163"/>
      <c r="F958" s="165"/>
      <c r="G958" s="165"/>
      <c r="H958" s="164"/>
      <c r="I958" s="163"/>
      <c r="J958" s="152"/>
      <c r="K958" s="154"/>
      <c r="L958" s="152"/>
      <c r="M958" s="152"/>
      <c r="N958" s="155"/>
      <c r="O958" s="161"/>
      <c r="P958" s="157"/>
    </row>
    <row r="959" spans="1:16" ht="15.75" customHeight="1">
      <c r="A959" s="151"/>
      <c r="B959" s="162"/>
      <c r="C959" s="163"/>
      <c r="D959" s="164"/>
      <c r="E959" s="163"/>
      <c r="F959" s="165"/>
      <c r="G959" s="165"/>
      <c r="H959" s="164"/>
      <c r="I959" s="163"/>
      <c r="J959" s="152"/>
      <c r="K959" s="154"/>
      <c r="L959" s="152"/>
      <c r="M959" s="152"/>
      <c r="N959" s="155"/>
      <c r="O959" s="161"/>
      <c r="P959" s="157"/>
    </row>
    <row r="960" spans="1:16" ht="15.75" customHeight="1">
      <c r="A960" s="151"/>
      <c r="B960" s="162"/>
      <c r="C960" s="163"/>
      <c r="D960" s="164"/>
      <c r="E960" s="163"/>
      <c r="F960" s="165"/>
      <c r="G960" s="165"/>
      <c r="H960" s="164"/>
      <c r="I960" s="163"/>
      <c r="J960" s="152"/>
      <c r="K960" s="154"/>
      <c r="L960" s="152"/>
      <c r="M960" s="152"/>
      <c r="N960" s="155"/>
      <c r="O960" s="161"/>
      <c r="P960" s="157"/>
    </row>
    <row r="961" spans="1:16" ht="15.75" customHeight="1">
      <c r="A961" s="151"/>
      <c r="B961" s="162"/>
      <c r="C961" s="163"/>
      <c r="D961" s="164"/>
      <c r="E961" s="163"/>
      <c r="F961" s="165"/>
      <c r="G961" s="165"/>
      <c r="H961" s="164"/>
      <c r="I961" s="163"/>
      <c r="J961" s="152"/>
      <c r="K961" s="154"/>
      <c r="L961" s="152"/>
      <c r="M961" s="152"/>
      <c r="N961" s="155"/>
      <c r="O961" s="161"/>
      <c r="P961" s="157"/>
    </row>
    <row r="962" spans="1:16" ht="15.75" customHeight="1">
      <c r="A962" s="151"/>
      <c r="B962" s="162"/>
      <c r="C962" s="163"/>
      <c r="D962" s="164"/>
      <c r="E962" s="163"/>
      <c r="F962" s="165"/>
      <c r="G962" s="165"/>
      <c r="H962" s="164"/>
      <c r="I962" s="163"/>
      <c r="J962" s="152"/>
      <c r="K962" s="154"/>
      <c r="L962" s="152"/>
      <c r="M962" s="152"/>
      <c r="N962" s="155"/>
      <c r="O962" s="161"/>
      <c r="P962" s="157"/>
    </row>
    <row r="963" spans="1:16" ht="15.75" customHeight="1">
      <c r="A963" s="151"/>
      <c r="B963" s="162"/>
      <c r="C963" s="163"/>
      <c r="D963" s="164"/>
      <c r="E963" s="163"/>
      <c r="F963" s="165"/>
      <c r="G963" s="165"/>
      <c r="H963" s="164"/>
      <c r="I963" s="163"/>
      <c r="J963" s="152"/>
      <c r="K963" s="154"/>
      <c r="L963" s="152"/>
      <c r="M963" s="152"/>
      <c r="N963" s="155"/>
      <c r="O963" s="161"/>
      <c r="P963" s="157"/>
    </row>
    <row r="964" spans="1:16" ht="15.75" customHeight="1">
      <c r="A964" s="151"/>
      <c r="B964" s="162"/>
      <c r="C964" s="163"/>
      <c r="D964" s="164"/>
      <c r="E964" s="163"/>
      <c r="F964" s="165"/>
      <c r="G964" s="165"/>
      <c r="H964" s="164"/>
      <c r="I964" s="163"/>
      <c r="J964" s="152"/>
      <c r="K964" s="154"/>
      <c r="L964" s="152"/>
      <c r="M964" s="152"/>
      <c r="N964" s="155"/>
      <c r="O964" s="161"/>
      <c r="P964" s="157"/>
    </row>
    <row r="965" spans="1:16" ht="15.75" customHeight="1">
      <c r="A965" s="151"/>
      <c r="B965" s="162"/>
      <c r="C965" s="163"/>
      <c r="D965" s="164"/>
      <c r="E965" s="163"/>
      <c r="F965" s="165"/>
      <c r="G965" s="165"/>
      <c r="H965" s="164"/>
      <c r="I965" s="163"/>
      <c r="J965" s="152"/>
      <c r="K965" s="154"/>
      <c r="L965" s="152"/>
      <c r="M965" s="152"/>
      <c r="N965" s="155"/>
      <c r="O965" s="161"/>
      <c r="P965" s="157"/>
    </row>
    <row r="966" spans="1:16" ht="15.75" customHeight="1">
      <c r="A966" s="151"/>
      <c r="B966" s="162"/>
      <c r="C966" s="163"/>
      <c r="D966" s="164"/>
      <c r="E966" s="163"/>
      <c r="F966" s="165"/>
      <c r="G966" s="165"/>
      <c r="H966" s="164"/>
      <c r="I966" s="163"/>
      <c r="J966" s="152"/>
      <c r="K966" s="154"/>
      <c r="L966" s="152"/>
      <c r="M966" s="152"/>
      <c r="N966" s="155"/>
      <c r="O966" s="161"/>
      <c r="P966" s="157"/>
    </row>
    <row r="967" spans="1:16" ht="15.75" customHeight="1">
      <c r="A967" s="151"/>
      <c r="B967" s="162"/>
      <c r="C967" s="163"/>
      <c r="D967" s="164"/>
      <c r="E967" s="163"/>
      <c r="F967" s="165"/>
      <c r="G967" s="165"/>
      <c r="H967" s="164"/>
      <c r="I967" s="163"/>
      <c r="J967" s="152"/>
      <c r="K967" s="154"/>
      <c r="L967" s="152"/>
      <c r="M967" s="152"/>
      <c r="N967" s="155"/>
      <c r="O967" s="161"/>
      <c r="P967" s="157"/>
    </row>
    <row r="968" spans="1:16" ht="15.75" customHeight="1">
      <c r="A968" s="151"/>
      <c r="B968" s="162"/>
      <c r="C968" s="163"/>
      <c r="D968" s="164"/>
      <c r="E968" s="163"/>
      <c r="F968" s="165"/>
      <c r="G968" s="165"/>
      <c r="H968" s="164"/>
      <c r="I968" s="163"/>
      <c r="J968" s="152"/>
      <c r="K968" s="154"/>
      <c r="L968" s="152"/>
      <c r="M968" s="152"/>
      <c r="N968" s="155"/>
      <c r="O968" s="161"/>
      <c r="P968" s="157"/>
    </row>
    <row r="969" spans="1:16" ht="15.75" customHeight="1">
      <c r="A969" s="151"/>
      <c r="B969" s="162"/>
      <c r="C969" s="163"/>
      <c r="D969" s="164"/>
      <c r="E969" s="163"/>
      <c r="F969" s="165"/>
      <c r="G969" s="165"/>
      <c r="H969" s="164"/>
      <c r="I969" s="163"/>
      <c r="J969" s="152"/>
      <c r="K969" s="154"/>
      <c r="L969" s="152"/>
      <c r="M969" s="152"/>
      <c r="N969" s="155"/>
      <c r="O969" s="161"/>
      <c r="P969" s="157"/>
    </row>
    <row r="970" spans="1:16" ht="15.75" customHeight="1">
      <c r="A970" s="151"/>
      <c r="B970" s="162"/>
      <c r="C970" s="163"/>
      <c r="D970" s="164"/>
      <c r="E970" s="163"/>
      <c r="F970" s="165"/>
      <c r="G970" s="165"/>
      <c r="H970" s="164"/>
      <c r="I970" s="163"/>
      <c r="J970" s="152"/>
      <c r="K970" s="154"/>
      <c r="L970" s="152"/>
      <c r="M970" s="152"/>
      <c r="N970" s="155"/>
      <c r="O970" s="161"/>
      <c r="P970" s="157"/>
    </row>
    <row r="971" spans="1:16" ht="15.75" customHeight="1">
      <c r="A971" s="151"/>
      <c r="B971" s="162"/>
      <c r="C971" s="163"/>
      <c r="D971" s="164"/>
      <c r="E971" s="163"/>
      <c r="F971" s="165"/>
      <c r="G971" s="165"/>
      <c r="H971" s="164"/>
      <c r="I971" s="163"/>
      <c r="J971" s="152"/>
      <c r="K971" s="154"/>
      <c r="L971" s="152"/>
      <c r="M971" s="152"/>
      <c r="N971" s="155"/>
      <c r="O971" s="161"/>
      <c r="P971" s="157"/>
    </row>
    <row r="972" spans="1:16" ht="15.75" customHeight="1">
      <c r="A972" s="151"/>
      <c r="B972" s="162"/>
      <c r="C972" s="163"/>
      <c r="D972" s="164"/>
      <c r="E972" s="163"/>
      <c r="F972" s="165"/>
      <c r="G972" s="165"/>
      <c r="H972" s="164"/>
      <c r="I972" s="163"/>
      <c r="J972" s="152"/>
      <c r="K972" s="154"/>
      <c r="L972" s="152"/>
      <c r="M972" s="152"/>
      <c r="N972" s="155"/>
      <c r="O972" s="161"/>
      <c r="P972" s="157"/>
    </row>
    <row r="973" spans="1:16" ht="15.75" customHeight="1">
      <c r="A973" s="151"/>
      <c r="B973" s="162"/>
      <c r="C973" s="163"/>
      <c r="D973" s="164"/>
      <c r="E973" s="163"/>
      <c r="F973" s="165"/>
      <c r="G973" s="165"/>
      <c r="H973" s="164"/>
      <c r="I973" s="163"/>
      <c r="J973" s="152"/>
      <c r="K973" s="154"/>
      <c r="L973" s="152"/>
      <c r="M973" s="152"/>
      <c r="N973" s="155"/>
      <c r="O973" s="161"/>
      <c r="P973" s="157"/>
    </row>
    <row r="974" spans="1:16" ht="15.75" customHeight="1">
      <c r="A974" s="151"/>
      <c r="B974" s="162"/>
      <c r="C974" s="163"/>
      <c r="D974" s="164"/>
      <c r="E974" s="163"/>
      <c r="F974" s="165"/>
      <c r="G974" s="165"/>
      <c r="H974" s="164"/>
      <c r="I974" s="163"/>
      <c r="J974" s="152"/>
      <c r="K974" s="154"/>
      <c r="L974" s="152"/>
      <c r="M974" s="152"/>
      <c r="N974" s="155"/>
      <c r="O974" s="161"/>
      <c r="P974" s="157"/>
    </row>
    <row r="975" spans="1:16" ht="15.75" customHeight="1">
      <c r="A975" s="151"/>
      <c r="B975" s="162"/>
      <c r="C975" s="163"/>
      <c r="D975" s="164"/>
      <c r="E975" s="163"/>
      <c r="F975" s="165"/>
      <c r="G975" s="165"/>
      <c r="H975" s="164"/>
      <c r="I975" s="163"/>
      <c r="J975" s="152"/>
      <c r="K975" s="154"/>
      <c r="L975" s="152"/>
      <c r="M975" s="152"/>
      <c r="N975" s="155"/>
      <c r="O975" s="161"/>
      <c r="P975" s="157"/>
    </row>
    <row r="976" spans="1:16" ht="15.75" customHeight="1">
      <c r="A976" s="151"/>
      <c r="B976" s="162"/>
      <c r="C976" s="163"/>
      <c r="D976" s="164"/>
      <c r="E976" s="163"/>
      <c r="F976" s="165"/>
      <c r="G976" s="165"/>
      <c r="H976" s="164"/>
      <c r="I976" s="163"/>
      <c r="J976" s="152"/>
      <c r="K976" s="154"/>
      <c r="L976" s="152"/>
      <c r="M976" s="152"/>
      <c r="N976" s="155"/>
      <c r="O976" s="161"/>
      <c r="P976" s="157"/>
    </row>
    <row r="977" spans="1:16" ht="15.75" customHeight="1">
      <c r="A977" s="151"/>
      <c r="B977" s="162"/>
      <c r="C977" s="163"/>
      <c r="D977" s="164"/>
      <c r="E977" s="163"/>
      <c r="F977" s="165"/>
      <c r="G977" s="165"/>
      <c r="H977" s="164"/>
      <c r="I977" s="163"/>
      <c r="J977" s="152"/>
      <c r="K977" s="154"/>
      <c r="L977" s="152"/>
      <c r="M977" s="152"/>
      <c r="N977" s="155"/>
      <c r="O977" s="161"/>
      <c r="P977" s="157"/>
    </row>
    <row r="978" spans="1:16" ht="15.75" customHeight="1">
      <c r="A978" s="151"/>
      <c r="B978" s="162"/>
      <c r="C978" s="163"/>
      <c r="D978" s="164"/>
      <c r="E978" s="163"/>
      <c r="F978" s="165"/>
      <c r="G978" s="165"/>
      <c r="H978" s="164"/>
      <c r="I978" s="163"/>
      <c r="J978" s="152"/>
      <c r="K978" s="154"/>
      <c r="L978" s="152"/>
      <c r="M978" s="152"/>
      <c r="N978" s="155"/>
      <c r="O978" s="161"/>
      <c r="P978" s="157"/>
    </row>
    <row r="979" spans="1:16" ht="15.75" customHeight="1">
      <c r="A979" s="151"/>
      <c r="B979" s="162"/>
      <c r="C979" s="163"/>
      <c r="D979" s="164"/>
      <c r="E979" s="163"/>
      <c r="F979" s="165"/>
      <c r="G979" s="165"/>
      <c r="H979" s="164"/>
      <c r="I979" s="163"/>
      <c r="J979" s="152"/>
      <c r="K979" s="154"/>
      <c r="L979" s="152"/>
      <c r="M979" s="152"/>
      <c r="N979" s="155"/>
      <c r="O979" s="161"/>
      <c r="P979" s="157"/>
    </row>
    <row r="980" spans="1:16" ht="15.75" customHeight="1">
      <c r="A980" s="151"/>
      <c r="B980" s="162"/>
      <c r="C980" s="163"/>
      <c r="D980" s="164"/>
      <c r="E980" s="163"/>
      <c r="F980" s="165"/>
      <c r="G980" s="165"/>
      <c r="H980" s="164"/>
      <c r="I980" s="163"/>
      <c r="J980" s="152"/>
      <c r="K980" s="154"/>
      <c r="L980" s="152"/>
      <c r="M980" s="152"/>
      <c r="N980" s="155"/>
      <c r="O980" s="161"/>
      <c r="P980" s="157"/>
    </row>
    <row r="981" spans="1:16" ht="15.75" customHeight="1">
      <c r="A981" s="151"/>
      <c r="B981" s="162"/>
      <c r="C981" s="163"/>
      <c r="D981" s="164"/>
      <c r="E981" s="163"/>
      <c r="F981" s="165"/>
      <c r="G981" s="165"/>
      <c r="H981" s="164"/>
      <c r="I981" s="163"/>
      <c r="J981" s="152"/>
      <c r="K981" s="154"/>
      <c r="L981" s="152"/>
      <c r="M981" s="152"/>
      <c r="N981" s="155"/>
      <c r="O981" s="161"/>
      <c r="P981" s="157"/>
    </row>
    <row r="982" spans="1:16" ht="15.75" customHeight="1">
      <c r="A982" s="151"/>
      <c r="B982" s="162"/>
      <c r="C982" s="163"/>
      <c r="D982" s="164"/>
      <c r="E982" s="163"/>
      <c r="F982" s="165"/>
      <c r="G982" s="165"/>
      <c r="H982" s="164"/>
      <c r="I982" s="163"/>
      <c r="J982" s="152"/>
      <c r="K982" s="154"/>
      <c r="L982" s="152"/>
      <c r="M982" s="152"/>
      <c r="N982" s="155"/>
      <c r="O982" s="161"/>
      <c r="P982" s="157"/>
    </row>
    <row r="983" spans="1:16" ht="15.75" customHeight="1">
      <c r="A983" s="151"/>
      <c r="B983" s="162"/>
      <c r="C983" s="163"/>
      <c r="D983" s="164"/>
      <c r="E983" s="163"/>
      <c r="F983" s="165"/>
      <c r="G983" s="165"/>
      <c r="H983" s="164"/>
      <c r="I983" s="163"/>
      <c r="J983" s="152"/>
      <c r="K983" s="154"/>
      <c r="L983" s="152"/>
      <c r="M983" s="152"/>
      <c r="N983" s="155"/>
      <c r="O983" s="161"/>
      <c r="P983" s="157"/>
    </row>
    <row r="984" spans="1:16" ht="15.75" customHeight="1">
      <c r="A984" s="151"/>
      <c r="B984" s="162"/>
      <c r="C984" s="163"/>
      <c r="D984" s="164"/>
      <c r="E984" s="163"/>
      <c r="F984" s="165"/>
      <c r="G984" s="165"/>
      <c r="H984" s="164"/>
      <c r="I984" s="163"/>
      <c r="J984" s="152"/>
      <c r="K984" s="154"/>
      <c r="L984" s="152"/>
      <c r="M984" s="152"/>
      <c r="N984" s="155"/>
      <c r="O984" s="161"/>
      <c r="P984" s="157"/>
    </row>
    <row r="985" spans="1:16" ht="15.75" customHeight="1">
      <c r="A985" s="151"/>
      <c r="B985" s="162"/>
      <c r="C985" s="163"/>
      <c r="D985" s="164"/>
      <c r="E985" s="163"/>
      <c r="F985" s="165"/>
      <c r="G985" s="165"/>
      <c r="H985" s="164"/>
      <c r="I985" s="163"/>
      <c r="J985" s="152"/>
      <c r="K985" s="154"/>
      <c r="L985" s="152"/>
      <c r="M985" s="152"/>
      <c r="N985" s="155"/>
      <c r="O985" s="161"/>
      <c r="P985" s="157"/>
    </row>
    <row r="986" spans="1:16" ht="15.75" customHeight="1">
      <c r="A986" s="151"/>
      <c r="B986" s="162"/>
      <c r="C986" s="163"/>
      <c r="D986" s="164"/>
      <c r="E986" s="163"/>
      <c r="F986" s="165"/>
      <c r="G986" s="165"/>
      <c r="H986" s="164"/>
      <c r="I986" s="163"/>
      <c r="J986" s="152"/>
      <c r="K986" s="154"/>
      <c r="L986" s="152"/>
      <c r="M986" s="152"/>
      <c r="N986" s="155"/>
      <c r="O986" s="161"/>
      <c r="P986" s="157"/>
    </row>
    <row r="987" spans="1:16" ht="15.75" customHeight="1">
      <c r="A987" s="151"/>
      <c r="B987" s="162"/>
      <c r="C987" s="163"/>
      <c r="D987" s="164"/>
      <c r="E987" s="163"/>
      <c r="F987" s="165"/>
      <c r="G987" s="165"/>
      <c r="H987" s="164"/>
      <c r="I987" s="163"/>
      <c r="J987" s="152"/>
      <c r="K987" s="154"/>
      <c r="L987" s="152"/>
      <c r="M987" s="152"/>
      <c r="N987" s="155"/>
      <c r="O987" s="161"/>
      <c r="P987" s="157"/>
    </row>
    <row r="988" spans="1:16" ht="15.75" customHeight="1">
      <c r="A988" s="151"/>
      <c r="B988" s="162"/>
      <c r="C988" s="163"/>
      <c r="D988" s="164"/>
      <c r="E988" s="163"/>
      <c r="F988" s="165"/>
      <c r="G988" s="165"/>
      <c r="H988" s="164"/>
      <c r="I988" s="163"/>
      <c r="J988" s="152"/>
      <c r="K988" s="154"/>
      <c r="L988" s="152"/>
      <c r="M988" s="152"/>
      <c r="N988" s="155"/>
      <c r="O988" s="161"/>
      <c r="P988" s="157"/>
    </row>
    <row r="989" spans="1:16" ht="15.75" customHeight="1">
      <c r="A989" s="151"/>
      <c r="B989" s="162"/>
      <c r="C989" s="163"/>
      <c r="D989" s="164"/>
      <c r="E989" s="163"/>
      <c r="F989" s="165"/>
      <c r="G989" s="165"/>
      <c r="H989" s="164"/>
      <c r="I989" s="163"/>
      <c r="J989" s="152"/>
      <c r="K989" s="154"/>
      <c r="L989" s="152"/>
      <c r="M989" s="152"/>
      <c r="N989" s="155"/>
      <c r="O989" s="161"/>
      <c r="P989" s="157"/>
    </row>
    <row r="990" spans="1:16" ht="15.75" customHeight="1">
      <c r="A990" s="151"/>
      <c r="B990" s="162"/>
      <c r="C990" s="163"/>
      <c r="D990" s="164"/>
      <c r="E990" s="163"/>
      <c r="F990" s="165"/>
      <c r="G990" s="165"/>
      <c r="H990" s="164"/>
      <c r="I990" s="163"/>
      <c r="J990" s="152"/>
      <c r="K990" s="154"/>
      <c r="L990" s="152"/>
      <c r="M990" s="152"/>
      <c r="N990" s="155"/>
      <c r="O990" s="161"/>
      <c r="P990" s="157"/>
    </row>
    <row r="991" spans="1:16" ht="15.75" customHeight="1">
      <c r="A991" s="151"/>
      <c r="B991" s="162"/>
      <c r="C991" s="163"/>
      <c r="D991" s="164"/>
      <c r="E991" s="163"/>
      <c r="F991" s="165"/>
      <c r="G991" s="165"/>
      <c r="H991" s="164"/>
      <c r="I991" s="163"/>
      <c r="J991" s="152"/>
      <c r="K991" s="154"/>
      <c r="L991" s="152"/>
      <c r="M991" s="152"/>
      <c r="N991" s="155"/>
      <c r="O991" s="161"/>
      <c r="P991" s="157"/>
    </row>
    <row r="992" spans="1:16" ht="15.75" customHeight="1">
      <c r="A992" s="151"/>
      <c r="B992" s="162"/>
      <c r="C992" s="163"/>
      <c r="D992" s="164"/>
      <c r="E992" s="163"/>
      <c r="F992" s="165"/>
      <c r="G992" s="165"/>
      <c r="H992" s="164"/>
      <c r="I992" s="163"/>
      <c r="J992" s="152"/>
      <c r="K992" s="154"/>
      <c r="L992" s="152"/>
      <c r="M992" s="152"/>
      <c r="N992" s="155"/>
      <c r="O992" s="161"/>
      <c r="P992" s="157"/>
    </row>
    <row r="993" spans="1:16" ht="15.75" customHeight="1">
      <c r="A993" s="151"/>
      <c r="B993" s="162"/>
      <c r="C993" s="163"/>
      <c r="D993" s="164"/>
      <c r="E993" s="163"/>
      <c r="F993" s="165"/>
      <c r="G993" s="165"/>
      <c r="H993" s="164"/>
      <c r="I993" s="163"/>
      <c r="J993" s="152"/>
      <c r="K993" s="154"/>
      <c r="L993" s="152"/>
      <c r="M993" s="152"/>
      <c r="N993" s="155"/>
      <c r="O993" s="161"/>
      <c r="P993" s="157"/>
    </row>
    <row r="994" spans="1:16" ht="15.75" customHeight="1">
      <c r="A994" s="151"/>
      <c r="B994" s="162"/>
      <c r="C994" s="163"/>
      <c r="D994" s="164"/>
      <c r="E994" s="163"/>
      <c r="F994" s="165"/>
      <c r="G994" s="165"/>
      <c r="H994" s="164"/>
      <c r="I994" s="163"/>
      <c r="J994" s="152"/>
      <c r="K994" s="154"/>
      <c r="L994" s="152"/>
      <c r="M994" s="152"/>
      <c r="N994" s="155"/>
      <c r="O994" s="161"/>
      <c r="P994" s="157"/>
    </row>
    <row r="995" spans="1:16" ht="15.75" customHeight="1">
      <c r="A995" s="151"/>
      <c r="B995" s="162"/>
      <c r="C995" s="163"/>
      <c r="D995" s="164"/>
      <c r="E995" s="163"/>
      <c r="F995" s="165"/>
      <c r="G995" s="165"/>
      <c r="H995" s="164"/>
      <c r="I995" s="163"/>
      <c r="J995" s="152"/>
      <c r="K995" s="154"/>
      <c r="L995" s="152"/>
      <c r="M995" s="152"/>
      <c r="N995" s="155"/>
      <c r="O995" s="161"/>
      <c r="P995" s="157"/>
    </row>
    <row r="996" spans="1:16" ht="15.75" customHeight="1">
      <c r="A996" s="151"/>
      <c r="B996" s="162"/>
      <c r="C996" s="163"/>
      <c r="D996" s="164"/>
      <c r="E996" s="163"/>
      <c r="F996" s="165"/>
      <c r="G996" s="165"/>
      <c r="H996" s="164"/>
      <c r="I996" s="163"/>
      <c r="J996" s="152"/>
      <c r="K996" s="154"/>
      <c r="L996" s="152"/>
      <c r="M996" s="152"/>
      <c r="N996" s="155"/>
      <c r="O996" s="161"/>
      <c r="P996" s="157"/>
    </row>
    <row r="997" spans="1:16" ht="15.75" customHeight="1">
      <c r="A997" s="151"/>
      <c r="B997" s="162"/>
      <c r="C997" s="163"/>
      <c r="D997" s="164"/>
      <c r="E997" s="163"/>
      <c r="F997" s="165"/>
      <c r="G997" s="165"/>
      <c r="H997" s="164"/>
      <c r="I997" s="163"/>
      <c r="J997" s="152"/>
      <c r="K997" s="154"/>
      <c r="L997" s="152"/>
      <c r="M997" s="152"/>
      <c r="N997" s="155"/>
      <c r="O997" s="161"/>
      <c r="P997" s="157"/>
    </row>
    <row r="998" spans="1:16" ht="15.75" customHeight="1">
      <c r="A998" s="151"/>
      <c r="B998" s="162"/>
      <c r="C998" s="163"/>
      <c r="D998" s="164"/>
      <c r="E998" s="163"/>
      <c r="F998" s="165"/>
      <c r="G998" s="165"/>
      <c r="H998" s="164"/>
      <c r="I998" s="163"/>
      <c r="J998" s="152"/>
      <c r="K998" s="154"/>
      <c r="L998" s="152"/>
      <c r="M998" s="152"/>
      <c r="N998" s="155"/>
      <c r="O998" s="161"/>
      <c r="P998" s="157"/>
    </row>
    <row r="999" spans="1:16" ht="15.75" customHeight="1">
      <c r="A999" s="151"/>
      <c r="B999" s="162"/>
      <c r="C999" s="163"/>
      <c r="D999" s="164"/>
      <c r="E999" s="163"/>
      <c r="F999" s="165"/>
      <c r="G999" s="165"/>
      <c r="H999" s="164"/>
      <c r="I999" s="163"/>
      <c r="J999" s="152"/>
      <c r="K999" s="154"/>
      <c r="L999" s="152"/>
      <c r="M999" s="152"/>
      <c r="N999" s="155"/>
      <c r="O999" s="161"/>
      <c r="P999" s="157"/>
    </row>
    <row r="1000" spans="1:16" ht="15.75" customHeight="1">
      <c r="A1000" s="151"/>
      <c r="B1000" s="162"/>
      <c r="C1000" s="163"/>
      <c r="D1000" s="164"/>
      <c r="E1000" s="163"/>
      <c r="F1000" s="165"/>
      <c r="G1000" s="165"/>
      <c r="H1000" s="164"/>
      <c r="I1000" s="163"/>
      <c r="J1000" s="152"/>
      <c r="K1000" s="154"/>
      <c r="L1000" s="152"/>
      <c r="M1000" s="152"/>
      <c r="N1000" s="155"/>
      <c r="O1000" s="161"/>
      <c r="P1000" s="157"/>
    </row>
    <row r="1001" spans="1:16" ht="15.75" customHeight="1">
      <c r="A1001" s="151"/>
      <c r="B1001" s="162"/>
      <c r="C1001" s="163"/>
      <c r="D1001" s="164"/>
      <c r="E1001" s="163"/>
      <c r="F1001" s="165"/>
      <c r="G1001" s="165"/>
      <c r="H1001" s="164"/>
      <c r="I1001" s="163"/>
      <c r="J1001" s="152"/>
      <c r="K1001" s="154"/>
      <c r="L1001" s="152"/>
      <c r="M1001" s="152"/>
      <c r="N1001" s="155"/>
      <c r="O1001" s="161"/>
      <c r="P1001" s="157"/>
    </row>
    <row r="1002" spans="1:16" ht="15.75" customHeight="1">
      <c r="A1002" s="151"/>
      <c r="B1002" s="162"/>
      <c r="C1002" s="163"/>
      <c r="D1002" s="164"/>
      <c r="E1002" s="163"/>
      <c r="F1002" s="165"/>
      <c r="G1002" s="165"/>
      <c r="H1002" s="164"/>
      <c r="I1002" s="163"/>
      <c r="J1002" s="152"/>
      <c r="K1002" s="154"/>
      <c r="L1002" s="152"/>
      <c r="M1002" s="152"/>
      <c r="N1002" s="155"/>
      <c r="O1002" s="161"/>
      <c r="P1002" s="157"/>
    </row>
    <row r="1003" spans="1:16" ht="15.75" customHeight="1">
      <c r="A1003" s="151"/>
      <c r="B1003" s="162"/>
      <c r="C1003" s="163"/>
      <c r="D1003" s="164"/>
      <c r="E1003" s="163"/>
      <c r="F1003" s="165"/>
      <c r="G1003" s="165"/>
      <c r="H1003" s="164"/>
      <c r="I1003" s="163"/>
      <c r="J1003" s="152"/>
      <c r="K1003" s="154"/>
      <c r="L1003" s="152"/>
      <c r="M1003" s="152"/>
      <c r="N1003" s="155"/>
      <c r="O1003" s="161"/>
      <c r="P1003" s="157"/>
    </row>
    <row r="1004" spans="1:16" ht="15.75" customHeight="1">
      <c r="A1004" s="151"/>
      <c r="B1004" s="162"/>
      <c r="C1004" s="163"/>
      <c r="D1004" s="164"/>
      <c r="E1004" s="163"/>
      <c r="F1004" s="165"/>
      <c r="G1004" s="165"/>
      <c r="H1004" s="164"/>
      <c r="I1004" s="163"/>
      <c r="J1004" s="152"/>
      <c r="K1004" s="154"/>
      <c r="L1004" s="152"/>
      <c r="M1004" s="152"/>
      <c r="N1004" s="155"/>
      <c r="O1004" s="161"/>
      <c r="P1004" s="157"/>
    </row>
    <row r="1005" spans="1:16" ht="15.75" customHeight="1">
      <c r="A1005" s="151"/>
      <c r="B1005" s="162"/>
      <c r="C1005" s="163"/>
      <c r="D1005" s="164"/>
      <c r="E1005" s="163"/>
      <c r="F1005" s="165"/>
      <c r="G1005" s="165"/>
      <c r="H1005" s="164"/>
      <c r="I1005" s="163"/>
      <c r="J1005" s="152"/>
      <c r="K1005" s="154"/>
      <c r="L1005" s="152"/>
      <c r="M1005" s="152"/>
      <c r="N1005" s="155"/>
      <c r="O1005" s="161"/>
      <c r="P1005" s="157"/>
    </row>
  </sheetData>
  <autoFilter ref="A1:O69" xr:uid="{00000000-0009-0000-0000-000002000000}"/>
  <mergeCells count="4">
    <mergeCell ref="O71:O72"/>
    <mergeCell ref="O73:O74"/>
    <mergeCell ref="O100:O116"/>
    <mergeCell ref="O117:O126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B983"/>
  <sheetViews>
    <sheetView workbookViewId="0"/>
  </sheetViews>
  <sheetFormatPr defaultColWidth="11.25" defaultRowHeight="15" customHeight="1"/>
  <cols>
    <col min="1" max="1" width="9.375" customWidth="1"/>
    <col min="2" max="3" width="8.5" customWidth="1"/>
    <col min="4" max="4" width="10.125" customWidth="1"/>
    <col min="5" max="5" width="9.375" customWidth="1"/>
    <col min="6" max="6" width="10.875" customWidth="1"/>
    <col min="7" max="8" width="8.75" customWidth="1"/>
    <col min="9" max="9" width="9" customWidth="1"/>
    <col min="10" max="11" width="8.75" customWidth="1"/>
    <col min="12" max="12" width="9.5" customWidth="1"/>
    <col min="14" max="14" width="9" customWidth="1"/>
    <col min="15" max="15" width="7.25" customWidth="1"/>
    <col min="16" max="16" width="27.625" customWidth="1"/>
    <col min="17" max="17" width="23.25" customWidth="1"/>
    <col min="18" max="28" width="10.5" customWidth="1"/>
  </cols>
  <sheetData>
    <row r="1" spans="1:28" ht="60">
      <c r="A1" s="166" t="s">
        <v>0</v>
      </c>
      <c r="B1" s="167" t="s">
        <v>267</v>
      </c>
      <c r="C1" s="168" t="s">
        <v>268</v>
      </c>
      <c r="D1" s="169" t="s">
        <v>2</v>
      </c>
      <c r="E1" s="168" t="s">
        <v>269</v>
      </c>
      <c r="F1" s="169" t="s">
        <v>270</v>
      </c>
      <c r="G1" s="170" t="s">
        <v>271</v>
      </c>
      <c r="H1" s="171" t="s">
        <v>272</v>
      </c>
      <c r="I1" s="170" t="s">
        <v>273</v>
      </c>
      <c r="J1" s="170" t="s">
        <v>274</v>
      </c>
      <c r="K1" s="170" t="s">
        <v>275</v>
      </c>
      <c r="L1" s="5" t="s">
        <v>276</v>
      </c>
      <c r="M1" s="5" t="s">
        <v>8</v>
      </c>
      <c r="N1" s="170" t="s">
        <v>277</v>
      </c>
      <c r="O1" s="172" t="s">
        <v>7</v>
      </c>
      <c r="P1" s="173" t="s">
        <v>278</v>
      </c>
      <c r="Q1" s="174"/>
      <c r="R1" s="175"/>
      <c r="S1" s="175"/>
      <c r="T1" s="175"/>
      <c r="U1" s="175"/>
      <c r="V1" s="175"/>
      <c r="W1" s="175"/>
      <c r="X1" s="175"/>
      <c r="Y1" s="175"/>
      <c r="Z1" s="175"/>
      <c r="AA1" s="175"/>
      <c r="AB1" s="175"/>
    </row>
    <row r="2" spans="1:28" ht="15.75" customHeight="1">
      <c r="A2" s="176" t="s">
        <v>79</v>
      </c>
      <c r="B2" s="177" t="s">
        <v>74</v>
      </c>
      <c r="C2" s="177" t="s">
        <v>74</v>
      </c>
      <c r="D2" s="9" t="s">
        <v>74</v>
      </c>
      <c r="E2" s="8">
        <v>45461</v>
      </c>
      <c r="F2" s="9">
        <v>0.95833333333333337</v>
      </c>
      <c r="G2" s="177">
        <v>103.6</v>
      </c>
      <c r="H2" s="178">
        <v>1</v>
      </c>
      <c r="I2" s="177">
        <v>127.5</v>
      </c>
      <c r="J2" s="177">
        <v>127.3</v>
      </c>
      <c r="K2" s="177" t="s">
        <v>74</v>
      </c>
      <c r="L2" s="11" t="s">
        <v>279</v>
      </c>
      <c r="M2" s="11" t="s">
        <v>13</v>
      </c>
      <c r="N2" s="179">
        <f t="shared" ref="N2:N56" si="0">(J2-G2)/H2</f>
        <v>23.700000000000003</v>
      </c>
      <c r="O2" s="180" t="s">
        <v>280</v>
      </c>
      <c r="P2" s="180"/>
      <c r="Q2" s="12"/>
      <c r="R2" s="181"/>
      <c r="S2" s="182"/>
      <c r="T2" s="183"/>
      <c r="U2" s="183"/>
      <c r="V2" s="35"/>
      <c r="W2" s="35"/>
      <c r="X2" s="35"/>
      <c r="Y2" s="35"/>
      <c r="Z2" s="35"/>
      <c r="AA2" s="35"/>
      <c r="AB2" s="35"/>
    </row>
    <row r="3" spans="1:28" ht="15.75" customHeight="1">
      <c r="A3" s="184" t="s">
        <v>281</v>
      </c>
      <c r="B3" s="177">
        <v>100.1</v>
      </c>
      <c r="C3" s="8" t="s">
        <v>74</v>
      </c>
      <c r="D3" s="9" t="s">
        <v>74</v>
      </c>
      <c r="E3" s="8">
        <v>45461</v>
      </c>
      <c r="F3" s="9">
        <v>0.9458333333333333</v>
      </c>
      <c r="G3" s="177">
        <v>104.1</v>
      </c>
      <c r="H3" s="178">
        <v>1</v>
      </c>
      <c r="I3" s="177">
        <v>200.9</v>
      </c>
      <c r="J3" s="177">
        <v>200.9</v>
      </c>
      <c r="K3" s="177" t="s">
        <v>74</v>
      </c>
      <c r="L3" s="11" t="s">
        <v>282</v>
      </c>
      <c r="M3" s="11" t="s">
        <v>13</v>
      </c>
      <c r="N3" s="179">
        <f t="shared" si="0"/>
        <v>96.800000000000011</v>
      </c>
      <c r="O3" s="180" t="s">
        <v>12</v>
      </c>
      <c r="P3" s="180"/>
      <c r="Q3" s="12"/>
      <c r="R3" s="181">
        <f>B3-N3</f>
        <v>3.2999999999999829</v>
      </c>
      <c r="S3" s="182"/>
      <c r="T3" s="185"/>
      <c r="U3" s="35"/>
      <c r="V3" s="35"/>
      <c r="W3" s="35"/>
      <c r="X3" s="35"/>
      <c r="Y3" s="35"/>
      <c r="Z3" s="35"/>
      <c r="AA3" s="35"/>
      <c r="AB3" s="35"/>
    </row>
    <row r="4" spans="1:28" ht="15.75">
      <c r="A4" s="184" t="s">
        <v>283</v>
      </c>
      <c r="B4" s="177" t="s">
        <v>74</v>
      </c>
      <c r="C4" s="8">
        <v>45461</v>
      </c>
      <c r="D4" s="9">
        <v>0.32291666666666669</v>
      </c>
      <c r="E4" s="8">
        <v>45461</v>
      </c>
      <c r="F4" s="9">
        <v>0.58680555555555558</v>
      </c>
      <c r="G4" s="177">
        <v>103.9</v>
      </c>
      <c r="H4" s="178">
        <v>1</v>
      </c>
      <c r="I4" s="177">
        <v>116.6</v>
      </c>
      <c r="J4" s="177">
        <v>116.2</v>
      </c>
      <c r="K4" s="177" t="s">
        <v>74</v>
      </c>
      <c r="L4" s="11" t="s">
        <v>284</v>
      </c>
      <c r="M4" s="11" t="s">
        <v>13</v>
      </c>
      <c r="N4" s="179">
        <f t="shared" si="0"/>
        <v>12.299999999999997</v>
      </c>
      <c r="O4" s="180" t="s">
        <v>12</v>
      </c>
      <c r="P4" s="180"/>
      <c r="Q4" s="186"/>
      <c r="R4" s="181"/>
      <c r="S4" s="35"/>
      <c r="T4" s="183"/>
      <c r="U4" s="35"/>
      <c r="V4" s="35"/>
      <c r="W4" s="35"/>
      <c r="X4" s="35"/>
      <c r="Y4" s="35"/>
      <c r="Z4" s="35"/>
      <c r="AA4" s="35"/>
      <c r="AB4" s="35"/>
    </row>
    <row r="5" spans="1:28" ht="15.75">
      <c r="A5" s="184" t="s">
        <v>285</v>
      </c>
      <c r="B5" s="177" t="s">
        <v>74</v>
      </c>
      <c r="C5" s="8">
        <v>45461</v>
      </c>
      <c r="D5" s="9">
        <v>0.34027777777777779</v>
      </c>
      <c r="E5" s="8">
        <v>45461</v>
      </c>
      <c r="F5" s="9">
        <v>0.59027777777777779</v>
      </c>
      <c r="G5" s="177">
        <v>104.2</v>
      </c>
      <c r="H5" s="178">
        <v>1</v>
      </c>
      <c r="I5" s="177">
        <v>111</v>
      </c>
      <c r="J5" s="177">
        <v>111</v>
      </c>
      <c r="K5" s="177" t="s">
        <v>74</v>
      </c>
      <c r="L5" s="11" t="s">
        <v>286</v>
      </c>
      <c r="M5" s="11" t="s">
        <v>13</v>
      </c>
      <c r="N5" s="179">
        <f t="shared" si="0"/>
        <v>6.7999999999999972</v>
      </c>
      <c r="O5" s="180" t="s">
        <v>12</v>
      </c>
      <c r="P5" s="180"/>
      <c r="Q5" s="186"/>
      <c r="R5" s="181"/>
      <c r="S5" s="187"/>
      <c r="T5" s="187"/>
      <c r="U5" s="187"/>
      <c r="V5" s="187"/>
      <c r="W5" s="187"/>
      <c r="X5" s="187"/>
      <c r="Y5" s="187"/>
      <c r="Z5" s="187"/>
      <c r="AA5" s="187"/>
      <c r="AB5" s="187"/>
    </row>
    <row r="6" spans="1:28" ht="15.75" customHeight="1">
      <c r="A6" s="184" t="s">
        <v>287</v>
      </c>
      <c r="B6" s="177" t="s">
        <v>74</v>
      </c>
      <c r="C6" s="8">
        <v>45461</v>
      </c>
      <c r="D6" s="9">
        <v>0.36805555555555558</v>
      </c>
      <c r="E6" s="8">
        <v>45461</v>
      </c>
      <c r="F6" s="9">
        <v>0.59375</v>
      </c>
      <c r="G6" s="177">
        <v>104.3</v>
      </c>
      <c r="H6" s="178">
        <v>1</v>
      </c>
      <c r="I6" s="177">
        <v>113</v>
      </c>
      <c r="J6" s="177">
        <v>112.7</v>
      </c>
      <c r="K6" s="177" t="s">
        <v>74</v>
      </c>
      <c r="L6" s="11" t="s">
        <v>288</v>
      </c>
      <c r="M6" s="11" t="s">
        <v>13</v>
      </c>
      <c r="N6" s="179">
        <f t="shared" si="0"/>
        <v>8.4000000000000057</v>
      </c>
      <c r="O6" s="180" t="s">
        <v>12</v>
      </c>
      <c r="P6" s="180"/>
      <c r="Q6" s="186"/>
      <c r="R6" s="181"/>
      <c r="S6" s="187"/>
      <c r="T6" s="187"/>
      <c r="U6" s="187"/>
      <c r="V6" s="187"/>
      <c r="W6" s="187"/>
      <c r="X6" s="187"/>
      <c r="Y6" s="187"/>
      <c r="Z6" s="187"/>
      <c r="AA6" s="187"/>
      <c r="AB6" s="187"/>
    </row>
    <row r="7" spans="1:28" ht="15.75" customHeight="1">
      <c r="A7" s="184" t="s">
        <v>289</v>
      </c>
      <c r="B7" s="177" t="s">
        <v>74</v>
      </c>
      <c r="C7" s="8">
        <v>45461</v>
      </c>
      <c r="D7" s="9">
        <v>0.40902777777777777</v>
      </c>
      <c r="E7" s="8">
        <v>45461</v>
      </c>
      <c r="F7" s="9">
        <v>0.59652777777777777</v>
      </c>
      <c r="G7" s="177">
        <v>104.6</v>
      </c>
      <c r="H7" s="178">
        <v>1</v>
      </c>
      <c r="I7" s="177">
        <v>111</v>
      </c>
      <c r="J7" s="177">
        <v>110.6</v>
      </c>
      <c r="K7" s="177" t="s">
        <v>74</v>
      </c>
      <c r="L7" s="11" t="s">
        <v>290</v>
      </c>
      <c r="M7" s="11" t="s">
        <v>13</v>
      </c>
      <c r="N7" s="179">
        <f t="shared" si="0"/>
        <v>6</v>
      </c>
      <c r="O7" s="180" t="s">
        <v>12</v>
      </c>
      <c r="P7" s="180"/>
      <c r="Q7" s="186"/>
      <c r="R7" s="181"/>
      <c r="S7" s="187"/>
      <c r="T7" s="187"/>
      <c r="U7" s="187"/>
      <c r="V7" s="187"/>
      <c r="W7" s="187"/>
      <c r="X7" s="187"/>
      <c r="Y7" s="187"/>
      <c r="Z7" s="187"/>
      <c r="AA7" s="187"/>
      <c r="AB7" s="187"/>
    </row>
    <row r="8" spans="1:28" ht="15.75" customHeight="1">
      <c r="A8" s="184" t="s">
        <v>291</v>
      </c>
      <c r="B8" s="177" t="s">
        <v>74</v>
      </c>
      <c r="C8" s="8">
        <v>45461</v>
      </c>
      <c r="D8" s="9">
        <v>0.42708333333333331</v>
      </c>
      <c r="E8" s="8">
        <v>45461</v>
      </c>
      <c r="F8" s="9">
        <v>0.59861111111111109</v>
      </c>
      <c r="G8" s="177">
        <v>104.6</v>
      </c>
      <c r="H8" s="178">
        <v>1</v>
      </c>
      <c r="I8" s="177">
        <v>109.1</v>
      </c>
      <c r="J8" s="177">
        <v>108.6</v>
      </c>
      <c r="K8" s="177" t="s">
        <v>74</v>
      </c>
      <c r="L8" s="11" t="s">
        <v>292</v>
      </c>
      <c r="M8" s="11" t="s">
        <v>13</v>
      </c>
      <c r="N8" s="179">
        <f t="shared" si="0"/>
        <v>4</v>
      </c>
      <c r="O8" s="180" t="s">
        <v>12</v>
      </c>
      <c r="P8" s="180"/>
      <c r="Q8" s="186"/>
      <c r="R8" s="181"/>
      <c r="S8" s="187"/>
      <c r="T8" s="187"/>
      <c r="U8" s="187"/>
      <c r="V8" s="187"/>
      <c r="W8" s="187"/>
      <c r="X8" s="187"/>
      <c r="Y8" s="187"/>
      <c r="Z8" s="187"/>
      <c r="AA8" s="187"/>
      <c r="AB8" s="187"/>
    </row>
    <row r="9" spans="1:28" ht="15.75" customHeight="1">
      <c r="A9" s="184" t="s">
        <v>293</v>
      </c>
      <c r="B9" s="177" t="s">
        <v>74</v>
      </c>
      <c r="C9" s="8">
        <v>45461</v>
      </c>
      <c r="D9" s="9">
        <v>0.44305555555555554</v>
      </c>
      <c r="E9" s="8">
        <v>45461</v>
      </c>
      <c r="F9" s="9">
        <v>0.60138888888888886</v>
      </c>
      <c r="G9" s="177">
        <v>104.7</v>
      </c>
      <c r="H9" s="178">
        <v>1</v>
      </c>
      <c r="I9" s="177">
        <v>108.8</v>
      </c>
      <c r="J9" s="177">
        <v>108.6</v>
      </c>
      <c r="K9" s="177" t="s">
        <v>74</v>
      </c>
      <c r="L9" s="11" t="s">
        <v>294</v>
      </c>
      <c r="M9" s="11" t="s">
        <v>13</v>
      </c>
      <c r="N9" s="179">
        <f t="shared" si="0"/>
        <v>3.8999999999999915</v>
      </c>
      <c r="O9" s="180" t="s">
        <v>12</v>
      </c>
      <c r="P9" s="180"/>
      <c r="Q9" s="186"/>
      <c r="R9" s="181"/>
      <c r="S9" s="187"/>
      <c r="T9" s="187"/>
      <c r="U9" s="187"/>
      <c r="V9" s="187"/>
      <c r="W9" s="187"/>
      <c r="X9" s="187"/>
      <c r="Y9" s="187"/>
      <c r="Z9" s="187"/>
      <c r="AA9" s="187"/>
      <c r="AB9" s="187"/>
    </row>
    <row r="10" spans="1:28" ht="15.75" customHeight="1">
      <c r="A10" s="184" t="s">
        <v>295</v>
      </c>
      <c r="B10" s="177" t="s">
        <v>74</v>
      </c>
      <c r="C10" s="8">
        <v>45461</v>
      </c>
      <c r="D10" s="9">
        <v>0.47222222222222221</v>
      </c>
      <c r="E10" s="8">
        <v>45461</v>
      </c>
      <c r="F10" s="9">
        <v>0.60347222222222219</v>
      </c>
      <c r="G10" s="177">
        <v>104.4</v>
      </c>
      <c r="H10" s="178">
        <v>1</v>
      </c>
      <c r="I10" s="177">
        <v>108.4</v>
      </c>
      <c r="J10" s="177">
        <v>107.9</v>
      </c>
      <c r="K10" s="177" t="s">
        <v>74</v>
      </c>
      <c r="L10" s="11" t="s">
        <v>296</v>
      </c>
      <c r="M10" s="11" t="s">
        <v>13</v>
      </c>
      <c r="N10" s="179">
        <f t="shared" si="0"/>
        <v>3.5</v>
      </c>
      <c r="O10" s="180" t="s">
        <v>12</v>
      </c>
      <c r="P10" s="180"/>
      <c r="Q10" s="186"/>
      <c r="R10" s="181"/>
      <c r="S10" s="187"/>
      <c r="T10" s="187"/>
      <c r="U10" s="187"/>
      <c r="V10" s="187"/>
      <c r="W10" s="187"/>
      <c r="X10" s="187"/>
      <c r="Y10" s="187"/>
      <c r="Z10" s="187"/>
      <c r="AA10" s="187"/>
      <c r="AB10" s="187"/>
    </row>
    <row r="11" spans="1:28" ht="15.75" customHeight="1">
      <c r="A11" s="184" t="s">
        <v>297</v>
      </c>
      <c r="B11" s="177" t="s">
        <v>74</v>
      </c>
      <c r="C11" s="8">
        <v>45461</v>
      </c>
      <c r="D11" s="9">
        <v>0.48819444444444443</v>
      </c>
      <c r="E11" s="8">
        <v>45461</v>
      </c>
      <c r="F11" s="9">
        <v>0.60486111111111107</v>
      </c>
      <c r="G11" s="177">
        <v>105.5</v>
      </c>
      <c r="H11" s="178">
        <v>1</v>
      </c>
      <c r="I11" s="177">
        <v>109.6</v>
      </c>
      <c r="J11" s="177">
        <v>109.4</v>
      </c>
      <c r="K11" s="177" t="s">
        <v>74</v>
      </c>
      <c r="L11" s="11" t="s">
        <v>298</v>
      </c>
      <c r="M11" s="11" t="s">
        <v>13</v>
      </c>
      <c r="N11" s="179">
        <f t="shared" si="0"/>
        <v>3.9000000000000057</v>
      </c>
      <c r="O11" s="180" t="s">
        <v>12</v>
      </c>
      <c r="P11" s="180"/>
      <c r="Q11" s="186"/>
      <c r="R11" s="181"/>
      <c r="S11" s="187"/>
      <c r="T11" s="187"/>
      <c r="U11" s="187"/>
      <c r="V11" s="187"/>
      <c r="W11" s="187"/>
      <c r="X11" s="187"/>
      <c r="Y11" s="187"/>
      <c r="Z11" s="187"/>
      <c r="AA11" s="187"/>
      <c r="AB11" s="187"/>
    </row>
    <row r="12" spans="1:28" ht="15.75" customHeight="1">
      <c r="A12" s="188" t="s">
        <v>299</v>
      </c>
      <c r="B12" s="177" t="s">
        <v>74</v>
      </c>
      <c r="C12" s="8">
        <v>45464</v>
      </c>
      <c r="D12" s="9">
        <v>0.30555555555555558</v>
      </c>
      <c r="E12" s="8">
        <v>45464</v>
      </c>
      <c r="F12" s="9">
        <v>0.52361111111111114</v>
      </c>
      <c r="G12" s="177">
        <v>104.6</v>
      </c>
      <c r="H12" s="178">
        <v>1</v>
      </c>
      <c r="I12" s="177">
        <v>110.7</v>
      </c>
      <c r="J12" s="177">
        <v>110</v>
      </c>
      <c r="K12" s="177">
        <v>110.2</v>
      </c>
      <c r="L12" s="189" t="s">
        <v>300</v>
      </c>
      <c r="M12" s="11" t="s">
        <v>13</v>
      </c>
      <c r="N12" s="179">
        <f t="shared" si="0"/>
        <v>5.4000000000000057</v>
      </c>
      <c r="O12" s="180" t="s">
        <v>12</v>
      </c>
      <c r="P12" s="180"/>
      <c r="Q12" s="186"/>
      <c r="R12" s="181"/>
      <c r="S12" s="187"/>
      <c r="T12" s="187"/>
      <c r="U12" s="187"/>
      <c r="V12" s="187"/>
      <c r="W12" s="187"/>
      <c r="X12" s="187"/>
      <c r="Y12" s="187"/>
      <c r="Z12" s="187"/>
      <c r="AA12" s="187"/>
      <c r="AB12" s="187"/>
    </row>
    <row r="13" spans="1:28" ht="15.75" customHeight="1">
      <c r="A13" s="14" t="s">
        <v>301</v>
      </c>
      <c r="B13" s="177" t="s">
        <v>74</v>
      </c>
      <c r="C13" s="8">
        <v>45464</v>
      </c>
      <c r="D13" s="9">
        <v>0.34652777777777777</v>
      </c>
      <c r="E13" s="8">
        <v>45464</v>
      </c>
      <c r="F13" s="9">
        <v>0.52569444444444446</v>
      </c>
      <c r="G13" s="177">
        <v>105</v>
      </c>
      <c r="H13" s="178">
        <v>1</v>
      </c>
      <c r="I13" s="177">
        <v>113.3</v>
      </c>
      <c r="J13" s="177">
        <v>113</v>
      </c>
      <c r="K13" s="177" t="s">
        <v>74</v>
      </c>
      <c r="L13" s="189" t="s">
        <v>302</v>
      </c>
      <c r="M13" s="11" t="s">
        <v>13</v>
      </c>
      <c r="N13" s="179">
        <f t="shared" si="0"/>
        <v>8</v>
      </c>
      <c r="O13" s="180" t="s">
        <v>12</v>
      </c>
      <c r="P13" s="180"/>
      <c r="Q13" s="186"/>
      <c r="R13" s="181"/>
      <c r="S13" s="187"/>
      <c r="T13" s="187"/>
      <c r="U13" s="187"/>
      <c r="V13" s="187"/>
      <c r="W13" s="187"/>
      <c r="X13" s="187"/>
      <c r="Y13" s="187"/>
      <c r="Z13" s="187"/>
      <c r="AA13" s="187"/>
      <c r="AB13" s="187"/>
    </row>
    <row r="14" spans="1:28" ht="15.75" customHeight="1">
      <c r="A14" s="176" t="s">
        <v>79</v>
      </c>
      <c r="B14" s="177" t="s">
        <v>74</v>
      </c>
      <c r="C14" s="177" t="s">
        <v>74</v>
      </c>
      <c r="D14" s="9" t="s">
        <v>74</v>
      </c>
      <c r="E14" s="8">
        <v>45464</v>
      </c>
      <c r="F14" s="9">
        <v>0.45833333333333331</v>
      </c>
      <c r="G14" s="177">
        <v>105</v>
      </c>
      <c r="H14" s="178">
        <v>1</v>
      </c>
      <c r="I14" s="177">
        <v>108.8</v>
      </c>
      <c r="J14" s="177">
        <v>106.1</v>
      </c>
      <c r="K14" s="177">
        <v>106.1</v>
      </c>
      <c r="L14" s="11" t="s">
        <v>303</v>
      </c>
      <c r="M14" s="11" t="s">
        <v>13</v>
      </c>
      <c r="N14" s="179">
        <f t="shared" si="0"/>
        <v>1.0999999999999943</v>
      </c>
      <c r="O14" s="180" t="s">
        <v>12</v>
      </c>
      <c r="P14" s="180"/>
      <c r="Q14" s="12"/>
      <c r="R14" s="181"/>
      <c r="S14" s="182">
        <v>1.1000000000000001</v>
      </c>
      <c r="T14" s="183"/>
      <c r="U14" s="183"/>
      <c r="V14" s="35"/>
      <c r="W14" s="35"/>
      <c r="X14" s="35"/>
      <c r="Y14" s="35"/>
      <c r="Z14" s="35"/>
      <c r="AA14" s="35"/>
      <c r="AB14" s="35"/>
    </row>
    <row r="15" spans="1:28" ht="15.75" customHeight="1">
      <c r="A15" s="184" t="s">
        <v>281</v>
      </c>
      <c r="B15" s="177">
        <v>100.1</v>
      </c>
      <c r="C15" s="8" t="s">
        <v>74</v>
      </c>
      <c r="D15" s="9" t="s">
        <v>74</v>
      </c>
      <c r="E15" s="8">
        <v>45464</v>
      </c>
      <c r="F15" s="9">
        <v>0.4597222222222222</v>
      </c>
      <c r="G15" s="177">
        <v>105.2</v>
      </c>
      <c r="H15" s="178">
        <v>1</v>
      </c>
      <c r="I15" s="177">
        <v>202.7</v>
      </c>
      <c r="J15" s="177">
        <v>202.6</v>
      </c>
      <c r="K15" s="177">
        <v>221.5</v>
      </c>
      <c r="L15" s="11" t="s">
        <v>304</v>
      </c>
      <c r="M15" s="11" t="s">
        <v>13</v>
      </c>
      <c r="N15" s="179">
        <f t="shared" si="0"/>
        <v>97.399999999999991</v>
      </c>
      <c r="O15" s="180" t="s">
        <v>12</v>
      </c>
      <c r="P15" s="180"/>
      <c r="Q15" s="12"/>
      <c r="R15" s="181">
        <f>B15-N15</f>
        <v>2.7000000000000028</v>
      </c>
      <c r="S15" s="182">
        <v>1</v>
      </c>
      <c r="T15" s="185"/>
      <c r="U15" s="35"/>
      <c r="V15" s="35"/>
      <c r="W15" s="35"/>
      <c r="X15" s="35"/>
      <c r="Y15" s="35"/>
      <c r="Z15" s="35"/>
      <c r="AA15" s="35"/>
      <c r="AB15" s="35"/>
    </row>
    <row r="16" spans="1:28" ht="15.75" customHeight="1">
      <c r="A16" s="14" t="s">
        <v>305</v>
      </c>
      <c r="B16" s="177" t="s">
        <v>74</v>
      </c>
      <c r="C16" s="8">
        <v>45464</v>
      </c>
      <c r="D16" s="9">
        <v>0.36388888888888887</v>
      </c>
      <c r="E16" s="8">
        <v>45464</v>
      </c>
      <c r="F16" s="15">
        <v>0.52708333333333335</v>
      </c>
      <c r="G16" s="177">
        <v>104</v>
      </c>
      <c r="H16" s="178">
        <v>1</v>
      </c>
      <c r="I16" s="177">
        <v>109</v>
      </c>
      <c r="J16" s="177">
        <v>108.6</v>
      </c>
      <c r="K16" s="177">
        <v>108.7</v>
      </c>
      <c r="L16" s="189" t="s">
        <v>303</v>
      </c>
      <c r="M16" s="11" t="s">
        <v>13</v>
      </c>
      <c r="N16" s="179">
        <f t="shared" si="0"/>
        <v>4.5999999999999943</v>
      </c>
      <c r="O16" s="180" t="s">
        <v>12</v>
      </c>
      <c r="P16" s="180"/>
      <c r="Q16" s="186"/>
      <c r="R16" s="181"/>
      <c r="S16" s="187">
        <v>0</v>
      </c>
      <c r="T16" s="187"/>
      <c r="U16" s="187"/>
      <c r="V16" s="187"/>
      <c r="W16" s="187"/>
      <c r="X16" s="187"/>
      <c r="Y16" s="187"/>
      <c r="Z16" s="187"/>
      <c r="AA16" s="187"/>
      <c r="AB16" s="187"/>
    </row>
    <row r="17" spans="1:28" ht="15.75" customHeight="1">
      <c r="A17" s="14" t="s">
        <v>306</v>
      </c>
      <c r="B17" s="177" t="s">
        <v>74</v>
      </c>
      <c r="C17" s="8">
        <v>45464</v>
      </c>
      <c r="D17" s="15">
        <v>0.41944444444444445</v>
      </c>
      <c r="E17" s="8">
        <v>45464</v>
      </c>
      <c r="F17" s="9">
        <v>0.52847222222222223</v>
      </c>
      <c r="G17" s="177">
        <v>104.7</v>
      </c>
      <c r="H17" s="178">
        <v>1</v>
      </c>
      <c r="I17" s="177">
        <v>109.9</v>
      </c>
      <c r="J17" s="177">
        <v>109.7</v>
      </c>
      <c r="K17" s="177" t="s">
        <v>74</v>
      </c>
      <c r="L17" s="189" t="s">
        <v>307</v>
      </c>
      <c r="M17" s="11" t="s">
        <v>13</v>
      </c>
      <c r="N17" s="179">
        <f t="shared" si="0"/>
        <v>5</v>
      </c>
      <c r="O17" s="180" t="s">
        <v>12</v>
      </c>
      <c r="P17" s="180"/>
      <c r="Q17" s="12"/>
      <c r="R17" s="181"/>
      <c r="S17" s="187">
        <f>AVERAGE(S13:S16)</f>
        <v>0.70000000000000007</v>
      </c>
      <c r="T17" s="187"/>
      <c r="U17" s="187"/>
      <c r="V17" s="187"/>
      <c r="W17" s="187"/>
      <c r="X17" s="187"/>
      <c r="Y17" s="187"/>
      <c r="Z17" s="187"/>
      <c r="AA17" s="187"/>
      <c r="AB17" s="187"/>
    </row>
    <row r="18" spans="1:28" ht="15.75" customHeight="1">
      <c r="A18" s="14" t="s">
        <v>308</v>
      </c>
      <c r="B18" s="177" t="s">
        <v>74</v>
      </c>
      <c r="C18" s="8">
        <v>45464</v>
      </c>
      <c r="D18" s="9">
        <v>0.43611111111111112</v>
      </c>
      <c r="E18" s="8">
        <v>45464</v>
      </c>
      <c r="F18" s="9">
        <v>0.52986111111111112</v>
      </c>
      <c r="G18" s="177">
        <v>104.6</v>
      </c>
      <c r="H18" s="178">
        <v>1</v>
      </c>
      <c r="I18" s="177">
        <v>108.5</v>
      </c>
      <c r="J18" s="177">
        <v>108.4</v>
      </c>
      <c r="K18" s="177" t="s">
        <v>74</v>
      </c>
      <c r="L18" s="189" t="s">
        <v>309</v>
      </c>
      <c r="M18" s="11" t="s">
        <v>13</v>
      </c>
      <c r="N18" s="179">
        <f t="shared" si="0"/>
        <v>3.8000000000000114</v>
      </c>
      <c r="O18" s="180" t="s">
        <v>12</v>
      </c>
      <c r="P18" s="180"/>
      <c r="Q18" s="186"/>
      <c r="R18" s="181"/>
      <c r="S18" s="175">
        <f>STDEV(S14:S16)</f>
        <v>0.60827625302982191</v>
      </c>
      <c r="T18" s="35"/>
      <c r="U18" s="35"/>
      <c r="V18" s="35"/>
      <c r="W18" s="35"/>
      <c r="X18" s="35"/>
      <c r="Y18" s="35"/>
      <c r="Z18" s="35"/>
      <c r="AA18" s="35"/>
      <c r="AB18" s="35"/>
    </row>
    <row r="19" spans="1:28" ht="15.75" customHeight="1">
      <c r="A19" s="14" t="s">
        <v>310</v>
      </c>
      <c r="B19" s="177" t="s">
        <v>74</v>
      </c>
      <c r="C19" s="8">
        <v>45468</v>
      </c>
      <c r="D19" s="15">
        <v>0.28333333333333333</v>
      </c>
      <c r="E19" s="8">
        <v>45468</v>
      </c>
      <c r="F19" s="9">
        <v>0.57916666666666672</v>
      </c>
      <c r="G19" s="177">
        <v>104.9</v>
      </c>
      <c r="H19" s="178">
        <v>1</v>
      </c>
      <c r="I19" s="177">
        <v>114.2</v>
      </c>
      <c r="J19" s="177">
        <v>113.7</v>
      </c>
      <c r="K19" s="177">
        <v>113.7</v>
      </c>
      <c r="L19" s="189" t="s">
        <v>311</v>
      </c>
      <c r="M19" s="11" t="s">
        <v>13</v>
      </c>
      <c r="N19" s="179">
        <f t="shared" si="0"/>
        <v>8.7999999999999972</v>
      </c>
      <c r="O19" s="180" t="s">
        <v>12</v>
      </c>
      <c r="P19" s="180"/>
      <c r="Q19" s="186"/>
      <c r="R19" s="181"/>
      <c r="S19" s="175"/>
      <c r="T19" s="35"/>
      <c r="U19" s="35"/>
      <c r="V19" s="35"/>
      <c r="W19" s="35"/>
      <c r="X19" s="35"/>
      <c r="Y19" s="35"/>
      <c r="Z19" s="35"/>
      <c r="AA19" s="35"/>
      <c r="AB19" s="35"/>
    </row>
    <row r="20" spans="1:28" ht="15.75" customHeight="1">
      <c r="A20" s="14" t="s">
        <v>312</v>
      </c>
      <c r="B20" s="177" t="s">
        <v>74</v>
      </c>
      <c r="C20" s="8">
        <v>45468</v>
      </c>
      <c r="D20" s="9">
        <v>0.30833333333333335</v>
      </c>
      <c r="E20" s="8">
        <v>45468</v>
      </c>
      <c r="F20" s="9">
        <v>0.58194444444444449</v>
      </c>
      <c r="G20" s="177">
        <v>105.2</v>
      </c>
      <c r="H20" s="178">
        <v>1</v>
      </c>
      <c r="I20" s="177">
        <v>122.6</v>
      </c>
      <c r="J20" s="177">
        <v>121.6</v>
      </c>
      <c r="K20" s="177">
        <v>121.3</v>
      </c>
      <c r="L20" s="189" t="s">
        <v>313</v>
      </c>
      <c r="M20" s="11" t="s">
        <v>13</v>
      </c>
      <c r="N20" s="179">
        <f t="shared" si="0"/>
        <v>16.399999999999991</v>
      </c>
      <c r="O20" s="180" t="s">
        <v>12</v>
      </c>
      <c r="P20" s="180"/>
      <c r="Q20" s="186"/>
      <c r="R20" s="181"/>
      <c r="S20" s="175"/>
      <c r="T20" s="35"/>
      <c r="U20" s="35"/>
      <c r="V20" s="35"/>
      <c r="W20" s="35"/>
      <c r="X20" s="35"/>
      <c r="Y20" s="35"/>
      <c r="Z20" s="35"/>
      <c r="AA20" s="35"/>
      <c r="AB20" s="35"/>
    </row>
    <row r="21" spans="1:28" ht="15.75" customHeight="1">
      <c r="A21" s="14" t="s">
        <v>314</v>
      </c>
      <c r="B21" s="177" t="s">
        <v>74</v>
      </c>
      <c r="C21" s="8">
        <v>45468</v>
      </c>
      <c r="D21" s="9">
        <v>0.32291666666666669</v>
      </c>
      <c r="E21" s="8">
        <v>45468</v>
      </c>
      <c r="F21" s="9" t="s">
        <v>315</v>
      </c>
      <c r="G21" s="177">
        <v>105</v>
      </c>
      <c r="H21" s="178">
        <v>1</v>
      </c>
      <c r="I21" s="177">
        <v>120.2</v>
      </c>
      <c r="J21" s="177">
        <v>119.2</v>
      </c>
      <c r="K21" s="177">
        <v>119</v>
      </c>
      <c r="L21" s="189" t="s">
        <v>316</v>
      </c>
      <c r="M21" s="11" t="s">
        <v>13</v>
      </c>
      <c r="N21" s="179">
        <f t="shared" si="0"/>
        <v>14.200000000000003</v>
      </c>
      <c r="O21" s="180" t="s">
        <v>12</v>
      </c>
      <c r="P21" s="180"/>
      <c r="Q21" s="186"/>
      <c r="R21" s="181"/>
      <c r="S21" s="175"/>
      <c r="T21" s="35"/>
      <c r="U21" s="35"/>
      <c r="V21" s="35"/>
      <c r="W21" s="35"/>
      <c r="X21" s="35"/>
      <c r="Y21" s="35"/>
      <c r="Z21" s="35"/>
      <c r="AA21" s="35"/>
      <c r="AB21" s="35"/>
    </row>
    <row r="22" spans="1:28" ht="15.75" customHeight="1">
      <c r="A22" s="14" t="s">
        <v>317</v>
      </c>
      <c r="B22" s="177" t="s">
        <v>74</v>
      </c>
      <c r="C22" s="8">
        <v>45468</v>
      </c>
      <c r="D22" s="9">
        <v>0.34375</v>
      </c>
      <c r="E22" s="8">
        <v>45468</v>
      </c>
      <c r="F22" s="9">
        <v>0.57499999999999996</v>
      </c>
      <c r="G22" s="177">
        <v>104.4</v>
      </c>
      <c r="H22" s="178">
        <v>1</v>
      </c>
      <c r="I22" s="177">
        <v>115.1</v>
      </c>
      <c r="J22" s="177">
        <v>115.1</v>
      </c>
      <c r="K22" s="177" t="s">
        <v>74</v>
      </c>
      <c r="L22" s="189" t="s">
        <v>318</v>
      </c>
      <c r="M22" s="11" t="s">
        <v>13</v>
      </c>
      <c r="N22" s="179">
        <f t="shared" si="0"/>
        <v>10.699999999999989</v>
      </c>
      <c r="O22" s="180" t="s">
        <v>12</v>
      </c>
      <c r="P22" s="180"/>
      <c r="Q22" s="186"/>
      <c r="R22" s="181"/>
      <c r="S22" s="175"/>
      <c r="T22" s="35"/>
      <c r="U22" s="35"/>
      <c r="V22" s="35"/>
      <c r="W22" s="35"/>
      <c r="X22" s="35"/>
      <c r="Y22" s="35"/>
      <c r="Z22" s="35"/>
      <c r="AA22" s="35"/>
      <c r="AB22" s="35"/>
    </row>
    <row r="23" spans="1:28" ht="15.75">
      <c r="A23" s="14" t="s">
        <v>319</v>
      </c>
      <c r="B23" s="177" t="s">
        <v>74</v>
      </c>
      <c r="C23" s="8">
        <v>45468</v>
      </c>
      <c r="D23" s="16">
        <v>0.36736111111111114</v>
      </c>
      <c r="E23" s="8">
        <v>45468</v>
      </c>
      <c r="F23" s="9">
        <v>0.59375</v>
      </c>
      <c r="G23" s="190">
        <v>104.4</v>
      </c>
      <c r="H23" s="178">
        <v>1</v>
      </c>
      <c r="I23" s="190">
        <v>111.4</v>
      </c>
      <c r="J23" s="190">
        <v>110.8</v>
      </c>
      <c r="K23" s="177">
        <v>110.8</v>
      </c>
      <c r="L23" s="189" t="s">
        <v>320</v>
      </c>
      <c r="M23" s="11" t="s">
        <v>13</v>
      </c>
      <c r="N23" s="179">
        <f t="shared" si="0"/>
        <v>6.3999999999999915</v>
      </c>
      <c r="O23" s="180" t="s">
        <v>12</v>
      </c>
      <c r="Q23" s="191"/>
      <c r="R23" s="181"/>
      <c r="S23" s="192"/>
      <c r="T23" s="192"/>
      <c r="U23" s="192"/>
      <c r="V23" s="192"/>
      <c r="W23" s="192"/>
      <c r="X23" s="192"/>
      <c r="Y23" s="192"/>
      <c r="Z23" s="192"/>
      <c r="AA23" s="192"/>
      <c r="AB23" s="192"/>
    </row>
    <row r="24" spans="1:28" ht="15.75" customHeight="1">
      <c r="A24" s="14" t="s">
        <v>321</v>
      </c>
      <c r="B24" s="177" t="s">
        <v>74</v>
      </c>
      <c r="C24" s="8">
        <v>45468</v>
      </c>
      <c r="D24" s="16">
        <v>0.38611111111111113</v>
      </c>
      <c r="E24" s="8">
        <v>45468</v>
      </c>
      <c r="F24" s="9">
        <v>0.57638888888888884</v>
      </c>
      <c r="G24" s="190">
        <v>105.2</v>
      </c>
      <c r="H24" s="178">
        <v>1</v>
      </c>
      <c r="I24" s="190">
        <v>121.8</v>
      </c>
      <c r="J24" s="190">
        <v>120.8</v>
      </c>
      <c r="K24" s="177">
        <v>120.6</v>
      </c>
      <c r="L24" s="189" t="s">
        <v>322</v>
      </c>
      <c r="M24" s="11" t="s">
        <v>13</v>
      </c>
      <c r="N24" s="179">
        <f t="shared" si="0"/>
        <v>15.599999999999994</v>
      </c>
      <c r="O24" s="180" t="s">
        <v>12</v>
      </c>
      <c r="P24" s="180"/>
      <c r="Q24" s="191"/>
      <c r="R24" s="181"/>
      <c r="S24" s="192"/>
      <c r="T24" s="192"/>
      <c r="U24" s="192"/>
      <c r="V24" s="192"/>
      <c r="W24" s="192"/>
      <c r="X24" s="192"/>
      <c r="Y24" s="192"/>
      <c r="Z24" s="192"/>
      <c r="AA24" s="192"/>
      <c r="AB24" s="192"/>
    </row>
    <row r="25" spans="1:28" ht="15.75" customHeight="1">
      <c r="A25" s="14" t="s">
        <v>323</v>
      </c>
      <c r="B25" s="177" t="s">
        <v>74</v>
      </c>
      <c r="C25" s="8">
        <v>45468</v>
      </c>
      <c r="D25" s="16">
        <v>0.40138888888888891</v>
      </c>
      <c r="E25" s="8">
        <v>45468</v>
      </c>
      <c r="F25" s="9">
        <v>0.59236111111111112</v>
      </c>
      <c r="G25" s="190">
        <v>106.1</v>
      </c>
      <c r="H25" s="178">
        <v>1</v>
      </c>
      <c r="I25" s="190">
        <v>112.3</v>
      </c>
      <c r="J25" s="190">
        <v>111.8</v>
      </c>
      <c r="K25" s="177">
        <v>112.1</v>
      </c>
      <c r="L25" s="189" t="s">
        <v>324</v>
      </c>
      <c r="M25" s="11" t="s">
        <v>13</v>
      </c>
      <c r="N25" s="179">
        <f t="shared" si="0"/>
        <v>5.7000000000000028</v>
      </c>
      <c r="O25" s="180" t="s">
        <v>12</v>
      </c>
      <c r="P25" s="180"/>
      <c r="Q25" s="191"/>
      <c r="R25" s="181"/>
      <c r="S25" s="192"/>
      <c r="T25" s="192"/>
      <c r="U25" s="192"/>
      <c r="V25" s="192"/>
      <c r="W25" s="192"/>
      <c r="X25" s="192"/>
      <c r="Y25" s="192"/>
      <c r="Z25" s="192"/>
      <c r="AA25" s="192"/>
      <c r="AB25" s="192"/>
    </row>
    <row r="26" spans="1:28" ht="15.75" customHeight="1">
      <c r="A26" s="176" t="s">
        <v>79</v>
      </c>
      <c r="B26" s="177" t="s">
        <v>74</v>
      </c>
      <c r="C26" s="9" t="s">
        <v>74</v>
      </c>
      <c r="D26" s="9" t="s">
        <v>74</v>
      </c>
      <c r="E26" s="8">
        <v>45468</v>
      </c>
      <c r="F26" s="9">
        <v>0.46388888888888891</v>
      </c>
      <c r="G26" s="190">
        <v>105.4</v>
      </c>
      <c r="H26" s="178">
        <v>1</v>
      </c>
      <c r="I26" s="190">
        <v>106.3</v>
      </c>
      <c r="J26" s="177">
        <v>106.4</v>
      </c>
      <c r="K26" s="177" t="s">
        <v>74</v>
      </c>
      <c r="L26" s="189" t="s">
        <v>325</v>
      </c>
      <c r="M26" s="11" t="s">
        <v>13</v>
      </c>
      <c r="N26" s="179">
        <f t="shared" si="0"/>
        <v>1</v>
      </c>
      <c r="O26" s="180" t="s">
        <v>12</v>
      </c>
      <c r="P26" s="180"/>
      <c r="Q26" s="191"/>
      <c r="R26" s="181"/>
      <c r="S26" s="192"/>
      <c r="T26" s="192"/>
      <c r="U26" s="192"/>
      <c r="V26" s="192"/>
      <c r="W26" s="192"/>
      <c r="X26" s="192"/>
      <c r="Y26" s="192"/>
      <c r="Z26" s="192"/>
      <c r="AA26" s="192"/>
      <c r="AB26" s="192"/>
    </row>
    <row r="27" spans="1:28" ht="15.75">
      <c r="A27" s="184" t="s">
        <v>281</v>
      </c>
      <c r="B27" s="177">
        <v>100</v>
      </c>
      <c r="C27" s="9" t="s">
        <v>74</v>
      </c>
      <c r="D27" s="9" t="s">
        <v>74</v>
      </c>
      <c r="E27" s="8">
        <v>45468</v>
      </c>
      <c r="F27" s="9">
        <v>0.46527777777777779</v>
      </c>
      <c r="G27" s="193">
        <v>106</v>
      </c>
      <c r="H27" s="178">
        <v>1</v>
      </c>
      <c r="I27" s="194">
        <v>203.6</v>
      </c>
      <c r="J27" s="194">
        <v>203</v>
      </c>
      <c r="K27" s="177">
        <v>202.8</v>
      </c>
      <c r="L27" s="195" t="s">
        <v>326</v>
      </c>
      <c r="M27" s="11" t="s">
        <v>13</v>
      </c>
      <c r="N27" s="179">
        <f t="shared" si="0"/>
        <v>97</v>
      </c>
      <c r="O27" s="180" t="s">
        <v>12</v>
      </c>
      <c r="P27" s="180"/>
      <c r="Q27" s="186"/>
      <c r="R27" s="181">
        <f>B27-N27</f>
        <v>3</v>
      </c>
      <c r="S27" s="196"/>
      <c r="T27" s="196"/>
      <c r="U27" s="196"/>
      <c r="V27" s="196"/>
      <c r="W27" s="196"/>
      <c r="X27" s="196"/>
      <c r="Y27" s="196"/>
      <c r="Z27" s="196"/>
      <c r="AA27" s="196"/>
      <c r="AB27" s="196"/>
    </row>
    <row r="28" spans="1:28" ht="15.75" customHeight="1">
      <c r="A28" s="14" t="s">
        <v>327</v>
      </c>
      <c r="B28" s="177" t="s">
        <v>74</v>
      </c>
      <c r="C28" s="8">
        <v>45468</v>
      </c>
      <c r="D28" s="9">
        <v>0.4236111111111111</v>
      </c>
      <c r="E28" s="8">
        <v>45468</v>
      </c>
      <c r="F28" s="9">
        <v>0.57777777777777772</v>
      </c>
      <c r="G28" s="177">
        <v>105.9</v>
      </c>
      <c r="H28" s="178">
        <v>1</v>
      </c>
      <c r="I28" s="177">
        <v>118.4</v>
      </c>
      <c r="J28" s="179">
        <v>118.2</v>
      </c>
      <c r="K28" s="177" t="s">
        <v>74</v>
      </c>
      <c r="L28" s="189" t="s">
        <v>328</v>
      </c>
      <c r="M28" s="11" t="s">
        <v>13</v>
      </c>
      <c r="N28" s="179">
        <f t="shared" si="0"/>
        <v>12.299999999999997</v>
      </c>
      <c r="O28" s="180" t="s">
        <v>12</v>
      </c>
      <c r="P28" s="180"/>
      <c r="Q28" s="197"/>
      <c r="R28" s="181"/>
      <c r="S28" s="187"/>
      <c r="T28" s="187"/>
      <c r="U28" s="187"/>
      <c r="V28" s="187"/>
      <c r="W28" s="187"/>
      <c r="X28" s="187"/>
      <c r="Y28" s="187"/>
      <c r="Z28" s="187"/>
      <c r="AA28" s="187"/>
      <c r="AB28" s="187"/>
    </row>
    <row r="29" spans="1:28" ht="15.75" customHeight="1">
      <c r="A29" s="184" t="s">
        <v>329</v>
      </c>
      <c r="B29" s="177" t="s">
        <v>74</v>
      </c>
      <c r="C29" s="8">
        <v>45471</v>
      </c>
      <c r="D29" s="9">
        <v>0.26805555555555555</v>
      </c>
      <c r="E29" s="8">
        <v>45471</v>
      </c>
      <c r="F29" s="9">
        <v>0.57777777777777772</v>
      </c>
      <c r="G29" s="177">
        <v>104.8</v>
      </c>
      <c r="H29" s="178">
        <v>1</v>
      </c>
      <c r="I29" s="177">
        <v>118.8</v>
      </c>
      <c r="J29" s="177">
        <v>118.6</v>
      </c>
      <c r="K29" s="177" t="s">
        <v>74</v>
      </c>
      <c r="L29" s="189" t="s">
        <v>330</v>
      </c>
      <c r="M29" s="11" t="s">
        <v>13</v>
      </c>
      <c r="N29" s="179">
        <f t="shared" si="0"/>
        <v>13.799999999999997</v>
      </c>
      <c r="O29" s="180" t="s">
        <v>12</v>
      </c>
      <c r="P29" s="180"/>
      <c r="Q29" s="198"/>
      <c r="R29" s="181"/>
      <c r="S29" s="187"/>
      <c r="T29" s="187"/>
      <c r="U29" s="187"/>
      <c r="V29" s="187"/>
      <c r="W29" s="187"/>
      <c r="X29" s="187"/>
      <c r="Y29" s="187"/>
      <c r="Z29" s="187"/>
      <c r="AA29" s="187"/>
      <c r="AB29" s="187"/>
    </row>
    <row r="30" spans="1:28" ht="15.75" customHeight="1">
      <c r="A30" s="199" t="s">
        <v>331</v>
      </c>
      <c r="B30" s="177" t="s">
        <v>74</v>
      </c>
      <c r="C30" s="8">
        <v>45471</v>
      </c>
      <c r="D30" s="15">
        <v>0.29375000000000001</v>
      </c>
      <c r="E30" s="8">
        <v>45471</v>
      </c>
      <c r="F30" s="9">
        <v>0.57916666666666672</v>
      </c>
      <c r="G30" s="190">
        <v>105</v>
      </c>
      <c r="H30" s="178">
        <v>1</v>
      </c>
      <c r="I30" s="195">
        <v>117.7</v>
      </c>
      <c r="J30" s="190">
        <v>117.2</v>
      </c>
      <c r="K30" s="177">
        <v>116.3</v>
      </c>
      <c r="L30" s="189" t="s">
        <v>332</v>
      </c>
      <c r="M30" s="11" t="s">
        <v>13</v>
      </c>
      <c r="N30" s="179">
        <f t="shared" si="0"/>
        <v>12.200000000000003</v>
      </c>
      <c r="O30" s="180" t="s">
        <v>12</v>
      </c>
      <c r="P30" s="180"/>
      <c r="Q30" s="200"/>
      <c r="R30" s="181"/>
      <c r="S30" s="201"/>
      <c r="T30" s="201"/>
      <c r="U30" s="201"/>
      <c r="V30" s="201"/>
      <c r="W30" s="201"/>
      <c r="X30" s="201"/>
      <c r="Y30" s="201"/>
      <c r="Z30" s="201"/>
      <c r="AA30" s="201"/>
      <c r="AB30" s="201"/>
    </row>
    <row r="31" spans="1:28" ht="15.75" customHeight="1">
      <c r="A31" s="184" t="s">
        <v>333</v>
      </c>
      <c r="B31" s="177" t="s">
        <v>74</v>
      </c>
      <c r="C31" s="8">
        <v>45471</v>
      </c>
      <c r="D31" s="9">
        <v>0.33750000000000002</v>
      </c>
      <c r="E31" s="8">
        <v>45471</v>
      </c>
      <c r="F31" s="9">
        <v>0.58125000000000004</v>
      </c>
      <c r="G31" s="193">
        <v>104.8</v>
      </c>
      <c r="H31" s="178">
        <v>1</v>
      </c>
      <c r="I31" s="190">
        <v>110.5</v>
      </c>
      <c r="J31" s="194">
        <v>110.4</v>
      </c>
      <c r="K31" s="177" t="s">
        <v>74</v>
      </c>
      <c r="L31" s="189" t="s">
        <v>334</v>
      </c>
      <c r="M31" s="11" t="s">
        <v>13</v>
      </c>
      <c r="N31" s="179">
        <f t="shared" si="0"/>
        <v>5.6000000000000085</v>
      </c>
      <c r="O31" s="180" t="s">
        <v>12</v>
      </c>
      <c r="P31" s="180"/>
      <c r="Q31" s="200"/>
      <c r="R31" s="181"/>
      <c r="S31" s="201"/>
      <c r="T31" s="201"/>
      <c r="U31" s="201"/>
      <c r="V31" s="201"/>
      <c r="W31" s="201"/>
      <c r="X31" s="201"/>
      <c r="Y31" s="201"/>
      <c r="Z31" s="201"/>
      <c r="AA31" s="201"/>
      <c r="AB31" s="201"/>
    </row>
    <row r="32" spans="1:28" ht="15.75" customHeight="1">
      <c r="A32" s="184" t="s">
        <v>335</v>
      </c>
      <c r="B32" s="177" t="s">
        <v>74</v>
      </c>
      <c r="C32" s="8">
        <v>45471</v>
      </c>
      <c r="D32" s="16">
        <v>0.36180555555555555</v>
      </c>
      <c r="E32" s="8">
        <v>45471</v>
      </c>
      <c r="F32" s="9">
        <v>0.58263888888888893</v>
      </c>
      <c r="G32" s="202">
        <v>104.6</v>
      </c>
      <c r="H32" s="178">
        <v>1</v>
      </c>
      <c r="I32" s="203">
        <v>114.1</v>
      </c>
      <c r="J32" s="202">
        <v>113.6</v>
      </c>
      <c r="K32" s="177">
        <v>113.6</v>
      </c>
      <c r="L32" s="204" t="s">
        <v>336</v>
      </c>
      <c r="M32" s="11" t="s">
        <v>13</v>
      </c>
      <c r="N32" s="179">
        <f t="shared" si="0"/>
        <v>9</v>
      </c>
      <c r="O32" s="180" t="s">
        <v>12</v>
      </c>
      <c r="P32" s="180"/>
      <c r="Q32" s="205"/>
      <c r="R32" s="181"/>
      <c r="S32" s="206"/>
      <c r="T32" s="206"/>
      <c r="U32" s="206"/>
      <c r="V32" s="206"/>
      <c r="W32" s="206"/>
      <c r="X32" s="206"/>
      <c r="Y32" s="206"/>
      <c r="Z32" s="206"/>
      <c r="AA32" s="206"/>
      <c r="AB32" s="206"/>
    </row>
    <row r="33" spans="1:28" ht="15.75" customHeight="1">
      <c r="A33" s="184" t="s">
        <v>337</v>
      </c>
      <c r="B33" s="177" t="s">
        <v>74</v>
      </c>
      <c r="C33" s="8">
        <v>45471</v>
      </c>
      <c r="D33" s="16">
        <v>0.38819444444444445</v>
      </c>
      <c r="E33" s="8">
        <v>45471</v>
      </c>
      <c r="F33" s="9">
        <v>0.5854166666666667</v>
      </c>
      <c r="G33" s="194">
        <v>104.8</v>
      </c>
      <c r="H33" s="178">
        <v>1</v>
      </c>
      <c r="I33" s="207">
        <v>112.7</v>
      </c>
      <c r="J33" s="194">
        <v>112.4</v>
      </c>
      <c r="K33" s="177" t="s">
        <v>74</v>
      </c>
      <c r="L33" s="189" t="s">
        <v>338</v>
      </c>
      <c r="M33" s="11" t="s">
        <v>13</v>
      </c>
      <c r="N33" s="179">
        <f t="shared" si="0"/>
        <v>7.6000000000000085</v>
      </c>
      <c r="O33" s="180" t="s">
        <v>12</v>
      </c>
      <c r="P33" s="180"/>
      <c r="Q33" s="197"/>
      <c r="R33" s="181"/>
      <c r="S33" s="187"/>
      <c r="T33" s="187"/>
      <c r="U33" s="187"/>
      <c r="V33" s="187"/>
      <c r="W33" s="187"/>
      <c r="X33" s="187"/>
      <c r="Y33" s="187"/>
      <c r="Z33" s="187"/>
      <c r="AA33" s="187"/>
      <c r="AB33" s="187"/>
    </row>
    <row r="34" spans="1:28" ht="15" customHeight="1">
      <c r="A34" s="14" t="s">
        <v>339</v>
      </c>
      <c r="B34" s="177" t="s">
        <v>74</v>
      </c>
      <c r="C34" s="19">
        <v>45483</v>
      </c>
      <c r="D34" s="20">
        <v>0.3125</v>
      </c>
      <c r="E34" s="19">
        <v>45485</v>
      </c>
      <c r="F34" s="9">
        <v>0.40972222222222221</v>
      </c>
      <c r="G34" s="194">
        <v>105.1</v>
      </c>
      <c r="H34" s="178">
        <v>1</v>
      </c>
      <c r="I34" s="207">
        <v>111.7</v>
      </c>
      <c r="J34" s="194">
        <v>111.5</v>
      </c>
      <c r="K34" s="177" t="s">
        <v>74</v>
      </c>
      <c r="L34" s="189" t="s">
        <v>340</v>
      </c>
      <c r="M34" s="11" t="s">
        <v>13</v>
      </c>
      <c r="N34" s="179">
        <f t="shared" si="0"/>
        <v>6.4000000000000057</v>
      </c>
      <c r="O34" s="180" t="s">
        <v>12</v>
      </c>
      <c r="P34" s="208" t="s">
        <v>341</v>
      </c>
      <c r="Q34" s="200"/>
      <c r="R34" s="181"/>
      <c r="S34" s="201"/>
      <c r="T34" s="201"/>
      <c r="U34" s="201"/>
      <c r="V34" s="201"/>
      <c r="W34" s="201"/>
      <c r="X34" s="201"/>
      <c r="Y34" s="201"/>
      <c r="Z34" s="201"/>
      <c r="AA34" s="201"/>
      <c r="AB34" s="201"/>
    </row>
    <row r="35" spans="1:28" ht="15.75" customHeight="1">
      <c r="A35" s="14" t="s">
        <v>342</v>
      </c>
      <c r="B35" s="177" t="s">
        <v>74</v>
      </c>
      <c r="C35" s="19">
        <v>45483</v>
      </c>
      <c r="D35" s="20">
        <v>0.35138888888888886</v>
      </c>
      <c r="E35" s="19">
        <v>45485</v>
      </c>
      <c r="F35" s="9">
        <v>0.41041666666666665</v>
      </c>
      <c r="G35" s="194">
        <v>104.3</v>
      </c>
      <c r="H35" s="178">
        <v>1</v>
      </c>
      <c r="I35" s="207">
        <v>111.4</v>
      </c>
      <c r="J35" s="194">
        <v>111.2</v>
      </c>
      <c r="K35" s="177" t="s">
        <v>74</v>
      </c>
      <c r="L35" s="189" t="s">
        <v>343</v>
      </c>
      <c r="M35" s="11" t="s">
        <v>13</v>
      </c>
      <c r="N35" s="179">
        <f t="shared" si="0"/>
        <v>6.9000000000000057</v>
      </c>
      <c r="O35" s="180" t="s">
        <v>12</v>
      </c>
      <c r="P35" s="209" t="s">
        <v>344</v>
      </c>
      <c r="Q35" s="200"/>
      <c r="R35" s="181"/>
      <c r="S35" s="201"/>
      <c r="T35" s="201"/>
      <c r="U35" s="201"/>
      <c r="V35" s="201"/>
      <c r="W35" s="201"/>
      <c r="X35" s="201"/>
      <c r="Y35" s="201"/>
      <c r="Z35" s="201"/>
      <c r="AA35" s="201"/>
      <c r="AB35" s="201"/>
    </row>
    <row r="36" spans="1:28" ht="15.75" customHeight="1">
      <c r="A36" s="14" t="s">
        <v>345</v>
      </c>
      <c r="B36" s="177" t="s">
        <v>74</v>
      </c>
      <c r="C36" s="19">
        <v>45483</v>
      </c>
      <c r="D36" s="20">
        <v>0.47847222222222224</v>
      </c>
      <c r="E36" s="19">
        <v>45485</v>
      </c>
      <c r="F36" s="16">
        <v>0.41388888888888886</v>
      </c>
      <c r="G36" s="194">
        <v>103.7</v>
      </c>
      <c r="H36" s="178">
        <v>1</v>
      </c>
      <c r="I36" s="207">
        <v>125.6</v>
      </c>
      <c r="J36" s="194">
        <v>125</v>
      </c>
      <c r="K36" s="177">
        <v>124.8</v>
      </c>
      <c r="L36" s="189" t="s">
        <v>346</v>
      </c>
      <c r="M36" s="11" t="s">
        <v>13</v>
      </c>
      <c r="N36" s="179">
        <f t="shared" si="0"/>
        <v>21.299999999999997</v>
      </c>
      <c r="O36" s="180" t="s">
        <v>12</v>
      </c>
      <c r="P36" s="180"/>
      <c r="Q36" s="200"/>
      <c r="R36" s="181"/>
      <c r="S36" s="201"/>
      <c r="T36" s="201"/>
      <c r="U36" s="201"/>
      <c r="V36" s="201"/>
      <c r="W36" s="201"/>
      <c r="X36" s="201"/>
      <c r="Y36" s="201"/>
      <c r="Z36" s="201"/>
      <c r="AA36" s="201"/>
      <c r="AB36" s="201"/>
    </row>
    <row r="37" spans="1:28" ht="15.75" customHeight="1">
      <c r="A37" s="14" t="s">
        <v>347</v>
      </c>
      <c r="B37" s="177" t="s">
        <v>74</v>
      </c>
      <c r="C37" s="19">
        <v>45483</v>
      </c>
      <c r="D37" s="20">
        <v>0.5708333333333333</v>
      </c>
      <c r="E37" s="19">
        <v>45485</v>
      </c>
      <c r="F37" s="16">
        <v>0.41388888888888886</v>
      </c>
      <c r="G37" s="194">
        <v>104.1</v>
      </c>
      <c r="H37" s="178">
        <v>1</v>
      </c>
      <c r="I37" s="207">
        <v>114.4</v>
      </c>
      <c r="J37" s="194">
        <v>114</v>
      </c>
      <c r="K37" s="177" t="s">
        <v>74</v>
      </c>
      <c r="L37" s="189" t="s">
        <v>348</v>
      </c>
      <c r="M37" s="11" t="s">
        <v>13</v>
      </c>
      <c r="N37" s="179">
        <f t="shared" si="0"/>
        <v>9.9000000000000057</v>
      </c>
      <c r="O37" s="180" t="s">
        <v>12</v>
      </c>
      <c r="P37" s="180"/>
      <c r="Q37" s="200"/>
      <c r="R37" s="181"/>
      <c r="S37" s="201"/>
      <c r="T37" s="201"/>
      <c r="U37" s="201"/>
      <c r="V37" s="201"/>
      <c r="W37" s="201"/>
      <c r="X37" s="201"/>
      <c r="Y37" s="201"/>
      <c r="Z37" s="201"/>
      <c r="AA37" s="201"/>
      <c r="AB37" s="201"/>
    </row>
    <row r="38" spans="1:28" ht="15.75" customHeight="1">
      <c r="A38" s="14" t="s">
        <v>349</v>
      </c>
      <c r="B38" s="177" t="s">
        <v>74</v>
      </c>
      <c r="C38" s="19">
        <v>45484</v>
      </c>
      <c r="D38" s="9">
        <v>0.2951388888888889</v>
      </c>
      <c r="E38" s="19">
        <v>45485</v>
      </c>
      <c r="F38" s="16">
        <v>0.41736111111111113</v>
      </c>
      <c r="G38" s="194">
        <v>106.3</v>
      </c>
      <c r="H38" s="178">
        <v>1</v>
      </c>
      <c r="I38" s="207">
        <v>113.8</v>
      </c>
      <c r="J38" s="194">
        <v>113.5</v>
      </c>
      <c r="K38" s="177" t="s">
        <v>74</v>
      </c>
      <c r="L38" s="189" t="s">
        <v>350</v>
      </c>
      <c r="M38" s="11" t="s">
        <v>13</v>
      </c>
      <c r="N38" s="179">
        <f t="shared" si="0"/>
        <v>7.2000000000000028</v>
      </c>
      <c r="O38" s="180" t="s">
        <v>12</v>
      </c>
      <c r="P38" s="180"/>
      <c r="Q38" s="200"/>
      <c r="R38" s="181"/>
      <c r="S38" s="201"/>
      <c r="T38" s="201"/>
      <c r="U38" s="201"/>
      <c r="V38" s="201"/>
      <c r="W38" s="201"/>
      <c r="X38" s="201"/>
      <c r="Y38" s="201"/>
      <c r="Z38" s="201"/>
      <c r="AA38" s="201"/>
      <c r="AB38" s="201"/>
    </row>
    <row r="39" spans="1:28" ht="15.75" customHeight="1">
      <c r="A39" s="14" t="s">
        <v>351</v>
      </c>
      <c r="B39" s="177" t="s">
        <v>74</v>
      </c>
      <c r="C39" s="19">
        <v>45484</v>
      </c>
      <c r="D39" s="9">
        <v>0.32708333333333334</v>
      </c>
      <c r="E39" s="19">
        <v>45485</v>
      </c>
      <c r="F39" s="16">
        <v>0.41736111111111113</v>
      </c>
      <c r="G39" s="194">
        <v>104.5</v>
      </c>
      <c r="H39" s="178">
        <v>1</v>
      </c>
      <c r="I39" s="207">
        <v>111.1</v>
      </c>
      <c r="J39" s="194">
        <v>111</v>
      </c>
      <c r="K39" s="177" t="s">
        <v>74</v>
      </c>
      <c r="L39" s="189" t="s">
        <v>352</v>
      </c>
      <c r="M39" s="11" t="s">
        <v>13</v>
      </c>
      <c r="N39" s="179">
        <f t="shared" si="0"/>
        <v>6.5</v>
      </c>
      <c r="O39" s="180" t="s">
        <v>12</v>
      </c>
      <c r="P39" s="180"/>
      <c r="Q39" s="200"/>
      <c r="R39" s="181"/>
      <c r="S39" s="201"/>
      <c r="T39" s="201"/>
      <c r="U39" s="201"/>
      <c r="V39" s="201"/>
      <c r="W39" s="201"/>
      <c r="X39" s="201"/>
      <c r="Y39" s="201"/>
      <c r="Z39" s="201"/>
      <c r="AA39" s="201"/>
      <c r="AB39" s="201"/>
    </row>
    <row r="40" spans="1:28" ht="15.75" customHeight="1">
      <c r="A40" s="14" t="s">
        <v>353</v>
      </c>
      <c r="B40" s="177" t="s">
        <v>74</v>
      </c>
      <c r="C40" s="19">
        <v>45484</v>
      </c>
      <c r="D40" s="9">
        <v>0.34791666666666665</v>
      </c>
      <c r="E40" s="19">
        <v>45485</v>
      </c>
      <c r="F40" s="9">
        <v>0.42222222222222222</v>
      </c>
      <c r="G40" s="177">
        <v>105.9</v>
      </c>
      <c r="H40" s="178">
        <v>1</v>
      </c>
      <c r="I40" s="177">
        <v>128</v>
      </c>
      <c r="J40" s="177">
        <v>127.8</v>
      </c>
      <c r="K40" s="177" t="s">
        <v>74</v>
      </c>
      <c r="L40" s="189" t="s">
        <v>354</v>
      </c>
      <c r="M40" s="11" t="s">
        <v>13</v>
      </c>
      <c r="N40" s="179">
        <f t="shared" si="0"/>
        <v>21.899999999999991</v>
      </c>
      <c r="O40" s="180" t="s">
        <v>12</v>
      </c>
      <c r="P40" s="180"/>
      <c r="Q40" s="200"/>
      <c r="R40" s="181"/>
      <c r="S40" s="187"/>
      <c r="T40" s="187"/>
      <c r="U40" s="187"/>
      <c r="V40" s="187"/>
      <c r="W40" s="187"/>
      <c r="X40" s="187"/>
      <c r="Y40" s="187"/>
      <c r="Z40" s="187"/>
      <c r="AA40" s="187"/>
      <c r="AB40" s="187"/>
    </row>
    <row r="41" spans="1:28" ht="15.75" customHeight="1">
      <c r="A41" s="14" t="s">
        <v>355</v>
      </c>
      <c r="B41" s="177" t="s">
        <v>74</v>
      </c>
      <c r="C41" s="19">
        <v>45484</v>
      </c>
      <c r="D41" s="9">
        <v>0.3923611111111111</v>
      </c>
      <c r="E41" s="19">
        <v>45485</v>
      </c>
      <c r="F41" s="27">
        <v>0.42430555555555555</v>
      </c>
      <c r="G41" s="210">
        <v>104.7</v>
      </c>
      <c r="H41" s="178">
        <v>1</v>
      </c>
      <c r="I41" s="210">
        <v>113.5</v>
      </c>
      <c r="J41" s="210">
        <v>113.2</v>
      </c>
      <c r="K41" s="177" t="s">
        <v>74</v>
      </c>
      <c r="L41" s="189" t="s">
        <v>356</v>
      </c>
      <c r="M41" s="11" t="s">
        <v>13</v>
      </c>
      <c r="N41" s="179">
        <f t="shared" si="0"/>
        <v>8.5</v>
      </c>
      <c r="O41" s="180" t="s">
        <v>12</v>
      </c>
      <c r="P41" s="180"/>
      <c r="Q41" s="200"/>
      <c r="R41" s="181"/>
      <c r="S41" s="187"/>
      <c r="T41" s="187"/>
      <c r="U41" s="187"/>
      <c r="V41" s="187"/>
      <c r="W41" s="187"/>
      <c r="X41" s="187"/>
      <c r="Y41" s="187"/>
      <c r="Z41" s="187"/>
      <c r="AA41" s="187"/>
      <c r="AB41" s="187"/>
    </row>
    <row r="42" spans="1:28" ht="15.75" customHeight="1">
      <c r="A42" s="14" t="s">
        <v>357</v>
      </c>
      <c r="B42" s="177" t="s">
        <v>74</v>
      </c>
      <c r="C42" s="19">
        <v>45484</v>
      </c>
      <c r="D42" s="9">
        <v>0.41388888888888886</v>
      </c>
      <c r="E42" s="19">
        <v>45485</v>
      </c>
      <c r="F42" s="16">
        <v>0.42638888888888887</v>
      </c>
      <c r="G42" s="194">
        <v>104.4</v>
      </c>
      <c r="H42" s="178">
        <v>1</v>
      </c>
      <c r="I42" s="207">
        <v>110.2</v>
      </c>
      <c r="J42" s="194">
        <v>109.9</v>
      </c>
      <c r="K42" s="177" t="s">
        <v>74</v>
      </c>
      <c r="L42" s="189" t="s">
        <v>358</v>
      </c>
      <c r="M42" s="11" t="s">
        <v>13</v>
      </c>
      <c r="N42" s="179">
        <f t="shared" si="0"/>
        <v>5.5</v>
      </c>
      <c r="O42" s="180" t="s">
        <v>12</v>
      </c>
      <c r="P42" s="180"/>
      <c r="Q42" s="200"/>
      <c r="R42" s="181"/>
      <c r="S42" s="201"/>
      <c r="T42" s="201"/>
      <c r="U42" s="201"/>
      <c r="V42" s="201"/>
      <c r="W42" s="201"/>
      <c r="X42" s="201"/>
      <c r="Y42" s="201"/>
      <c r="Z42" s="201"/>
      <c r="AA42" s="201"/>
      <c r="AB42" s="201"/>
    </row>
    <row r="43" spans="1:28" ht="15.75" customHeight="1">
      <c r="A43" s="14" t="s">
        <v>359</v>
      </c>
      <c r="B43" s="177" t="s">
        <v>74</v>
      </c>
      <c r="C43" s="19">
        <v>45484</v>
      </c>
      <c r="D43" s="9">
        <v>0.44930555555555557</v>
      </c>
      <c r="E43" s="19">
        <v>45485</v>
      </c>
      <c r="F43" s="211">
        <v>0.42638888888888887</v>
      </c>
      <c r="G43" s="212">
        <v>105.4</v>
      </c>
      <c r="H43" s="178">
        <v>1</v>
      </c>
      <c r="I43" s="190">
        <v>112.5</v>
      </c>
      <c r="J43" s="190">
        <v>112.2</v>
      </c>
      <c r="K43" s="177" t="s">
        <v>74</v>
      </c>
      <c r="L43" s="189" t="s">
        <v>360</v>
      </c>
      <c r="M43" s="11" t="s">
        <v>13</v>
      </c>
      <c r="N43" s="179">
        <f t="shared" si="0"/>
        <v>6.7999999999999972</v>
      </c>
      <c r="O43" s="180" t="s">
        <v>12</v>
      </c>
      <c r="P43" s="180"/>
      <c r="Q43" s="200"/>
      <c r="R43" s="181"/>
      <c r="S43" s="201"/>
      <c r="T43" s="201"/>
      <c r="U43" s="201"/>
      <c r="V43" s="201"/>
      <c r="W43" s="201"/>
      <c r="X43" s="201"/>
      <c r="Y43" s="201"/>
      <c r="Z43" s="201"/>
      <c r="AA43" s="201"/>
      <c r="AB43" s="201"/>
    </row>
    <row r="44" spans="1:28" ht="15.75" customHeight="1">
      <c r="A44" s="14" t="s">
        <v>361</v>
      </c>
      <c r="B44" s="177" t="s">
        <v>74</v>
      </c>
      <c r="C44" s="8">
        <v>45489</v>
      </c>
      <c r="D44" s="9">
        <v>0.34027777777777779</v>
      </c>
      <c r="E44" s="8">
        <v>45489</v>
      </c>
      <c r="F44" s="213">
        <v>0.61736111111111114</v>
      </c>
      <c r="G44" s="190">
        <v>104.9</v>
      </c>
      <c r="H44" s="178">
        <v>1</v>
      </c>
      <c r="I44" s="190">
        <v>111.1</v>
      </c>
      <c r="J44" s="190">
        <v>111.3</v>
      </c>
      <c r="K44" s="177" t="s">
        <v>74</v>
      </c>
      <c r="L44" s="189" t="s">
        <v>362</v>
      </c>
      <c r="M44" s="11" t="s">
        <v>13</v>
      </c>
      <c r="N44" s="179">
        <f t="shared" si="0"/>
        <v>6.3999999999999915</v>
      </c>
      <c r="O44" s="180" t="s">
        <v>12</v>
      </c>
      <c r="P44" s="180"/>
      <c r="Q44" s="200"/>
      <c r="R44" s="181"/>
      <c r="S44" s="201"/>
      <c r="T44" s="201"/>
      <c r="U44" s="201"/>
      <c r="V44" s="201"/>
      <c r="W44" s="201"/>
      <c r="X44" s="201"/>
      <c r="Y44" s="201"/>
      <c r="Z44" s="201"/>
      <c r="AA44" s="201"/>
      <c r="AB44" s="201"/>
    </row>
    <row r="45" spans="1:28" ht="15.75" customHeight="1">
      <c r="A45" s="14" t="s">
        <v>363</v>
      </c>
      <c r="B45" s="177" t="s">
        <v>74</v>
      </c>
      <c r="C45" s="8">
        <v>45489</v>
      </c>
      <c r="D45" s="9">
        <v>0.37708333333333333</v>
      </c>
      <c r="E45" s="8">
        <v>45489</v>
      </c>
      <c r="F45" s="9">
        <v>0.62013888888888891</v>
      </c>
      <c r="G45" s="190">
        <v>104.7</v>
      </c>
      <c r="H45" s="178">
        <v>1</v>
      </c>
      <c r="I45" s="190">
        <v>112.9</v>
      </c>
      <c r="J45" s="190">
        <v>112.8</v>
      </c>
      <c r="K45" s="177" t="s">
        <v>74</v>
      </c>
      <c r="L45" s="214" t="s">
        <v>364</v>
      </c>
      <c r="M45" s="11" t="s">
        <v>13</v>
      </c>
      <c r="N45" s="179">
        <f t="shared" si="0"/>
        <v>8.0999999999999943</v>
      </c>
      <c r="O45" s="180" t="s">
        <v>12</v>
      </c>
      <c r="P45" s="180"/>
      <c r="Q45" s="200"/>
      <c r="R45" s="181"/>
      <c r="S45" s="201"/>
      <c r="T45" s="201"/>
      <c r="U45" s="201"/>
      <c r="V45" s="201"/>
      <c r="W45" s="201"/>
      <c r="X45" s="201"/>
      <c r="Y45" s="201"/>
      <c r="Z45" s="201"/>
      <c r="AA45" s="201"/>
      <c r="AB45" s="201"/>
    </row>
    <row r="46" spans="1:28" ht="15.75" customHeight="1">
      <c r="A46" s="14" t="s">
        <v>365</v>
      </c>
      <c r="B46" s="177" t="s">
        <v>74</v>
      </c>
      <c r="C46" s="8">
        <v>45489</v>
      </c>
      <c r="D46" s="9">
        <v>0.41597222222222224</v>
      </c>
      <c r="E46" s="8">
        <v>45489</v>
      </c>
      <c r="F46" s="9">
        <v>0.74791666666666667</v>
      </c>
      <c r="G46" s="177">
        <v>106.3</v>
      </c>
      <c r="H46" s="178">
        <v>1</v>
      </c>
      <c r="I46" s="177">
        <v>113.1</v>
      </c>
      <c r="J46" s="177">
        <v>113</v>
      </c>
      <c r="K46" s="177" t="s">
        <v>74</v>
      </c>
      <c r="L46" s="214" t="s">
        <v>366</v>
      </c>
      <c r="M46" s="11" t="s">
        <v>13</v>
      </c>
      <c r="N46" s="179">
        <f t="shared" si="0"/>
        <v>6.7000000000000028</v>
      </c>
      <c r="O46" s="180" t="s">
        <v>12</v>
      </c>
      <c r="P46" s="180"/>
      <c r="Q46" s="200"/>
      <c r="R46" s="181"/>
      <c r="S46" s="187"/>
      <c r="T46" s="187"/>
      <c r="U46" s="187"/>
      <c r="V46" s="187"/>
      <c r="W46" s="187"/>
      <c r="X46" s="187"/>
      <c r="Y46" s="187"/>
      <c r="Z46" s="187"/>
      <c r="AA46" s="187"/>
      <c r="AB46" s="187"/>
    </row>
    <row r="47" spans="1:28" ht="15.75" customHeight="1">
      <c r="A47" s="14" t="s">
        <v>367</v>
      </c>
      <c r="B47" s="177" t="s">
        <v>74</v>
      </c>
      <c r="C47" s="8">
        <v>45489</v>
      </c>
      <c r="D47" s="9">
        <v>0.43958333333333333</v>
      </c>
      <c r="E47" s="8">
        <v>45489</v>
      </c>
      <c r="F47" s="9">
        <v>0.625</v>
      </c>
      <c r="G47" s="177">
        <v>105.1</v>
      </c>
      <c r="H47" s="178">
        <v>1</v>
      </c>
      <c r="I47" s="177">
        <v>121.6</v>
      </c>
      <c r="J47" s="177">
        <v>121.3</v>
      </c>
      <c r="K47" s="177" t="s">
        <v>74</v>
      </c>
      <c r="L47" s="214" t="s">
        <v>368</v>
      </c>
      <c r="M47" s="11" t="s">
        <v>13</v>
      </c>
      <c r="N47" s="179">
        <f t="shared" si="0"/>
        <v>16.200000000000003</v>
      </c>
      <c r="O47" s="180" t="s">
        <v>12</v>
      </c>
      <c r="P47" s="180"/>
      <c r="Q47" s="200"/>
      <c r="R47" s="181"/>
      <c r="S47" s="187"/>
      <c r="T47" s="187"/>
      <c r="U47" s="187"/>
      <c r="V47" s="187"/>
      <c r="W47" s="187"/>
      <c r="X47" s="187"/>
      <c r="Y47" s="187"/>
      <c r="Z47" s="187"/>
      <c r="AA47" s="187"/>
      <c r="AB47" s="187"/>
    </row>
    <row r="48" spans="1:28" ht="15.75" customHeight="1">
      <c r="A48" s="7" t="s">
        <v>79</v>
      </c>
      <c r="B48" s="177" t="s">
        <v>74</v>
      </c>
      <c r="C48" s="177" t="s">
        <v>74</v>
      </c>
      <c r="D48" s="177" t="s">
        <v>74</v>
      </c>
      <c r="E48" s="8">
        <v>45489</v>
      </c>
      <c r="F48" s="215">
        <v>0.94652777777777775</v>
      </c>
      <c r="G48" s="177">
        <v>106</v>
      </c>
      <c r="H48" s="178">
        <v>1</v>
      </c>
      <c r="I48" s="177">
        <v>106</v>
      </c>
      <c r="J48" s="177">
        <v>106</v>
      </c>
      <c r="K48" s="177" t="s">
        <v>74</v>
      </c>
      <c r="L48" s="189" t="s">
        <v>369</v>
      </c>
      <c r="M48" s="11" t="s">
        <v>13</v>
      </c>
      <c r="N48" s="216">
        <f t="shared" si="0"/>
        <v>0</v>
      </c>
      <c r="O48" s="180" t="s">
        <v>12</v>
      </c>
      <c r="P48" s="180"/>
      <c r="Q48" s="191"/>
      <c r="R48" s="181"/>
      <c r="S48" s="192"/>
      <c r="T48" s="192"/>
      <c r="U48" s="192"/>
      <c r="V48" s="192"/>
      <c r="W48" s="192"/>
      <c r="X48" s="192"/>
      <c r="Y48" s="192"/>
      <c r="Z48" s="192"/>
      <c r="AA48" s="192"/>
      <c r="AB48" s="192"/>
    </row>
    <row r="49" spans="1:28" ht="15.75">
      <c r="A49" s="7" t="s">
        <v>281</v>
      </c>
      <c r="B49" s="177">
        <v>100.3</v>
      </c>
      <c r="C49" s="177" t="s">
        <v>74</v>
      </c>
      <c r="D49" s="177" t="s">
        <v>74</v>
      </c>
      <c r="E49" s="8">
        <v>45489</v>
      </c>
      <c r="F49" s="215">
        <v>0.96180555555555558</v>
      </c>
      <c r="G49" s="193">
        <v>105.5</v>
      </c>
      <c r="H49" s="178">
        <v>1</v>
      </c>
      <c r="I49" s="177">
        <v>202</v>
      </c>
      <c r="J49" s="177">
        <v>201.9</v>
      </c>
      <c r="K49" s="177" t="s">
        <v>74</v>
      </c>
      <c r="L49" s="207" t="s">
        <v>370</v>
      </c>
      <c r="M49" s="11" t="s">
        <v>13</v>
      </c>
      <c r="N49" s="216">
        <f t="shared" si="0"/>
        <v>96.4</v>
      </c>
      <c r="O49" s="180" t="s">
        <v>12</v>
      </c>
      <c r="P49" s="180"/>
      <c r="Q49" s="186"/>
      <c r="R49" s="181">
        <f>B49-N49</f>
        <v>3.8999999999999915</v>
      </c>
      <c r="S49" s="196"/>
      <c r="T49" s="196"/>
      <c r="U49" s="196"/>
      <c r="V49" s="196"/>
      <c r="W49" s="196"/>
      <c r="X49" s="196"/>
      <c r="Y49" s="196"/>
      <c r="Z49" s="196"/>
      <c r="AA49" s="196"/>
      <c r="AB49" s="196"/>
    </row>
    <row r="50" spans="1:28" ht="15.75" customHeight="1">
      <c r="A50" s="14" t="s">
        <v>371</v>
      </c>
      <c r="B50" s="177" t="s">
        <v>74</v>
      </c>
      <c r="C50" s="8">
        <v>45489</v>
      </c>
      <c r="D50" s="27">
        <v>0.47083333333333333</v>
      </c>
      <c r="E50" s="8">
        <v>45489</v>
      </c>
      <c r="F50" s="9">
        <v>0.62777777777777777</v>
      </c>
      <c r="G50" s="177">
        <v>103.7</v>
      </c>
      <c r="H50" s="178">
        <v>1</v>
      </c>
      <c r="I50" s="190">
        <v>113.6</v>
      </c>
      <c r="J50" s="190">
        <v>113.4</v>
      </c>
      <c r="K50" s="177" t="s">
        <v>74</v>
      </c>
      <c r="L50" s="217" t="s">
        <v>372</v>
      </c>
      <c r="M50" s="11" t="s">
        <v>13</v>
      </c>
      <c r="N50" s="179">
        <f t="shared" si="0"/>
        <v>9.7000000000000028</v>
      </c>
      <c r="O50" s="180" t="s">
        <v>12</v>
      </c>
      <c r="P50" s="180"/>
      <c r="Q50" s="200"/>
      <c r="R50" s="181"/>
      <c r="S50" s="187"/>
      <c r="T50" s="187"/>
      <c r="U50" s="187"/>
      <c r="V50" s="187"/>
      <c r="W50" s="187"/>
      <c r="X50" s="187"/>
      <c r="Y50" s="187"/>
      <c r="Z50" s="187"/>
      <c r="AA50" s="187"/>
      <c r="AB50" s="187"/>
    </row>
    <row r="51" spans="1:28" ht="15.75" customHeight="1">
      <c r="A51" s="14" t="s">
        <v>373</v>
      </c>
      <c r="B51" s="177" t="s">
        <v>74</v>
      </c>
      <c r="C51" s="8">
        <v>45489</v>
      </c>
      <c r="D51" s="9">
        <v>0.48472222222222222</v>
      </c>
      <c r="E51" s="8">
        <v>45489</v>
      </c>
      <c r="F51" s="9">
        <v>0.6333333333333333</v>
      </c>
      <c r="G51" s="177">
        <v>106.3</v>
      </c>
      <c r="H51" s="178">
        <v>1</v>
      </c>
      <c r="I51" s="177">
        <v>122.2</v>
      </c>
      <c r="J51" s="177">
        <v>121.7</v>
      </c>
      <c r="K51" s="177" t="s">
        <v>74</v>
      </c>
      <c r="L51" s="217" t="s">
        <v>374</v>
      </c>
      <c r="M51" s="11" t="s">
        <v>13</v>
      </c>
      <c r="N51" s="179">
        <f t="shared" si="0"/>
        <v>15.400000000000006</v>
      </c>
      <c r="O51" s="180" t="s">
        <v>12</v>
      </c>
      <c r="P51" s="180"/>
      <c r="Q51" s="191"/>
      <c r="R51" s="181"/>
      <c r="S51" s="187"/>
      <c r="T51" s="187"/>
      <c r="U51" s="187"/>
      <c r="V51" s="187"/>
      <c r="W51" s="187"/>
      <c r="X51" s="187"/>
      <c r="Y51" s="187"/>
      <c r="Z51" s="187"/>
      <c r="AA51" s="187"/>
      <c r="AB51" s="187"/>
    </row>
    <row r="52" spans="1:28" ht="15.75" customHeight="1">
      <c r="A52" s="14" t="s">
        <v>375</v>
      </c>
      <c r="B52" s="177" t="s">
        <v>74</v>
      </c>
      <c r="C52" s="8">
        <v>45489</v>
      </c>
      <c r="D52" s="9">
        <v>0.5</v>
      </c>
      <c r="E52" s="8">
        <v>45489</v>
      </c>
      <c r="F52" s="9">
        <v>0.63611111111111107</v>
      </c>
      <c r="G52" s="210">
        <v>104.5</v>
      </c>
      <c r="H52" s="178">
        <v>1</v>
      </c>
      <c r="I52" s="194">
        <v>114.9</v>
      </c>
      <c r="J52" s="194">
        <v>114.9</v>
      </c>
      <c r="K52" s="177" t="s">
        <v>74</v>
      </c>
      <c r="L52" s="217" t="s">
        <v>376</v>
      </c>
      <c r="M52" s="11" t="s">
        <v>13</v>
      </c>
      <c r="N52" s="179">
        <f t="shared" si="0"/>
        <v>10.400000000000006</v>
      </c>
      <c r="O52" s="180" t="s">
        <v>12</v>
      </c>
      <c r="P52" s="180"/>
      <c r="Q52" s="191"/>
      <c r="R52" s="181"/>
      <c r="S52" s="187"/>
      <c r="T52" s="187"/>
      <c r="U52" s="187"/>
      <c r="V52" s="187"/>
      <c r="W52" s="187"/>
      <c r="X52" s="187"/>
      <c r="Y52" s="187"/>
      <c r="Z52" s="187"/>
      <c r="AA52" s="187"/>
      <c r="AB52" s="187"/>
    </row>
    <row r="53" spans="1:28" ht="15.75" customHeight="1">
      <c r="A53" s="14" t="s">
        <v>377</v>
      </c>
      <c r="B53" s="177" t="s">
        <v>74</v>
      </c>
      <c r="C53" s="28">
        <v>45491</v>
      </c>
      <c r="D53" s="9">
        <v>0.32777777777777778</v>
      </c>
      <c r="E53" s="28">
        <v>45491</v>
      </c>
      <c r="F53" s="16">
        <v>0.60416666666666663</v>
      </c>
      <c r="G53" s="194">
        <v>104</v>
      </c>
      <c r="H53" s="178">
        <v>1</v>
      </c>
      <c r="I53" s="210">
        <v>112.8</v>
      </c>
      <c r="J53" s="210">
        <v>112.5</v>
      </c>
      <c r="K53" s="177" t="s">
        <v>74</v>
      </c>
      <c r="L53" s="217" t="s">
        <v>378</v>
      </c>
      <c r="M53" s="11" t="s">
        <v>13</v>
      </c>
      <c r="N53" s="179">
        <f t="shared" si="0"/>
        <v>8.5</v>
      </c>
      <c r="O53" s="180" t="s">
        <v>12</v>
      </c>
      <c r="P53" s="180"/>
      <c r="Q53" s="191"/>
      <c r="R53" s="181"/>
      <c r="S53" s="187"/>
      <c r="T53" s="187"/>
      <c r="U53" s="187"/>
      <c r="V53" s="187"/>
      <c r="W53" s="187"/>
      <c r="X53" s="187"/>
      <c r="Y53" s="187"/>
      <c r="Z53" s="187"/>
      <c r="AA53" s="187"/>
      <c r="AB53" s="187"/>
    </row>
    <row r="54" spans="1:28" ht="15.75" customHeight="1">
      <c r="A54" s="14" t="s">
        <v>379</v>
      </c>
      <c r="B54" s="177" t="s">
        <v>74</v>
      </c>
      <c r="C54" s="28">
        <v>45491</v>
      </c>
      <c r="D54" s="9">
        <v>0.32777777777777778</v>
      </c>
      <c r="E54" s="28">
        <v>45491</v>
      </c>
      <c r="F54" s="27">
        <v>0.6069444444444444</v>
      </c>
      <c r="G54" s="210">
        <v>105.6</v>
      </c>
      <c r="H54" s="178">
        <v>1</v>
      </c>
      <c r="I54" s="210">
        <v>114.4</v>
      </c>
      <c r="J54" s="210">
        <v>114.3</v>
      </c>
      <c r="K54" s="177" t="s">
        <v>74</v>
      </c>
      <c r="L54" s="217" t="s">
        <v>380</v>
      </c>
      <c r="M54" s="11" t="s">
        <v>13</v>
      </c>
      <c r="N54" s="179">
        <f t="shared" si="0"/>
        <v>8.7000000000000028</v>
      </c>
      <c r="O54" s="180" t="s">
        <v>12</v>
      </c>
      <c r="P54" s="180"/>
      <c r="Q54" s="191"/>
      <c r="R54" s="181"/>
      <c r="S54" s="187"/>
      <c r="T54" s="187"/>
      <c r="U54" s="187"/>
      <c r="V54" s="187"/>
      <c r="W54" s="187"/>
      <c r="X54" s="187"/>
      <c r="Y54" s="187"/>
      <c r="Z54" s="187"/>
      <c r="AA54" s="187"/>
      <c r="AB54" s="187"/>
    </row>
    <row r="55" spans="1:28" ht="15.75" customHeight="1">
      <c r="A55" s="14" t="s">
        <v>381</v>
      </c>
      <c r="B55" s="177" t="s">
        <v>74</v>
      </c>
      <c r="C55" s="8">
        <v>45504</v>
      </c>
      <c r="D55" s="9">
        <v>0.2673611111111111</v>
      </c>
      <c r="E55" s="8">
        <v>45504</v>
      </c>
      <c r="F55" s="215">
        <v>0.56527777777777777</v>
      </c>
      <c r="G55" s="177">
        <v>105.5</v>
      </c>
      <c r="H55" s="178">
        <v>1</v>
      </c>
      <c r="I55" s="177">
        <v>110.7</v>
      </c>
      <c r="J55" s="177">
        <v>110.4</v>
      </c>
      <c r="K55" s="177" t="s">
        <v>74</v>
      </c>
      <c r="L55" s="189" t="s">
        <v>382</v>
      </c>
      <c r="M55" s="11" t="s">
        <v>235</v>
      </c>
      <c r="N55" s="179">
        <f t="shared" si="0"/>
        <v>4.9000000000000057</v>
      </c>
      <c r="O55" s="180" t="s">
        <v>12</v>
      </c>
      <c r="P55" s="180"/>
      <c r="Q55" s="191"/>
      <c r="R55" s="181"/>
      <c r="S55" s="187"/>
      <c r="T55" s="187"/>
      <c r="U55" s="187"/>
      <c r="V55" s="187"/>
      <c r="W55" s="187"/>
      <c r="X55" s="187"/>
      <c r="Y55" s="187"/>
      <c r="Z55" s="187"/>
      <c r="AA55" s="187"/>
      <c r="AB55" s="187"/>
    </row>
    <row r="56" spans="1:28" ht="15.75" customHeight="1">
      <c r="A56" s="14" t="s">
        <v>383</v>
      </c>
      <c r="B56" s="177" t="s">
        <v>74</v>
      </c>
      <c r="C56" s="8">
        <v>45504</v>
      </c>
      <c r="D56" s="9">
        <v>0.28680555555555554</v>
      </c>
      <c r="E56" s="8">
        <v>45504</v>
      </c>
      <c r="F56" s="9">
        <v>0.56666666666666665</v>
      </c>
      <c r="G56" s="177">
        <v>105.2</v>
      </c>
      <c r="H56" s="178">
        <v>1</v>
      </c>
      <c r="I56" s="195">
        <v>112.6</v>
      </c>
      <c r="J56" s="177">
        <v>112.2</v>
      </c>
      <c r="K56" s="177" t="s">
        <v>74</v>
      </c>
      <c r="L56" s="189" t="s">
        <v>384</v>
      </c>
      <c r="M56" s="11" t="s">
        <v>235</v>
      </c>
      <c r="N56" s="179">
        <f t="shared" si="0"/>
        <v>7</v>
      </c>
      <c r="O56" s="180" t="s">
        <v>12</v>
      </c>
      <c r="P56" s="180"/>
      <c r="Q56" s="191"/>
      <c r="R56" s="181"/>
      <c r="S56" s="187"/>
      <c r="T56" s="187"/>
      <c r="U56" s="187"/>
      <c r="V56" s="187"/>
      <c r="W56" s="187"/>
      <c r="X56" s="187"/>
      <c r="Y56" s="187"/>
      <c r="Z56" s="187"/>
      <c r="AA56" s="187"/>
      <c r="AB56" s="187"/>
    </row>
    <row r="57" spans="1:28" ht="15.75" customHeight="1">
      <c r="A57" s="14"/>
      <c r="B57" s="177"/>
      <c r="C57" s="28"/>
      <c r="D57" s="9"/>
      <c r="E57" s="8"/>
      <c r="F57" s="9"/>
      <c r="G57" s="177"/>
      <c r="H57" s="178"/>
      <c r="I57" s="177"/>
      <c r="J57" s="177"/>
      <c r="K57" s="210"/>
      <c r="L57" s="189"/>
      <c r="M57" s="11"/>
      <c r="N57" s="177"/>
      <c r="O57" s="180"/>
      <c r="P57" s="180"/>
      <c r="Q57" s="191"/>
      <c r="R57" s="181">
        <f>AVERAGE(R2:R56)</f>
        <v>3.2249999999999943</v>
      </c>
      <c r="S57" s="187"/>
      <c r="T57" s="187"/>
      <c r="U57" s="187"/>
      <c r="V57" s="187"/>
      <c r="W57" s="187"/>
      <c r="X57" s="187"/>
      <c r="Y57" s="187"/>
      <c r="Z57" s="187"/>
      <c r="AA57" s="187"/>
      <c r="AB57" s="187"/>
    </row>
    <row r="58" spans="1:28" ht="15.75" customHeight="1">
      <c r="A58" s="14"/>
      <c r="B58" s="177"/>
      <c r="C58" s="28"/>
      <c r="D58" s="9"/>
      <c r="E58" s="8"/>
      <c r="F58" s="9"/>
      <c r="G58" s="177"/>
      <c r="H58" s="178"/>
      <c r="I58" s="177"/>
      <c r="J58" s="177"/>
      <c r="K58" s="210"/>
      <c r="L58" s="189"/>
      <c r="M58" s="11"/>
      <c r="N58" s="177"/>
      <c r="O58" s="180"/>
      <c r="P58" s="180"/>
      <c r="Q58" s="191"/>
      <c r="R58" s="181">
        <f>STDEV(R2:R57)</f>
        <v>0.44370598373246362</v>
      </c>
      <c r="S58" s="187"/>
      <c r="T58" s="187"/>
      <c r="U58" s="187"/>
      <c r="V58" s="187"/>
      <c r="W58" s="187"/>
      <c r="X58" s="187"/>
      <c r="Y58" s="187"/>
      <c r="Z58" s="187"/>
      <c r="AA58" s="187"/>
      <c r="AB58" s="187"/>
    </row>
    <row r="59" spans="1:28" ht="15.75" customHeight="1">
      <c r="A59" s="14"/>
      <c r="B59" s="177"/>
      <c r="C59" s="28"/>
      <c r="D59" s="218"/>
      <c r="E59" s="8"/>
      <c r="F59" s="9"/>
      <c r="G59" s="177"/>
      <c r="H59" s="178"/>
      <c r="I59" s="177"/>
      <c r="J59" s="177"/>
      <c r="K59" s="177"/>
      <c r="L59" s="189"/>
      <c r="M59" s="11"/>
      <c r="N59" s="177"/>
      <c r="O59" s="180"/>
      <c r="P59" s="180"/>
      <c r="Q59" s="191"/>
      <c r="R59" s="181"/>
      <c r="S59" s="187"/>
      <c r="T59" s="187"/>
      <c r="U59" s="187"/>
      <c r="V59" s="187"/>
      <c r="W59" s="187"/>
      <c r="X59" s="187"/>
      <c r="Y59" s="187"/>
      <c r="Z59" s="187"/>
      <c r="AA59" s="187"/>
      <c r="AB59" s="187"/>
    </row>
    <row r="60" spans="1:28" ht="15.75" customHeight="1">
      <c r="A60" s="14"/>
      <c r="B60" s="177"/>
      <c r="C60" s="28"/>
      <c r="D60" s="20"/>
      <c r="E60" s="8"/>
      <c r="F60" s="9"/>
      <c r="G60" s="177"/>
      <c r="H60" s="178"/>
      <c r="I60" s="190"/>
      <c r="J60" s="190"/>
      <c r="K60" s="177"/>
      <c r="L60" s="189"/>
      <c r="M60" s="11"/>
      <c r="N60" s="177"/>
      <c r="O60" s="180"/>
      <c r="P60" s="180"/>
      <c r="Q60" s="191"/>
      <c r="R60" s="181"/>
      <c r="S60" s="187"/>
      <c r="T60" s="187"/>
      <c r="U60" s="187"/>
      <c r="V60" s="187"/>
      <c r="W60" s="187"/>
      <c r="X60" s="187"/>
      <c r="Y60" s="187"/>
      <c r="Z60" s="187"/>
      <c r="AA60" s="187"/>
      <c r="AB60" s="187"/>
    </row>
    <row r="61" spans="1:28" ht="15.75" customHeight="1">
      <c r="A61" s="219"/>
      <c r="B61" s="83"/>
      <c r="C61" s="220"/>
      <c r="D61" s="82"/>
      <c r="E61" s="81"/>
      <c r="F61" s="82"/>
      <c r="G61" s="83"/>
      <c r="H61" s="221"/>
      <c r="I61" s="83"/>
      <c r="J61" s="83"/>
      <c r="K61" s="83"/>
      <c r="L61" s="84"/>
      <c r="M61" s="84"/>
      <c r="N61" s="83"/>
      <c r="O61" s="222"/>
      <c r="P61" s="222"/>
      <c r="Q61" s="187"/>
      <c r="R61" s="187"/>
      <c r="S61" s="187"/>
      <c r="T61" s="187"/>
      <c r="U61" s="187"/>
      <c r="V61" s="187"/>
      <c r="W61" s="187"/>
      <c r="X61" s="187"/>
      <c r="Y61" s="187"/>
      <c r="Z61" s="187"/>
      <c r="AA61" s="187"/>
      <c r="AB61" s="187"/>
    </row>
    <row r="62" spans="1:28" ht="15.75" customHeight="1">
      <c r="A62" s="219"/>
      <c r="B62" s="223"/>
      <c r="C62" s="224"/>
      <c r="D62" s="82"/>
      <c r="E62" s="81"/>
      <c r="F62" s="82"/>
      <c r="G62" s="83"/>
      <c r="H62" s="221"/>
      <c r="I62" s="83"/>
      <c r="J62" s="83"/>
      <c r="K62" s="83"/>
      <c r="L62" s="84"/>
      <c r="M62" s="84"/>
      <c r="N62" s="83"/>
      <c r="O62" s="222"/>
      <c r="P62" s="222"/>
      <c r="Q62" s="187"/>
      <c r="R62" s="187"/>
      <c r="S62" s="187"/>
      <c r="T62" s="187"/>
      <c r="U62" s="187"/>
      <c r="V62" s="187"/>
      <c r="W62" s="187"/>
      <c r="X62" s="187"/>
      <c r="Y62" s="187"/>
      <c r="Z62" s="187"/>
      <c r="AA62" s="187"/>
      <c r="AB62" s="187"/>
    </row>
    <row r="63" spans="1:28" ht="15.75" customHeight="1">
      <c r="A63" s="219"/>
      <c r="B63" s="223"/>
      <c r="C63" s="224"/>
      <c r="D63" s="82"/>
      <c r="E63" s="81"/>
      <c r="F63" s="82"/>
      <c r="G63" s="83"/>
      <c r="H63" s="221"/>
      <c r="I63" s="83"/>
      <c r="J63" s="83"/>
      <c r="K63" s="83"/>
      <c r="L63" s="84"/>
      <c r="M63" s="84"/>
      <c r="N63" s="83"/>
      <c r="O63" s="222"/>
      <c r="P63" s="222"/>
      <c r="Q63" s="187"/>
      <c r="R63" s="187"/>
      <c r="S63" s="187"/>
      <c r="T63" s="187"/>
      <c r="U63" s="187"/>
      <c r="V63" s="187"/>
      <c r="W63" s="187"/>
      <c r="X63" s="187"/>
      <c r="Y63" s="187"/>
      <c r="Z63" s="187"/>
      <c r="AA63" s="187"/>
      <c r="AB63" s="187"/>
    </row>
    <row r="64" spans="1:28" ht="15.75" customHeight="1">
      <c r="A64" s="219"/>
      <c r="B64" s="223"/>
      <c r="C64" s="224"/>
      <c r="D64" s="82"/>
      <c r="E64" s="81"/>
      <c r="F64" s="82"/>
      <c r="G64" s="83"/>
      <c r="H64" s="221"/>
      <c r="I64" s="83"/>
      <c r="J64" s="83"/>
      <c r="K64" s="83"/>
      <c r="L64" s="84"/>
      <c r="M64" s="84"/>
      <c r="N64" s="83"/>
      <c r="O64" s="222"/>
      <c r="P64" s="222"/>
      <c r="Q64" s="187"/>
      <c r="R64" s="187"/>
      <c r="S64" s="187"/>
      <c r="T64" s="187"/>
      <c r="U64" s="187"/>
      <c r="V64" s="187"/>
      <c r="W64" s="187"/>
      <c r="X64" s="187"/>
      <c r="Y64" s="187"/>
      <c r="Z64" s="187"/>
      <c r="AA64" s="187"/>
      <c r="AB64" s="187"/>
    </row>
    <row r="65" spans="1:28" ht="15.75" customHeight="1">
      <c r="A65" s="219"/>
      <c r="B65" s="223"/>
      <c r="C65" s="224"/>
      <c r="D65" s="82"/>
      <c r="E65" s="81"/>
      <c r="F65" s="82"/>
      <c r="G65" s="83"/>
      <c r="H65" s="221"/>
      <c r="I65" s="83"/>
      <c r="J65" s="83"/>
      <c r="K65" s="83"/>
      <c r="L65" s="84"/>
      <c r="M65" s="84"/>
      <c r="N65" s="83"/>
      <c r="O65" s="222"/>
      <c r="P65" s="222"/>
      <c r="Q65" s="187"/>
      <c r="R65" s="187"/>
      <c r="S65" s="187"/>
      <c r="T65" s="187"/>
      <c r="U65" s="187"/>
      <c r="V65" s="187"/>
      <c r="W65" s="187"/>
      <c r="X65" s="187"/>
      <c r="Y65" s="187"/>
      <c r="Z65" s="187"/>
      <c r="AA65" s="187"/>
      <c r="AB65" s="187"/>
    </row>
    <row r="66" spans="1:28" ht="15.75" customHeight="1">
      <c r="A66" s="219"/>
      <c r="B66" s="223"/>
      <c r="C66" s="225"/>
      <c r="D66" s="82"/>
      <c r="E66" s="81"/>
      <c r="F66" s="82"/>
      <c r="G66" s="83"/>
      <c r="H66" s="221"/>
      <c r="I66" s="83"/>
      <c r="J66" s="83"/>
      <c r="K66" s="83"/>
      <c r="L66" s="84"/>
      <c r="M66" s="84"/>
      <c r="N66" s="83"/>
      <c r="O66" s="222"/>
      <c r="P66" s="222"/>
      <c r="Q66" s="187"/>
      <c r="R66" s="187"/>
      <c r="S66" s="187"/>
      <c r="T66" s="187"/>
      <c r="U66" s="187"/>
      <c r="V66" s="187"/>
      <c r="W66" s="187"/>
      <c r="X66" s="187"/>
      <c r="Y66" s="187"/>
      <c r="Z66" s="187"/>
      <c r="AA66" s="187"/>
      <c r="AB66" s="187"/>
    </row>
    <row r="67" spans="1:28" ht="15.75" customHeight="1">
      <c r="A67" s="219"/>
      <c r="B67" s="223"/>
      <c r="C67" s="225"/>
      <c r="D67" s="82"/>
      <c r="E67" s="81"/>
      <c r="F67" s="82"/>
      <c r="G67" s="83"/>
      <c r="H67" s="221"/>
      <c r="I67" s="83"/>
      <c r="J67" s="83"/>
      <c r="K67" s="83"/>
      <c r="L67" s="84"/>
      <c r="M67" s="84"/>
      <c r="N67" s="83"/>
      <c r="O67" s="222"/>
      <c r="P67" s="222"/>
      <c r="Q67" s="187"/>
      <c r="R67" s="187"/>
      <c r="S67" s="187"/>
      <c r="T67" s="187"/>
      <c r="U67" s="187"/>
      <c r="V67" s="187"/>
      <c r="W67" s="187"/>
      <c r="X67" s="187"/>
      <c r="Y67" s="187"/>
      <c r="Z67" s="187"/>
      <c r="AA67" s="187"/>
      <c r="AB67" s="187"/>
    </row>
    <row r="68" spans="1:28" ht="15.75" customHeight="1">
      <c r="A68" s="219"/>
      <c r="B68" s="223"/>
      <c r="C68" s="225"/>
      <c r="D68" s="82"/>
      <c r="E68" s="81"/>
      <c r="F68" s="82"/>
      <c r="G68" s="83"/>
      <c r="H68" s="221"/>
      <c r="I68" s="83"/>
      <c r="J68" s="83"/>
      <c r="K68" s="83"/>
      <c r="L68" s="84"/>
      <c r="M68" s="84"/>
      <c r="N68" s="83"/>
      <c r="O68" s="222"/>
      <c r="P68" s="222"/>
      <c r="Q68" s="187"/>
      <c r="R68" s="187"/>
      <c r="S68" s="187"/>
      <c r="T68" s="187"/>
      <c r="U68" s="187"/>
      <c r="V68" s="187"/>
      <c r="W68" s="187"/>
      <c r="X68" s="187"/>
      <c r="Y68" s="187"/>
      <c r="Z68" s="187"/>
      <c r="AA68" s="187"/>
      <c r="AB68" s="187"/>
    </row>
    <row r="69" spans="1:28" ht="15.75" customHeight="1">
      <c r="A69" s="219"/>
      <c r="B69" s="223"/>
      <c r="C69" s="225"/>
      <c r="D69" s="82"/>
      <c r="E69" s="81"/>
      <c r="F69" s="82"/>
      <c r="G69" s="83"/>
      <c r="H69" s="221"/>
      <c r="I69" s="83"/>
      <c r="J69" s="83"/>
      <c r="K69" s="83"/>
      <c r="L69" s="84"/>
      <c r="M69" s="84"/>
      <c r="N69" s="83"/>
      <c r="O69" s="222"/>
      <c r="P69" s="222"/>
      <c r="Q69" s="187"/>
      <c r="R69" s="187"/>
      <c r="S69" s="187"/>
      <c r="T69" s="187"/>
      <c r="U69" s="187"/>
      <c r="V69" s="187"/>
      <c r="W69" s="187"/>
      <c r="X69" s="187"/>
      <c r="Y69" s="187"/>
      <c r="Z69" s="187"/>
      <c r="AA69" s="187"/>
      <c r="AB69" s="187"/>
    </row>
    <row r="70" spans="1:28" ht="15.75" customHeight="1">
      <c r="A70" s="219"/>
      <c r="B70" s="223"/>
      <c r="C70" s="225"/>
      <c r="D70" s="82"/>
      <c r="E70" s="81"/>
      <c r="F70" s="82"/>
      <c r="G70" s="83"/>
      <c r="H70" s="221"/>
      <c r="I70" s="83"/>
      <c r="J70" s="83"/>
      <c r="K70" s="83"/>
      <c r="L70" s="84"/>
      <c r="M70" s="84"/>
      <c r="N70" s="83"/>
      <c r="O70" s="222"/>
      <c r="P70" s="222"/>
      <c r="Q70" s="187"/>
      <c r="R70" s="187"/>
      <c r="S70" s="187"/>
      <c r="T70" s="187"/>
      <c r="U70" s="187"/>
      <c r="V70" s="187"/>
      <c r="W70" s="187"/>
      <c r="X70" s="187"/>
      <c r="Y70" s="187"/>
      <c r="Z70" s="187"/>
      <c r="AA70" s="187"/>
      <c r="AB70" s="187"/>
    </row>
    <row r="71" spans="1:28" ht="15.75" customHeight="1">
      <c r="A71" s="219"/>
      <c r="B71" s="223"/>
      <c r="C71" s="225"/>
      <c r="D71" s="82"/>
      <c r="E71" s="81"/>
      <c r="F71" s="82"/>
      <c r="G71" s="83"/>
      <c r="H71" s="221"/>
      <c r="I71" s="83"/>
      <c r="J71" s="83"/>
      <c r="K71" s="83"/>
      <c r="L71" s="84"/>
      <c r="M71" s="84"/>
      <c r="N71" s="83"/>
      <c r="O71" s="222"/>
      <c r="P71" s="222"/>
      <c r="Q71" s="187"/>
      <c r="R71" s="187"/>
      <c r="S71" s="187"/>
      <c r="T71" s="187"/>
      <c r="U71" s="187"/>
      <c r="V71" s="187"/>
      <c r="W71" s="187"/>
      <c r="X71" s="187"/>
      <c r="Y71" s="187"/>
      <c r="Z71" s="187"/>
      <c r="AA71" s="187"/>
      <c r="AB71" s="187"/>
    </row>
    <row r="72" spans="1:28" ht="15.75" customHeight="1">
      <c r="A72" s="219"/>
      <c r="B72" s="226"/>
      <c r="C72" s="225"/>
      <c r="D72" s="82"/>
      <c r="E72" s="81"/>
      <c r="F72" s="82"/>
      <c r="G72" s="83"/>
      <c r="H72" s="221"/>
      <c r="I72" s="83"/>
      <c r="J72" s="83"/>
      <c r="K72" s="83"/>
      <c r="L72" s="84"/>
      <c r="M72" s="84"/>
      <c r="N72" s="83"/>
      <c r="O72" s="222"/>
      <c r="P72" s="222"/>
      <c r="Q72" s="187"/>
      <c r="R72" s="187"/>
      <c r="S72" s="187"/>
      <c r="T72" s="187"/>
      <c r="U72" s="187"/>
      <c r="V72" s="187"/>
      <c r="W72" s="187"/>
      <c r="X72" s="187"/>
      <c r="Y72" s="187"/>
      <c r="Z72" s="187"/>
      <c r="AA72" s="187"/>
      <c r="AB72" s="187"/>
    </row>
    <row r="73" spans="1:28" ht="15.75" customHeight="1">
      <c r="A73" s="219"/>
      <c r="B73" s="226"/>
      <c r="C73" s="225"/>
      <c r="D73" s="82"/>
      <c r="E73" s="81"/>
      <c r="F73" s="82"/>
      <c r="G73" s="83"/>
      <c r="H73" s="221"/>
      <c r="I73" s="83"/>
      <c r="J73" s="83"/>
      <c r="K73" s="83"/>
      <c r="L73" s="84"/>
      <c r="M73" s="84"/>
      <c r="N73" s="83"/>
      <c r="O73" s="222"/>
      <c r="P73" s="222"/>
      <c r="Q73" s="187"/>
      <c r="R73" s="187"/>
      <c r="S73" s="187"/>
      <c r="T73" s="187"/>
      <c r="U73" s="187"/>
      <c r="V73" s="187"/>
      <c r="W73" s="187"/>
      <c r="X73" s="187"/>
      <c r="Y73" s="187"/>
      <c r="Z73" s="187"/>
      <c r="AA73" s="187"/>
      <c r="AB73" s="187"/>
    </row>
    <row r="74" spans="1:28" ht="15.75" customHeight="1">
      <c r="A74" s="219"/>
      <c r="B74" s="226"/>
      <c r="C74" s="225"/>
      <c r="D74" s="82"/>
      <c r="E74" s="81"/>
      <c r="F74" s="82"/>
      <c r="G74" s="83"/>
      <c r="H74" s="221"/>
      <c r="I74" s="83"/>
      <c r="J74" s="83"/>
      <c r="K74" s="83"/>
      <c r="L74" s="84"/>
      <c r="M74" s="84"/>
      <c r="N74" s="83"/>
      <c r="O74" s="222"/>
      <c r="P74" s="222"/>
      <c r="Q74" s="187"/>
      <c r="R74" s="187"/>
      <c r="S74" s="187"/>
      <c r="T74" s="187"/>
      <c r="U74" s="187"/>
      <c r="V74" s="187"/>
      <c r="W74" s="187"/>
      <c r="X74" s="187"/>
      <c r="Y74" s="187"/>
      <c r="Z74" s="187"/>
      <c r="AA74" s="187"/>
      <c r="AB74" s="187"/>
    </row>
    <row r="75" spans="1:28" ht="15.75" customHeight="1">
      <c r="A75" s="219"/>
      <c r="B75" s="226"/>
      <c r="C75" s="225"/>
      <c r="D75" s="82"/>
      <c r="E75" s="81"/>
      <c r="F75" s="82"/>
      <c r="G75" s="83"/>
      <c r="H75" s="221"/>
      <c r="I75" s="83"/>
      <c r="J75" s="83"/>
      <c r="K75" s="83"/>
      <c r="L75" s="84"/>
      <c r="M75" s="84"/>
      <c r="N75" s="83"/>
      <c r="O75" s="222"/>
      <c r="P75" s="222"/>
      <c r="Q75" s="187"/>
      <c r="R75" s="187"/>
      <c r="S75" s="187"/>
      <c r="T75" s="187"/>
      <c r="U75" s="187"/>
      <c r="V75" s="187"/>
      <c r="W75" s="187"/>
      <c r="X75" s="187"/>
      <c r="Y75" s="187"/>
      <c r="Z75" s="187"/>
      <c r="AA75" s="187"/>
      <c r="AB75" s="187"/>
    </row>
    <row r="76" spans="1:28" ht="15.75" customHeight="1">
      <c r="A76" s="219"/>
      <c r="B76" s="83"/>
      <c r="C76" s="81"/>
      <c r="D76" s="82"/>
      <c r="E76" s="81"/>
      <c r="F76" s="82"/>
      <c r="G76" s="83"/>
      <c r="H76" s="221"/>
      <c r="I76" s="83"/>
      <c r="J76" s="83"/>
      <c r="K76" s="83"/>
      <c r="L76" s="84"/>
      <c r="M76" s="84"/>
      <c r="N76" s="83"/>
      <c r="O76" s="222"/>
      <c r="P76" s="222"/>
      <c r="Q76" s="187"/>
      <c r="R76" s="187"/>
      <c r="S76" s="187"/>
      <c r="T76" s="187"/>
      <c r="U76" s="187"/>
      <c r="V76" s="187"/>
      <c r="W76" s="187"/>
      <c r="X76" s="187"/>
      <c r="Y76" s="187"/>
      <c r="Z76" s="187"/>
      <c r="AA76" s="187"/>
      <c r="AB76" s="187"/>
    </row>
    <row r="77" spans="1:28" ht="15.75" customHeight="1">
      <c r="A77" s="219"/>
      <c r="B77" s="83"/>
      <c r="C77" s="81"/>
      <c r="D77" s="82"/>
      <c r="E77" s="81"/>
      <c r="F77" s="82"/>
      <c r="G77" s="83"/>
      <c r="H77" s="221"/>
      <c r="I77" s="83"/>
      <c r="J77" s="83"/>
      <c r="K77" s="83"/>
      <c r="L77" s="84"/>
      <c r="M77" s="84"/>
      <c r="N77" s="83"/>
      <c r="O77" s="222"/>
      <c r="P77" s="222"/>
      <c r="Q77" s="187"/>
      <c r="R77" s="187"/>
      <c r="S77" s="187"/>
      <c r="T77" s="187"/>
      <c r="U77" s="187"/>
      <c r="V77" s="187"/>
      <c r="W77" s="187"/>
      <c r="X77" s="187"/>
      <c r="Y77" s="187"/>
      <c r="Z77" s="187"/>
      <c r="AA77" s="187"/>
      <c r="AB77" s="187"/>
    </row>
    <row r="78" spans="1:28" ht="15.75" customHeight="1">
      <c r="A78" s="219"/>
      <c r="B78" s="83"/>
      <c r="C78" s="81"/>
      <c r="D78" s="82"/>
      <c r="E78" s="81"/>
      <c r="F78" s="82"/>
      <c r="G78" s="83"/>
      <c r="H78" s="221"/>
      <c r="I78" s="83"/>
      <c r="J78" s="83"/>
      <c r="K78" s="83"/>
      <c r="L78" s="84"/>
      <c r="M78" s="84"/>
      <c r="N78" s="83"/>
      <c r="O78" s="222"/>
      <c r="P78" s="222"/>
      <c r="Q78" s="187"/>
      <c r="R78" s="187"/>
      <c r="S78" s="187"/>
      <c r="T78" s="187"/>
      <c r="U78" s="187"/>
      <c r="V78" s="187"/>
      <c r="W78" s="187"/>
      <c r="X78" s="187"/>
      <c r="Y78" s="187"/>
      <c r="Z78" s="187"/>
      <c r="AA78" s="187"/>
      <c r="AB78" s="187"/>
    </row>
    <row r="79" spans="1:28" ht="15.75" customHeight="1">
      <c r="A79" s="219"/>
      <c r="B79" s="83"/>
      <c r="C79" s="81"/>
      <c r="D79" s="82"/>
      <c r="E79" s="81"/>
      <c r="F79" s="82"/>
      <c r="G79" s="83"/>
      <c r="H79" s="221"/>
      <c r="I79" s="83"/>
      <c r="J79" s="83"/>
      <c r="K79" s="83"/>
      <c r="L79" s="84"/>
      <c r="M79" s="84"/>
      <c r="N79" s="83"/>
      <c r="O79" s="222"/>
      <c r="P79" s="222"/>
      <c r="Q79" s="187"/>
      <c r="R79" s="187"/>
      <c r="S79" s="187"/>
      <c r="T79" s="187"/>
      <c r="U79" s="187"/>
      <c r="V79" s="187"/>
      <c r="W79" s="187"/>
      <c r="X79" s="187"/>
      <c r="Y79" s="187"/>
      <c r="Z79" s="187"/>
      <c r="AA79" s="187"/>
      <c r="AB79" s="187"/>
    </row>
    <row r="80" spans="1:28" ht="15.75" customHeight="1">
      <c r="A80" s="219"/>
      <c r="B80" s="83"/>
      <c r="C80" s="81"/>
      <c r="D80" s="82"/>
      <c r="E80" s="81"/>
      <c r="F80" s="82"/>
      <c r="G80" s="83"/>
      <c r="H80" s="221"/>
      <c r="I80" s="83"/>
      <c r="J80" s="83"/>
      <c r="K80" s="83"/>
      <c r="L80" s="84"/>
      <c r="M80" s="84"/>
      <c r="N80" s="83"/>
      <c r="O80" s="222"/>
      <c r="P80" s="222"/>
      <c r="Q80" s="187"/>
      <c r="R80" s="187"/>
      <c r="S80" s="187"/>
      <c r="T80" s="187"/>
      <c r="U80" s="187"/>
      <c r="V80" s="187"/>
      <c r="W80" s="187"/>
      <c r="X80" s="187"/>
      <c r="Y80" s="187"/>
      <c r="Z80" s="187"/>
      <c r="AA80" s="187"/>
      <c r="AB80" s="187"/>
    </row>
    <row r="81" spans="1:28" ht="15.75" customHeight="1">
      <c r="A81" s="219"/>
      <c r="B81" s="83"/>
      <c r="C81" s="81"/>
      <c r="D81" s="82"/>
      <c r="E81" s="81"/>
      <c r="F81" s="82"/>
      <c r="G81" s="83"/>
      <c r="H81" s="221"/>
      <c r="I81" s="83"/>
      <c r="J81" s="83"/>
      <c r="K81" s="83"/>
      <c r="L81" s="84"/>
      <c r="M81" s="84"/>
      <c r="N81" s="83"/>
      <c r="O81" s="222"/>
      <c r="P81" s="222"/>
      <c r="Q81" s="187"/>
      <c r="R81" s="187"/>
      <c r="S81" s="187"/>
      <c r="T81" s="187"/>
      <c r="U81" s="187"/>
      <c r="V81" s="187"/>
      <c r="W81" s="187"/>
      <c r="X81" s="187"/>
      <c r="Y81" s="187"/>
      <c r="Z81" s="187"/>
      <c r="AA81" s="187"/>
      <c r="AB81" s="187"/>
    </row>
    <row r="82" spans="1:28" ht="15.75" customHeight="1">
      <c r="A82" s="219"/>
      <c r="B82" s="83"/>
      <c r="C82" s="81"/>
      <c r="D82" s="82"/>
      <c r="E82" s="81"/>
      <c r="F82" s="82"/>
      <c r="G82" s="83"/>
      <c r="H82" s="221"/>
      <c r="I82" s="83"/>
      <c r="J82" s="83"/>
      <c r="K82" s="83"/>
      <c r="L82" s="84"/>
      <c r="M82" s="84"/>
      <c r="N82" s="83"/>
      <c r="O82" s="222"/>
      <c r="P82" s="222"/>
      <c r="Q82" s="187"/>
      <c r="R82" s="187"/>
      <c r="S82" s="187"/>
      <c r="T82" s="187"/>
      <c r="U82" s="187"/>
      <c r="V82" s="187"/>
      <c r="W82" s="187"/>
      <c r="X82" s="187"/>
      <c r="Y82" s="187"/>
      <c r="Z82" s="187"/>
      <c r="AA82" s="187"/>
      <c r="AB82" s="187"/>
    </row>
    <row r="83" spans="1:28" ht="15.75" customHeight="1">
      <c r="A83" s="219"/>
      <c r="B83" s="83"/>
      <c r="C83" s="81"/>
      <c r="D83" s="82"/>
      <c r="E83" s="81"/>
      <c r="F83" s="82"/>
      <c r="G83" s="83"/>
      <c r="H83" s="221"/>
      <c r="I83" s="83"/>
      <c r="J83" s="83"/>
      <c r="K83" s="83"/>
      <c r="L83" s="84"/>
      <c r="M83" s="84"/>
      <c r="N83" s="83"/>
      <c r="O83" s="222"/>
      <c r="P83" s="222"/>
      <c r="Q83" s="187"/>
      <c r="R83" s="187"/>
      <c r="S83" s="187"/>
      <c r="T83" s="187"/>
      <c r="U83" s="187"/>
      <c r="V83" s="187"/>
      <c r="W83" s="187"/>
      <c r="X83" s="187"/>
      <c r="Y83" s="187"/>
      <c r="Z83" s="187"/>
      <c r="AA83" s="187"/>
      <c r="AB83" s="187"/>
    </row>
    <row r="84" spans="1:28" ht="15.75" customHeight="1">
      <c r="A84" s="219"/>
      <c r="B84" s="83"/>
      <c r="C84" s="81"/>
      <c r="D84" s="82"/>
      <c r="E84" s="81"/>
      <c r="F84" s="82"/>
      <c r="G84" s="83"/>
      <c r="H84" s="221"/>
      <c r="I84" s="83"/>
      <c r="J84" s="83"/>
      <c r="K84" s="83"/>
      <c r="L84" s="84"/>
      <c r="M84" s="84"/>
      <c r="N84" s="83"/>
      <c r="O84" s="222"/>
      <c r="P84" s="222"/>
      <c r="Q84" s="187"/>
      <c r="R84" s="187"/>
      <c r="S84" s="187"/>
      <c r="T84" s="187"/>
      <c r="U84" s="187"/>
      <c r="V84" s="187"/>
      <c r="W84" s="187"/>
      <c r="X84" s="187"/>
      <c r="Y84" s="187"/>
      <c r="Z84" s="187"/>
      <c r="AA84" s="187"/>
      <c r="AB84" s="187"/>
    </row>
    <row r="85" spans="1:28" ht="15.75" customHeight="1">
      <c r="A85" s="219"/>
      <c r="B85" s="83"/>
      <c r="C85" s="81"/>
      <c r="D85" s="82"/>
      <c r="E85" s="81"/>
      <c r="F85" s="82"/>
      <c r="G85" s="83"/>
      <c r="H85" s="221"/>
      <c r="I85" s="83"/>
      <c r="J85" s="83"/>
      <c r="K85" s="83"/>
      <c r="L85" s="84"/>
      <c r="M85" s="84"/>
      <c r="N85" s="83"/>
      <c r="O85" s="222"/>
      <c r="P85" s="222"/>
      <c r="Q85" s="187"/>
      <c r="R85" s="187"/>
      <c r="S85" s="187"/>
      <c r="T85" s="187"/>
      <c r="U85" s="187"/>
      <c r="V85" s="187"/>
      <c r="W85" s="187"/>
      <c r="X85" s="187"/>
      <c r="Y85" s="187"/>
      <c r="Z85" s="187"/>
      <c r="AA85" s="187"/>
      <c r="AB85" s="187"/>
    </row>
    <row r="86" spans="1:28" ht="15.75" customHeight="1">
      <c r="A86" s="219"/>
      <c r="B86" s="83"/>
      <c r="C86" s="81"/>
      <c r="D86" s="82"/>
      <c r="E86" s="81"/>
      <c r="F86" s="82"/>
      <c r="G86" s="83"/>
      <c r="H86" s="221"/>
      <c r="I86" s="83"/>
      <c r="J86" s="83"/>
      <c r="K86" s="83"/>
      <c r="L86" s="84"/>
      <c r="M86" s="84"/>
      <c r="N86" s="83"/>
      <c r="O86" s="222"/>
      <c r="P86" s="222"/>
      <c r="Q86" s="187"/>
      <c r="R86" s="187"/>
      <c r="S86" s="187"/>
      <c r="T86" s="187"/>
      <c r="U86" s="187"/>
      <c r="V86" s="187"/>
      <c r="W86" s="187"/>
      <c r="X86" s="187"/>
      <c r="Y86" s="187"/>
      <c r="Z86" s="187"/>
      <c r="AA86" s="187"/>
      <c r="AB86" s="187"/>
    </row>
    <row r="87" spans="1:28" ht="15.75" customHeight="1">
      <c r="A87" s="219"/>
      <c r="B87" s="83"/>
      <c r="C87" s="81"/>
      <c r="D87" s="82"/>
      <c r="E87" s="81"/>
      <c r="F87" s="82"/>
      <c r="G87" s="83"/>
      <c r="H87" s="221"/>
      <c r="I87" s="83"/>
      <c r="J87" s="83"/>
      <c r="K87" s="83"/>
      <c r="L87" s="84"/>
      <c r="M87" s="84"/>
      <c r="N87" s="83"/>
      <c r="O87" s="222"/>
      <c r="P87" s="222"/>
      <c r="Q87" s="187"/>
      <c r="R87" s="187"/>
      <c r="S87" s="187"/>
      <c r="T87" s="187"/>
      <c r="U87" s="187"/>
      <c r="V87" s="187"/>
      <c r="W87" s="187"/>
      <c r="X87" s="187"/>
      <c r="Y87" s="187"/>
      <c r="Z87" s="187"/>
      <c r="AA87" s="187"/>
      <c r="AB87" s="187"/>
    </row>
    <row r="88" spans="1:28" ht="15.75" customHeight="1">
      <c r="A88" s="219"/>
      <c r="B88" s="83"/>
      <c r="C88" s="81"/>
      <c r="D88" s="82"/>
      <c r="E88" s="81"/>
      <c r="F88" s="82"/>
      <c r="G88" s="83"/>
      <c r="H88" s="221"/>
      <c r="I88" s="83"/>
      <c r="J88" s="83"/>
      <c r="K88" s="83"/>
      <c r="L88" s="84"/>
      <c r="M88" s="84"/>
      <c r="N88" s="83"/>
      <c r="O88" s="222"/>
      <c r="P88" s="222"/>
      <c r="Q88" s="187"/>
      <c r="R88" s="187"/>
      <c r="S88" s="187"/>
      <c r="T88" s="187"/>
      <c r="U88" s="187"/>
      <c r="V88" s="187"/>
      <c r="W88" s="187"/>
      <c r="X88" s="187"/>
      <c r="Y88" s="187"/>
      <c r="Z88" s="187"/>
      <c r="AA88" s="187"/>
      <c r="AB88" s="187"/>
    </row>
    <row r="89" spans="1:28" ht="15.75" customHeight="1">
      <c r="A89" s="219"/>
      <c r="B89" s="83"/>
      <c r="C89" s="81"/>
      <c r="D89" s="82"/>
      <c r="E89" s="81"/>
      <c r="F89" s="82"/>
      <c r="G89" s="83"/>
      <c r="H89" s="221"/>
      <c r="I89" s="83"/>
      <c r="J89" s="83"/>
      <c r="K89" s="83"/>
      <c r="L89" s="84"/>
      <c r="M89" s="84"/>
      <c r="N89" s="83"/>
      <c r="O89" s="222"/>
      <c r="P89" s="222"/>
      <c r="Q89" s="187"/>
      <c r="R89" s="187"/>
      <c r="S89" s="187"/>
      <c r="T89" s="187"/>
      <c r="U89" s="187"/>
      <c r="V89" s="187"/>
      <c r="W89" s="187"/>
      <c r="X89" s="187"/>
      <c r="Y89" s="187"/>
      <c r="Z89" s="187"/>
      <c r="AA89" s="187"/>
      <c r="AB89" s="187"/>
    </row>
    <row r="90" spans="1:28" ht="15.75" customHeight="1">
      <c r="A90" s="219"/>
      <c r="B90" s="83"/>
      <c r="C90" s="81"/>
      <c r="D90" s="82"/>
      <c r="E90" s="81"/>
      <c r="F90" s="82"/>
      <c r="G90" s="83"/>
      <c r="H90" s="221"/>
      <c r="I90" s="83"/>
      <c r="J90" s="83"/>
      <c r="K90" s="83"/>
      <c r="L90" s="84"/>
      <c r="M90" s="84"/>
      <c r="N90" s="83"/>
      <c r="O90" s="222"/>
      <c r="P90" s="222"/>
      <c r="Q90" s="187"/>
      <c r="R90" s="187"/>
      <c r="S90" s="187"/>
      <c r="T90" s="187"/>
      <c r="U90" s="187"/>
      <c r="V90" s="187"/>
      <c r="W90" s="187"/>
      <c r="X90" s="187"/>
      <c r="Y90" s="187"/>
      <c r="Z90" s="187"/>
      <c r="AA90" s="187"/>
      <c r="AB90" s="187"/>
    </row>
    <row r="91" spans="1:28" ht="15.75" customHeight="1">
      <c r="A91" s="219"/>
      <c r="B91" s="83"/>
      <c r="C91" s="81"/>
      <c r="D91" s="82"/>
      <c r="E91" s="81"/>
      <c r="F91" s="82"/>
      <c r="G91" s="83"/>
      <c r="H91" s="221"/>
      <c r="I91" s="83"/>
      <c r="J91" s="83"/>
      <c r="K91" s="83"/>
      <c r="L91" s="84"/>
      <c r="M91" s="84"/>
      <c r="N91" s="83"/>
      <c r="O91" s="222"/>
      <c r="P91" s="222"/>
      <c r="Q91" s="187"/>
      <c r="R91" s="187"/>
      <c r="S91" s="187"/>
      <c r="T91" s="187"/>
      <c r="U91" s="187"/>
      <c r="V91" s="187"/>
      <c r="W91" s="187"/>
      <c r="X91" s="187"/>
      <c r="Y91" s="187"/>
      <c r="Z91" s="187"/>
      <c r="AA91" s="187"/>
      <c r="AB91" s="187"/>
    </row>
    <row r="92" spans="1:28" ht="15.75" customHeight="1">
      <c r="A92" s="219"/>
      <c r="B92" s="83"/>
      <c r="C92" s="81"/>
      <c r="D92" s="82"/>
      <c r="E92" s="81"/>
      <c r="F92" s="82"/>
      <c r="G92" s="83"/>
      <c r="H92" s="221"/>
      <c r="I92" s="83"/>
      <c r="J92" s="83"/>
      <c r="K92" s="83"/>
      <c r="L92" s="84"/>
      <c r="M92" s="84"/>
      <c r="N92" s="83"/>
      <c r="O92" s="222"/>
      <c r="P92" s="222"/>
      <c r="Q92" s="187"/>
      <c r="R92" s="187"/>
      <c r="S92" s="187"/>
      <c r="T92" s="187"/>
      <c r="U92" s="187"/>
      <c r="V92" s="187"/>
      <c r="W92" s="187"/>
      <c r="X92" s="187"/>
      <c r="Y92" s="187"/>
      <c r="Z92" s="187"/>
      <c r="AA92" s="187"/>
      <c r="AB92" s="187"/>
    </row>
    <row r="93" spans="1:28" ht="15.75" customHeight="1">
      <c r="A93" s="219"/>
      <c r="B93" s="83"/>
      <c r="C93" s="81"/>
      <c r="D93" s="82"/>
      <c r="E93" s="81"/>
      <c r="F93" s="82"/>
      <c r="G93" s="83"/>
      <c r="H93" s="221"/>
      <c r="I93" s="83"/>
      <c r="J93" s="83"/>
      <c r="K93" s="83"/>
      <c r="L93" s="84"/>
      <c r="M93" s="84"/>
      <c r="N93" s="83"/>
      <c r="O93" s="222"/>
      <c r="P93" s="222"/>
      <c r="Q93" s="187"/>
      <c r="R93" s="187"/>
      <c r="S93" s="187"/>
      <c r="T93" s="187"/>
      <c r="U93" s="187"/>
      <c r="V93" s="187"/>
      <c r="W93" s="187"/>
      <c r="X93" s="187"/>
      <c r="Y93" s="187"/>
      <c r="Z93" s="187"/>
      <c r="AA93" s="187"/>
      <c r="AB93" s="187"/>
    </row>
    <row r="94" spans="1:28" ht="15.75" customHeight="1">
      <c r="A94" s="219"/>
      <c r="B94" s="83"/>
      <c r="C94" s="81"/>
      <c r="D94" s="82"/>
      <c r="E94" s="81"/>
      <c r="F94" s="82"/>
      <c r="G94" s="83"/>
      <c r="H94" s="221"/>
      <c r="I94" s="83"/>
      <c r="J94" s="83"/>
      <c r="K94" s="83"/>
      <c r="L94" s="84"/>
      <c r="M94" s="84"/>
      <c r="N94" s="83"/>
      <c r="O94" s="222"/>
      <c r="P94" s="222"/>
      <c r="Q94" s="187"/>
      <c r="R94" s="187"/>
      <c r="S94" s="187"/>
      <c r="T94" s="187"/>
      <c r="U94" s="187"/>
      <c r="V94" s="187"/>
      <c r="W94" s="187"/>
      <c r="X94" s="187"/>
      <c r="Y94" s="187"/>
      <c r="Z94" s="187"/>
      <c r="AA94" s="187"/>
      <c r="AB94" s="187"/>
    </row>
    <row r="95" spans="1:28" ht="15.75" customHeight="1">
      <c r="A95" s="219"/>
      <c r="B95" s="83"/>
      <c r="C95" s="81"/>
      <c r="D95" s="82"/>
      <c r="E95" s="81"/>
      <c r="F95" s="82"/>
      <c r="G95" s="83"/>
      <c r="H95" s="221"/>
      <c r="I95" s="83"/>
      <c r="J95" s="83"/>
      <c r="K95" s="83"/>
      <c r="L95" s="84"/>
      <c r="M95" s="84"/>
      <c r="N95" s="83"/>
      <c r="O95" s="222"/>
      <c r="P95" s="222"/>
      <c r="Q95" s="187"/>
      <c r="R95" s="187"/>
      <c r="S95" s="187"/>
      <c r="T95" s="187"/>
      <c r="U95" s="187"/>
      <c r="V95" s="187"/>
      <c r="W95" s="187"/>
      <c r="X95" s="187"/>
      <c r="Y95" s="187"/>
      <c r="Z95" s="187"/>
      <c r="AA95" s="187"/>
      <c r="AB95" s="187"/>
    </row>
    <row r="96" spans="1:28" ht="15.75" customHeight="1">
      <c r="A96" s="219"/>
      <c r="B96" s="83"/>
      <c r="C96" s="81"/>
      <c r="D96" s="82"/>
      <c r="E96" s="81"/>
      <c r="F96" s="82"/>
      <c r="G96" s="83"/>
      <c r="H96" s="221"/>
      <c r="I96" s="83"/>
      <c r="J96" s="83"/>
      <c r="K96" s="83"/>
      <c r="L96" s="84"/>
      <c r="M96" s="84"/>
      <c r="N96" s="83"/>
      <c r="O96" s="222"/>
      <c r="P96" s="222"/>
      <c r="Q96" s="187"/>
      <c r="R96" s="187"/>
      <c r="S96" s="187"/>
      <c r="T96" s="187"/>
      <c r="U96" s="187"/>
      <c r="V96" s="187"/>
      <c r="W96" s="187"/>
      <c r="X96" s="187"/>
      <c r="Y96" s="187"/>
      <c r="Z96" s="187"/>
      <c r="AA96" s="187"/>
      <c r="AB96" s="187"/>
    </row>
    <row r="97" spans="1:28" ht="15.75" customHeight="1">
      <c r="A97" s="219"/>
      <c r="B97" s="83"/>
      <c r="C97" s="81"/>
      <c r="D97" s="82"/>
      <c r="E97" s="81"/>
      <c r="F97" s="82"/>
      <c r="G97" s="83"/>
      <c r="H97" s="221"/>
      <c r="I97" s="83"/>
      <c r="J97" s="83"/>
      <c r="K97" s="83"/>
      <c r="L97" s="84"/>
      <c r="M97" s="84"/>
      <c r="N97" s="83"/>
      <c r="O97" s="222"/>
      <c r="P97" s="222"/>
      <c r="Q97" s="187"/>
      <c r="R97" s="187"/>
      <c r="S97" s="187"/>
      <c r="T97" s="187"/>
      <c r="U97" s="187"/>
      <c r="V97" s="187"/>
      <c r="W97" s="187"/>
      <c r="X97" s="187"/>
      <c r="Y97" s="187"/>
      <c r="Z97" s="187"/>
      <c r="AA97" s="187"/>
      <c r="AB97" s="187"/>
    </row>
    <row r="98" spans="1:28" ht="15.75" customHeight="1">
      <c r="A98" s="219"/>
      <c r="B98" s="83"/>
      <c r="C98" s="81"/>
      <c r="D98" s="82"/>
      <c r="E98" s="81"/>
      <c r="F98" s="82"/>
      <c r="G98" s="83"/>
      <c r="H98" s="221"/>
      <c r="I98" s="83"/>
      <c r="J98" s="83"/>
      <c r="K98" s="83"/>
      <c r="L98" s="84"/>
      <c r="M98" s="84"/>
      <c r="N98" s="83"/>
      <c r="O98" s="222"/>
      <c r="P98" s="222"/>
      <c r="Q98" s="187"/>
      <c r="R98" s="187"/>
      <c r="S98" s="187"/>
      <c r="T98" s="187"/>
      <c r="U98" s="187"/>
      <c r="V98" s="187"/>
      <c r="W98" s="187"/>
      <c r="X98" s="187"/>
      <c r="Y98" s="187"/>
      <c r="Z98" s="187"/>
      <c r="AA98" s="187"/>
      <c r="AB98" s="187"/>
    </row>
    <row r="99" spans="1:28" ht="15.75" customHeight="1">
      <c r="A99" s="219"/>
      <c r="B99" s="83"/>
      <c r="C99" s="81"/>
      <c r="D99" s="82"/>
      <c r="E99" s="81"/>
      <c r="F99" s="82"/>
      <c r="G99" s="83"/>
      <c r="H99" s="221"/>
      <c r="I99" s="83"/>
      <c r="J99" s="83"/>
      <c r="K99" s="83"/>
      <c r="L99" s="84"/>
      <c r="M99" s="84"/>
      <c r="N99" s="83"/>
      <c r="O99" s="222"/>
      <c r="P99" s="222"/>
      <c r="Q99" s="187"/>
      <c r="R99" s="187"/>
      <c r="S99" s="187"/>
      <c r="T99" s="187"/>
      <c r="U99" s="187"/>
      <c r="V99" s="187"/>
      <c r="W99" s="187"/>
      <c r="X99" s="187"/>
      <c r="Y99" s="187"/>
      <c r="Z99" s="187"/>
      <c r="AA99" s="187"/>
      <c r="AB99" s="187"/>
    </row>
    <row r="100" spans="1:28" ht="15.75" customHeight="1">
      <c r="A100" s="219"/>
      <c r="B100" s="83"/>
      <c r="C100" s="81"/>
      <c r="D100" s="82"/>
      <c r="E100" s="81"/>
      <c r="F100" s="82"/>
      <c r="G100" s="83"/>
      <c r="H100" s="221"/>
      <c r="I100" s="83"/>
      <c r="J100" s="83"/>
      <c r="K100" s="83"/>
      <c r="L100" s="84"/>
      <c r="M100" s="84"/>
      <c r="N100" s="83"/>
      <c r="O100" s="222"/>
      <c r="P100" s="222"/>
      <c r="Q100" s="187"/>
      <c r="R100" s="187"/>
      <c r="S100" s="187"/>
      <c r="T100" s="187"/>
      <c r="U100" s="187"/>
      <c r="V100" s="187"/>
      <c r="W100" s="187"/>
      <c r="X100" s="187"/>
      <c r="Y100" s="187"/>
      <c r="Z100" s="187"/>
      <c r="AA100" s="187"/>
      <c r="AB100" s="187"/>
    </row>
    <row r="101" spans="1:28" ht="15.75" customHeight="1">
      <c r="A101" s="219"/>
      <c r="B101" s="83"/>
      <c r="C101" s="81"/>
      <c r="D101" s="82"/>
      <c r="E101" s="81"/>
      <c r="F101" s="82"/>
      <c r="G101" s="83"/>
      <c r="H101" s="221"/>
      <c r="I101" s="83"/>
      <c r="J101" s="83"/>
      <c r="K101" s="83"/>
      <c r="L101" s="84"/>
      <c r="M101" s="84"/>
      <c r="N101" s="83"/>
      <c r="O101" s="222"/>
      <c r="P101" s="222"/>
      <c r="Q101" s="187"/>
      <c r="R101" s="187"/>
      <c r="S101" s="187"/>
      <c r="T101" s="187"/>
      <c r="U101" s="187"/>
      <c r="V101" s="187"/>
      <c r="W101" s="187"/>
      <c r="X101" s="187"/>
      <c r="Y101" s="187"/>
      <c r="Z101" s="187"/>
      <c r="AA101" s="187"/>
      <c r="AB101" s="187"/>
    </row>
    <row r="102" spans="1:28" ht="15.75" customHeight="1">
      <c r="A102" s="219"/>
      <c r="B102" s="83"/>
      <c r="C102" s="81"/>
      <c r="D102" s="82"/>
      <c r="E102" s="81"/>
      <c r="F102" s="82"/>
      <c r="G102" s="83"/>
      <c r="H102" s="221"/>
      <c r="I102" s="83"/>
      <c r="J102" s="83"/>
      <c r="K102" s="83"/>
      <c r="L102" s="84"/>
      <c r="M102" s="84"/>
      <c r="N102" s="83"/>
      <c r="O102" s="222"/>
      <c r="P102" s="222"/>
      <c r="Q102" s="187"/>
      <c r="R102" s="187"/>
      <c r="S102" s="187"/>
      <c r="T102" s="187"/>
      <c r="U102" s="187"/>
      <c r="V102" s="187"/>
      <c r="W102" s="187"/>
      <c r="X102" s="187"/>
      <c r="Y102" s="187"/>
      <c r="Z102" s="187"/>
      <c r="AA102" s="187"/>
      <c r="AB102" s="187"/>
    </row>
    <row r="103" spans="1:28" ht="15.75" customHeight="1">
      <c r="A103" s="219"/>
      <c r="B103" s="83"/>
      <c r="C103" s="81"/>
      <c r="D103" s="82"/>
      <c r="E103" s="81"/>
      <c r="F103" s="82"/>
      <c r="G103" s="83"/>
      <c r="H103" s="221"/>
      <c r="I103" s="83"/>
      <c r="J103" s="83"/>
      <c r="K103" s="83"/>
      <c r="L103" s="84"/>
      <c r="M103" s="84"/>
      <c r="N103" s="83"/>
      <c r="O103" s="222"/>
      <c r="P103" s="222"/>
      <c r="Q103" s="187"/>
      <c r="R103" s="187"/>
      <c r="S103" s="187"/>
      <c r="T103" s="187"/>
      <c r="U103" s="187"/>
      <c r="V103" s="187"/>
      <c r="W103" s="187"/>
      <c r="X103" s="187"/>
      <c r="Y103" s="187"/>
      <c r="Z103" s="187"/>
      <c r="AA103" s="187"/>
      <c r="AB103" s="187"/>
    </row>
    <row r="104" spans="1:28" ht="15.75" customHeight="1">
      <c r="A104" s="219"/>
      <c r="B104" s="83"/>
      <c r="C104" s="81"/>
      <c r="D104" s="82"/>
      <c r="E104" s="81"/>
      <c r="F104" s="82"/>
      <c r="G104" s="83"/>
      <c r="H104" s="221"/>
      <c r="I104" s="83"/>
      <c r="J104" s="83"/>
      <c r="K104" s="83"/>
      <c r="L104" s="84"/>
      <c r="M104" s="84"/>
      <c r="N104" s="83"/>
      <c r="O104" s="222"/>
      <c r="P104" s="222"/>
      <c r="Q104" s="187"/>
      <c r="R104" s="187"/>
      <c r="S104" s="187"/>
      <c r="T104" s="187"/>
      <c r="U104" s="187"/>
      <c r="V104" s="187"/>
      <c r="W104" s="187"/>
      <c r="X104" s="187"/>
      <c r="Y104" s="187"/>
      <c r="Z104" s="187"/>
      <c r="AA104" s="187"/>
      <c r="AB104" s="187"/>
    </row>
    <row r="105" spans="1:28" ht="15.75" customHeight="1">
      <c r="A105" s="219"/>
      <c r="B105" s="83"/>
      <c r="C105" s="81"/>
      <c r="D105" s="82"/>
      <c r="E105" s="81"/>
      <c r="F105" s="82"/>
      <c r="G105" s="83"/>
      <c r="H105" s="221"/>
      <c r="I105" s="83"/>
      <c r="J105" s="83"/>
      <c r="K105" s="83"/>
      <c r="L105" s="84"/>
      <c r="M105" s="84"/>
      <c r="N105" s="83"/>
      <c r="O105" s="222"/>
      <c r="P105" s="222"/>
      <c r="Q105" s="187"/>
      <c r="R105" s="187"/>
      <c r="S105" s="187"/>
      <c r="T105" s="187"/>
      <c r="U105" s="187"/>
      <c r="V105" s="187"/>
      <c r="W105" s="187"/>
      <c r="X105" s="187"/>
      <c r="Y105" s="187"/>
      <c r="Z105" s="187"/>
      <c r="AA105" s="187"/>
      <c r="AB105" s="187"/>
    </row>
    <row r="106" spans="1:28" ht="15.75" customHeight="1">
      <c r="A106" s="219"/>
      <c r="B106" s="83"/>
      <c r="C106" s="81"/>
      <c r="D106" s="82"/>
      <c r="E106" s="81"/>
      <c r="F106" s="82"/>
      <c r="G106" s="83"/>
      <c r="H106" s="221"/>
      <c r="I106" s="83"/>
      <c r="J106" s="83"/>
      <c r="K106" s="83"/>
      <c r="L106" s="84"/>
      <c r="M106" s="84"/>
      <c r="N106" s="83"/>
      <c r="O106" s="222"/>
      <c r="P106" s="222"/>
      <c r="Q106" s="187"/>
      <c r="R106" s="187"/>
      <c r="S106" s="187"/>
      <c r="T106" s="187"/>
      <c r="U106" s="187"/>
      <c r="V106" s="187"/>
      <c r="W106" s="187"/>
      <c r="X106" s="187"/>
      <c r="Y106" s="187"/>
      <c r="Z106" s="187"/>
      <c r="AA106" s="187"/>
      <c r="AB106" s="187"/>
    </row>
    <row r="107" spans="1:28" ht="15.75" customHeight="1">
      <c r="A107" s="219"/>
      <c r="B107" s="83"/>
      <c r="C107" s="81"/>
      <c r="D107" s="82"/>
      <c r="E107" s="81"/>
      <c r="F107" s="82"/>
      <c r="G107" s="83"/>
      <c r="H107" s="221"/>
      <c r="I107" s="83"/>
      <c r="J107" s="83"/>
      <c r="K107" s="83"/>
      <c r="L107" s="84"/>
      <c r="M107" s="84"/>
      <c r="N107" s="83"/>
      <c r="O107" s="222"/>
      <c r="P107" s="222"/>
      <c r="Q107" s="187"/>
      <c r="R107" s="187"/>
      <c r="S107" s="187"/>
      <c r="T107" s="187"/>
      <c r="U107" s="187"/>
      <c r="V107" s="187"/>
      <c r="W107" s="187"/>
      <c r="X107" s="187"/>
      <c r="Y107" s="187"/>
      <c r="Z107" s="187"/>
      <c r="AA107" s="187"/>
      <c r="AB107" s="187"/>
    </row>
    <row r="108" spans="1:28" ht="15.75" customHeight="1">
      <c r="A108" s="219"/>
      <c r="B108" s="83"/>
      <c r="C108" s="81"/>
      <c r="D108" s="82"/>
      <c r="E108" s="81"/>
      <c r="F108" s="82"/>
      <c r="G108" s="83"/>
      <c r="H108" s="221"/>
      <c r="I108" s="83"/>
      <c r="J108" s="83"/>
      <c r="K108" s="83"/>
      <c r="L108" s="84"/>
      <c r="M108" s="84"/>
      <c r="N108" s="83"/>
      <c r="O108" s="222"/>
      <c r="P108" s="222"/>
      <c r="Q108" s="187"/>
      <c r="R108" s="187"/>
      <c r="S108" s="187"/>
      <c r="T108" s="187"/>
      <c r="U108" s="187"/>
      <c r="V108" s="187"/>
      <c r="W108" s="187"/>
      <c r="X108" s="187"/>
      <c r="Y108" s="187"/>
      <c r="Z108" s="187"/>
      <c r="AA108" s="187"/>
      <c r="AB108" s="187"/>
    </row>
    <row r="109" spans="1:28" ht="15.75" customHeight="1">
      <c r="A109" s="219"/>
      <c r="B109" s="83"/>
      <c r="C109" s="81"/>
      <c r="D109" s="82"/>
      <c r="E109" s="81"/>
      <c r="F109" s="82"/>
      <c r="G109" s="83"/>
      <c r="H109" s="221"/>
      <c r="I109" s="83"/>
      <c r="J109" s="83"/>
      <c r="K109" s="83"/>
      <c r="L109" s="84"/>
      <c r="M109" s="84"/>
      <c r="N109" s="83"/>
      <c r="O109" s="222"/>
      <c r="P109" s="222"/>
      <c r="Q109" s="187"/>
      <c r="R109" s="187"/>
      <c r="S109" s="187"/>
      <c r="T109" s="187"/>
      <c r="U109" s="187"/>
      <c r="V109" s="187"/>
      <c r="W109" s="187"/>
      <c r="X109" s="187"/>
      <c r="Y109" s="187"/>
      <c r="Z109" s="187"/>
      <c r="AA109" s="187"/>
      <c r="AB109" s="187"/>
    </row>
    <row r="110" spans="1:28" ht="15.75" customHeight="1">
      <c r="A110" s="219"/>
      <c r="B110" s="83"/>
      <c r="C110" s="81"/>
      <c r="D110" s="82"/>
      <c r="E110" s="81"/>
      <c r="F110" s="82"/>
      <c r="G110" s="83"/>
      <c r="H110" s="221"/>
      <c r="I110" s="83"/>
      <c r="J110" s="83"/>
      <c r="K110" s="83"/>
      <c r="L110" s="84"/>
      <c r="M110" s="84"/>
      <c r="N110" s="83"/>
      <c r="O110" s="222"/>
      <c r="P110" s="222"/>
      <c r="Q110" s="187"/>
      <c r="R110" s="187"/>
      <c r="S110" s="187"/>
      <c r="T110" s="187"/>
      <c r="U110" s="187"/>
      <c r="V110" s="187"/>
      <c r="W110" s="187"/>
      <c r="X110" s="187"/>
      <c r="Y110" s="187"/>
      <c r="Z110" s="187"/>
      <c r="AA110" s="187"/>
      <c r="AB110" s="187"/>
    </row>
    <row r="111" spans="1:28" ht="15.75" customHeight="1">
      <c r="A111" s="219"/>
      <c r="B111" s="83"/>
      <c r="C111" s="81"/>
      <c r="D111" s="82"/>
      <c r="E111" s="81"/>
      <c r="F111" s="82"/>
      <c r="G111" s="83"/>
      <c r="H111" s="221"/>
      <c r="I111" s="83"/>
      <c r="J111" s="83"/>
      <c r="K111" s="83"/>
      <c r="L111" s="84"/>
      <c r="M111" s="84"/>
      <c r="N111" s="83"/>
      <c r="O111" s="222"/>
      <c r="P111" s="222"/>
      <c r="Q111" s="187"/>
      <c r="R111" s="187"/>
      <c r="S111" s="187"/>
      <c r="T111" s="187"/>
      <c r="U111" s="187"/>
      <c r="V111" s="187"/>
      <c r="W111" s="187"/>
      <c r="X111" s="187"/>
      <c r="Y111" s="187"/>
      <c r="Z111" s="187"/>
      <c r="AA111" s="187"/>
      <c r="AB111" s="187"/>
    </row>
    <row r="112" spans="1:28" ht="15.75" customHeight="1">
      <c r="A112" s="219"/>
      <c r="B112" s="83"/>
      <c r="C112" s="81"/>
      <c r="D112" s="82"/>
      <c r="E112" s="81"/>
      <c r="F112" s="82"/>
      <c r="G112" s="83"/>
      <c r="H112" s="221"/>
      <c r="I112" s="83"/>
      <c r="J112" s="83"/>
      <c r="K112" s="83"/>
      <c r="L112" s="84"/>
      <c r="M112" s="84"/>
      <c r="N112" s="83"/>
      <c r="O112" s="222"/>
      <c r="P112" s="222"/>
      <c r="Q112" s="187"/>
      <c r="R112" s="187"/>
      <c r="S112" s="187"/>
      <c r="T112" s="187"/>
      <c r="U112" s="187"/>
      <c r="V112" s="187"/>
      <c r="W112" s="187"/>
      <c r="X112" s="187"/>
      <c r="Y112" s="187"/>
      <c r="Z112" s="187"/>
      <c r="AA112" s="187"/>
      <c r="AB112" s="187"/>
    </row>
    <row r="113" spans="1:28" ht="15.75" customHeight="1">
      <c r="A113" s="219"/>
      <c r="B113" s="83"/>
      <c r="C113" s="81"/>
      <c r="D113" s="82"/>
      <c r="E113" s="81"/>
      <c r="F113" s="82"/>
      <c r="G113" s="83"/>
      <c r="H113" s="221"/>
      <c r="I113" s="83"/>
      <c r="J113" s="83"/>
      <c r="K113" s="83"/>
      <c r="L113" s="84"/>
      <c r="M113" s="84"/>
      <c r="N113" s="83"/>
      <c r="O113" s="222"/>
      <c r="P113" s="222"/>
      <c r="Q113" s="187"/>
      <c r="R113" s="187"/>
      <c r="S113" s="187"/>
      <c r="T113" s="187"/>
      <c r="U113" s="187"/>
      <c r="V113" s="187"/>
      <c r="W113" s="187"/>
      <c r="X113" s="187"/>
      <c r="Y113" s="187"/>
      <c r="Z113" s="187"/>
      <c r="AA113" s="187"/>
      <c r="AB113" s="187"/>
    </row>
    <row r="114" spans="1:28" ht="15.75" customHeight="1">
      <c r="A114" s="219"/>
      <c r="B114" s="83"/>
      <c r="C114" s="81"/>
      <c r="D114" s="82"/>
      <c r="E114" s="81"/>
      <c r="F114" s="82"/>
      <c r="G114" s="83"/>
      <c r="H114" s="221"/>
      <c r="I114" s="83"/>
      <c r="J114" s="83"/>
      <c r="K114" s="83"/>
      <c r="L114" s="84"/>
      <c r="M114" s="84"/>
      <c r="N114" s="83"/>
      <c r="O114" s="222"/>
      <c r="P114" s="222"/>
      <c r="Q114" s="187"/>
      <c r="R114" s="187"/>
      <c r="S114" s="187"/>
      <c r="T114" s="187"/>
      <c r="U114" s="187"/>
      <c r="V114" s="187"/>
      <c r="W114" s="187"/>
      <c r="X114" s="187"/>
      <c r="Y114" s="187"/>
      <c r="Z114" s="187"/>
      <c r="AA114" s="187"/>
      <c r="AB114" s="187"/>
    </row>
    <row r="115" spans="1:28" ht="15.75" customHeight="1">
      <c r="A115" s="219"/>
      <c r="B115" s="83"/>
      <c r="C115" s="81"/>
      <c r="D115" s="82"/>
      <c r="E115" s="81"/>
      <c r="F115" s="82"/>
      <c r="G115" s="83"/>
      <c r="H115" s="221"/>
      <c r="I115" s="83"/>
      <c r="J115" s="83"/>
      <c r="K115" s="83"/>
      <c r="L115" s="84"/>
      <c r="M115" s="84"/>
      <c r="N115" s="83"/>
      <c r="O115" s="222"/>
      <c r="P115" s="222"/>
      <c r="Q115" s="187"/>
      <c r="R115" s="187"/>
      <c r="S115" s="187"/>
      <c r="T115" s="187"/>
      <c r="U115" s="187"/>
      <c r="V115" s="187"/>
      <c r="W115" s="187"/>
      <c r="X115" s="187"/>
      <c r="Y115" s="187"/>
      <c r="Z115" s="187"/>
      <c r="AA115" s="187"/>
      <c r="AB115" s="187"/>
    </row>
    <row r="116" spans="1:28" ht="15.75" customHeight="1">
      <c r="A116" s="219"/>
      <c r="B116" s="83"/>
      <c r="C116" s="81"/>
      <c r="D116" s="82"/>
      <c r="E116" s="81"/>
      <c r="F116" s="82"/>
      <c r="G116" s="83"/>
      <c r="H116" s="221"/>
      <c r="I116" s="83"/>
      <c r="J116" s="83"/>
      <c r="K116" s="83"/>
      <c r="L116" s="84"/>
      <c r="M116" s="84"/>
      <c r="N116" s="83"/>
      <c r="O116" s="222"/>
      <c r="P116" s="222"/>
      <c r="Q116" s="187"/>
      <c r="R116" s="187"/>
      <c r="S116" s="187"/>
      <c r="T116" s="187"/>
      <c r="U116" s="187"/>
      <c r="V116" s="187"/>
      <c r="W116" s="187"/>
      <c r="X116" s="187"/>
      <c r="Y116" s="187"/>
      <c r="Z116" s="187"/>
      <c r="AA116" s="187"/>
      <c r="AB116" s="187"/>
    </row>
    <row r="117" spans="1:28" ht="15.75" customHeight="1">
      <c r="A117" s="219"/>
      <c r="B117" s="83"/>
      <c r="C117" s="81"/>
      <c r="D117" s="82"/>
      <c r="E117" s="81"/>
      <c r="F117" s="82"/>
      <c r="G117" s="83"/>
      <c r="H117" s="221"/>
      <c r="I117" s="83"/>
      <c r="J117" s="83"/>
      <c r="K117" s="83"/>
      <c r="L117" s="84"/>
      <c r="M117" s="84"/>
      <c r="N117" s="83"/>
      <c r="O117" s="222"/>
      <c r="P117" s="222"/>
      <c r="Q117" s="187"/>
      <c r="R117" s="187"/>
      <c r="S117" s="187"/>
      <c r="T117" s="187"/>
      <c r="U117" s="187"/>
      <c r="V117" s="187"/>
      <c r="W117" s="187"/>
      <c r="X117" s="187"/>
      <c r="Y117" s="187"/>
      <c r="Z117" s="187"/>
      <c r="AA117" s="187"/>
      <c r="AB117" s="187"/>
    </row>
    <row r="118" spans="1:28" ht="15.75" customHeight="1">
      <c r="A118" s="219"/>
      <c r="B118" s="83"/>
      <c r="C118" s="81"/>
      <c r="D118" s="82"/>
      <c r="E118" s="81"/>
      <c r="F118" s="82"/>
      <c r="G118" s="83"/>
      <c r="H118" s="221"/>
      <c r="I118" s="83"/>
      <c r="J118" s="83"/>
      <c r="K118" s="83"/>
      <c r="L118" s="84"/>
      <c r="M118" s="84"/>
      <c r="N118" s="83"/>
      <c r="O118" s="222"/>
      <c r="P118" s="222"/>
      <c r="Q118" s="187"/>
      <c r="R118" s="187"/>
      <c r="S118" s="187"/>
      <c r="T118" s="187"/>
      <c r="U118" s="187"/>
      <c r="V118" s="187"/>
      <c r="W118" s="187"/>
      <c r="X118" s="187"/>
      <c r="Y118" s="187"/>
      <c r="Z118" s="187"/>
      <c r="AA118" s="187"/>
      <c r="AB118" s="187"/>
    </row>
    <row r="119" spans="1:28" ht="15.75" customHeight="1">
      <c r="A119" s="219"/>
      <c r="B119" s="83"/>
      <c r="C119" s="81"/>
      <c r="D119" s="82"/>
      <c r="E119" s="81"/>
      <c r="F119" s="82"/>
      <c r="G119" s="83"/>
      <c r="H119" s="221"/>
      <c r="I119" s="83"/>
      <c r="J119" s="83"/>
      <c r="K119" s="83"/>
      <c r="L119" s="84"/>
      <c r="M119" s="84"/>
      <c r="N119" s="83"/>
      <c r="O119" s="222"/>
      <c r="P119" s="222"/>
      <c r="Q119" s="187"/>
      <c r="R119" s="187"/>
      <c r="S119" s="187"/>
      <c r="T119" s="187"/>
      <c r="U119" s="187"/>
      <c r="V119" s="187"/>
      <c r="W119" s="187"/>
      <c r="X119" s="187"/>
      <c r="Y119" s="187"/>
      <c r="Z119" s="187"/>
      <c r="AA119" s="187"/>
      <c r="AB119" s="187"/>
    </row>
    <row r="120" spans="1:28" ht="15.75" customHeight="1">
      <c r="A120" s="219"/>
      <c r="B120" s="83"/>
      <c r="C120" s="81"/>
      <c r="D120" s="82"/>
      <c r="E120" s="81"/>
      <c r="F120" s="82"/>
      <c r="G120" s="83"/>
      <c r="H120" s="221"/>
      <c r="I120" s="83"/>
      <c r="J120" s="83"/>
      <c r="K120" s="83"/>
      <c r="L120" s="84"/>
      <c r="M120" s="84"/>
      <c r="N120" s="83"/>
      <c r="O120" s="222"/>
      <c r="P120" s="222"/>
      <c r="Q120" s="187"/>
      <c r="R120" s="187"/>
      <c r="S120" s="187"/>
      <c r="T120" s="187"/>
      <c r="U120" s="187"/>
      <c r="V120" s="187"/>
      <c r="W120" s="187"/>
      <c r="X120" s="187"/>
      <c r="Y120" s="187"/>
      <c r="Z120" s="187"/>
      <c r="AA120" s="187"/>
      <c r="AB120" s="187"/>
    </row>
    <row r="121" spans="1:28" ht="15.75" customHeight="1">
      <c r="A121" s="219"/>
      <c r="B121" s="83"/>
      <c r="C121" s="81"/>
      <c r="D121" s="82"/>
      <c r="E121" s="81"/>
      <c r="F121" s="82"/>
      <c r="G121" s="83"/>
      <c r="H121" s="221"/>
      <c r="I121" s="83"/>
      <c r="J121" s="83"/>
      <c r="K121" s="83"/>
      <c r="L121" s="84"/>
      <c r="M121" s="84"/>
      <c r="N121" s="83"/>
      <c r="O121" s="222"/>
      <c r="P121" s="222"/>
      <c r="Q121" s="187"/>
      <c r="R121" s="187"/>
      <c r="S121" s="187"/>
      <c r="T121" s="187"/>
      <c r="U121" s="187"/>
      <c r="V121" s="187"/>
      <c r="W121" s="187"/>
      <c r="X121" s="187"/>
      <c r="Y121" s="187"/>
      <c r="Z121" s="187"/>
      <c r="AA121" s="187"/>
      <c r="AB121" s="187"/>
    </row>
    <row r="122" spans="1:28" ht="15.75" customHeight="1">
      <c r="A122" s="219"/>
      <c r="B122" s="83"/>
      <c r="C122" s="81"/>
      <c r="D122" s="82"/>
      <c r="E122" s="81"/>
      <c r="F122" s="82"/>
      <c r="G122" s="83"/>
      <c r="H122" s="221"/>
      <c r="I122" s="83"/>
      <c r="J122" s="83"/>
      <c r="K122" s="83"/>
      <c r="L122" s="84"/>
      <c r="M122" s="84"/>
      <c r="N122" s="83"/>
      <c r="O122" s="222"/>
      <c r="P122" s="222"/>
      <c r="Q122" s="187"/>
      <c r="R122" s="187"/>
      <c r="S122" s="187"/>
      <c r="T122" s="187"/>
      <c r="U122" s="187"/>
      <c r="V122" s="187"/>
      <c r="W122" s="187"/>
      <c r="X122" s="187"/>
      <c r="Y122" s="187"/>
      <c r="Z122" s="187"/>
      <c r="AA122" s="187"/>
      <c r="AB122" s="187"/>
    </row>
    <row r="123" spans="1:28" ht="15.75" customHeight="1">
      <c r="A123" s="219"/>
      <c r="B123" s="83"/>
      <c r="C123" s="81"/>
      <c r="D123" s="82"/>
      <c r="E123" s="81"/>
      <c r="F123" s="82"/>
      <c r="G123" s="83"/>
      <c r="H123" s="221"/>
      <c r="I123" s="83"/>
      <c r="J123" s="83"/>
      <c r="K123" s="83"/>
      <c r="L123" s="84"/>
      <c r="M123" s="84"/>
      <c r="N123" s="83"/>
      <c r="O123" s="222"/>
      <c r="P123" s="222"/>
      <c r="Q123" s="187"/>
      <c r="R123" s="187"/>
      <c r="S123" s="187"/>
      <c r="T123" s="187"/>
      <c r="U123" s="187"/>
      <c r="V123" s="187"/>
      <c r="W123" s="187"/>
      <c r="X123" s="187"/>
      <c r="Y123" s="187"/>
      <c r="Z123" s="187"/>
      <c r="AA123" s="187"/>
      <c r="AB123" s="187"/>
    </row>
    <row r="124" spans="1:28" ht="15.75" customHeight="1">
      <c r="A124" s="219"/>
      <c r="B124" s="83"/>
      <c r="C124" s="81"/>
      <c r="D124" s="82"/>
      <c r="E124" s="81"/>
      <c r="F124" s="82"/>
      <c r="G124" s="83"/>
      <c r="H124" s="221"/>
      <c r="I124" s="83"/>
      <c r="J124" s="83"/>
      <c r="K124" s="83"/>
      <c r="L124" s="84"/>
      <c r="M124" s="84"/>
      <c r="N124" s="83"/>
      <c r="O124" s="222"/>
      <c r="P124" s="222"/>
      <c r="Q124" s="187"/>
      <c r="R124" s="187"/>
      <c r="S124" s="187"/>
      <c r="T124" s="187"/>
      <c r="U124" s="187"/>
      <c r="V124" s="187"/>
      <c r="W124" s="187"/>
      <c r="X124" s="187"/>
      <c r="Y124" s="187"/>
      <c r="Z124" s="187"/>
      <c r="AA124" s="187"/>
      <c r="AB124" s="187"/>
    </row>
    <row r="125" spans="1:28" ht="15.75" customHeight="1">
      <c r="A125" s="219"/>
      <c r="B125" s="83"/>
      <c r="C125" s="81"/>
      <c r="D125" s="82"/>
      <c r="E125" s="81"/>
      <c r="F125" s="82"/>
      <c r="G125" s="83"/>
      <c r="H125" s="221"/>
      <c r="I125" s="83"/>
      <c r="J125" s="83"/>
      <c r="K125" s="83"/>
      <c r="L125" s="84"/>
      <c r="M125" s="84"/>
      <c r="N125" s="83"/>
      <c r="O125" s="222"/>
      <c r="P125" s="222"/>
      <c r="Q125" s="187"/>
      <c r="R125" s="187"/>
      <c r="S125" s="187"/>
      <c r="T125" s="187"/>
      <c r="U125" s="187"/>
      <c r="V125" s="187"/>
      <c r="W125" s="187"/>
      <c r="X125" s="187"/>
      <c r="Y125" s="187"/>
      <c r="Z125" s="187"/>
      <c r="AA125" s="187"/>
      <c r="AB125" s="187"/>
    </row>
    <row r="126" spans="1:28" ht="15.75" customHeight="1">
      <c r="A126" s="219"/>
      <c r="B126" s="83"/>
      <c r="C126" s="81"/>
      <c r="D126" s="82"/>
      <c r="E126" s="81"/>
      <c r="F126" s="82"/>
      <c r="G126" s="83"/>
      <c r="H126" s="221"/>
      <c r="I126" s="83"/>
      <c r="J126" s="83"/>
      <c r="K126" s="83"/>
      <c r="L126" s="84"/>
      <c r="M126" s="84"/>
      <c r="N126" s="83"/>
      <c r="O126" s="222"/>
      <c r="P126" s="222"/>
      <c r="Q126" s="187"/>
      <c r="R126" s="187"/>
      <c r="S126" s="187"/>
      <c r="T126" s="187"/>
      <c r="U126" s="187"/>
      <c r="V126" s="187"/>
      <c r="W126" s="187"/>
      <c r="X126" s="187"/>
      <c r="Y126" s="187"/>
      <c r="Z126" s="187"/>
      <c r="AA126" s="187"/>
      <c r="AB126" s="187"/>
    </row>
    <row r="127" spans="1:28" ht="15.75" customHeight="1">
      <c r="A127" s="219"/>
      <c r="B127" s="83"/>
      <c r="C127" s="81"/>
      <c r="D127" s="82"/>
      <c r="E127" s="81"/>
      <c r="F127" s="82"/>
      <c r="G127" s="83"/>
      <c r="H127" s="221"/>
      <c r="I127" s="83"/>
      <c r="J127" s="83"/>
      <c r="K127" s="83"/>
      <c r="L127" s="84"/>
      <c r="M127" s="84"/>
      <c r="N127" s="83"/>
      <c r="O127" s="222"/>
      <c r="P127" s="222"/>
      <c r="Q127" s="187"/>
      <c r="R127" s="187"/>
      <c r="S127" s="187"/>
      <c r="T127" s="187"/>
      <c r="U127" s="187"/>
      <c r="V127" s="187"/>
      <c r="W127" s="187"/>
      <c r="X127" s="187"/>
      <c r="Y127" s="187"/>
      <c r="Z127" s="187"/>
      <c r="AA127" s="187"/>
      <c r="AB127" s="187"/>
    </row>
    <row r="128" spans="1:28" ht="15.75" customHeight="1">
      <c r="A128" s="219"/>
      <c r="B128" s="83"/>
      <c r="C128" s="81"/>
      <c r="D128" s="82"/>
      <c r="E128" s="81"/>
      <c r="F128" s="82"/>
      <c r="G128" s="83"/>
      <c r="H128" s="221"/>
      <c r="I128" s="83"/>
      <c r="J128" s="83"/>
      <c r="K128" s="83"/>
      <c r="L128" s="84"/>
      <c r="M128" s="84"/>
      <c r="N128" s="83"/>
      <c r="O128" s="222"/>
      <c r="P128" s="222"/>
      <c r="Q128" s="187"/>
      <c r="R128" s="187"/>
      <c r="S128" s="187"/>
      <c r="T128" s="187"/>
      <c r="U128" s="187"/>
      <c r="V128" s="187"/>
      <c r="W128" s="187"/>
      <c r="X128" s="187"/>
      <c r="Y128" s="187"/>
      <c r="Z128" s="187"/>
      <c r="AA128" s="187"/>
      <c r="AB128" s="187"/>
    </row>
    <row r="129" spans="1:28" ht="15.75" customHeight="1">
      <c r="A129" s="219"/>
      <c r="B129" s="83"/>
      <c r="C129" s="81"/>
      <c r="D129" s="82"/>
      <c r="E129" s="81"/>
      <c r="F129" s="82"/>
      <c r="G129" s="83"/>
      <c r="H129" s="221"/>
      <c r="I129" s="83"/>
      <c r="J129" s="83"/>
      <c r="K129" s="83"/>
      <c r="L129" s="84"/>
      <c r="M129" s="84"/>
      <c r="N129" s="83"/>
      <c r="O129" s="222"/>
      <c r="P129" s="222"/>
      <c r="Q129" s="187"/>
      <c r="R129" s="187"/>
      <c r="S129" s="187"/>
      <c r="T129" s="187"/>
      <c r="U129" s="187"/>
      <c r="V129" s="187"/>
      <c r="W129" s="187"/>
      <c r="X129" s="187"/>
      <c r="Y129" s="187"/>
      <c r="Z129" s="187"/>
      <c r="AA129" s="187"/>
      <c r="AB129" s="187"/>
    </row>
    <row r="130" spans="1:28" ht="15.75" customHeight="1">
      <c r="A130" s="219"/>
      <c r="B130" s="83"/>
      <c r="C130" s="81"/>
      <c r="D130" s="82"/>
      <c r="E130" s="81"/>
      <c r="F130" s="82"/>
      <c r="G130" s="83"/>
      <c r="H130" s="221"/>
      <c r="I130" s="83"/>
      <c r="J130" s="83"/>
      <c r="K130" s="83"/>
      <c r="L130" s="84"/>
      <c r="M130" s="84"/>
      <c r="N130" s="83"/>
      <c r="O130" s="222"/>
      <c r="P130" s="222"/>
      <c r="Q130" s="187"/>
      <c r="R130" s="187"/>
      <c r="S130" s="187"/>
      <c r="T130" s="187"/>
      <c r="U130" s="187"/>
      <c r="V130" s="187"/>
      <c r="W130" s="187"/>
      <c r="X130" s="187"/>
      <c r="Y130" s="187"/>
      <c r="Z130" s="187"/>
      <c r="AA130" s="187"/>
      <c r="AB130" s="187"/>
    </row>
    <row r="131" spans="1:28" ht="15.75" customHeight="1">
      <c r="A131" s="219"/>
      <c r="B131" s="83"/>
      <c r="C131" s="81"/>
      <c r="D131" s="82"/>
      <c r="E131" s="81"/>
      <c r="F131" s="82"/>
      <c r="G131" s="83"/>
      <c r="H131" s="221"/>
      <c r="I131" s="83"/>
      <c r="J131" s="83"/>
      <c r="K131" s="83"/>
      <c r="L131" s="84"/>
      <c r="M131" s="84"/>
      <c r="N131" s="83"/>
      <c r="O131" s="222"/>
      <c r="P131" s="222"/>
      <c r="Q131" s="187"/>
      <c r="R131" s="187"/>
      <c r="S131" s="187"/>
      <c r="T131" s="187"/>
      <c r="U131" s="187"/>
      <c r="V131" s="187"/>
      <c r="W131" s="187"/>
      <c r="X131" s="187"/>
      <c r="Y131" s="187"/>
      <c r="Z131" s="187"/>
      <c r="AA131" s="187"/>
      <c r="AB131" s="187"/>
    </row>
    <row r="132" spans="1:28" ht="15.75" customHeight="1">
      <c r="A132" s="219"/>
      <c r="B132" s="83"/>
      <c r="C132" s="81"/>
      <c r="D132" s="82"/>
      <c r="E132" s="81"/>
      <c r="F132" s="82"/>
      <c r="G132" s="83"/>
      <c r="H132" s="221"/>
      <c r="I132" s="83"/>
      <c r="J132" s="83"/>
      <c r="K132" s="83"/>
      <c r="L132" s="84"/>
      <c r="M132" s="84"/>
      <c r="N132" s="83"/>
      <c r="O132" s="222"/>
      <c r="P132" s="222"/>
      <c r="Q132" s="187"/>
      <c r="R132" s="187"/>
      <c r="S132" s="187"/>
      <c r="T132" s="187"/>
      <c r="U132" s="187"/>
      <c r="V132" s="187"/>
      <c r="W132" s="187"/>
      <c r="X132" s="187"/>
      <c r="Y132" s="187"/>
      <c r="Z132" s="187"/>
      <c r="AA132" s="187"/>
      <c r="AB132" s="187"/>
    </row>
    <row r="133" spans="1:28" ht="15.75" customHeight="1">
      <c r="A133" s="219"/>
      <c r="B133" s="83"/>
      <c r="C133" s="81"/>
      <c r="D133" s="82"/>
      <c r="E133" s="81"/>
      <c r="F133" s="82"/>
      <c r="G133" s="83"/>
      <c r="H133" s="221"/>
      <c r="I133" s="83"/>
      <c r="J133" s="83"/>
      <c r="K133" s="83"/>
      <c r="L133" s="84"/>
      <c r="M133" s="84"/>
      <c r="N133" s="83"/>
      <c r="O133" s="222"/>
      <c r="P133" s="222"/>
      <c r="Q133" s="187"/>
      <c r="R133" s="187"/>
      <c r="S133" s="187"/>
      <c r="T133" s="187"/>
      <c r="U133" s="187"/>
      <c r="V133" s="187"/>
      <c r="W133" s="187"/>
      <c r="X133" s="187"/>
      <c r="Y133" s="187"/>
      <c r="Z133" s="187"/>
      <c r="AA133" s="187"/>
      <c r="AB133" s="187"/>
    </row>
    <row r="134" spans="1:28" ht="15.75" customHeight="1">
      <c r="A134" s="219"/>
      <c r="B134" s="83"/>
      <c r="C134" s="81"/>
      <c r="D134" s="82"/>
      <c r="E134" s="81"/>
      <c r="F134" s="82"/>
      <c r="G134" s="83"/>
      <c r="H134" s="221"/>
      <c r="I134" s="83"/>
      <c r="J134" s="83"/>
      <c r="K134" s="83"/>
      <c r="L134" s="84"/>
      <c r="M134" s="84"/>
      <c r="N134" s="83"/>
      <c r="O134" s="222"/>
      <c r="P134" s="222"/>
      <c r="Q134" s="187"/>
      <c r="R134" s="187"/>
      <c r="S134" s="187"/>
      <c r="T134" s="187"/>
      <c r="U134" s="187"/>
      <c r="V134" s="187"/>
      <c r="W134" s="187"/>
      <c r="X134" s="187"/>
      <c r="Y134" s="187"/>
      <c r="Z134" s="187"/>
      <c r="AA134" s="187"/>
      <c r="AB134" s="187"/>
    </row>
    <row r="135" spans="1:28" ht="15.75" customHeight="1">
      <c r="A135" s="219"/>
      <c r="B135" s="83"/>
      <c r="C135" s="81"/>
      <c r="D135" s="82"/>
      <c r="E135" s="81"/>
      <c r="F135" s="82"/>
      <c r="G135" s="83"/>
      <c r="H135" s="221"/>
      <c r="I135" s="83"/>
      <c r="J135" s="83"/>
      <c r="K135" s="83"/>
      <c r="L135" s="84"/>
      <c r="M135" s="84"/>
      <c r="N135" s="83"/>
      <c r="O135" s="222"/>
      <c r="P135" s="222"/>
      <c r="Q135" s="187"/>
      <c r="R135" s="187"/>
      <c r="S135" s="187"/>
      <c r="T135" s="187"/>
      <c r="U135" s="187"/>
      <c r="V135" s="187"/>
      <c r="W135" s="187"/>
      <c r="X135" s="187"/>
      <c r="Y135" s="187"/>
      <c r="Z135" s="187"/>
      <c r="AA135" s="187"/>
      <c r="AB135" s="187"/>
    </row>
    <row r="136" spans="1:28" ht="15.75" customHeight="1">
      <c r="A136" s="219"/>
      <c r="B136" s="83"/>
      <c r="C136" s="81"/>
      <c r="D136" s="82"/>
      <c r="E136" s="81"/>
      <c r="F136" s="82"/>
      <c r="G136" s="83"/>
      <c r="H136" s="221"/>
      <c r="I136" s="83"/>
      <c r="J136" s="83"/>
      <c r="K136" s="83"/>
      <c r="L136" s="84"/>
      <c r="M136" s="84"/>
      <c r="N136" s="83"/>
      <c r="O136" s="222"/>
      <c r="P136" s="222"/>
      <c r="Q136" s="187"/>
      <c r="R136" s="187"/>
      <c r="S136" s="187"/>
      <c r="T136" s="187"/>
      <c r="U136" s="187"/>
      <c r="V136" s="187"/>
      <c r="W136" s="187"/>
      <c r="X136" s="187"/>
      <c r="Y136" s="187"/>
      <c r="Z136" s="187"/>
      <c r="AA136" s="187"/>
      <c r="AB136" s="187"/>
    </row>
    <row r="137" spans="1:28" ht="15.75" customHeight="1">
      <c r="A137" s="219"/>
      <c r="B137" s="83"/>
      <c r="C137" s="81"/>
      <c r="D137" s="82"/>
      <c r="E137" s="81"/>
      <c r="F137" s="82"/>
      <c r="G137" s="83"/>
      <c r="H137" s="221"/>
      <c r="I137" s="83"/>
      <c r="J137" s="83"/>
      <c r="K137" s="83"/>
      <c r="L137" s="84"/>
      <c r="M137" s="84"/>
      <c r="N137" s="83"/>
      <c r="O137" s="222"/>
      <c r="P137" s="222"/>
      <c r="Q137" s="187"/>
      <c r="R137" s="187"/>
      <c r="S137" s="187"/>
      <c r="T137" s="187"/>
      <c r="U137" s="187"/>
      <c r="V137" s="187"/>
      <c r="W137" s="187"/>
      <c r="X137" s="187"/>
      <c r="Y137" s="187"/>
      <c r="Z137" s="187"/>
      <c r="AA137" s="187"/>
      <c r="AB137" s="187"/>
    </row>
    <row r="138" spans="1:28" ht="15.75" customHeight="1">
      <c r="A138" s="219"/>
      <c r="B138" s="83"/>
      <c r="C138" s="81"/>
      <c r="D138" s="82"/>
      <c r="E138" s="81"/>
      <c r="F138" s="82"/>
      <c r="G138" s="83"/>
      <c r="H138" s="221"/>
      <c r="I138" s="83"/>
      <c r="J138" s="83"/>
      <c r="K138" s="83"/>
      <c r="L138" s="84"/>
      <c r="M138" s="84"/>
      <c r="N138" s="83"/>
      <c r="O138" s="222"/>
      <c r="P138" s="222"/>
      <c r="Q138" s="187"/>
      <c r="R138" s="187"/>
      <c r="S138" s="187"/>
      <c r="T138" s="187"/>
      <c r="U138" s="187"/>
      <c r="V138" s="187"/>
      <c r="W138" s="187"/>
      <c r="X138" s="187"/>
      <c r="Y138" s="187"/>
      <c r="Z138" s="187"/>
      <c r="AA138" s="187"/>
      <c r="AB138" s="187"/>
    </row>
    <row r="139" spans="1:28" ht="15.75" customHeight="1">
      <c r="A139" s="219"/>
      <c r="B139" s="83"/>
      <c r="C139" s="81"/>
      <c r="D139" s="82"/>
      <c r="E139" s="81"/>
      <c r="F139" s="82"/>
      <c r="G139" s="83"/>
      <c r="H139" s="221"/>
      <c r="I139" s="83"/>
      <c r="J139" s="83"/>
      <c r="K139" s="83"/>
      <c r="L139" s="84"/>
      <c r="M139" s="84"/>
      <c r="N139" s="83"/>
      <c r="O139" s="222"/>
      <c r="P139" s="222"/>
      <c r="Q139" s="187"/>
      <c r="R139" s="187"/>
      <c r="S139" s="187"/>
      <c r="T139" s="187"/>
      <c r="U139" s="187"/>
      <c r="V139" s="187"/>
      <c r="W139" s="187"/>
      <c r="X139" s="187"/>
      <c r="Y139" s="187"/>
      <c r="Z139" s="187"/>
      <c r="AA139" s="187"/>
      <c r="AB139" s="187"/>
    </row>
    <row r="140" spans="1:28" ht="15.75" customHeight="1">
      <c r="A140" s="219"/>
      <c r="B140" s="83"/>
      <c r="C140" s="81"/>
      <c r="D140" s="82"/>
      <c r="E140" s="81"/>
      <c r="F140" s="82"/>
      <c r="G140" s="83"/>
      <c r="H140" s="221"/>
      <c r="I140" s="83"/>
      <c r="J140" s="83"/>
      <c r="K140" s="83"/>
      <c r="L140" s="84"/>
      <c r="M140" s="84"/>
      <c r="N140" s="83"/>
      <c r="O140" s="222"/>
      <c r="P140" s="222"/>
      <c r="Q140" s="187"/>
      <c r="R140" s="187"/>
      <c r="S140" s="187"/>
      <c r="T140" s="187"/>
      <c r="U140" s="187"/>
      <c r="V140" s="187"/>
      <c r="W140" s="187"/>
      <c r="X140" s="187"/>
      <c r="Y140" s="187"/>
      <c r="Z140" s="187"/>
      <c r="AA140" s="187"/>
      <c r="AB140" s="187"/>
    </row>
    <row r="141" spans="1:28" ht="15.75" customHeight="1">
      <c r="A141" s="219"/>
      <c r="B141" s="83"/>
      <c r="C141" s="81"/>
      <c r="D141" s="82"/>
      <c r="E141" s="81"/>
      <c r="F141" s="82"/>
      <c r="G141" s="83"/>
      <c r="H141" s="221"/>
      <c r="I141" s="83"/>
      <c r="J141" s="83"/>
      <c r="K141" s="83"/>
      <c r="L141" s="84"/>
      <c r="M141" s="84"/>
      <c r="N141" s="83"/>
      <c r="O141" s="222"/>
      <c r="P141" s="222"/>
      <c r="Q141" s="187"/>
      <c r="R141" s="187"/>
      <c r="S141" s="187"/>
      <c r="T141" s="187"/>
      <c r="U141" s="187"/>
      <c r="V141" s="187"/>
      <c r="W141" s="187"/>
      <c r="X141" s="187"/>
      <c r="Y141" s="187"/>
      <c r="Z141" s="187"/>
      <c r="AA141" s="187"/>
      <c r="AB141" s="187"/>
    </row>
    <row r="142" spans="1:28" ht="15.75" customHeight="1">
      <c r="A142" s="219"/>
      <c r="B142" s="83"/>
      <c r="C142" s="81"/>
      <c r="D142" s="82"/>
      <c r="E142" s="81"/>
      <c r="F142" s="82"/>
      <c r="G142" s="83"/>
      <c r="H142" s="221"/>
      <c r="I142" s="83"/>
      <c r="J142" s="83"/>
      <c r="K142" s="83"/>
      <c r="L142" s="84"/>
      <c r="M142" s="84"/>
      <c r="N142" s="83"/>
      <c r="O142" s="222"/>
      <c r="P142" s="222"/>
      <c r="Q142" s="187"/>
      <c r="R142" s="187"/>
      <c r="S142" s="187"/>
      <c r="T142" s="187"/>
      <c r="U142" s="187"/>
      <c r="V142" s="187"/>
      <c r="W142" s="187"/>
      <c r="X142" s="187"/>
      <c r="Y142" s="187"/>
      <c r="Z142" s="187"/>
      <c r="AA142" s="187"/>
      <c r="AB142" s="187"/>
    </row>
    <row r="143" spans="1:28" ht="15.75" customHeight="1">
      <c r="A143" s="219"/>
      <c r="B143" s="83"/>
      <c r="C143" s="81"/>
      <c r="D143" s="82"/>
      <c r="E143" s="81"/>
      <c r="F143" s="82"/>
      <c r="G143" s="83"/>
      <c r="H143" s="221"/>
      <c r="I143" s="83"/>
      <c r="J143" s="83"/>
      <c r="K143" s="83"/>
      <c r="L143" s="84"/>
      <c r="M143" s="84"/>
      <c r="N143" s="83"/>
      <c r="O143" s="222"/>
      <c r="P143" s="222"/>
      <c r="Q143" s="187"/>
      <c r="R143" s="187"/>
      <c r="S143" s="187"/>
      <c r="T143" s="187"/>
      <c r="U143" s="187"/>
      <c r="V143" s="187"/>
      <c r="W143" s="187"/>
      <c r="X143" s="187"/>
      <c r="Y143" s="187"/>
      <c r="Z143" s="187"/>
      <c r="AA143" s="187"/>
      <c r="AB143" s="187"/>
    </row>
    <row r="144" spans="1:28" ht="15.75" customHeight="1">
      <c r="A144" s="219"/>
      <c r="B144" s="83"/>
      <c r="C144" s="81"/>
      <c r="D144" s="82"/>
      <c r="E144" s="81"/>
      <c r="F144" s="82"/>
      <c r="G144" s="83"/>
      <c r="H144" s="221"/>
      <c r="I144" s="83"/>
      <c r="J144" s="83"/>
      <c r="K144" s="83"/>
      <c r="L144" s="84"/>
      <c r="M144" s="84"/>
      <c r="N144" s="83"/>
      <c r="O144" s="222"/>
      <c r="P144" s="222"/>
      <c r="Q144" s="187"/>
      <c r="R144" s="187"/>
      <c r="S144" s="187"/>
      <c r="T144" s="187"/>
      <c r="U144" s="187"/>
      <c r="V144" s="187"/>
      <c r="W144" s="187"/>
      <c r="X144" s="187"/>
      <c r="Y144" s="187"/>
      <c r="Z144" s="187"/>
      <c r="AA144" s="187"/>
      <c r="AB144" s="187"/>
    </row>
    <row r="145" spans="1:28" ht="15.75" customHeight="1">
      <c r="A145" s="219"/>
      <c r="B145" s="83"/>
      <c r="C145" s="81"/>
      <c r="D145" s="82"/>
      <c r="E145" s="81"/>
      <c r="F145" s="82"/>
      <c r="G145" s="83"/>
      <c r="H145" s="221"/>
      <c r="I145" s="83"/>
      <c r="J145" s="83"/>
      <c r="K145" s="83"/>
      <c r="L145" s="84"/>
      <c r="M145" s="84"/>
      <c r="N145" s="83"/>
      <c r="O145" s="222"/>
      <c r="P145" s="222"/>
      <c r="Q145" s="187"/>
      <c r="R145" s="187"/>
      <c r="S145" s="187"/>
      <c r="T145" s="187"/>
      <c r="U145" s="187"/>
      <c r="V145" s="187"/>
      <c r="W145" s="187"/>
      <c r="X145" s="187"/>
      <c r="Y145" s="187"/>
      <c r="Z145" s="187"/>
      <c r="AA145" s="187"/>
      <c r="AB145" s="187"/>
    </row>
    <row r="146" spans="1:28" ht="15.75" customHeight="1">
      <c r="A146" s="219"/>
      <c r="B146" s="83"/>
      <c r="C146" s="81"/>
      <c r="D146" s="82"/>
      <c r="E146" s="81"/>
      <c r="F146" s="82"/>
      <c r="G146" s="83"/>
      <c r="H146" s="221"/>
      <c r="I146" s="83"/>
      <c r="J146" s="83"/>
      <c r="K146" s="83"/>
      <c r="L146" s="84"/>
      <c r="M146" s="84"/>
      <c r="N146" s="83"/>
      <c r="O146" s="222"/>
      <c r="P146" s="222"/>
      <c r="Q146" s="187"/>
      <c r="R146" s="187"/>
      <c r="S146" s="187"/>
      <c r="T146" s="187"/>
      <c r="U146" s="187"/>
      <c r="V146" s="187"/>
      <c r="W146" s="187"/>
      <c r="X146" s="187"/>
      <c r="Y146" s="187"/>
      <c r="Z146" s="187"/>
      <c r="AA146" s="187"/>
      <c r="AB146" s="187"/>
    </row>
    <row r="147" spans="1:28" ht="15.75" customHeight="1">
      <c r="A147" s="219"/>
      <c r="B147" s="83"/>
      <c r="C147" s="81"/>
      <c r="D147" s="82"/>
      <c r="E147" s="81"/>
      <c r="F147" s="82"/>
      <c r="G147" s="83"/>
      <c r="H147" s="221"/>
      <c r="I147" s="83"/>
      <c r="J147" s="83"/>
      <c r="K147" s="83"/>
      <c r="L147" s="84"/>
      <c r="M147" s="84"/>
      <c r="N147" s="83"/>
      <c r="O147" s="222"/>
      <c r="P147" s="222"/>
      <c r="Q147" s="187"/>
      <c r="R147" s="187"/>
      <c r="S147" s="187"/>
      <c r="T147" s="187"/>
      <c r="U147" s="187"/>
      <c r="V147" s="187"/>
      <c r="W147" s="187"/>
      <c r="X147" s="187"/>
      <c r="Y147" s="187"/>
      <c r="Z147" s="187"/>
      <c r="AA147" s="187"/>
      <c r="AB147" s="187"/>
    </row>
    <row r="148" spans="1:28" ht="15.75" customHeight="1">
      <c r="A148" s="219"/>
      <c r="B148" s="83"/>
      <c r="C148" s="81"/>
      <c r="D148" s="82"/>
      <c r="E148" s="81"/>
      <c r="F148" s="82"/>
      <c r="G148" s="83"/>
      <c r="H148" s="221"/>
      <c r="I148" s="83"/>
      <c r="J148" s="83"/>
      <c r="K148" s="83"/>
      <c r="L148" s="84"/>
      <c r="M148" s="84"/>
      <c r="N148" s="83"/>
      <c r="O148" s="222"/>
      <c r="P148" s="222"/>
      <c r="Q148" s="187"/>
      <c r="R148" s="187"/>
      <c r="S148" s="187"/>
      <c r="T148" s="187"/>
      <c r="U148" s="187"/>
      <c r="V148" s="187"/>
      <c r="W148" s="187"/>
      <c r="X148" s="187"/>
      <c r="Y148" s="187"/>
      <c r="Z148" s="187"/>
      <c r="AA148" s="187"/>
      <c r="AB148" s="187"/>
    </row>
    <row r="149" spans="1:28" ht="15.75" customHeight="1">
      <c r="A149" s="219"/>
      <c r="B149" s="83"/>
      <c r="C149" s="81"/>
      <c r="D149" s="82"/>
      <c r="E149" s="81"/>
      <c r="F149" s="82"/>
      <c r="G149" s="83"/>
      <c r="H149" s="221"/>
      <c r="I149" s="83"/>
      <c r="J149" s="83"/>
      <c r="K149" s="83"/>
      <c r="L149" s="84"/>
      <c r="M149" s="84"/>
      <c r="N149" s="83"/>
      <c r="O149" s="222"/>
      <c r="P149" s="222"/>
      <c r="Q149" s="187"/>
      <c r="R149" s="187"/>
      <c r="S149" s="187"/>
      <c r="T149" s="187"/>
      <c r="U149" s="187"/>
      <c r="V149" s="187"/>
      <c r="W149" s="187"/>
      <c r="X149" s="187"/>
      <c r="Y149" s="187"/>
      <c r="Z149" s="187"/>
      <c r="AA149" s="187"/>
      <c r="AB149" s="187"/>
    </row>
    <row r="150" spans="1:28" ht="15.75" customHeight="1">
      <c r="A150" s="219"/>
      <c r="B150" s="83"/>
      <c r="C150" s="81"/>
      <c r="D150" s="82"/>
      <c r="E150" s="81"/>
      <c r="F150" s="82"/>
      <c r="G150" s="83"/>
      <c r="H150" s="221"/>
      <c r="I150" s="83"/>
      <c r="J150" s="83"/>
      <c r="K150" s="83"/>
      <c r="L150" s="84"/>
      <c r="M150" s="84"/>
      <c r="N150" s="83"/>
      <c r="O150" s="222"/>
      <c r="P150" s="222"/>
      <c r="Q150" s="187"/>
      <c r="R150" s="187"/>
      <c r="S150" s="187"/>
      <c r="T150" s="187"/>
      <c r="U150" s="187"/>
      <c r="V150" s="187"/>
      <c r="W150" s="187"/>
      <c r="X150" s="187"/>
      <c r="Y150" s="187"/>
      <c r="Z150" s="187"/>
      <c r="AA150" s="187"/>
      <c r="AB150" s="187"/>
    </row>
    <row r="151" spans="1:28" ht="15.75" customHeight="1">
      <c r="A151" s="219"/>
      <c r="B151" s="83"/>
      <c r="C151" s="81"/>
      <c r="D151" s="82"/>
      <c r="E151" s="81"/>
      <c r="F151" s="82"/>
      <c r="G151" s="83"/>
      <c r="H151" s="221"/>
      <c r="I151" s="83"/>
      <c r="J151" s="83"/>
      <c r="K151" s="83"/>
      <c r="L151" s="84"/>
      <c r="M151" s="84"/>
      <c r="N151" s="83"/>
      <c r="O151" s="222"/>
      <c r="P151" s="222"/>
      <c r="Q151" s="187"/>
      <c r="R151" s="187"/>
      <c r="S151" s="187"/>
      <c r="T151" s="187"/>
      <c r="U151" s="187"/>
      <c r="V151" s="187"/>
      <c r="W151" s="187"/>
      <c r="X151" s="187"/>
      <c r="Y151" s="187"/>
      <c r="Z151" s="187"/>
      <c r="AA151" s="187"/>
      <c r="AB151" s="187"/>
    </row>
    <row r="152" spans="1:28" ht="15.75" customHeight="1">
      <c r="A152" s="219"/>
      <c r="B152" s="83"/>
      <c r="C152" s="81"/>
      <c r="D152" s="82"/>
      <c r="E152" s="81"/>
      <c r="F152" s="82"/>
      <c r="G152" s="83"/>
      <c r="H152" s="221"/>
      <c r="I152" s="83"/>
      <c r="J152" s="83"/>
      <c r="K152" s="83"/>
      <c r="L152" s="84"/>
      <c r="M152" s="84"/>
      <c r="N152" s="83"/>
      <c r="O152" s="222"/>
      <c r="P152" s="222"/>
      <c r="Q152" s="187"/>
      <c r="R152" s="187"/>
      <c r="S152" s="187"/>
      <c r="T152" s="187"/>
      <c r="U152" s="187"/>
      <c r="V152" s="187"/>
      <c r="W152" s="187"/>
      <c r="X152" s="187"/>
      <c r="Y152" s="187"/>
      <c r="Z152" s="187"/>
      <c r="AA152" s="187"/>
      <c r="AB152" s="187"/>
    </row>
    <row r="153" spans="1:28" ht="15.75" customHeight="1">
      <c r="A153" s="219"/>
      <c r="B153" s="83"/>
      <c r="C153" s="81"/>
      <c r="D153" s="82"/>
      <c r="E153" s="81"/>
      <c r="F153" s="82"/>
      <c r="G153" s="83"/>
      <c r="H153" s="221"/>
      <c r="I153" s="83"/>
      <c r="J153" s="83"/>
      <c r="K153" s="83"/>
      <c r="L153" s="84"/>
      <c r="M153" s="84"/>
      <c r="N153" s="83"/>
      <c r="O153" s="222"/>
      <c r="P153" s="222"/>
      <c r="Q153" s="187"/>
      <c r="R153" s="187"/>
      <c r="S153" s="187"/>
      <c r="T153" s="187"/>
      <c r="U153" s="187"/>
      <c r="V153" s="187"/>
      <c r="W153" s="187"/>
      <c r="X153" s="187"/>
      <c r="Y153" s="187"/>
      <c r="Z153" s="187"/>
      <c r="AA153" s="187"/>
      <c r="AB153" s="187"/>
    </row>
    <row r="154" spans="1:28" ht="15.75" customHeight="1">
      <c r="A154" s="219"/>
      <c r="B154" s="83"/>
      <c r="C154" s="81"/>
      <c r="D154" s="82"/>
      <c r="E154" s="81"/>
      <c r="F154" s="82"/>
      <c r="G154" s="83"/>
      <c r="H154" s="221"/>
      <c r="I154" s="83"/>
      <c r="J154" s="83"/>
      <c r="K154" s="83"/>
      <c r="L154" s="84"/>
      <c r="M154" s="84"/>
      <c r="N154" s="83"/>
      <c r="O154" s="222"/>
      <c r="P154" s="222"/>
      <c r="Q154" s="187"/>
      <c r="R154" s="187"/>
      <c r="S154" s="187"/>
      <c r="T154" s="187"/>
      <c r="U154" s="187"/>
      <c r="V154" s="187"/>
      <c r="W154" s="187"/>
      <c r="X154" s="187"/>
      <c r="Y154" s="187"/>
      <c r="Z154" s="187"/>
      <c r="AA154" s="187"/>
      <c r="AB154" s="187"/>
    </row>
    <row r="155" spans="1:28" ht="15.75" customHeight="1">
      <c r="A155" s="219"/>
      <c r="B155" s="83"/>
      <c r="C155" s="81"/>
      <c r="D155" s="82"/>
      <c r="E155" s="81"/>
      <c r="F155" s="82"/>
      <c r="G155" s="83"/>
      <c r="H155" s="221"/>
      <c r="I155" s="83"/>
      <c r="J155" s="83"/>
      <c r="K155" s="83"/>
      <c r="L155" s="84"/>
      <c r="M155" s="84"/>
      <c r="N155" s="83"/>
      <c r="O155" s="222"/>
      <c r="P155" s="222"/>
      <c r="Q155" s="187"/>
      <c r="R155" s="187"/>
      <c r="S155" s="187"/>
      <c r="T155" s="187"/>
      <c r="U155" s="187"/>
      <c r="V155" s="187"/>
      <c r="W155" s="187"/>
      <c r="X155" s="187"/>
      <c r="Y155" s="187"/>
      <c r="Z155" s="187"/>
      <c r="AA155" s="187"/>
      <c r="AB155" s="187"/>
    </row>
    <row r="156" spans="1:28" ht="15.75" customHeight="1">
      <c r="A156" s="219"/>
      <c r="B156" s="83"/>
      <c r="C156" s="81"/>
      <c r="D156" s="82"/>
      <c r="E156" s="81"/>
      <c r="F156" s="82"/>
      <c r="G156" s="83"/>
      <c r="H156" s="221"/>
      <c r="I156" s="83"/>
      <c r="J156" s="83"/>
      <c r="K156" s="83"/>
      <c r="L156" s="84"/>
      <c r="M156" s="84"/>
      <c r="N156" s="83"/>
      <c r="O156" s="222"/>
      <c r="P156" s="222"/>
      <c r="Q156" s="187"/>
      <c r="R156" s="187"/>
      <c r="S156" s="187"/>
      <c r="T156" s="187"/>
      <c r="U156" s="187"/>
      <c r="V156" s="187"/>
      <c r="W156" s="187"/>
      <c r="X156" s="187"/>
      <c r="Y156" s="187"/>
      <c r="Z156" s="187"/>
      <c r="AA156" s="187"/>
      <c r="AB156" s="187"/>
    </row>
    <row r="157" spans="1:28" ht="15.75" customHeight="1">
      <c r="A157" s="219"/>
      <c r="B157" s="83"/>
      <c r="C157" s="81"/>
      <c r="D157" s="82"/>
      <c r="E157" s="81"/>
      <c r="F157" s="82"/>
      <c r="G157" s="83"/>
      <c r="H157" s="221"/>
      <c r="I157" s="83"/>
      <c r="J157" s="83"/>
      <c r="K157" s="83"/>
      <c r="L157" s="84"/>
      <c r="M157" s="84"/>
      <c r="N157" s="83"/>
      <c r="O157" s="222"/>
      <c r="P157" s="222"/>
      <c r="Q157" s="187"/>
      <c r="R157" s="187"/>
      <c r="S157" s="187"/>
      <c r="T157" s="187"/>
      <c r="U157" s="187"/>
      <c r="V157" s="187"/>
      <c r="W157" s="187"/>
      <c r="X157" s="187"/>
      <c r="Y157" s="187"/>
      <c r="Z157" s="187"/>
      <c r="AA157" s="187"/>
      <c r="AB157" s="187"/>
    </row>
    <row r="158" spans="1:28" ht="15.75" customHeight="1">
      <c r="A158" s="219"/>
      <c r="B158" s="83"/>
      <c r="C158" s="81"/>
      <c r="D158" s="82"/>
      <c r="E158" s="81"/>
      <c r="F158" s="82"/>
      <c r="G158" s="83"/>
      <c r="H158" s="221"/>
      <c r="I158" s="83"/>
      <c r="J158" s="83"/>
      <c r="K158" s="83"/>
      <c r="L158" s="84"/>
      <c r="M158" s="84"/>
      <c r="N158" s="83"/>
      <c r="O158" s="222"/>
      <c r="P158" s="222"/>
      <c r="Q158" s="187"/>
      <c r="R158" s="187"/>
      <c r="S158" s="187"/>
      <c r="T158" s="187"/>
      <c r="U158" s="187"/>
      <c r="V158" s="187"/>
      <c r="W158" s="187"/>
      <c r="X158" s="187"/>
      <c r="Y158" s="187"/>
      <c r="Z158" s="187"/>
      <c r="AA158" s="187"/>
      <c r="AB158" s="187"/>
    </row>
    <row r="159" spans="1:28" ht="15.75" customHeight="1">
      <c r="A159" s="219"/>
      <c r="B159" s="83"/>
      <c r="C159" s="81"/>
      <c r="D159" s="82"/>
      <c r="E159" s="81"/>
      <c r="F159" s="82"/>
      <c r="G159" s="83"/>
      <c r="H159" s="221"/>
      <c r="I159" s="83"/>
      <c r="J159" s="83"/>
      <c r="K159" s="83"/>
      <c r="L159" s="84"/>
      <c r="M159" s="84"/>
      <c r="N159" s="83"/>
      <c r="O159" s="222"/>
      <c r="P159" s="222"/>
      <c r="Q159" s="187"/>
      <c r="R159" s="187"/>
      <c r="S159" s="187"/>
      <c r="T159" s="187"/>
      <c r="U159" s="187"/>
      <c r="V159" s="187"/>
      <c r="W159" s="187"/>
      <c r="X159" s="187"/>
      <c r="Y159" s="187"/>
      <c r="Z159" s="187"/>
      <c r="AA159" s="187"/>
      <c r="AB159" s="187"/>
    </row>
    <row r="160" spans="1:28" ht="15.75" customHeight="1">
      <c r="A160" s="219"/>
      <c r="B160" s="83"/>
      <c r="C160" s="81"/>
      <c r="D160" s="82"/>
      <c r="E160" s="81"/>
      <c r="F160" s="82"/>
      <c r="G160" s="83"/>
      <c r="H160" s="221"/>
      <c r="I160" s="83"/>
      <c r="J160" s="83"/>
      <c r="K160" s="83"/>
      <c r="L160" s="84"/>
      <c r="M160" s="84"/>
      <c r="N160" s="83"/>
      <c r="O160" s="222"/>
      <c r="P160" s="222"/>
      <c r="Q160" s="187"/>
      <c r="R160" s="187"/>
      <c r="S160" s="187"/>
      <c r="T160" s="187"/>
      <c r="U160" s="187"/>
      <c r="V160" s="187"/>
      <c r="W160" s="187"/>
      <c r="X160" s="187"/>
      <c r="Y160" s="187"/>
      <c r="Z160" s="187"/>
      <c r="AA160" s="187"/>
      <c r="AB160" s="187"/>
    </row>
    <row r="161" spans="1:28" ht="15.75" customHeight="1">
      <c r="A161" s="219"/>
      <c r="B161" s="83"/>
      <c r="C161" s="81"/>
      <c r="D161" s="82"/>
      <c r="E161" s="81"/>
      <c r="F161" s="82"/>
      <c r="G161" s="83"/>
      <c r="H161" s="221"/>
      <c r="I161" s="83"/>
      <c r="J161" s="83"/>
      <c r="K161" s="83"/>
      <c r="L161" s="84"/>
      <c r="M161" s="84"/>
      <c r="N161" s="83"/>
      <c r="O161" s="222"/>
      <c r="P161" s="222"/>
      <c r="Q161" s="187"/>
      <c r="R161" s="187"/>
      <c r="S161" s="187"/>
      <c r="T161" s="187"/>
      <c r="U161" s="187"/>
      <c r="V161" s="187"/>
      <c r="W161" s="187"/>
      <c r="X161" s="187"/>
      <c r="Y161" s="187"/>
      <c r="Z161" s="187"/>
      <c r="AA161" s="187"/>
      <c r="AB161" s="187"/>
    </row>
    <row r="162" spans="1:28" ht="15.75" customHeight="1">
      <c r="A162" s="219"/>
      <c r="B162" s="83"/>
      <c r="C162" s="81"/>
      <c r="D162" s="82"/>
      <c r="E162" s="81"/>
      <c r="F162" s="82"/>
      <c r="G162" s="83"/>
      <c r="H162" s="221"/>
      <c r="I162" s="83"/>
      <c r="J162" s="83"/>
      <c r="K162" s="83"/>
      <c r="L162" s="84"/>
      <c r="M162" s="84"/>
      <c r="N162" s="83"/>
      <c r="O162" s="222"/>
      <c r="P162" s="222"/>
      <c r="Q162" s="187"/>
      <c r="R162" s="187"/>
      <c r="S162" s="187"/>
      <c r="T162" s="187"/>
      <c r="U162" s="187"/>
      <c r="V162" s="187"/>
      <c r="W162" s="187"/>
      <c r="X162" s="187"/>
      <c r="Y162" s="187"/>
      <c r="Z162" s="187"/>
      <c r="AA162" s="187"/>
      <c r="AB162" s="187"/>
    </row>
    <row r="163" spans="1:28" ht="15.75" customHeight="1">
      <c r="A163" s="219"/>
      <c r="B163" s="83"/>
      <c r="C163" s="81"/>
      <c r="D163" s="82"/>
      <c r="E163" s="81"/>
      <c r="F163" s="82"/>
      <c r="G163" s="83"/>
      <c r="H163" s="221"/>
      <c r="I163" s="83"/>
      <c r="J163" s="83"/>
      <c r="K163" s="83"/>
      <c r="L163" s="84"/>
      <c r="M163" s="84"/>
      <c r="N163" s="83"/>
      <c r="O163" s="222"/>
      <c r="P163" s="222"/>
      <c r="Q163" s="187"/>
      <c r="R163" s="187"/>
      <c r="S163" s="187"/>
      <c r="T163" s="187"/>
      <c r="U163" s="187"/>
      <c r="V163" s="187"/>
      <c r="W163" s="187"/>
      <c r="X163" s="187"/>
      <c r="Y163" s="187"/>
      <c r="Z163" s="187"/>
      <c r="AA163" s="187"/>
      <c r="AB163" s="187"/>
    </row>
    <row r="164" spans="1:28" ht="15.75" customHeight="1">
      <c r="A164" s="219"/>
      <c r="B164" s="83"/>
      <c r="C164" s="81"/>
      <c r="D164" s="82"/>
      <c r="E164" s="81"/>
      <c r="F164" s="82"/>
      <c r="G164" s="83"/>
      <c r="H164" s="221"/>
      <c r="I164" s="83"/>
      <c r="J164" s="83"/>
      <c r="K164" s="83"/>
      <c r="L164" s="84"/>
      <c r="M164" s="84"/>
      <c r="N164" s="83"/>
      <c r="O164" s="222"/>
      <c r="P164" s="222"/>
      <c r="Q164" s="187"/>
      <c r="R164" s="187"/>
      <c r="S164" s="187"/>
      <c r="T164" s="187"/>
      <c r="U164" s="187"/>
      <c r="V164" s="187"/>
      <c r="W164" s="187"/>
      <c r="X164" s="187"/>
      <c r="Y164" s="187"/>
      <c r="Z164" s="187"/>
      <c r="AA164" s="187"/>
      <c r="AB164" s="187"/>
    </row>
    <row r="165" spans="1:28" ht="15.75" customHeight="1">
      <c r="A165" s="219"/>
      <c r="B165" s="83"/>
      <c r="C165" s="81"/>
      <c r="D165" s="82"/>
      <c r="E165" s="81"/>
      <c r="F165" s="82"/>
      <c r="G165" s="83"/>
      <c r="H165" s="221"/>
      <c r="I165" s="83"/>
      <c r="J165" s="83"/>
      <c r="K165" s="83"/>
      <c r="L165" s="84"/>
      <c r="M165" s="84"/>
      <c r="N165" s="83"/>
      <c r="O165" s="222"/>
      <c r="P165" s="222"/>
      <c r="Q165" s="187"/>
      <c r="R165" s="187"/>
      <c r="S165" s="187"/>
      <c r="T165" s="187"/>
      <c r="U165" s="187"/>
      <c r="V165" s="187"/>
      <c r="W165" s="187"/>
      <c r="X165" s="187"/>
      <c r="Y165" s="187"/>
      <c r="Z165" s="187"/>
      <c r="AA165" s="187"/>
      <c r="AB165" s="187"/>
    </row>
    <row r="166" spans="1:28" ht="15.75" customHeight="1">
      <c r="A166" s="219"/>
      <c r="B166" s="83"/>
      <c r="C166" s="81"/>
      <c r="D166" s="82"/>
      <c r="E166" s="81"/>
      <c r="F166" s="82"/>
      <c r="G166" s="83"/>
      <c r="H166" s="221"/>
      <c r="I166" s="83"/>
      <c r="J166" s="83"/>
      <c r="K166" s="83"/>
      <c r="L166" s="84"/>
      <c r="M166" s="84"/>
      <c r="N166" s="83"/>
      <c r="O166" s="222"/>
      <c r="P166" s="222"/>
      <c r="Q166" s="187"/>
      <c r="R166" s="187"/>
      <c r="S166" s="187"/>
      <c r="T166" s="187"/>
      <c r="U166" s="187"/>
      <c r="V166" s="187"/>
      <c r="W166" s="187"/>
      <c r="X166" s="187"/>
      <c r="Y166" s="187"/>
      <c r="Z166" s="187"/>
      <c r="AA166" s="187"/>
      <c r="AB166" s="187"/>
    </row>
    <row r="167" spans="1:28" ht="15.75" customHeight="1">
      <c r="A167" s="219"/>
      <c r="B167" s="83"/>
      <c r="C167" s="81"/>
      <c r="D167" s="82"/>
      <c r="E167" s="81"/>
      <c r="F167" s="82"/>
      <c r="G167" s="83"/>
      <c r="H167" s="221"/>
      <c r="I167" s="83"/>
      <c r="J167" s="83"/>
      <c r="K167" s="83"/>
      <c r="L167" s="84"/>
      <c r="M167" s="84"/>
      <c r="N167" s="83"/>
      <c r="O167" s="222"/>
      <c r="P167" s="222"/>
      <c r="Q167" s="187"/>
      <c r="R167" s="187"/>
      <c r="S167" s="187"/>
      <c r="T167" s="187"/>
      <c r="U167" s="187"/>
      <c r="V167" s="187"/>
      <c r="W167" s="187"/>
      <c r="X167" s="187"/>
      <c r="Y167" s="187"/>
      <c r="Z167" s="187"/>
      <c r="AA167" s="187"/>
      <c r="AB167" s="187"/>
    </row>
    <row r="168" spans="1:28" ht="15.75" customHeight="1">
      <c r="A168" s="219"/>
      <c r="B168" s="83"/>
      <c r="C168" s="81"/>
      <c r="D168" s="82"/>
      <c r="E168" s="81"/>
      <c r="F168" s="82"/>
      <c r="G168" s="83"/>
      <c r="H168" s="221"/>
      <c r="I168" s="83"/>
      <c r="J168" s="83"/>
      <c r="K168" s="83"/>
      <c r="L168" s="84"/>
      <c r="M168" s="84"/>
      <c r="N168" s="83"/>
      <c r="O168" s="222"/>
      <c r="P168" s="222"/>
      <c r="Q168" s="187"/>
      <c r="R168" s="187"/>
      <c r="S168" s="187"/>
      <c r="T168" s="187"/>
      <c r="U168" s="187"/>
      <c r="V168" s="187"/>
      <c r="W168" s="187"/>
      <c r="X168" s="187"/>
      <c r="Y168" s="187"/>
      <c r="Z168" s="187"/>
      <c r="AA168" s="187"/>
      <c r="AB168" s="187"/>
    </row>
    <row r="169" spans="1:28" ht="15.75" customHeight="1">
      <c r="A169" s="219"/>
      <c r="B169" s="83"/>
      <c r="C169" s="81"/>
      <c r="D169" s="82"/>
      <c r="E169" s="81"/>
      <c r="F169" s="82"/>
      <c r="G169" s="83"/>
      <c r="H169" s="221"/>
      <c r="I169" s="83"/>
      <c r="J169" s="83"/>
      <c r="K169" s="83"/>
      <c r="L169" s="84"/>
      <c r="M169" s="84"/>
      <c r="N169" s="83"/>
      <c r="O169" s="222"/>
      <c r="P169" s="222"/>
      <c r="Q169" s="187"/>
      <c r="R169" s="187"/>
      <c r="S169" s="187"/>
      <c r="T169" s="187"/>
      <c r="U169" s="187"/>
      <c r="V169" s="187"/>
      <c r="W169" s="187"/>
      <c r="X169" s="187"/>
      <c r="Y169" s="187"/>
      <c r="Z169" s="187"/>
      <c r="AA169" s="187"/>
      <c r="AB169" s="187"/>
    </row>
    <row r="170" spans="1:28" ht="15.75" customHeight="1">
      <c r="A170" s="219"/>
      <c r="B170" s="83"/>
      <c r="C170" s="81"/>
      <c r="D170" s="82"/>
      <c r="E170" s="81"/>
      <c r="F170" s="82"/>
      <c r="G170" s="83"/>
      <c r="H170" s="221"/>
      <c r="I170" s="83"/>
      <c r="J170" s="83"/>
      <c r="K170" s="83"/>
      <c r="L170" s="84"/>
      <c r="M170" s="84"/>
      <c r="N170" s="83"/>
      <c r="O170" s="222"/>
      <c r="P170" s="222"/>
      <c r="Q170" s="187"/>
      <c r="R170" s="187"/>
      <c r="S170" s="187"/>
      <c r="T170" s="187"/>
      <c r="U170" s="187"/>
      <c r="V170" s="187"/>
      <c r="W170" s="187"/>
      <c r="X170" s="187"/>
      <c r="Y170" s="187"/>
      <c r="Z170" s="187"/>
      <c r="AA170" s="187"/>
      <c r="AB170" s="187"/>
    </row>
    <row r="171" spans="1:28" ht="15.75" customHeight="1">
      <c r="A171" s="219"/>
      <c r="B171" s="83"/>
      <c r="C171" s="81"/>
      <c r="D171" s="82"/>
      <c r="E171" s="81"/>
      <c r="F171" s="82"/>
      <c r="G171" s="83"/>
      <c r="H171" s="221"/>
      <c r="I171" s="83"/>
      <c r="J171" s="83"/>
      <c r="K171" s="83"/>
      <c r="L171" s="84"/>
      <c r="M171" s="84"/>
      <c r="N171" s="83"/>
      <c r="O171" s="222"/>
      <c r="P171" s="222"/>
      <c r="Q171" s="187"/>
      <c r="R171" s="187"/>
      <c r="S171" s="187"/>
      <c r="T171" s="187"/>
      <c r="U171" s="187"/>
      <c r="V171" s="187"/>
      <c r="W171" s="187"/>
      <c r="X171" s="187"/>
      <c r="Y171" s="187"/>
      <c r="Z171" s="187"/>
      <c r="AA171" s="187"/>
      <c r="AB171" s="187"/>
    </row>
    <row r="172" spans="1:28" ht="15.75" customHeight="1">
      <c r="A172" s="219"/>
      <c r="B172" s="83"/>
      <c r="C172" s="81"/>
      <c r="D172" s="82"/>
      <c r="E172" s="81"/>
      <c r="F172" s="82"/>
      <c r="G172" s="83"/>
      <c r="H172" s="221"/>
      <c r="I172" s="83"/>
      <c r="J172" s="83"/>
      <c r="K172" s="83"/>
      <c r="L172" s="84"/>
      <c r="M172" s="84"/>
      <c r="N172" s="83"/>
      <c r="O172" s="222"/>
      <c r="P172" s="222"/>
      <c r="Q172" s="187"/>
      <c r="R172" s="187"/>
      <c r="S172" s="187"/>
      <c r="T172" s="187"/>
      <c r="U172" s="187"/>
      <c r="V172" s="187"/>
      <c r="W172" s="187"/>
      <c r="X172" s="187"/>
      <c r="Y172" s="187"/>
      <c r="Z172" s="187"/>
      <c r="AA172" s="187"/>
      <c r="AB172" s="187"/>
    </row>
    <row r="173" spans="1:28" ht="15.75" customHeight="1">
      <c r="A173" s="219"/>
      <c r="B173" s="83"/>
      <c r="C173" s="81"/>
      <c r="D173" s="82"/>
      <c r="E173" s="81"/>
      <c r="F173" s="82"/>
      <c r="G173" s="83"/>
      <c r="H173" s="221"/>
      <c r="I173" s="83"/>
      <c r="J173" s="83"/>
      <c r="K173" s="83"/>
      <c r="L173" s="84"/>
      <c r="M173" s="84"/>
      <c r="N173" s="83"/>
      <c r="O173" s="222"/>
      <c r="P173" s="222"/>
      <c r="Q173" s="187"/>
      <c r="R173" s="187"/>
      <c r="S173" s="187"/>
      <c r="T173" s="187"/>
      <c r="U173" s="187"/>
      <c r="V173" s="187"/>
      <c r="W173" s="187"/>
      <c r="X173" s="187"/>
      <c r="Y173" s="187"/>
      <c r="Z173" s="187"/>
      <c r="AA173" s="187"/>
      <c r="AB173" s="187"/>
    </row>
    <row r="174" spans="1:28" ht="15.75" customHeight="1">
      <c r="A174" s="219"/>
      <c r="B174" s="83"/>
      <c r="C174" s="81"/>
      <c r="D174" s="82"/>
      <c r="E174" s="81"/>
      <c r="F174" s="82"/>
      <c r="G174" s="83"/>
      <c r="H174" s="221"/>
      <c r="I174" s="83"/>
      <c r="J174" s="83"/>
      <c r="K174" s="83"/>
      <c r="L174" s="84"/>
      <c r="M174" s="84"/>
      <c r="N174" s="83"/>
      <c r="O174" s="222"/>
      <c r="P174" s="222"/>
      <c r="Q174" s="187"/>
      <c r="R174" s="187"/>
      <c r="S174" s="187"/>
      <c r="T174" s="187"/>
      <c r="U174" s="187"/>
      <c r="V174" s="187"/>
      <c r="W174" s="187"/>
      <c r="X174" s="187"/>
      <c r="Y174" s="187"/>
      <c r="Z174" s="187"/>
      <c r="AA174" s="187"/>
      <c r="AB174" s="187"/>
    </row>
    <row r="175" spans="1:28" ht="15.75" customHeight="1">
      <c r="A175" s="219"/>
      <c r="B175" s="83"/>
      <c r="C175" s="81"/>
      <c r="D175" s="82"/>
      <c r="E175" s="81"/>
      <c r="F175" s="82"/>
      <c r="G175" s="83"/>
      <c r="H175" s="221"/>
      <c r="I175" s="83"/>
      <c r="J175" s="83"/>
      <c r="K175" s="83"/>
      <c r="L175" s="84"/>
      <c r="M175" s="84"/>
      <c r="N175" s="83"/>
      <c r="O175" s="222"/>
      <c r="P175" s="222"/>
      <c r="Q175" s="187"/>
      <c r="R175" s="187"/>
      <c r="S175" s="187"/>
      <c r="T175" s="187"/>
      <c r="U175" s="187"/>
      <c r="V175" s="187"/>
      <c r="W175" s="187"/>
      <c r="X175" s="187"/>
      <c r="Y175" s="187"/>
      <c r="Z175" s="187"/>
      <c r="AA175" s="187"/>
      <c r="AB175" s="187"/>
    </row>
    <row r="176" spans="1:28" ht="15.75" customHeight="1">
      <c r="A176" s="219"/>
      <c r="B176" s="83"/>
      <c r="C176" s="81"/>
      <c r="D176" s="82"/>
      <c r="E176" s="81"/>
      <c r="F176" s="82"/>
      <c r="G176" s="83"/>
      <c r="H176" s="221"/>
      <c r="I176" s="83"/>
      <c r="J176" s="83"/>
      <c r="K176" s="83"/>
      <c r="L176" s="84"/>
      <c r="M176" s="84"/>
      <c r="N176" s="83"/>
      <c r="O176" s="222"/>
      <c r="P176" s="222"/>
      <c r="Q176" s="187"/>
      <c r="R176" s="187"/>
      <c r="S176" s="187"/>
      <c r="T176" s="187"/>
      <c r="U176" s="187"/>
      <c r="V176" s="187"/>
      <c r="W176" s="187"/>
      <c r="X176" s="187"/>
      <c r="Y176" s="187"/>
      <c r="Z176" s="187"/>
      <c r="AA176" s="187"/>
      <c r="AB176" s="187"/>
    </row>
    <row r="177" spans="1:28" ht="15.75" customHeight="1">
      <c r="A177" s="219"/>
      <c r="B177" s="83"/>
      <c r="C177" s="81"/>
      <c r="D177" s="82"/>
      <c r="E177" s="81"/>
      <c r="F177" s="82"/>
      <c r="G177" s="83"/>
      <c r="H177" s="221"/>
      <c r="I177" s="83"/>
      <c r="J177" s="83"/>
      <c r="K177" s="83"/>
      <c r="L177" s="84"/>
      <c r="M177" s="84"/>
      <c r="N177" s="83"/>
      <c r="O177" s="222"/>
      <c r="P177" s="222"/>
      <c r="Q177" s="187"/>
      <c r="R177" s="187"/>
      <c r="S177" s="187"/>
      <c r="T177" s="187"/>
      <c r="U177" s="187"/>
      <c r="V177" s="187"/>
      <c r="W177" s="187"/>
      <c r="X177" s="187"/>
      <c r="Y177" s="187"/>
      <c r="Z177" s="187"/>
      <c r="AA177" s="187"/>
      <c r="AB177" s="187"/>
    </row>
    <row r="178" spans="1:28" ht="15.75" customHeight="1">
      <c r="A178" s="219"/>
      <c r="B178" s="83"/>
      <c r="C178" s="81"/>
      <c r="D178" s="82"/>
      <c r="E178" s="81"/>
      <c r="F178" s="82"/>
      <c r="G178" s="83"/>
      <c r="H178" s="221"/>
      <c r="I178" s="83"/>
      <c r="J178" s="83"/>
      <c r="K178" s="83"/>
      <c r="L178" s="84"/>
      <c r="M178" s="84"/>
      <c r="N178" s="83"/>
      <c r="O178" s="222"/>
      <c r="P178" s="222"/>
      <c r="Q178" s="187"/>
      <c r="R178" s="187"/>
      <c r="S178" s="187"/>
      <c r="T178" s="187"/>
      <c r="U178" s="187"/>
      <c r="V178" s="187"/>
      <c r="W178" s="187"/>
      <c r="X178" s="187"/>
      <c r="Y178" s="187"/>
      <c r="Z178" s="187"/>
      <c r="AA178" s="187"/>
      <c r="AB178" s="187"/>
    </row>
    <row r="179" spans="1:28" ht="15.75" customHeight="1">
      <c r="A179" s="219"/>
      <c r="B179" s="83"/>
      <c r="C179" s="81"/>
      <c r="D179" s="82"/>
      <c r="E179" s="81"/>
      <c r="F179" s="82"/>
      <c r="G179" s="83"/>
      <c r="H179" s="221"/>
      <c r="I179" s="83"/>
      <c r="J179" s="83"/>
      <c r="K179" s="83"/>
      <c r="L179" s="84"/>
      <c r="M179" s="84"/>
      <c r="N179" s="83"/>
      <c r="O179" s="222"/>
      <c r="P179" s="222"/>
      <c r="Q179" s="187"/>
      <c r="R179" s="187"/>
      <c r="S179" s="187"/>
      <c r="T179" s="187"/>
      <c r="U179" s="187"/>
      <c r="V179" s="187"/>
      <c r="W179" s="187"/>
      <c r="X179" s="187"/>
      <c r="Y179" s="187"/>
      <c r="Z179" s="187"/>
      <c r="AA179" s="187"/>
      <c r="AB179" s="187"/>
    </row>
    <row r="180" spans="1:28" ht="15.75" customHeight="1">
      <c r="A180" s="219"/>
      <c r="B180" s="83"/>
      <c r="C180" s="81"/>
      <c r="D180" s="82"/>
      <c r="E180" s="81"/>
      <c r="F180" s="82"/>
      <c r="G180" s="83"/>
      <c r="H180" s="221"/>
      <c r="I180" s="83"/>
      <c r="J180" s="83"/>
      <c r="K180" s="83"/>
      <c r="L180" s="84"/>
      <c r="M180" s="84"/>
      <c r="N180" s="83"/>
      <c r="O180" s="222"/>
      <c r="P180" s="222"/>
      <c r="Q180" s="187"/>
      <c r="R180" s="187"/>
      <c r="S180" s="187"/>
      <c r="T180" s="187"/>
      <c r="U180" s="187"/>
      <c r="V180" s="187"/>
      <c r="W180" s="187"/>
      <c r="X180" s="187"/>
      <c r="Y180" s="187"/>
      <c r="Z180" s="187"/>
      <c r="AA180" s="187"/>
      <c r="AB180" s="187"/>
    </row>
    <row r="181" spans="1:28" ht="15.75" customHeight="1">
      <c r="A181" s="219"/>
      <c r="B181" s="83"/>
      <c r="C181" s="81"/>
      <c r="D181" s="82"/>
      <c r="E181" s="81"/>
      <c r="F181" s="82"/>
      <c r="G181" s="83"/>
      <c r="H181" s="221"/>
      <c r="I181" s="83"/>
      <c r="J181" s="83"/>
      <c r="K181" s="83"/>
      <c r="L181" s="84"/>
      <c r="M181" s="84"/>
      <c r="N181" s="83"/>
      <c r="O181" s="222"/>
      <c r="P181" s="222"/>
      <c r="Q181" s="187"/>
      <c r="R181" s="187"/>
      <c r="S181" s="187"/>
      <c r="T181" s="187"/>
      <c r="U181" s="187"/>
      <c r="V181" s="187"/>
      <c r="W181" s="187"/>
      <c r="X181" s="187"/>
      <c r="Y181" s="187"/>
      <c r="Z181" s="187"/>
      <c r="AA181" s="187"/>
      <c r="AB181" s="187"/>
    </row>
    <row r="182" spans="1:28" ht="15.75" customHeight="1">
      <c r="A182" s="219"/>
      <c r="B182" s="83"/>
      <c r="C182" s="81"/>
      <c r="D182" s="82"/>
      <c r="E182" s="81"/>
      <c r="F182" s="82"/>
      <c r="G182" s="83"/>
      <c r="H182" s="221"/>
      <c r="I182" s="83"/>
      <c r="J182" s="83"/>
      <c r="K182" s="83"/>
      <c r="L182" s="84"/>
      <c r="M182" s="84"/>
      <c r="N182" s="83"/>
      <c r="O182" s="222"/>
      <c r="P182" s="222"/>
      <c r="Q182" s="187"/>
      <c r="R182" s="187"/>
      <c r="S182" s="187"/>
      <c r="T182" s="187"/>
      <c r="U182" s="187"/>
      <c r="V182" s="187"/>
      <c r="W182" s="187"/>
      <c r="X182" s="187"/>
      <c r="Y182" s="187"/>
      <c r="Z182" s="187"/>
      <c r="AA182" s="187"/>
      <c r="AB182" s="187"/>
    </row>
    <row r="183" spans="1:28" ht="15.75" customHeight="1">
      <c r="A183" s="219"/>
      <c r="B183" s="83"/>
      <c r="C183" s="81"/>
      <c r="D183" s="82"/>
      <c r="E183" s="81"/>
      <c r="F183" s="82"/>
      <c r="G183" s="83"/>
      <c r="H183" s="221"/>
      <c r="I183" s="83"/>
      <c r="J183" s="83"/>
      <c r="K183" s="83"/>
      <c r="L183" s="84"/>
      <c r="M183" s="84"/>
      <c r="N183" s="83"/>
      <c r="O183" s="222"/>
      <c r="P183" s="222"/>
      <c r="Q183" s="187"/>
      <c r="R183" s="187"/>
      <c r="S183" s="187"/>
      <c r="T183" s="187"/>
      <c r="U183" s="187"/>
      <c r="V183" s="187"/>
      <c r="W183" s="187"/>
      <c r="X183" s="187"/>
      <c r="Y183" s="187"/>
      <c r="Z183" s="187"/>
      <c r="AA183" s="187"/>
      <c r="AB183" s="187"/>
    </row>
    <row r="184" spans="1:28" ht="15.75" customHeight="1">
      <c r="A184" s="219"/>
      <c r="B184" s="83"/>
      <c r="C184" s="81"/>
      <c r="D184" s="82"/>
      <c r="E184" s="81"/>
      <c r="F184" s="82"/>
      <c r="G184" s="83"/>
      <c r="H184" s="221"/>
      <c r="I184" s="83"/>
      <c r="J184" s="83"/>
      <c r="K184" s="83"/>
      <c r="L184" s="84"/>
      <c r="M184" s="84"/>
      <c r="N184" s="83"/>
      <c r="O184" s="222"/>
      <c r="P184" s="222"/>
      <c r="Q184" s="187"/>
      <c r="R184" s="187"/>
      <c r="S184" s="187"/>
      <c r="T184" s="187"/>
      <c r="U184" s="187"/>
      <c r="V184" s="187"/>
      <c r="W184" s="187"/>
      <c r="X184" s="187"/>
      <c r="Y184" s="187"/>
      <c r="Z184" s="187"/>
      <c r="AA184" s="187"/>
      <c r="AB184" s="187"/>
    </row>
    <row r="185" spans="1:28" ht="15.75" customHeight="1">
      <c r="A185" s="219"/>
      <c r="B185" s="83"/>
      <c r="C185" s="81"/>
      <c r="D185" s="82"/>
      <c r="E185" s="81"/>
      <c r="F185" s="82"/>
      <c r="G185" s="83"/>
      <c r="H185" s="221"/>
      <c r="I185" s="83"/>
      <c r="J185" s="83"/>
      <c r="K185" s="83"/>
      <c r="L185" s="84"/>
      <c r="M185" s="84"/>
      <c r="N185" s="83"/>
      <c r="O185" s="222"/>
      <c r="P185" s="222"/>
      <c r="Q185" s="187"/>
      <c r="R185" s="187"/>
      <c r="S185" s="187"/>
      <c r="T185" s="187"/>
      <c r="U185" s="187"/>
      <c r="V185" s="187"/>
      <c r="W185" s="187"/>
      <c r="X185" s="187"/>
      <c r="Y185" s="187"/>
      <c r="Z185" s="187"/>
      <c r="AA185" s="187"/>
      <c r="AB185" s="187"/>
    </row>
    <row r="186" spans="1:28" ht="15.75" customHeight="1">
      <c r="A186" s="219"/>
      <c r="B186" s="83"/>
      <c r="C186" s="81"/>
      <c r="D186" s="82"/>
      <c r="E186" s="81"/>
      <c r="F186" s="82"/>
      <c r="G186" s="83"/>
      <c r="H186" s="221"/>
      <c r="I186" s="83"/>
      <c r="J186" s="83"/>
      <c r="K186" s="83"/>
      <c r="L186" s="84"/>
      <c r="M186" s="84"/>
      <c r="N186" s="83"/>
      <c r="O186" s="222"/>
      <c r="P186" s="222"/>
      <c r="Q186" s="187"/>
      <c r="R186" s="187"/>
      <c r="S186" s="187"/>
      <c r="T186" s="187"/>
      <c r="U186" s="187"/>
      <c r="V186" s="187"/>
      <c r="W186" s="187"/>
      <c r="X186" s="187"/>
      <c r="Y186" s="187"/>
      <c r="Z186" s="187"/>
      <c r="AA186" s="187"/>
      <c r="AB186" s="187"/>
    </row>
    <row r="187" spans="1:28" ht="15.75" customHeight="1">
      <c r="A187" s="219"/>
      <c r="B187" s="83"/>
      <c r="C187" s="81"/>
      <c r="D187" s="82"/>
      <c r="E187" s="81"/>
      <c r="F187" s="82"/>
      <c r="G187" s="83"/>
      <c r="H187" s="221"/>
      <c r="I187" s="83"/>
      <c r="J187" s="83"/>
      <c r="K187" s="83"/>
      <c r="L187" s="84"/>
      <c r="M187" s="84"/>
      <c r="N187" s="83"/>
      <c r="O187" s="222"/>
      <c r="P187" s="222"/>
      <c r="Q187" s="187"/>
      <c r="R187" s="187"/>
      <c r="S187" s="187"/>
      <c r="T187" s="187"/>
      <c r="U187" s="187"/>
      <c r="V187" s="187"/>
      <c r="W187" s="187"/>
      <c r="X187" s="187"/>
      <c r="Y187" s="187"/>
      <c r="Z187" s="187"/>
      <c r="AA187" s="187"/>
      <c r="AB187" s="187"/>
    </row>
    <row r="188" spans="1:28" ht="15.75" customHeight="1">
      <c r="A188" s="219"/>
      <c r="B188" s="83"/>
      <c r="C188" s="81"/>
      <c r="D188" s="82"/>
      <c r="E188" s="81"/>
      <c r="F188" s="82"/>
      <c r="G188" s="83"/>
      <c r="H188" s="221"/>
      <c r="I188" s="83"/>
      <c r="J188" s="83"/>
      <c r="K188" s="83"/>
      <c r="L188" s="84"/>
      <c r="M188" s="84"/>
      <c r="N188" s="83"/>
      <c r="O188" s="222"/>
      <c r="P188" s="222"/>
      <c r="Q188" s="187"/>
      <c r="R188" s="187"/>
      <c r="S188" s="187"/>
      <c r="T188" s="187"/>
      <c r="U188" s="187"/>
      <c r="V188" s="187"/>
      <c r="W188" s="187"/>
      <c r="X188" s="187"/>
      <c r="Y188" s="187"/>
      <c r="Z188" s="187"/>
      <c r="AA188" s="187"/>
      <c r="AB188" s="187"/>
    </row>
    <row r="189" spans="1:28" ht="15.75" customHeight="1">
      <c r="A189" s="219"/>
      <c r="B189" s="83"/>
      <c r="C189" s="81"/>
      <c r="D189" s="82"/>
      <c r="E189" s="81"/>
      <c r="F189" s="82"/>
      <c r="G189" s="83"/>
      <c r="H189" s="221"/>
      <c r="I189" s="83"/>
      <c r="J189" s="83"/>
      <c r="K189" s="83"/>
      <c r="L189" s="84"/>
      <c r="M189" s="84"/>
      <c r="N189" s="83"/>
      <c r="O189" s="222"/>
      <c r="P189" s="222"/>
      <c r="Q189" s="187"/>
      <c r="R189" s="187"/>
      <c r="S189" s="187"/>
      <c r="T189" s="187"/>
      <c r="U189" s="187"/>
      <c r="V189" s="187"/>
      <c r="W189" s="187"/>
      <c r="X189" s="187"/>
      <c r="Y189" s="187"/>
      <c r="Z189" s="187"/>
      <c r="AA189" s="187"/>
      <c r="AB189" s="187"/>
    </row>
    <row r="190" spans="1:28" ht="15.75" customHeight="1">
      <c r="A190" s="219"/>
      <c r="B190" s="83"/>
      <c r="C190" s="81"/>
      <c r="D190" s="82"/>
      <c r="E190" s="81"/>
      <c r="F190" s="82"/>
      <c r="G190" s="83"/>
      <c r="H190" s="221"/>
      <c r="I190" s="83"/>
      <c r="J190" s="83"/>
      <c r="K190" s="83"/>
      <c r="L190" s="84"/>
      <c r="M190" s="84"/>
      <c r="N190" s="83"/>
      <c r="O190" s="222"/>
      <c r="P190" s="222"/>
      <c r="Q190" s="187"/>
      <c r="R190" s="187"/>
      <c r="S190" s="187"/>
      <c r="T190" s="187"/>
      <c r="U190" s="187"/>
      <c r="V190" s="187"/>
      <c r="W190" s="187"/>
      <c r="X190" s="187"/>
      <c r="Y190" s="187"/>
      <c r="Z190" s="187"/>
      <c r="AA190" s="187"/>
      <c r="AB190" s="187"/>
    </row>
    <row r="191" spans="1:28" ht="15.75" customHeight="1">
      <c r="A191" s="219"/>
      <c r="B191" s="83"/>
      <c r="C191" s="81"/>
      <c r="D191" s="82"/>
      <c r="E191" s="81"/>
      <c r="F191" s="82"/>
      <c r="G191" s="83"/>
      <c r="H191" s="221"/>
      <c r="I191" s="83"/>
      <c r="J191" s="83"/>
      <c r="K191" s="83"/>
      <c r="L191" s="84"/>
      <c r="M191" s="84"/>
      <c r="N191" s="83"/>
      <c r="O191" s="222"/>
      <c r="P191" s="222"/>
      <c r="Q191" s="187"/>
      <c r="R191" s="187"/>
      <c r="S191" s="187"/>
      <c r="T191" s="187"/>
      <c r="U191" s="187"/>
      <c r="V191" s="187"/>
      <c r="W191" s="187"/>
      <c r="X191" s="187"/>
      <c r="Y191" s="187"/>
      <c r="Z191" s="187"/>
      <c r="AA191" s="187"/>
      <c r="AB191" s="187"/>
    </row>
    <row r="192" spans="1:28" ht="15.75" customHeight="1">
      <c r="A192" s="219"/>
      <c r="B192" s="83"/>
      <c r="C192" s="81"/>
      <c r="D192" s="82"/>
      <c r="E192" s="81"/>
      <c r="F192" s="82"/>
      <c r="G192" s="83"/>
      <c r="H192" s="221"/>
      <c r="I192" s="83"/>
      <c r="J192" s="83"/>
      <c r="K192" s="83"/>
      <c r="L192" s="84"/>
      <c r="M192" s="84"/>
      <c r="N192" s="83"/>
      <c r="O192" s="222"/>
      <c r="P192" s="222"/>
      <c r="Q192" s="187"/>
      <c r="R192" s="187"/>
      <c r="S192" s="187"/>
      <c r="T192" s="187"/>
      <c r="U192" s="187"/>
      <c r="V192" s="187"/>
      <c r="W192" s="187"/>
      <c r="X192" s="187"/>
      <c r="Y192" s="187"/>
      <c r="Z192" s="187"/>
      <c r="AA192" s="187"/>
      <c r="AB192" s="187"/>
    </row>
    <row r="193" spans="1:28" ht="15.75" customHeight="1">
      <c r="A193" s="219"/>
      <c r="B193" s="83"/>
      <c r="C193" s="81"/>
      <c r="D193" s="82"/>
      <c r="E193" s="81"/>
      <c r="F193" s="82"/>
      <c r="G193" s="83"/>
      <c r="H193" s="221"/>
      <c r="I193" s="83"/>
      <c r="J193" s="83"/>
      <c r="K193" s="83"/>
      <c r="L193" s="84"/>
      <c r="M193" s="84"/>
      <c r="N193" s="83"/>
      <c r="O193" s="222"/>
      <c r="P193" s="222"/>
      <c r="Q193" s="187"/>
      <c r="R193" s="187"/>
      <c r="S193" s="187"/>
      <c r="T193" s="187"/>
      <c r="U193" s="187"/>
      <c r="V193" s="187"/>
      <c r="W193" s="187"/>
      <c r="X193" s="187"/>
      <c r="Y193" s="187"/>
      <c r="Z193" s="187"/>
      <c r="AA193" s="187"/>
      <c r="AB193" s="187"/>
    </row>
    <row r="194" spans="1:28" ht="15.75" customHeight="1">
      <c r="A194" s="219"/>
      <c r="B194" s="83"/>
      <c r="C194" s="81"/>
      <c r="D194" s="82"/>
      <c r="E194" s="81"/>
      <c r="F194" s="82"/>
      <c r="G194" s="83"/>
      <c r="H194" s="221"/>
      <c r="I194" s="83"/>
      <c r="J194" s="83"/>
      <c r="K194" s="83"/>
      <c r="L194" s="84"/>
      <c r="M194" s="84"/>
      <c r="N194" s="83"/>
      <c r="O194" s="222"/>
      <c r="P194" s="222"/>
      <c r="Q194" s="187"/>
      <c r="R194" s="187"/>
      <c r="S194" s="187"/>
      <c r="T194" s="187"/>
      <c r="U194" s="187"/>
      <c r="V194" s="187"/>
      <c r="W194" s="187"/>
      <c r="X194" s="187"/>
      <c r="Y194" s="187"/>
      <c r="Z194" s="187"/>
      <c r="AA194" s="187"/>
      <c r="AB194" s="187"/>
    </row>
    <row r="195" spans="1:28" ht="15.75" customHeight="1">
      <c r="A195" s="219"/>
      <c r="B195" s="83"/>
      <c r="C195" s="81"/>
      <c r="D195" s="82"/>
      <c r="E195" s="81"/>
      <c r="F195" s="82"/>
      <c r="G195" s="83"/>
      <c r="H195" s="221"/>
      <c r="I195" s="83"/>
      <c r="J195" s="83"/>
      <c r="K195" s="83"/>
      <c r="L195" s="84"/>
      <c r="M195" s="84"/>
      <c r="N195" s="83"/>
      <c r="O195" s="222"/>
      <c r="P195" s="222"/>
      <c r="Q195" s="187"/>
      <c r="R195" s="187"/>
      <c r="S195" s="187"/>
      <c r="T195" s="187"/>
      <c r="U195" s="187"/>
      <c r="V195" s="187"/>
      <c r="W195" s="187"/>
      <c r="X195" s="187"/>
      <c r="Y195" s="187"/>
      <c r="Z195" s="187"/>
      <c r="AA195" s="187"/>
      <c r="AB195" s="187"/>
    </row>
    <row r="196" spans="1:28" ht="15.75" customHeight="1">
      <c r="A196" s="219"/>
      <c r="B196" s="83"/>
      <c r="C196" s="81"/>
      <c r="D196" s="82"/>
      <c r="E196" s="81"/>
      <c r="F196" s="82"/>
      <c r="G196" s="83"/>
      <c r="H196" s="221"/>
      <c r="I196" s="83"/>
      <c r="J196" s="83"/>
      <c r="K196" s="83"/>
      <c r="L196" s="84"/>
      <c r="M196" s="84"/>
      <c r="N196" s="83"/>
      <c r="O196" s="222"/>
      <c r="P196" s="222"/>
      <c r="Q196" s="187"/>
      <c r="R196" s="187"/>
      <c r="S196" s="187"/>
      <c r="T196" s="187"/>
      <c r="U196" s="187"/>
      <c r="V196" s="187"/>
      <c r="W196" s="187"/>
      <c r="X196" s="187"/>
      <c r="Y196" s="187"/>
      <c r="Z196" s="187"/>
      <c r="AA196" s="187"/>
      <c r="AB196" s="187"/>
    </row>
    <row r="197" spans="1:28" ht="15.75" customHeight="1">
      <c r="A197" s="219"/>
      <c r="B197" s="83"/>
      <c r="C197" s="81"/>
      <c r="D197" s="82"/>
      <c r="E197" s="81"/>
      <c r="F197" s="82"/>
      <c r="G197" s="83"/>
      <c r="H197" s="221"/>
      <c r="I197" s="83"/>
      <c r="J197" s="83"/>
      <c r="K197" s="83"/>
      <c r="L197" s="84"/>
      <c r="M197" s="84"/>
      <c r="N197" s="83"/>
      <c r="O197" s="222"/>
      <c r="P197" s="222"/>
      <c r="Q197" s="187"/>
      <c r="R197" s="187"/>
      <c r="S197" s="187"/>
      <c r="T197" s="187"/>
      <c r="U197" s="187"/>
      <c r="V197" s="187"/>
      <c r="W197" s="187"/>
      <c r="X197" s="187"/>
      <c r="Y197" s="187"/>
      <c r="Z197" s="187"/>
      <c r="AA197" s="187"/>
      <c r="AB197" s="187"/>
    </row>
    <row r="198" spans="1:28" ht="15.75" customHeight="1">
      <c r="A198" s="219"/>
      <c r="B198" s="83"/>
      <c r="C198" s="81"/>
      <c r="D198" s="82"/>
      <c r="E198" s="81"/>
      <c r="F198" s="82"/>
      <c r="G198" s="83"/>
      <c r="H198" s="221"/>
      <c r="I198" s="83"/>
      <c r="J198" s="83"/>
      <c r="K198" s="83"/>
      <c r="L198" s="84"/>
      <c r="M198" s="84"/>
      <c r="N198" s="83"/>
      <c r="O198" s="222"/>
      <c r="P198" s="222"/>
      <c r="Q198" s="187"/>
      <c r="R198" s="187"/>
      <c r="S198" s="187"/>
      <c r="T198" s="187"/>
      <c r="U198" s="187"/>
      <c r="V198" s="187"/>
      <c r="W198" s="187"/>
      <c r="X198" s="187"/>
      <c r="Y198" s="187"/>
      <c r="Z198" s="187"/>
      <c r="AA198" s="187"/>
      <c r="AB198" s="187"/>
    </row>
    <row r="199" spans="1:28" ht="15.75" customHeight="1">
      <c r="A199" s="219"/>
      <c r="B199" s="83"/>
      <c r="C199" s="81"/>
      <c r="D199" s="82"/>
      <c r="E199" s="81"/>
      <c r="F199" s="82"/>
      <c r="G199" s="83"/>
      <c r="H199" s="221"/>
      <c r="I199" s="83"/>
      <c r="J199" s="83"/>
      <c r="K199" s="83"/>
      <c r="L199" s="84"/>
      <c r="M199" s="84"/>
      <c r="N199" s="83"/>
      <c r="O199" s="222"/>
      <c r="P199" s="222"/>
      <c r="Q199" s="187"/>
      <c r="R199" s="187"/>
      <c r="S199" s="187"/>
      <c r="T199" s="187"/>
      <c r="U199" s="187"/>
      <c r="V199" s="187"/>
      <c r="W199" s="187"/>
      <c r="X199" s="187"/>
      <c r="Y199" s="187"/>
      <c r="Z199" s="187"/>
      <c r="AA199" s="187"/>
      <c r="AB199" s="187"/>
    </row>
    <row r="200" spans="1:28" ht="15.75" customHeight="1">
      <c r="A200" s="219"/>
      <c r="B200" s="83"/>
      <c r="C200" s="81"/>
      <c r="D200" s="82"/>
      <c r="E200" s="81"/>
      <c r="F200" s="82"/>
      <c r="G200" s="83"/>
      <c r="H200" s="221"/>
      <c r="I200" s="83"/>
      <c r="J200" s="83"/>
      <c r="K200" s="83"/>
      <c r="L200" s="84"/>
      <c r="M200" s="84"/>
      <c r="N200" s="83"/>
      <c r="O200" s="222"/>
      <c r="P200" s="222"/>
      <c r="Q200" s="187"/>
      <c r="R200" s="187"/>
      <c r="S200" s="187"/>
      <c r="T200" s="187"/>
      <c r="U200" s="187"/>
      <c r="V200" s="187"/>
      <c r="W200" s="187"/>
      <c r="X200" s="187"/>
      <c r="Y200" s="187"/>
      <c r="Z200" s="187"/>
      <c r="AA200" s="187"/>
      <c r="AB200" s="187"/>
    </row>
    <row r="201" spans="1:28" ht="15.75" customHeight="1">
      <c r="A201" s="219"/>
      <c r="B201" s="83"/>
      <c r="C201" s="81"/>
      <c r="D201" s="82"/>
      <c r="E201" s="81"/>
      <c r="F201" s="82"/>
      <c r="G201" s="83"/>
      <c r="H201" s="221"/>
      <c r="I201" s="83"/>
      <c r="J201" s="83"/>
      <c r="K201" s="83"/>
      <c r="L201" s="84"/>
      <c r="M201" s="84"/>
      <c r="N201" s="83"/>
      <c r="O201" s="222"/>
      <c r="P201" s="222"/>
      <c r="Q201" s="187"/>
      <c r="R201" s="187"/>
      <c r="S201" s="187"/>
      <c r="T201" s="187"/>
      <c r="U201" s="187"/>
      <c r="V201" s="187"/>
      <c r="W201" s="187"/>
      <c r="X201" s="187"/>
      <c r="Y201" s="187"/>
      <c r="Z201" s="187"/>
      <c r="AA201" s="187"/>
      <c r="AB201" s="187"/>
    </row>
    <row r="202" spans="1:28" ht="15.75" customHeight="1">
      <c r="A202" s="219"/>
      <c r="B202" s="83"/>
      <c r="C202" s="81"/>
      <c r="D202" s="82"/>
      <c r="E202" s="81"/>
      <c r="F202" s="82"/>
      <c r="G202" s="83"/>
      <c r="H202" s="221"/>
      <c r="I202" s="83"/>
      <c r="J202" s="83"/>
      <c r="K202" s="83"/>
      <c r="L202" s="84"/>
      <c r="M202" s="84"/>
      <c r="N202" s="83"/>
      <c r="O202" s="222"/>
      <c r="P202" s="222"/>
      <c r="Q202" s="187"/>
      <c r="R202" s="187"/>
      <c r="S202" s="187"/>
      <c r="T202" s="187"/>
      <c r="U202" s="187"/>
      <c r="V202" s="187"/>
      <c r="W202" s="187"/>
      <c r="X202" s="187"/>
      <c r="Y202" s="187"/>
      <c r="Z202" s="187"/>
      <c r="AA202" s="187"/>
      <c r="AB202" s="187"/>
    </row>
    <row r="203" spans="1:28" ht="15.75" customHeight="1">
      <c r="A203" s="219"/>
      <c r="B203" s="83"/>
      <c r="C203" s="81"/>
      <c r="D203" s="82"/>
      <c r="E203" s="81"/>
      <c r="F203" s="82"/>
      <c r="G203" s="83"/>
      <c r="H203" s="221"/>
      <c r="I203" s="83"/>
      <c r="J203" s="83"/>
      <c r="K203" s="83"/>
      <c r="L203" s="84"/>
      <c r="M203" s="84"/>
      <c r="N203" s="83"/>
      <c r="O203" s="222"/>
      <c r="P203" s="222"/>
      <c r="Q203" s="187"/>
      <c r="R203" s="187"/>
      <c r="S203" s="187"/>
      <c r="T203" s="187"/>
      <c r="U203" s="187"/>
      <c r="V203" s="187"/>
      <c r="W203" s="187"/>
      <c r="X203" s="187"/>
      <c r="Y203" s="187"/>
      <c r="Z203" s="187"/>
      <c r="AA203" s="187"/>
      <c r="AB203" s="187"/>
    </row>
    <row r="204" spans="1:28" ht="15.75" customHeight="1">
      <c r="A204" s="219"/>
      <c r="B204" s="83"/>
      <c r="C204" s="81"/>
      <c r="D204" s="82"/>
      <c r="E204" s="81"/>
      <c r="F204" s="82"/>
      <c r="G204" s="83"/>
      <c r="H204" s="221"/>
      <c r="I204" s="83"/>
      <c r="J204" s="83"/>
      <c r="K204" s="83"/>
      <c r="L204" s="84"/>
      <c r="M204" s="84"/>
      <c r="N204" s="83"/>
      <c r="O204" s="222"/>
      <c r="P204" s="222"/>
      <c r="Q204" s="187"/>
      <c r="R204" s="187"/>
      <c r="S204" s="187"/>
      <c r="T204" s="187"/>
      <c r="U204" s="187"/>
      <c r="V204" s="187"/>
      <c r="W204" s="187"/>
      <c r="X204" s="187"/>
      <c r="Y204" s="187"/>
      <c r="Z204" s="187"/>
      <c r="AA204" s="187"/>
      <c r="AB204" s="187"/>
    </row>
    <row r="205" spans="1:28" ht="15.75" customHeight="1">
      <c r="A205" s="219"/>
      <c r="B205" s="83"/>
      <c r="C205" s="81"/>
      <c r="D205" s="82"/>
      <c r="E205" s="81"/>
      <c r="F205" s="82"/>
      <c r="G205" s="83"/>
      <c r="H205" s="221"/>
      <c r="I205" s="83"/>
      <c r="J205" s="83"/>
      <c r="K205" s="83"/>
      <c r="L205" s="84"/>
      <c r="M205" s="84"/>
      <c r="N205" s="83"/>
      <c r="O205" s="222"/>
      <c r="P205" s="222"/>
      <c r="Q205" s="187"/>
      <c r="R205" s="187"/>
      <c r="S205" s="187"/>
      <c r="T205" s="187"/>
      <c r="U205" s="187"/>
      <c r="V205" s="187"/>
      <c r="W205" s="187"/>
      <c r="X205" s="187"/>
      <c r="Y205" s="187"/>
      <c r="Z205" s="187"/>
      <c r="AA205" s="187"/>
      <c r="AB205" s="187"/>
    </row>
    <row r="206" spans="1:28" ht="15.75" customHeight="1">
      <c r="A206" s="219"/>
      <c r="B206" s="83"/>
      <c r="C206" s="81"/>
      <c r="D206" s="82"/>
      <c r="E206" s="81"/>
      <c r="F206" s="82"/>
      <c r="G206" s="83"/>
      <c r="H206" s="221"/>
      <c r="I206" s="83"/>
      <c r="J206" s="83"/>
      <c r="K206" s="83"/>
      <c r="L206" s="84"/>
      <c r="M206" s="84"/>
      <c r="N206" s="83"/>
      <c r="O206" s="222"/>
      <c r="P206" s="222"/>
      <c r="Q206" s="187"/>
      <c r="R206" s="187"/>
      <c r="S206" s="187"/>
      <c r="T206" s="187"/>
      <c r="U206" s="187"/>
      <c r="V206" s="187"/>
      <c r="W206" s="187"/>
      <c r="X206" s="187"/>
      <c r="Y206" s="187"/>
      <c r="Z206" s="187"/>
      <c r="AA206" s="187"/>
      <c r="AB206" s="187"/>
    </row>
    <row r="207" spans="1:28" ht="15.75" customHeight="1">
      <c r="A207" s="219"/>
      <c r="B207" s="83"/>
      <c r="C207" s="81"/>
      <c r="D207" s="82"/>
      <c r="E207" s="81"/>
      <c r="F207" s="82"/>
      <c r="G207" s="83"/>
      <c r="H207" s="221"/>
      <c r="I207" s="83"/>
      <c r="J207" s="83"/>
      <c r="K207" s="83"/>
      <c r="L207" s="84"/>
      <c r="M207" s="84"/>
      <c r="N207" s="83"/>
      <c r="O207" s="222"/>
      <c r="P207" s="222"/>
      <c r="Q207" s="187"/>
      <c r="R207" s="187"/>
      <c r="S207" s="187"/>
      <c r="T207" s="187"/>
      <c r="U207" s="187"/>
      <c r="V207" s="187"/>
      <c r="W207" s="187"/>
      <c r="X207" s="187"/>
      <c r="Y207" s="187"/>
      <c r="Z207" s="187"/>
      <c r="AA207" s="187"/>
      <c r="AB207" s="187"/>
    </row>
    <row r="208" spans="1:28" ht="15.75" customHeight="1">
      <c r="A208" s="219"/>
      <c r="B208" s="83"/>
      <c r="C208" s="81"/>
      <c r="D208" s="82"/>
      <c r="E208" s="81"/>
      <c r="F208" s="82"/>
      <c r="G208" s="83"/>
      <c r="H208" s="221"/>
      <c r="I208" s="83"/>
      <c r="J208" s="83"/>
      <c r="K208" s="83"/>
      <c r="L208" s="84"/>
      <c r="M208" s="84"/>
      <c r="N208" s="83"/>
      <c r="O208" s="222"/>
      <c r="P208" s="222"/>
      <c r="Q208" s="187"/>
      <c r="R208" s="187"/>
      <c r="S208" s="187"/>
      <c r="T208" s="187"/>
      <c r="U208" s="187"/>
      <c r="V208" s="187"/>
      <c r="W208" s="187"/>
      <c r="X208" s="187"/>
      <c r="Y208" s="187"/>
      <c r="Z208" s="187"/>
      <c r="AA208" s="187"/>
      <c r="AB208" s="187"/>
    </row>
    <row r="209" spans="1:28" ht="15.75" customHeight="1">
      <c r="A209" s="219"/>
      <c r="B209" s="83"/>
      <c r="C209" s="81"/>
      <c r="D209" s="82"/>
      <c r="E209" s="81"/>
      <c r="F209" s="82"/>
      <c r="G209" s="83"/>
      <c r="H209" s="221"/>
      <c r="I209" s="83"/>
      <c r="J209" s="83"/>
      <c r="K209" s="83"/>
      <c r="L209" s="84"/>
      <c r="M209" s="84"/>
      <c r="N209" s="83"/>
      <c r="O209" s="222"/>
      <c r="P209" s="222"/>
      <c r="Q209" s="187"/>
      <c r="R209" s="187"/>
      <c r="S209" s="187"/>
      <c r="T209" s="187"/>
      <c r="U209" s="187"/>
      <c r="V209" s="187"/>
      <c r="W209" s="187"/>
      <c r="X209" s="187"/>
      <c r="Y209" s="187"/>
      <c r="Z209" s="187"/>
      <c r="AA209" s="187"/>
      <c r="AB209" s="187"/>
    </row>
    <row r="210" spans="1:28" ht="15.75" customHeight="1">
      <c r="A210" s="219"/>
      <c r="B210" s="83"/>
      <c r="C210" s="81"/>
      <c r="D210" s="82"/>
      <c r="E210" s="81"/>
      <c r="F210" s="82"/>
      <c r="G210" s="83"/>
      <c r="H210" s="221"/>
      <c r="I210" s="83"/>
      <c r="J210" s="83"/>
      <c r="K210" s="83"/>
      <c r="L210" s="84"/>
      <c r="M210" s="84"/>
      <c r="N210" s="83"/>
      <c r="O210" s="222"/>
      <c r="P210" s="222"/>
      <c r="Q210" s="187"/>
      <c r="R210" s="187"/>
      <c r="S210" s="187"/>
      <c r="T210" s="187"/>
      <c r="U210" s="187"/>
      <c r="V210" s="187"/>
      <c r="W210" s="187"/>
      <c r="X210" s="187"/>
      <c r="Y210" s="187"/>
      <c r="Z210" s="187"/>
      <c r="AA210" s="187"/>
      <c r="AB210" s="187"/>
    </row>
    <row r="211" spans="1:28" ht="15.75" customHeight="1">
      <c r="A211" s="219"/>
      <c r="B211" s="83"/>
      <c r="C211" s="81"/>
      <c r="D211" s="82"/>
      <c r="E211" s="81"/>
      <c r="F211" s="82"/>
      <c r="G211" s="83"/>
      <c r="H211" s="221"/>
      <c r="I211" s="83"/>
      <c r="J211" s="83"/>
      <c r="K211" s="83"/>
      <c r="L211" s="84"/>
      <c r="M211" s="84"/>
      <c r="N211" s="83"/>
      <c r="O211" s="222"/>
      <c r="P211" s="222"/>
      <c r="Q211" s="187"/>
      <c r="R211" s="187"/>
      <c r="S211" s="187"/>
      <c r="T211" s="187"/>
      <c r="U211" s="187"/>
      <c r="V211" s="187"/>
      <c r="W211" s="187"/>
      <c r="X211" s="187"/>
      <c r="Y211" s="187"/>
      <c r="Z211" s="187"/>
      <c r="AA211" s="187"/>
      <c r="AB211" s="187"/>
    </row>
    <row r="212" spans="1:28" ht="15.75" customHeight="1">
      <c r="A212" s="219"/>
      <c r="B212" s="83"/>
      <c r="C212" s="81"/>
      <c r="D212" s="82"/>
      <c r="E212" s="81"/>
      <c r="F212" s="82"/>
      <c r="G212" s="83"/>
      <c r="H212" s="221"/>
      <c r="I212" s="83"/>
      <c r="J212" s="83"/>
      <c r="K212" s="83"/>
      <c r="L212" s="84"/>
      <c r="M212" s="84"/>
      <c r="N212" s="83"/>
      <c r="O212" s="222"/>
      <c r="P212" s="222"/>
      <c r="Q212" s="187"/>
      <c r="R212" s="187"/>
      <c r="S212" s="187"/>
      <c r="T212" s="187"/>
      <c r="U212" s="187"/>
      <c r="V212" s="187"/>
      <c r="W212" s="187"/>
      <c r="X212" s="187"/>
      <c r="Y212" s="187"/>
      <c r="Z212" s="187"/>
      <c r="AA212" s="187"/>
      <c r="AB212" s="187"/>
    </row>
    <row r="213" spans="1:28" ht="15.75" customHeight="1">
      <c r="A213" s="219"/>
      <c r="B213" s="83"/>
      <c r="C213" s="81"/>
      <c r="D213" s="82"/>
      <c r="E213" s="81"/>
      <c r="F213" s="82"/>
      <c r="G213" s="83"/>
      <c r="H213" s="221"/>
      <c r="I213" s="83"/>
      <c r="J213" s="83"/>
      <c r="K213" s="83"/>
      <c r="L213" s="84"/>
      <c r="M213" s="84"/>
      <c r="N213" s="83"/>
      <c r="O213" s="222"/>
      <c r="P213" s="222"/>
      <c r="Q213" s="187"/>
      <c r="R213" s="187"/>
      <c r="S213" s="187"/>
      <c r="T213" s="187"/>
      <c r="U213" s="187"/>
      <c r="V213" s="187"/>
      <c r="W213" s="187"/>
      <c r="X213" s="187"/>
      <c r="Y213" s="187"/>
      <c r="Z213" s="187"/>
      <c r="AA213" s="187"/>
      <c r="AB213" s="187"/>
    </row>
    <row r="214" spans="1:28" ht="15.75" customHeight="1">
      <c r="A214" s="219"/>
      <c r="B214" s="83"/>
      <c r="C214" s="81"/>
      <c r="D214" s="82"/>
      <c r="E214" s="81"/>
      <c r="F214" s="82"/>
      <c r="G214" s="83"/>
      <c r="H214" s="221"/>
      <c r="I214" s="83"/>
      <c r="J214" s="83"/>
      <c r="K214" s="83"/>
      <c r="L214" s="84"/>
      <c r="M214" s="84"/>
      <c r="N214" s="83"/>
      <c r="O214" s="222"/>
      <c r="P214" s="222"/>
      <c r="Q214" s="187"/>
      <c r="R214" s="187"/>
      <c r="S214" s="187"/>
      <c r="T214" s="187"/>
      <c r="U214" s="187"/>
      <c r="V214" s="187"/>
      <c r="W214" s="187"/>
      <c r="X214" s="187"/>
      <c r="Y214" s="187"/>
      <c r="Z214" s="187"/>
      <c r="AA214" s="187"/>
      <c r="AB214" s="187"/>
    </row>
    <row r="215" spans="1:28" ht="15.75" customHeight="1">
      <c r="A215" s="219"/>
      <c r="B215" s="83"/>
      <c r="C215" s="81"/>
      <c r="D215" s="82"/>
      <c r="E215" s="81"/>
      <c r="F215" s="82"/>
      <c r="G215" s="83"/>
      <c r="H215" s="221"/>
      <c r="I215" s="83"/>
      <c r="J215" s="83"/>
      <c r="K215" s="83"/>
      <c r="L215" s="84"/>
      <c r="M215" s="84"/>
      <c r="N215" s="83"/>
      <c r="O215" s="222"/>
      <c r="P215" s="222"/>
      <c r="Q215" s="187"/>
      <c r="R215" s="187"/>
      <c r="S215" s="187"/>
      <c r="T215" s="187"/>
      <c r="U215" s="187"/>
      <c r="V215" s="187"/>
      <c r="W215" s="187"/>
      <c r="X215" s="187"/>
      <c r="Y215" s="187"/>
      <c r="Z215" s="187"/>
      <c r="AA215" s="187"/>
      <c r="AB215" s="187"/>
    </row>
    <row r="216" spans="1:28" ht="15.75" customHeight="1">
      <c r="A216" s="219"/>
      <c r="B216" s="83"/>
      <c r="C216" s="81"/>
      <c r="D216" s="82"/>
      <c r="E216" s="81"/>
      <c r="F216" s="82"/>
      <c r="G216" s="83"/>
      <c r="H216" s="221"/>
      <c r="I216" s="83"/>
      <c r="J216" s="83"/>
      <c r="K216" s="83"/>
      <c r="L216" s="84"/>
      <c r="M216" s="84"/>
      <c r="N216" s="83"/>
      <c r="O216" s="222"/>
      <c r="P216" s="222"/>
      <c r="Q216" s="187"/>
      <c r="R216" s="187"/>
      <c r="S216" s="187"/>
      <c r="T216" s="187"/>
      <c r="U216" s="187"/>
      <c r="V216" s="187"/>
      <c r="W216" s="187"/>
      <c r="X216" s="187"/>
      <c r="Y216" s="187"/>
      <c r="Z216" s="187"/>
      <c r="AA216" s="187"/>
      <c r="AB216" s="187"/>
    </row>
    <row r="217" spans="1:28" ht="15.75" customHeight="1">
      <c r="A217" s="219"/>
      <c r="B217" s="83"/>
      <c r="C217" s="81"/>
      <c r="D217" s="82"/>
      <c r="E217" s="81"/>
      <c r="F217" s="82"/>
      <c r="G217" s="83"/>
      <c r="H217" s="221"/>
      <c r="I217" s="83"/>
      <c r="J217" s="83"/>
      <c r="K217" s="83"/>
      <c r="L217" s="84"/>
      <c r="M217" s="84"/>
      <c r="N217" s="83"/>
      <c r="O217" s="222"/>
      <c r="P217" s="222"/>
      <c r="Q217" s="187"/>
      <c r="R217" s="187"/>
      <c r="S217" s="187"/>
      <c r="T217" s="187"/>
      <c r="U217" s="187"/>
      <c r="V217" s="187"/>
      <c r="W217" s="187"/>
      <c r="X217" s="187"/>
      <c r="Y217" s="187"/>
      <c r="Z217" s="187"/>
      <c r="AA217" s="187"/>
      <c r="AB217" s="187"/>
    </row>
    <row r="218" spans="1:28" ht="15.75" customHeight="1">
      <c r="A218" s="219"/>
      <c r="B218" s="83"/>
      <c r="C218" s="81"/>
      <c r="D218" s="82"/>
      <c r="E218" s="81"/>
      <c r="F218" s="82"/>
      <c r="G218" s="83"/>
      <c r="H218" s="221"/>
      <c r="I218" s="83"/>
      <c r="J218" s="83"/>
      <c r="K218" s="83"/>
      <c r="L218" s="84"/>
      <c r="M218" s="84"/>
      <c r="N218" s="83"/>
      <c r="O218" s="222"/>
      <c r="P218" s="222"/>
      <c r="Q218" s="187"/>
      <c r="R218" s="187"/>
      <c r="S218" s="187"/>
      <c r="T218" s="187"/>
      <c r="U218" s="187"/>
      <c r="V218" s="187"/>
      <c r="W218" s="187"/>
      <c r="X218" s="187"/>
      <c r="Y218" s="187"/>
      <c r="Z218" s="187"/>
      <c r="AA218" s="187"/>
      <c r="AB218" s="187"/>
    </row>
    <row r="219" spans="1:28" ht="15.75" customHeight="1">
      <c r="A219" s="219"/>
      <c r="B219" s="83"/>
      <c r="C219" s="81"/>
      <c r="D219" s="82"/>
      <c r="E219" s="81"/>
      <c r="F219" s="82"/>
      <c r="G219" s="83"/>
      <c r="H219" s="221"/>
      <c r="I219" s="83"/>
      <c r="J219" s="83"/>
      <c r="K219" s="83"/>
      <c r="L219" s="84"/>
      <c r="M219" s="84"/>
      <c r="N219" s="83"/>
      <c r="O219" s="222"/>
      <c r="P219" s="222"/>
      <c r="Q219" s="187"/>
      <c r="R219" s="187"/>
      <c r="S219" s="187"/>
      <c r="T219" s="187"/>
      <c r="U219" s="187"/>
      <c r="V219" s="187"/>
      <c r="W219" s="187"/>
      <c r="X219" s="187"/>
      <c r="Y219" s="187"/>
      <c r="Z219" s="187"/>
      <c r="AA219" s="187"/>
      <c r="AB219" s="187"/>
    </row>
    <row r="220" spans="1:28" ht="15.75" customHeight="1">
      <c r="A220" s="219"/>
      <c r="B220" s="83"/>
      <c r="C220" s="81"/>
      <c r="D220" s="82"/>
      <c r="E220" s="81"/>
      <c r="F220" s="82"/>
      <c r="G220" s="83"/>
      <c r="H220" s="221"/>
      <c r="I220" s="83"/>
      <c r="J220" s="83"/>
      <c r="K220" s="83"/>
      <c r="L220" s="84"/>
      <c r="M220" s="84"/>
      <c r="N220" s="83"/>
      <c r="O220" s="222"/>
      <c r="P220" s="222"/>
      <c r="Q220" s="187"/>
      <c r="R220" s="187"/>
      <c r="S220" s="187"/>
      <c r="T220" s="187"/>
      <c r="U220" s="187"/>
      <c r="V220" s="187"/>
      <c r="W220" s="187"/>
      <c r="X220" s="187"/>
      <c r="Y220" s="187"/>
      <c r="Z220" s="187"/>
      <c r="AA220" s="187"/>
      <c r="AB220" s="187"/>
    </row>
    <row r="221" spans="1:28" ht="15.75" customHeight="1">
      <c r="A221" s="219"/>
      <c r="B221" s="83"/>
      <c r="C221" s="81"/>
      <c r="D221" s="82"/>
      <c r="E221" s="81"/>
      <c r="F221" s="82"/>
      <c r="G221" s="83"/>
      <c r="H221" s="221"/>
      <c r="I221" s="83"/>
      <c r="J221" s="83"/>
      <c r="K221" s="83"/>
      <c r="L221" s="84"/>
      <c r="M221" s="84"/>
      <c r="N221" s="83"/>
      <c r="O221" s="222"/>
      <c r="P221" s="222"/>
      <c r="Q221" s="187"/>
      <c r="R221" s="187"/>
      <c r="S221" s="187"/>
      <c r="T221" s="187"/>
      <c r="U221" s="187"/>
      <c r="V221" s="187"/>
      <c r="W221" s="187"/>
      <c r="X221" s="187"/>
      <c r="Y221" s="187"/>
      <c r="Z221" s="187"/>
      <c r="AA221" s="187"/>
      <c r="AB221" s="187"/>
    </row>
    <row r="222" spans="1:28" ht="15.75" customHeight="1">
      <c r="A222" s="219"/>
      <c r="B222" s="83"/>
      <c r="C222" s="81"/>
      <c r="D222" s="82"/>
      <c r="E222" s="81"/>
      <c r="F222" s="82"/>
      <c r="G222" s="83"/>
      <c r="H222" s="221"/>
      <c r="I222" s="83"/>
      <c r="J222" s="83"/>
      <c r="K222" s="83"/>
      <c r="L222" s="84"/>
      <c r="M222" s="84"/>
      <c r="N222" s="83"/>
      <c r="O222" s="222"/>
      <c r="P222" s="222"/>
      <c r="Q222" s="187"/>
      <c r="R222" s="187"/>
      <c r="S222" s="187"/>
      <c r="T222" s="187"/>
      <c r="U222" s="187"/>
      <c r="V222" s="187"/>
      <c r="W222" s="187"/>
      <c r="X222" s="187"/>
      <c r="Y222" s="187"/>
      <c r="Z222" s="187"/>
      <c r="AA222" s="187"/>
      <c r="AB222" s="187"/>
    </row>
    <row r="223" spans="1:28" ht="15.75" customHeight="1">
      <c r="A223" s="219"/>
      <c r="B223" s="83"/>
      <c r="C223" s="81"/>
      <c r="D223" s="82"/>
      <c r="E223" s="81"/>
      <c r="F223" s="82"/>
      <c r="G223" s="83"/>
      <c r="H223" s="221"/>
      <c r="I223" s="83"/>
      <c r="J223" s="83"/>
      <c r="K223" s="83"/>
      <c r="L223" s="84"/>
      <c r="M223" s="84"/>
      <c r="N223" s="83"/>
      <c r="O223" s="222"/>
      <c r="P223" s="222"/>
      <c r="Q223" s="187"/>
      <c r="R223" s="187"/>
      <c r="S223" s="187"/>
      <c r="T223" s="187"/>
      <c r="U223" s="187"/>
      <c r="V223" s="187"/>
      <c r="W223" s="187"/>
      <c r="X223" s="187"/>
      <c r="Y223" s="187"/>
      <c r="Z223" s="187"/>
      <c r="AA223" s="187"/>
      <c r="AB223" s="187"/>
    </row>
    <row r="224" spans="1:28" ht="15.75" customHeight="1">
      <c r="A224" s="219"/>
      <c r="B224" s="83"/>
      <c r="C224" s="81"/>
      <c r="D224" s="82"/>
      <c r="E224" s="81"/>
      <c r="F224" s="82"/>
      <c r="G224" s="83"/>
      <c r="H224" s="221"/>
      <c r="I224" s="83"/>
      <c r="J224" s="83"/>
      <c r="K224" s="83"/>
      <c r="L224" s="84"/>
      <c r="M224" s="84"/>
      <c r="N224" s="83"/>
      <c r="O224" s="222"/>
      <c r="P224" s="222"/>
      <c r="Q224" s="187"/>
      <c r="R224" s="187"/>
      <c r="S224" s="187"/>
      <c r="T224" s="187"/>
      <c r="U224" s="187"/>
      <c r="V224" s="187"/>
      <c r="W224" s="187"/>
      <c r="X224" s="187"/>
      <c r="Y224" s="187"/>
      <c r="Z224" s="187"/>
      <c r="AA224" s="187"/>
      <c r="AB224" s="187"/>
    </row>
    <row r="225" spans="1:28" ht="15.75" customHeight="1">
      <c r="A225" s="219"/>
      <c r="B225" s="83"/>
      <c r="C225" s="81"/>
      <c r="D225" s="82"/>
      <c r="E225" s="81"/>
      <c r="F225" s="82"/>
      <c r="G225" s="83"/>
      <c r="H225" s="221"/>
      <c r="I225" s="83"/>
      <c r="J225" s="83"/>
      <c r="K225" s="83"/>
      <c r="L225" s="84"/>
      <c r="M225" s="84"/>
      <c r="N225" s="83"/>
      <c r="O225" s="222"/>
      <c r="P225" s="222"/>
      <c r="Q225" s="187"/>
      <c r="R225" s="187"/>
      <c r="S225" s="187"/>
      <c r="T225" s="187"/>
      <c r="U225" s="187"/>
      <c r="V225" s="187"/>
      <c r="W225" s="187"/>
      <c r="X225" s="187"/>
      <c r="Y225" s="187"/>
      <c r="Z225" s="187"/>
      <c r="AA225" s="187"/>
      <c r="AB225" s="187"/>
    </row>
    <row r="226" spans="1:28" ht="15.75" customHeight="1">
      <c r="A226" s="219"/>
      <c r="B226" s="83"/>
      <c r="C226" s="81"/>
      <c r="D226" s="82"/>
      <c r="E226" s="81"/>
      <c r="F226" s="82"/>
      <c r="G226" s="83"/>
      <c r="H226" s="221"/>
      <c r="I226" s="83"/>
      <c r="J226" s="83"/>
      <c r="K226" s="83"/>
      <c r="L226" s="84"/>
      <c r="M226" s="84"/>
      <c r="N226" s="83"/>
      <c r="O226" s="222"/>
      <c r="P226" s="222"/>
      <c r="Q226" s="187"/>
      <c r="R226" s="187"/>
      <c r="S226" s="187"/>
      <c r="T226" s="187"/>
      <c r="U226" s="187"/>
      <c r="V226" s="187"/>
      <c r="W226" s="187"/>
      <c r="X226" s="187"/>
      <c r="Y226" s="187"/>
      <c r="Z226" s="187"/>
      <c r="AA226" s="187"/>
      <c r="AB226" s="187"/>
    </row>
    <row r="227" spans="1:28" ht="15.75" customHeight="1">
      <c r="A227" s="219"/>
      <c r="B227" s="83"/>
      <c r="C227" s="81"/>
      <c r="D227" s="82"/>
      <c r="E227" s="81"/>
      <c r="F227" s="82"/>
      <c r="G227" s="83"/>
      <c r="H227" s="221"/>
      <c r="I227" s="83"/>
      <c r="J227" s="83"/>
      <c r="K227" s="83"/>
      <c r="L227" s="84"/>
      <c r="M227" s="84"/>
      <c r="N227" s="83"/>
      <c r="O227" s="222"/>
      <c r="P227" s="222"/>
      <c r="Q227" s="187"/>
      <c r="R227" s="187"/>
      <c r="S227" s="187"/>
      <c r="T227" s="187"/>
      <c r="U227" s="187"/>
      <c r="V227" s="187"/>
      <c r="W227" s="187"/>
      <c r="X227" s="187"/>
      <c r="Y227" s="187"/>
      <c r="Z227" s="187"/>
      <c r="AA227" s="187"/>
      <c r="AB227" s="187"/>
    </row>
    <row r="228" spans="1:28" ht="15.75" customHeight="1">
      <c r="A228" s="219"/>
      <c r="B228" s="83"/>
      <c r="C228" s="81"/>
      <c r="D228" s="82"/>
      <c r="E228" s="81"/>
      <c r="F228" s="82"/>
      <c r="G228" s="83"/>
      <c r="H228" s="221"/>
      <c r="I228" s="83"/>
      <c r="J228" s="83"/>
      <c r="K228" s="83"/>
      <c r="L228" s="84"/>
      <c r="M228" s="84"/>
      <c r="N228" s="83"/>
      <c r="O228" s="222"/>
      <c r="P228" s="222"/>
      <c r="Q228" s="187"/>
      <c r="R228" s="187"/>
      <c r="S228" s="187"/>
      <c r="T228" s="187"/>
      <c r="U228" s="187"/>
      <c r="V228" s="187"/>
      <c r="W228" s="187"/>
      <c r="X228" s="187"/>
      <c r="Y228" s="187"/>
      <c r="Z228" s="187"/>
      <c r="AA228" s="187"/>
      <c r="AB228" s="187"/>
    </row>
    <row r="229" spans="1:28" ht="15.75" customHeight="1">
      <c r="A229" s="219"/>
      <c r="B229" s="83"/>
      <c r="C229" s="81"/>
      <c r="D229" s="82"/>
      <c r="E229" s="81"/>
      <c r="F229" s="82"/>
      <c r="G229" s="83"/>
      <c r="H229" s="221"/>
      <c r="I229" s="83"/>
      <c r="J229" s="83"/>
      <c r="K229" s="83"/>
      <c r="L229" s="84"/>
      <c r="M229" s="84"/>
      <c r="N229" s="83"/>
      <c r="O229" s="222"/>
      <c r="P229" s="222"/>
      <c r="Q229" s="187"/>
      <c r="R229" s="187"/>
      <c r="S229" s="187"/>
      <c r="T229" s="187"/>
      <c r="U229" s="187"/>
      <c r="V229" s="187"/>
      <c r="W229" s="187"/>
      <c r="X229" s="187"/>
      <c r="Y229" s="187"/>
      <c r="Z229" s="187"/>
      <c r="AA229" s="187"/>
      <c r="AB229" s="187"/>
    </row>
    <row r="230" spans="1:28" ht="15.75" customHeight="1">
      <c r="A230" s="219"/>
      <c r="B230" s="83"/>
      <c r="C230" s="81"/>
      <c r="D230" s="82"/>
      <c r="E230" s="81"/>
      <c r="F230" s="82"/>
      <c r="G230" s="83"/>
      <c r="H230" s="221"/>
      <c r="I230" s="83"/>
      <c r="J230" s="83"/>
      <c r="K230" s="83"/>
      <c r="L230" s="84"/>
      <c r="M230" s="84"/>
      <c r="N230" s="83"/>
      <c r="O230" s="222"/>
      <c r="P230" s="222"/>
      <c r="Q230" s="187"/>
      <c r="R230" s="187"/>
      <c r="S230" s="187"/>
      <c r="T230" s="187"/>
      <c r="U230" s="187"/>
      <c r="V230" s="187"/>
      <c r="W230" s="187"/>
      <c r="X230" s="187"/>
      <c r="Y230" s="187"/>
      <c r="Z230" s="187"/>
      <c r="AA230" s="187"/>
      <c r="AB230" s="187"/>
    </row>
    <row r="231" spans="1:28" ht="15.75" customHeight="1">
      <c r="A231" s="219"/>
      <c r="B231" s="83"/>
      <c r="C231" s="81"/>
      <c r="D231" s="82"/>
      <c r="E231" s="81"/>
      <c r="F231" s="82"/>
      <c r="G231" s="83"/>
      <c r="H231" s="221"/>
      <c r="I231" s="83"/>
      <c r="J231" s="83"/>
      <c r="K231" s="83"/>
      <c r="L231" s="84"/>
      <c r="M231" s="84"/>
      <c r="N231" s="83"/>
      <c r="O231" s="222"/>
      <c r="P231" s="222"/>
      <c r="Q231" s="187"/>
      <c r="R231" s="187"/>
      <c r="S231" s="187"/>
      <c r="T231" s="187"/>
      <c r="U231" s="187"/>
      <c r="V231" s="187"/>
      <c r="W231" s="187"/>
      <c r="X231" s="187"/>
      <c r="Y231" s="187"/>
      <c r="Z231" s="187"/>
      <c r="AA231" s="187"/>
      <c r="AB231" s="187"/>
    </row>
    <row r="232" spans="1:28" ht="15.75" customHeight="1">
      <c r="A232" s="219"/>
      <c r="B232" s="83"/>
      <c r="C232" s="81"/>
      <c r="D232" s="82"/>
      <c r="E232" s="81"/>
      <c r="F232" s="82"/>
      <c r="G232" s="83"/>
      <c r="H232" s="221"/>
      <c r="I232" s="83"/>
      <c r="J232" s="83"/>
      <c r="K232" s="83"/>
      <c r="L232" s="84"/>
      <c r="M232" s="84"/>
      <c r="N232" s="83"/>
      <c r="O232" s="222"/>
      <c r="P232" s="222"/>
      <c r="Q232" s="187"/>
      <c r="R232" s="187"/>
      <c r="S232" s="187"/>
      <c r="T232" s="187"/>
      <c r="U232" s="187"/>
      <c r="V232" s="187"/>
      <c r="W232" s="187"/>
      <c r="X232" s="187"/>
      <c r="Y232" s="187"/>
      <c r="Z232" s="187"/>
      <c r="AA232" s="187"/>
      <c r="AB232" s="187"/>
    </row>
    <row r="233" spans="1:28" ht="15.75" customHeight="1">
      <c r="A233" s="219"/>
      <c r="B233" s="83"/>
      <c r="C233" s="81"/>
      <c r="D233" s="82"/>
      <c r="E233" s="81"/>
      <c r="F233" s="82"/>
      <c r="G233" s="83"/>
      <c r="H233" s="221"/>
      <c r="I233" s="83"/>
      <c r="J233" s="83"/>
      <c r="K233" s="83"/>
      <c r="L233" s="84"/>
      <c r="M233" s="84"/>
      <c r="N233" s="83"/>
      <c r="O233" s="222"/>
      <c r="P233" s="222"/>
      <c r="Q233" s="187"/>
      <c r="R233" s="187"/>
      <c r="S233" s="187"/>
      <c r="T233" s="187"/>
      <c r="U233" s="187"/>
      <c r="V233" s="187"/>
      <c r="W233" s="187"/>
      <c r="X233" s="187"/>
      <c r="Y233" s="187"/>
      <c r="Z233" s="187"/>
      <c r="AA233" s="187"/>
      <c r="AB233" s="187"/>
    </row>
    <row r="234" spans="1:28" ht="15.75" customHeight="1">
      <c r="A234" s="219"/>
      <c r="B234" s="83"/>
      <c r="C234" s="81"/>
      <c r="D234" s="82"/>
      <c r="E234" s="81"/>
      <c r="F234" s="82"/>
      <c r="G234" s="83"/>
      <c r="H234" s="221"/>
      <c r="I234" s="83"/>
      <c r="J234" s="83"/>
      <c r="K234" s="83"/>
      <c r="L234" s="84"/>
      <c r="M234" s="84"/>
      <c r="N234" s="83"/>
      <c r="O234" s="222"/>
      <c r="P234" s="222"/>
      <c r="Q234" s="187"/>
      <c r="R234" s="187"/>
      <c r="S234" s="187"/>
      <c r="T234" s="187"/>
      <c r="U234" s="187"/>
      <c r="V234" s="187"/>
      <c r="W234" s="187"/>
      <c r="X234" s="187"/>
      <c r="Y234" s="187"/>
      <c r="Z234" s="187"/>
      <c r="AA234" s="187"/>
      <c r="AB234" s="187"/>
    </row>
    <row r="235" spans="1:28" ht="15.75" customHeight="1">
      <c r="A235" s="219"/>
      <c r="B235" s="83"/>
      <c r="C235" s="81"/>
      <c r="D235" s="82"/>
      <c r="E235" s="81"/>
      <c r="F235" s="82"/>
      <c r="G235" s="83"/>
      <c r="H235" s="221"/>
      <c r="I235" s="83"/>
      <c r="J235" s="83"/>
      <c r="K235" s="83"/>
      <c r="L235" s="84"/>
      <c r="M235" s="84"/>
      <c r="N235" s="83"/>
      <c r="O235" s="222"/>
      <c r="P235" s="222"/>
      <c r="Q235" s="187"/>
      <c r="R235" s="187"/>
      <c r="S235" s="187"/>
      <c r="T235" s="187"/>
      <c r="U235" s="187"/>
      <c r="V235" s="187"/>
      <c r="W235" s="187"/>
      <c r="X235" s="187"/>
      <c r="Y235" s="187"/>
      <c r="Z235" s="187"/>
      <c r="AA235" s="187"/>
      <c r="AB235" s="187"/>
    </row>
    <row r="236" spans="1:28" ht="15.75" customHeight="1">
      <c r="A236" s="219"/>
      <c r="B236" s="83"/>
      <c r="C236" s="81"/>
      <c r="D236" s="82"/>
      <c r="E236" s="81"/>
      <c r="F236" s="82"/>
      <c r="G236" s="83"/>
      <c r="H236" s="221"/>
      <c r="I236" s="83"/>
      <c r="J236" s="83"/>
      <c r="K236" s="83"/>
      <c r="L236" s="84"/>
      <c r="M236" s="84"/>
      <c r="N236" s="83"/>
      <c r="O236" s="222"/>
      <c r="P236" s="222"/>
      <c r="Q236" s="187"/>
      <c r="R236" s="187"/>
      <c r="S236" s="187"/>
      <c r="T236" s="187"/>
      <c r="U236" s="187"/>
      <c r="V236" s="187"/>
      <c r="W236" s="187"/>
      <c r="X236" s="187"/>
      <c r="Y236" s="187"/>
      <c r="Z236" s="187"/>
      <c r="AA236" s="187"/>
      <c r="AB236" s="187"/>
    </row>
    <row r="237" spans="1:28" ht="15.75" customHeight="1">
      <c r="A237" s="219"/>
      <c r="B237" s="83"/>
      <c r="C237" s="81"/>
      <c r="D237" s="82"/>
      <c r="E237" s="81"/>
      <c r="F237" s="82"/>
      <c r="G237" s="83"/>
      <c r="H237" s="221"/>
      <c r="I237" s="83"/>
      <c r="J237" s="83"/>
      <c r="K237" s="83"/>
      <c r="L237" s="84"/>
      <c r="M237" s="84"/>
      <c r="N237" s="83"/>
      <c r="O237" s="222"/>
      <c r="P237" s="222"/>
      <c r="Q237" s="187"/>
      <c r="R237" s="187"/>
      <c r="S237" s="187"/>
      <c r="T237" s="187"/>
      <c r="U237" s="187"/>
      <c r="V237" s="187"/>
      <c r="W237" s="187"/>
      <c r="X237" s="187"/>
      <c r="Y237" s="187"/>
      <c r="Z237" s="187"/>
      <c r="AA237" s="187"/>
      <c r="AB237" s="187"/>
    </row>
    <row r="238" spans="1:28" ht="15.75" customHeight="1">
      <c r="A238" s="219"/>
      <c r="B238" s="83"/>
      <c r="C238" s="81"/>
      <c r="D238" s="82"/>
      <c r="E238" s="81"/>
      <c r="F238" s="82"/>
      <c r="G238" s="83"/>
      <c r="H238" s="221"/>
      <c r="I238" s="83"/>
      <c r="J238" s="83"/>
      <c r="K238" s="83"/>
      <c r="L238" s="84"/>
      <c r="M238" s="84"/>
      <c r="N238" s="83"/>
      <c r="O238" s="222"/>
      <c r="P238" s="222"/>
      <c r="Q238" s="187"/>
      <c r="R238" s="187"/>
      <c r="S238" s="187"/>
      <c r="T238" s="187"/>
      <c r="U238" s="187"/>
      <c r="V238" s="187"/>
      <c r="W238" s="187"/>
      <c r="X238" s="187"/>
      <c r="Y238" s="187"/>
      <c r="Z238" s="187"/>
      <c r="AA238" s="187"/>
      <c r="AB238" s="187"/>
    </row>
    <row r="239" spans="1:28" ht="15.75" customHeight="1">
      <c r="A239" s="219"/>
      <c r="B239" s="83"/>
      <c r="C239" s="81"/>
      <c r="D239" s="82"/>
      <c r="E239" s="81"/>
      <c r="F239" s="82"/>
      <c r="G239" s="83"/>
      <c r="H239" s="221"/>
      <c r="I239" s="83"/>
      <c r="J239" s="83"/>
      <c r="K239" s="83"/>
      <c r="L239" s="84"/>
      <c r="M239" s="84"/>
      <c r="N239" s="83"/>
      <c r="O239" s="222"/>
      <c r="P239" s="222"/>
      <c r="Q239" s="187"/>
      <c r="R239" s="187"/>
      <c r="S239" s="187"/>
      <c r="T239" s="187"/>
      <c r="U239" s="187"/>
      <c r="V239" s="187"/>
      <c r="W239" s="187"/>
      <c r="X239" s="187"/>
      <c r="Y239" s="187"/>
      <c r="Z239" s="187"/>
      <c r="AA239" s="187"/>
      <c r="AB239" s="187"/>
    </row>
    <row r="240" spans="1:28" ht="15.75" customHeight="1">
      <c r="A240" s="219"/>
      <c r="B240" s="83"/>
      <c r="C240" s="81"/>
      <c r="D240" s="82"/>
      <c r="E240" s="81"/>
      <c r="F240" s="82"/>
      <c r="G240" s="83"/>
      <c r="H240" s="221"/>
      <c r="I240" s="83"/>
      <c r="J240" s="83"/>
      <c r="K240" s="83"/>
      <c r="L240" s="84"/>
      <c r="M240" s="84"/>
      <c r="N240" s="83"/>
      <c r="O240" s="222"/>
      <c r="P240" s="222"/>
      <c r="Q240" s="187"/>
      <c r="R240" s="187"/>
      <c r="S240" s="187"/>
      <c r="T240" s="187"/>
      <c r="U240" s="187"/>
      <c r="V240" s="187"/>
      <c r="W240" s="187"/>
      <c r="X240" s="187"/>
      <c r="Y240" s="187"/>
      <c r="Z240" s="187"/>
      <c r="AA240" s="187"/>
      <c r="AB240" s="187"/>
    </row>
    <row r="241" spans="1:28" ht="15.75" customHeight="1">
      <c r="A241" s="219"/>
      <c r="B241" s="83"/>
      <c r="C241" s="81"/>
      <c r="D241" s="82"/>
      <c r="E241" s="81"/>
      <c r="F241" s="82"/>
      <c r="G241" s="83"/>
      <c r="H241" s="221"/>
      <c r="I241" s="83"/>
      <c r="J241" s="83"/>
      <c r="K241" s="83"/>
      <c r="L241" s="84"/>
      <c r="M241" s="84"/>
      <c r="N241" s="83"/>
      <c r="O241" s="222"/>
      <c r="P241" s="222"/>
      <c r="Q241" s="187"/>
      <c r="R241" s="187"/>
      <c r="S241" s="187"/>
      <c r="T241" s="187"/>
      <c r="U241" s="187"/>
      <c r="V241" s="187"/>
      <c r="W241" s="187"/>
      <c r="X241" s="187"/>
      <c r="Y241" s="187"/>
      <c r="Z241" s="187"/>
      <c r="AA241" s="187"/>
      <c r="AB241" s="187"/>
    </row>
    <row r="242" spans="1:28" ht="15.75" customHeight="1">
      <c r="A242" s="219"/>
      <c r="B242" s="83"/>
      <c r="C242" s="81"/>
      <c r="D242" s="82"/>
      <c r="E242" s="81"/>
      <c r="F242" s="82"/>
      <c r="G242" s="83"/>
      <c r="H242" s="221"/>
      <c r="I242" s="83"/>
      <c r="J242" s="83"/>
      <c r="K242" s="83"/>
      <c r="L242" s="84"/>
      <c r="M242" s="84"/>
      <c r="N242" s="83"/>
      <c r="O242" s="222"/>
      <c r="P242" s="222"/>
      <c r="Q242" s="187"/>
      <c r="R242" s="187"/>
      <c r="S242" s="187"/>
      <c r="T242" s="187"/>
      <c r="U242" s="187"/>
      <c r="V242" s="187"/>
      <c r="W242" s="187"/>
      <c r="X242" s="187"/>
      <c r="Y242" s="187"/>
      <c r="Z242" s="187"/>
      <c r="AA242" s="187"/>
      <c r="AB242" s="187"/>
    </row>
    <row r="243" spans="1:28" ht="15.75" customHeight="1">
      <c r="A243" s="219"/>
      <c r="B243" s="83"/>
      <c r="C243" s="81"/>
      <c r="D243" s="82"/>
      <c r="E243" s="81"/>
      <c r="F243" s="82"/>
      <c r="G243" s="83"/>
      <c r="H243" s="221"/>
      <c r="I243" s="83"/>
      <c r="J243" s="83"/>
      <c r="K243" s="83"/>
      <c r="L243" s="84"/>
      <c r="M243" s="84"/>
      <c r="N243" s="83"/>
      <c r="O243" s="222"/>
      <c r="P243" s="222"/>
      <c r="Q243" s="187"/>
      <c r="R243" s="187"/>
      <c r="S243" s="187"/>
      <c r="T243" s="187"/>
      <c r="U243" s="187"/>
      <c r="V243" s="187"/>
      <c r="W243" s="187"/>
      <c r="X243" s="187"/>
      <c r="Y243" s="187"/>
      <c r="Z243" s="187"/>
      <c r="AA243" s="187"/>
      <c r="AB243" s="187"/>
    </row>
    <row r="244" spans="1:28" ht="15.75" customHeight="1">
      <c r="A244" s="219"/>
      <c r="B244" s="83"/>
      <c r="C244" s="81"/>
      <c r="D244" s="82"/>
      <c r="E244" s="81"/>
      <c r="F244" s="82"/>
      <c r="G244" s="83"/>
      <c r="H244" s="221"/>
      <c r="I244" s="83"/>
      <c r="J244" s="83"/>
      <c r="K244" s="83"/>
      <c r="L244" s="84"/>
      <c r="M244" s="84"/>
      <c r="N244" s="83"/>
      <c r="O244" s="222"/>
      <c r="P244" s="222"/>
      <c r="Q244" s="187"/>
      <c r="R244" s="187"/>
      <c r="S244" s="187"/>
      <c r="T244" s="187"/>
      <c r="U244" s="187"/>
      <c r="V244" s="187"/>
      <c r="W244" s="187"/>
      <c r="X244" s="187"/>
      <c r="Y244" s="187"/>
      <c r="Z244" s="187"/>
      <c r="AA244" s="187"/>
      <c r="AB244" s="187"/>
    </row>
    <row r="245" spans="1:28" ht="15.75" customHeight="1">
      <c r="A245" s="219"/>
      <c r="B245" s="83"/>
      <c r="C245" s="81"/>
      <c r="D245" s="82"/>
      <c r="E245" s="81"/>
      <c r="F245" s="82"/>
      <c r="G245" s="83"/>
      <c r="H245" s="221"/>
      <c r="I245" s="83"/>
      <c r="J245" s="83"/>
      <c r="K245" s="83"/>
      <c r="L245" s="84"/>
      <c r="M245" s="84"/>
      <c r="N245" s="83"/>
      <c r="O245" s="222"/>
      <c r="P245" s="222"/>
      <c r="Q245" s="187"/>
      <c r="R245" s="187"/>
      <c r="S245" s="187"/>
      <c r="T245" s="187"/>
      <c r="U245" s="187"/>
      <c r="V245" s="187"/>
      <c r="W245" s="187"/>
      <c r="X245" s="187"/>
      <c r="Y245" s="187"/>
      <c r="Z245" s="187"/>
      <c r="AA245" s="187"/>
      <c r="AB245" s="187"/>
    </row>
    <row r="246" spans="1:28" ht="15.75" customHeight="1">
      <c r="A246" s="219"/>
      <c r="B246" s="83"/>
      <c r="C246" s="81"/>
      <c r="D246" s="82"/>
      <c r="E246" s="81"/>
      <c r="F246" s="82"/>
      <c r="G246" s="83"/>
      <c r="H246" s="221"/>
      <c r="I246" s="83"/>
      <c r="J246" s="83"/>
      <c r="K246" s="83"/>
      <c r="L246" s="84"/>
      <c r="M246" s="84"/>
      <c r="N246" s="83"/>
      <c r="O246" s="222"/>
      <c r="P246" s="222"/>
      <c r="Q246" s="187"/>
      <c r="R246" s="187"/>
      <c r="S246" s="187"/>
      <c r="T246" s="187"/>
      <c r="U246" s="187"/>
      <c r="V246" s="187"/>
      <c r="W246" s="187"/>
      <c r="X246" s="187"/>
      <c r="Y246" s="187"/>
      <c r="Z246" s="187"/>
      <c r="AA246" s="187"/>
      <c r="AB246" s="187"/>
    </row>
    <row r="247" spans="1:28" ht="15.75" customHeight="1">
      <c r="A247" s="219"/>
      <c r="B247" s="83"/>
      <c r="C247" s="81"/>
      <c r="D247" s="82"/>
      <c r="E247" s="81"/>
      <c r="F247" s="82"/>
      <c r="G247" s="83"/>
      <c r="H247" s="221"/>
      <c r="I247" s="83"/>
      <c r="J247" s="83"/>
      <c r="K247" s="83"/>
      <c r="L247" s="84"/>
      <c r="M247" s="84"/>
      <c r="N247" s="83"/>
      <c r="O247" s="222"/>
      <c r="P247" s="222"/>
      <c r="Q247" s="187"/>
      <c r="R247" s="187"/>
      <c r="S247" s="187"/>
      <c r="T247" s="187"/>
      <c r="U247" s="187"/>
      <c r="V247" s="187"/>
      <c r="W247" s="187"/>
      <c r="X247" s="187"/>
      <c r="Y247" s="187"/>
      <c r="Z247" s="187"/>
      <c r="AA247" s="187"/>
      <c r="AB247" s="187"/>
    </row>
    <row r="248" spans="1:28" ht="15.75" customHeight="1">
      <c r="A248" s="219"/>
      <c r="B248" s="83"/>
      <c r="C248" s="81"/>
      <c r="D248" s="82"/>
      <c r="E248" s="81"/>
      <c r="F248" s="82"/>
      <c r="G248" s="83"/>
      <c r="H248" s="221"/>
      <c r="I248" s="83"/>
      <c r="J248" s="83"/>
      <c r="K248" s="83"/>
      <c r="L248" s="84"/>
      <c r="M248" s="84"/>
      <c r="N248" s="83"/>
      <c r="O248" s="222"/>
      <c r="P248" s="222"/>
      <c r="Q248" s="187"/>
      <c r="R248" s="187"/>
      <c r="S248" s="187"/>
      <c r="T248" s="187"/>
      <c r="U248" s="187"/>
      <c r="V248" s="187"/>
      <c r="W248" s="187"/>
      <c r="X248" s="187"/>
      <c r="Y248" s="187"/>
      <c r="Z248" s="187"/>
      <c r="AA248" s="187"/>
      <c r="AB248" s="187"/>
    </row>
    <row r="249" spans="1:28" ht="15.75" customHeight="1">
      <c r="A249" s="219"/>
      <c r="B249" s="83"/>
      <c r="C249" s="81"/>
      <c r="D249" s="82"/>
      <c r="E249" s="81"/>
      <c r="F249" s="82"/>
      <c r="G249" s="83"/>
      <c r="H249" s="221"/>
      <c r="I249" s="83"/>
      <c r="J249" s="83"/>
      <c r="K249" s="83"/>
      <c r="L249" s="84"/>
      <c r="M249" s="84"/>
      <c r="N249" s="83"/>
      <c r="O249" s="222"/>
      <c r="P249" s="222"/>
      <c r="Q249" s="187"/>
      <c r="R249" s="187"/>
      <c r="S249" s="187"/>
      <c r="T249" s="187"/>
      <c r="U249" s="187"/>
      <c r="V249" s="187"/>
      <c r="W249" s="187"/>
      <c r="X249" s="187"/>
      <c r="Y249" s="187"/>
      <c r="Z249" s="187"/>
      <c r="AA249" s="187"/>
      <c r="AB249" s="187"/>
    </row>
    <row r="250" spans="1:28" ht="15.75" customHeight="1">
      <c r="A250" s="219"/>
      <c r="B250" s="83"/>
      <c r="C250" s="81"/>
      <c r="D250" s="82"/>
      <c r="E250" s="81"/>
      <c r="F250" s="82"/>
      <c r="G250" s="83"/>
      <c r="H250" s="221"/>
      <c r="I250" s="83"/>
      <c r="J250" s="83"/>
      <c r="K250" s="83"/>
      <c r="L250" s="84"/>
      <c r="M250" s="84"/>
      <c r="N250" s="83"/>
      <c r="O250" s="222"/>
      <c r="P250" s="222"/>
      <c r="Q250" s="187"/>
      <c r="R250" s="187"/>
      <c r="S250" s="187"/>
      <c r="T250" s="187"/>
      <c r="U250" s="187"/>
      <c r="V250" s="187"/>
      <c r="W250" s="187"/>
      <c r="X250" s="187"/>
      <c r="Y250" s="187"/>
      <c r="Z250" s="187"/>
      <c r="AA250" s="187"/>
      <c r="AB250" s="187"/>
    </row>
    <row r="251" spans="1:28" ht="15.75" customHeight="1">
      <c r="A251" s="219"/>
      <c r="B251" s="83"/>
      <c r="C251" s="81"/>
      <c r="D251" s="82"/>
      <c r="E251" s="81"/>
      <c r="F251" s="82"/>
      <c r="G251" s="83"/>
      <c r="H251" s="221"/>
      <c r="I251" s="83"/>
      <c r="J251" s="83"/>
      <c r="K251" s="83"/>
      <c r="L251" s="84"/>
      <c r="M251" s="84"/>
      <c r="N251" s="83"/>
      <c r="O251" s="222"/>
      <c r="P251" s="222"/>
      <c r="Q251" s="187"/>
      <c r="R251" s="187"/>
      <c r="S251" s="187"/>
      <c r="T251" s="187"/>
      <c r="U251" s="187"/>
      <c r="V251" s="187"/>
      <c r="W251" s="187"/>
      <c r="X251" s="187"/>
      <c r="Y251" s="187"/>
      <c r="Z251" s="187"/>
      <c r="AA251" s="187"/>
      <c r="AB251" s="187"/>
    </row>
    <row r="252" spans="1:28" ht="15.75" customHeight="1">
      <c r="A252" s="219"/>
      <c r="B252" s="83"/>
      <c r="C252" s="81"/>
      <c r="D252" s="82"/>
      <c r="E252" s="81"/>
      <c r="F252" s="82"/>
      <c r="G252" s="83"/>
      <c r="H252" s="221"/>
      <c r="I252" s="83"/>
      <c r="J252" s="83"/>
      <c r="K252" s="83"/>
      <c r="L252" s="84"/>
      <c r="M252" s="84"/>
      <c r="N252" s="83"/>
      <c r="O252" s="222"/>
      <c r="P252" s="222"/>
      <c r="Q252" s="187"/>
      <c r="R252" s="187"/>
      <c r="S252" s="187"/>
      <c r="T252" s="187"/>
      <c r="U252" s="187"/>
      <c r="V252" s="187"/>
      <c r="W252" s="187"/>
      <c r="X252" s="187"/>
      <c r="Y252" s="187"/>
      <c r="Z252" s="187"/>
      <c r="AA252" s="187"/>
      <c r="AB252" s="187"/>
    </row>
    <row r="253" spans="1:28" ht="15.75" customHeight="1">
      <c r="A253" s="219"/>
      <c r="B253" s="83"/>
      <c r="C253" s="81"/>
      <c r="D253" s="82"/>
      <c r="E253" s="81"/>
      <c r="F253" s="82"/>
      <c r="G253" s="83"/>
      <c r="H253" s="221"/>
      <c r="I253" s="83"/>
      <c r="J253" s="83"/>
      <c r="K253" s="83"/>
      <c r="L253" s="84"/>
      <c r="M253" s="84"/>
      <c r="N253" s="83"/>
      <c r="O253" s="222"/>
      <c r="P253" s="222"/>
      <c r="Q253" s="187"/>
      <c r="R253" s="187"/>
      <c r="S253" s="187"/>
      <c r="T253" s="187"/>
      <c r="U253" s="187"/>
      <c r="V253" s="187"/>
      <c r="W253" s="187"/>
      <c r="X253" s="187"/>
      <c r="Y253" s="187"/>
      <c r="Z253" s="187"/>
      <c r="AA253" s="187"/>
      <c r="AB253" s="187"/>
    </row>
    <row r="254" spans="1:28" ht="15.75" customHeight="1">
      <c r="A254" s="219"/>
      <c r="B254" s="83"/>
      <c r="C254" s="81"/>
      <c r="D254" s="82"/>
      <c r="E254" s="81"/>
      <c r="F254" s="82"/>
      <c r="G254" s="83"/>
      <c r="H254" s="221"/>
      <c r="I254" s="83"/>
      <c r="J254" s="83"/>
      <c r="K254" s="83"/>
      <c r="L254" s="84"/>
      <c r="M254" s="84"/>
      <c r="N254" s="83"/>
      <c r="O254" s="222"/>
      <c r="P254" s="222"/>
      <c r="Q254" s="187"/>
      <c r="R254" s="187"/>
      <c r="S254" s="187"/>
      <c r="T254" s="187"/>
      <c r="U254" s="187"/>
      <c r="V254" s="187"/>
      <c r="W254" s="187"/>
      <c r="X254" s="187"/>
      <c r="Y254" s="187"/>
      <c r="Z254" s="187"/>
      <c r="AA254" s="187"/>
      <c r="AB254" s="187"/>
    </row>
    <row r="255" spans="1:28" ht="15.75" customHeight="1">
      <c r="A255" s="219"/>
      <c r="B255" s="83"/>
      <c r="C255" s="81"/>
      <c r="D255" s="82"/>
      <c r="E255" s="81"/>
      <c r="F255" s="82"/>
      <c r="G255" s="83"/>
      <c r="H255" s="221"/>
      <c r="I255" s="83"/>
      <c r="J255" s="83"/>
      <c r="K255" s="83"/>
      <c r="L255" s="84"/>
      <c r="M255" s="84"/>
      <c r="N255" s="83"/>
      <c r="O255" s="222"/>
      <c r="P255" s="222"/>
      <c r="Q255" s="187"/>
      <c r="R255" s="187"/>
      <c r="S255" s="187"/>
      <c r="T255" s="187"/>
      <c r="U255" s="187"/>
      <c r="V255" s="187"/>
      <c r="W255" s="187"/>
      <c r="X255" s="187"/>
      <c r="Y255" s="187"/>
      <c r="Z255" s="187"/>
      <c r="AA255" s="187"/>
      <c r="AB255" s="187"/>
    </row>
    <row r="256" spans="1:28" ht="15.75" customHeight="1">
      <c r="A256" s="219"/>
      <c r="B256" s="83"/>
      <c r="C256" s="81"/>
      <c r="D256" s="82"/>
      <c r="E256" s="81"/>
      <c r="F256" s="82"/>
      <c r="G256" s="83"/>
      <c r="H256" s="221"/>
      <c r="I256" s="83"/>
      <c r="J256" s="83"/>
      <c r="K256" s="83"/>
      <c r="L256" s="84"/>
      <c r="M256" s="84"/>
      <c r="N256" s="83"/>
      <c r="O256" s="222"/>
      <c r="P256" s="222"/>
      <c r="Q256" s="187"/>
      <c r="R256" s="187"/>
      <c r="S256" s="187"/>
      <c r="T256" s="187"/>
      <c r="U256" s="187"/>
      <c r="V256" s="187"/>
      <c r="W256" s="187"/>
      <c r="X256" s="187"/>
      <c r="Y256" s="187"/>
      <c r="Z256" s="187"/>
      <c r="AA256" s="187"/>
      <c r="AB256" s="187"/>
    </row>
    <row r="257" spans="1:28" ht="15.75" customHeight="1">
      <c r="A257" s="219"/>
      <c r="B257" s="83"/>
      <c r="C257" s="81"/>
      <c r="D257" s="82"/>
      <c r="E257" s="81"/>
      <c r="F257" s="82"/>
      <c r="G257" s="83"/>
      <c r="H257" s="221"/>
      <c r="I257" s="83"/>
      <c r="J257" s="83"/>
      <c r="K257" s="83"/>
      <c r="L257" s="84"/>
      <c r="M257" s="84"/>
      <c r="N257" s="83"/>
      <c r="O257" s="222"/>
      <c r="P257" s="222"/>
      <c r="Q257" s="187"/>
      <c r="R257" s="187"/>
      <c r="S257" s="187"/>
      <c r="T257" s="187"/>
      <c r="U257" s="187"/>
      <c r="V257" s="187"/>
      <c r="W257" s="187"/>
      <c r="X257" s="187"/>
      <c r="Y257" s="187"/>
      <c r="Z257" s="187"/>
      <c r="AA257" s="187"/>
      <c r="AB257" s="187"/>
    </row>
    <row r="258" spans="1:28" ht="15.75" customHeight="1">
      <c r="A258" s="219"/>
      <c r="B258" s="83"/>
      <c r="C258" s="81"/>
      <c r="D258" s="82"/>
      <c r="E258" s="81"/>
      <c r="F258" s="82"/>
      <c r="G258" s="83"/>
      <c r="H258" s="221"/>
      <c r="I258" s="83"/>
      <c r="J258" s="83"/>
      <c r="K258" s="83"/>
      <c r="L258" s="84"/>
      <c r="M258" s="84"/>
      <c r="N258" s="83"/>
      <c r="O258" s="222"/>
      <c r="P258" s="222"/>
      <c r="Q258" s="187"/>
      <c r="R258" s="187"/>
      <c r="S258" s="187"/>
      <c r="T258" s="187"/>
      <c r="U258" s="187"/>
      <c r="V258" s="187"/>
      <c r="W258" s="187"/>
      <c r="X258" s="187"/>
      <c r="Y258" s="187"/>
      <c r="Z258" s="187"/>
      <c r="AA258" s="187"/>
      <c r="AB258" s="187"/>
    </row>
    <row r="259" spans="1:28" ht="15.75" customHeight="1">
      <c r="A259" s="219"/>
      <c r="B259" s="83"/>
      <c r="C259" s="81"/>
      <c r="D259" s="82"/>
      <c r="E259" s="81"/>
      <c r="F259" s="82"/>
      <c r="G259" s="83"/>
      <c r="H259" s="221"/>
      <c r="I259" s="83"/>
      <c r="J259" s="83"/>
      <c r="K259" s="83"/>
      <c r="L259" s="84"/>
      <c r="M259" s="84"/>
      <c r="N259" s="83"/>
      <c r="O259" s="222"/>
      <c r="P259" s="222"/>
      <c r="Q259" s="187"/>
      <c r="R259" s="187"/>
      <c r="S259" s="187"/>
      <c r="T259" s="187"/>
      <c r="U259" s="187"/>
      <c r="V259" s="187"/>
      <c r="W259" s="187"/>
      <c r="X259" s="187"/>
      <c r="Y259" s="187"/>
      <c r="Z259" s="187"/>
      <c r="AA259" s="187"/>
      <c r="AB259" s="187"/>
    </row>
    <row r="260" spans="1:28" ht="15.75" customHeight="1">
      <c r="A260" s="219"/>
      <c r="B260" s="83"/>
      <c r="C260" s="81"/>
      <c r="D260" s="82"/>
      <c r="E260" s="81"/>
      <c r="F260" s="82"/>
      <c r="G260" s="83"/>
      <c r="H260" s="221"/>
      <c r="I260" s="83"/>
      <c r="J260" s="83"/>
      <c r="K260" s="83"/>
      <c r="L260" s="84"/>
      <c r="M260" s="84"/>
      <c r="N260" s="83"/>
      <c r="O260" s="222"/>
      <c r="P260" s="222"/>
      <c r="Q260" s="187"/>
      <c r="R260" s="187"/>
      <c r="S260" s="187"/>
      <c r="T260" s="187"/>
      <c r="U260" s="187"/>
      <c r="V260" s="187"/>
      <c r="W260" s="187"/>
      <c r="X260" s="187"/>
      <c r="Y260" s="187"/>
      <c r="Z260" s="187"/>
      <c r="AA260" s="187"/>
      <c r="AB260" s="187"/>
    </row>
    <row r="261" spans="1:28" ht="15.75" customHeight="1">
      <c r="A261" s="219"/>
      <c r="B261" s="83"/>
      <c r="C261" s="81"/>
      <c r="D261" s="82"/>
      <c r="E261" s="81"/>
      <c r="F261" s="82"/>
      <c r="G261" s="83"/>
      <c r="H261" s="221"/>
      <c r="I261" s="83"/>
      <c r="J261" s="83"/>
      <c r="K261" s="83"/>
      <c r="L261" s="84"/>
      <c r="M261" s="84"/>
      <c r="N261" s="83"/>
      <c r="O261" s="222"/>
      <c r="P261" s="222"/>
      <c r="Q261" s="187"/>
      <c r="R261" s="187"/>
      <c r="S261" s="187"/>
      <c r="T261" s="187"/>
      <c r="U261" s="187"/>
      <c r="V261" s="187"/>
      <c r="W261" s="187"/>
      <c r="X261" s="187"/>
      <c r="Y261" s="187"/>
      <c r="Z261" s="187"/>
      <c r="AA261" s="187"/>
      <c r="AB261" s="187"/>
    </row>
    <row r="262" spans="1:28" ht="15.75" customHeight="1">
      <c r="A262" s="219"/>
      <c r="B262" s="83"/>
      <c r="C262" s="81"/>
      <c r="D262" s="82"/>
      <c r="E262" s="81"/>
      <c r="F262" s="82"/>
      <c r="G262" s="83"/>
      <c r="H262" s="221"/>
      <c r="I262" s="83"/>
      <c r="J262" s="83"/>
      <c r="K262" s="83"/>
      <c r="L262" s="84"/>
      <c r="M262" s="84"/>
      <c r="N262" s="83"/>
      <c r="O262" s="222"/>
      <c r="P262" s="222"/>
      <c r="Q262" s="187"/>
      <c r="R262" s="187"/>
      <c r="S262" s="187"/>
      <c r="T262" s="187"/>
      <c r="U262" s="187"/>
      <c r="V262" s="187"/>
      <c r="W262" s="187"/>
      <c r="X262" s="187"/>
      <c r="Y262" s="187"/>
      <c r="Z262" s="187"/>
      <c r="AA262" s="187"/>
      <c r="AB262" s="187"/>
    </row>
    <row r="263" spans="1:28" ht="15.75" customHeight="1">
      <c r="A263" s="219"/>
      <c r="B263" s="83"/>
      <c r="C263" s="81"/>
      <c r="D263" s="82"/>
      <c r="E263" s="81"/>
      <c r="F263" s="82"/>
      <c r="G263" s="83"/>
      <c r="H263" s="221"/>
      <c r="I263" s="83"/>
      <c r="J263" s="83"/>
      <c r="K263" s="83"/>
      <c r="L263" s="84"/>
      <c r="M263" s="84"/>
      <c r="N263" s="83"/>
      <c r="O263" s="222"/>
      <c r="P263" s="222"/>
      <c r="Q263" s="187"/>
      <c r="R263" s="187"/>
      <c r="S263" s="187"/>
      <c r="T263" s="187"/>
      <c r="U263" s="187"/>
      <c r="V263" s="187"/>
      <c r="W263" s="187"/>
      <c r="X263" s="187"/>
      <c r="Y263" s="187"/>
      <c r="Z263" s="187"/>
      <c r="AA263" s="187"/>
      <c r="AB263" s="187"/>
    </row>
    <row r="264" spans="1:28" ht="15.75" customHeight="1">
      <c r="A264" s="219"/>
      <c r="B264" s="83"/>
      <c r="C264" s="81"/>
      <c r="D264" s="82"/>
      <c r="E264" s="81"/>
      <c r="F264" s="82"/>
      <c r="G264" s="83"/>
      <c r="H264" s="221"/>
      <c r="I264" s="83"/>
      <c r="J264" s="83"/>
      <c r="K264" s="83"/>
      <c r="L264" s="84"/>
      <c r="M264" s="84"/>
      <c r="N264" s="83"/>
      <c r="O264" s="222"/>
      <c r="P264" s="222"/>
      <c r="Q264" s="187"/>
      <c r="R264" s="187"/>
      <c r="S264" s="187"/>
      <c r="T264" s="187"/>
      <c r="U264" s="187"/>
      <c r="V264" s="187"/>
      <c r="W264" s="187"/>
      <c r="X264" s="187"/>
      <c r="Y264" s="187"/>
      <c r="Z264" s="187"/>
      <c r="AA264" s="187"/>
      <c r="AB264" s="187"/>
    </row>
    <row r="265" spans="1:28" ht="15.75" customHeight="1">
      <c r="A265" s="219"/>
      <c r="B265" s="83"/>
      <c r="C265" s="81"/>
      <c r="D265" s="82"/>
      <c r="E265" s="81"/>
      <c r="F265" s="82"/>
      <c r="G265" s="83"/>
      <c r="H265" s="221"/>
      <c r="I265" s="83"/>
      <c r="J265" s="83"/>
      <c r="K265" s="83"/>
      <c r="L265" s="84"/>
      <c r="M265" s="84"/>
      <c r="N265" s="83"/>
      <c r="O265" s="222"/>
      <c r="P265" s="222"/>
      <c r="Q265" s="187"/>
      <c r="R265" s="187"/>
      <c r="S265" s="187"/>
      <c r="T265" s="187"/>
      <c r="U265" s="187"/>
      <c r="V265" s="187"/>
      <c r="W265" s="187"/>
      <c r="X265" s="187"/>
      <c r="Y265" s="187"/>
      <c r="Z265" s="187"/>
      <c r="AA265" s="187"/>
      <c r="AB265" s="187"/>
    </row>
    <row r="266" spans="1:28" ht="15.75" customHeight="1">
      <c r="A266" s="219"/>
      <c r="B266" s="83"/>
      <c r="C266" s="81"/>
      <c r="D266" s="82"/>
      <c r="E266" s="81"/>
      <c r="F266" s="82"/>
      <c r="G266" s="83"/>
      <c r="H266" s="221"/>
      <c r="I266" s="83"/>
      <c r="J266" s="83"/>
      <c r="K266" s="83"/>
      <c r="L266" s="84"/>
      <c r="M266" s="84"/>
      <c r="N266" s="83"/>
      <c r="O266" s="222"/>
      <c r="P266" s="222"/>
      <c r="Q266" s="187"/>
      <c r="R266" s="187"/>
      <c r="S266" s="187"/>
      <c r="T266" s="187"/>
      <c r="U266" s="187"/>
      <c r="V266" s="187"/>
      <c r="W266" s="187"/>
      <c r="X266" s="187"/>
      <c r="Y266" s="187"/>
      <c r="Z266" s="187"/>
      <c r="AA266" s="187"/>
      <c r="AB266" s="187"/>
    </row>
    <row r="267" spans="1:28" ht="15.75" customHeight="1">
      <c r="A267" s="219"/>
      <c r="B267" s="83"/>
      <c r="C267" s="81"/>
      <c r="D267" s="82"/>
      <c r="E267" s="81"/>
      <c r="F267" s="82"/>
      <c r="G267" s="83"/>
      <c r="H267" s="221"/>
      <c r="I267" s="83"/>
      <c r="J267" s="83"/>
      <c r="K267" s="83"/>
      <c r="L267" s="84"/>
      <c r="M267" s="84"/>
      <c r="N267" s="83"/>
      <c r="O267" s="222"/>
      <c r="P267" s="222"/>
      <c r="Q267" s="187"/>
      <c r="R267" s="187"/>
      <c r="S267" s="187"/>
      <c r="T267" s="187"/>
      <c r="U267" s="187"/>
      <c r="V267" s="187"/>
      <c r="W267" s="187"/>
      <c r="X267" s="187"/>
      <c r="Y267" s="187"/>
      <c r="Z267" s="187"/>
      <c r="AA267" s="187"/>
      <c r="AB267" s="187"/>
    </row>
    <row r="268" spans="1:28" ht="15.75" customHeight="1">
      <c r="A268" s="219"/>
      <c r="B268" s="83"/>
      <c r="C268" s="81"/>
      <c r="D268" s="82"/>
      <c r="E268" s="81"/>
      <c r="F268" s="82"/>
      <c r="G268" s="83"/>
      <c r="H268" s="221"/>
      <c r="I268" s="83"/>
      <c r="J268" s="83"/>
      <c r="K268" s="83"/>
      <c r="L268" s="84"/>
      <c r="M268" s="84"/>
      <c r="N268" s="83"/>
      <c r="O268" s="222"/>
      <c r="P268" s="222"/>
      <c r="Q268" s="187"/>
      <c r="R268" s="187"/>
      <c r="S268" s="187"/>
      <c r="T268" s="187"/>
      <c r="U268" s="187"/>
      <c r="V268" s="187"/>
      <c r="W268" s="187"/>
      <c r="X268" s="187"/>
      <c r="Y268" s="187"/>
      <c r="Z268" s="187"/>
      <c r="AA268" s="187"/>
      <c r="AB268" s="187"/>
    </row>
    <row r="269" spans="1:28" ht="15.75" customHeight="1">
      <c r="A269" s="219"/>
      <c r="B269" s="83"/>
      <c r="C269" s="81"/>
      <c r="D269" s="82"/>
      <c r="E269" s="81"/>
      <c r="F269" s="82"/>
      <c r="G269" s="83"/>
      <c r="H269" s="221"/>
      <c r="I269" s="83"/>
      <c r="J269" s="83"/>
      <c r="K269" s="83"/>
      <c r="L269" s="84"/>
      <c r="M269" s="84"/>
      <c r="N269" s="83"/>
      <c r="O269" s="222"/>
      <c r="P269" s="222"/>
      <c r="Q269" s="187"/>
      <c r="R269" s="187"/>
      <c r="S269" s="187"/>
      <c r="T269" s="187"/>
      <c r="U269" s="187"/>
      <c r="V269" s="187"/>
      <c r="W269" s="187"/>
      <c r="X269" s="187"/>
      <c r="Y269" s="187"/>
      <c r="Z269" s="187"/>
      <c r="AA269" s="187"/>
      <c r="AB269" s="187"/>
    </row>
    <row r="270" spans="1:28" ht="15.75" customHeight="1">
      <c r="A270" s="219"/>
      <c r="B270" s="83"/>
      <c r="C270" s="81"/>
      <c r="D270" s="82"/>
      <c r="E270" s="81"/>
      <c r="F270" s="82"/>
      <c r="G270" s="83"/>
      <c r="H270" s="221"/>
      <c r="I270" s="83"/>
      <c r="J270" s="83"/>
      <c r="K270" s="83"/>
      <c r="L270" s="84"/>
      <c r="M270" s="84"/>
      <c r="N270" s="83"/>
      <c r="O270" s="222"/>
      <c r="P270" s="222"/>
      <c r="Q270" s="187"/>
      <c r="R270" s="187"/>
      <c r="S270" s="187"/>
      <c r="T270" s="187"/>
      <c r="U270" s="187"/>
      <c r="V270" s="187"/>
      <c r="W270" s="187"/>
      <c r="X270" s="187"/>
      <c r="Y270" s="187"/>
      <c r="Z270" s="187"/>
      <c r="AA270" s="187"/>
      <c r="AB270" s="187"/>
    </row>
    <row r="271" spans="1:28" ht="15.75" customHeight="1">
      <c r="A271" s="219"/>
      <c r="B271" s="83"/>
      <c r="C271" s="81"/>
      <c r="D271" s="82"/>
      <c r="E271" s="81"/>
      <c r="F271" s="82"/>
      <c r="G271" s="83"/>
      <c r="H271" s="221"/>
      <c r="I271" s="83"/>
      <c r="J271" s="83"/>
      <c r="K271" s="83"/>
      <c r="L271" s="84"/>
      <c r="M271" s="84"/>
      <c r="N271" s="83"/>
      <c r="O271" s="222"/>
      <c r="P271" s="222"/>
      <c r="Q271" s="187"/>
      <c r="R271" s="187"/>
      <c r="S271" s="187"/>
      <c r="T271" s="187"/>
      <c r="U271" s="187"/>
      <c r="V271" s="187"/>
      <c r="W271" s="187"/>
      <c r="X271" s="187"/>
      <c r="Y271" s="187"/>
      <c r="Z271" s="187"/>
      <c r="AA271" s="187"/>
      <c r="AB271" s="187"/>
    </row>
    <row r="272" spans="1:28" ht="15.75" customHeight="1">
      <c r="A272" s="219"/>
      <c r="B272" s="83"/>
      <c r="C272" s="81"/>
      <c r="D272" s="82"/>
      <c r="E272" s="81"/>
      <c r="F272" s="82"/>
      <c r="G272" s="83"/>
      <c r="H272" s="221"/>
      <c r="I272" s="83"/>
      <c r="J272" s="83"/>
      <c r="K272" s="83"/>
      <c r="L272" s="84"/>
      <c r="M272" s="84"/>
      <c r="N272" s="83"/>
      <c r="O272" s="222"/>
      <c r="P272" s="222"/>
      <c r="Q272" s="187"/>
      <c r="R272" s="187"/>
      <c r="S272" s="187"/>
      <c r="T272" s="187"/>
      <c r="U272" s="187"/>
      <c r="V272" s="187"/>
      <c r="W272" s="187"/>
      <c r="X272" s="187"/>
      <c r="Y272" s="187"/>
      <c r="Z272" s="187"/>
      <c r="AA272" s="187"/>
      <c r="AB272" s="187"/>
    </row>
    <row r="273" spans="1:28" ht="15.75" customHeight="1">
      <c r="A273" s="219"/>
      <c r="B273" s="83"/>
      <c r="C273" s="81"/>
      <c r="D273" s="82"/>
      <c r="E273" s="81"/>
      <c r="F273" s="82"/>
      <c r="G273" s="83"/>
      <c r="H273" s="221"/>
      <c r="I273" s="83"/>
      <c r="J273" s="83"/>
      <c r="K273" s="83"/>
      <c r="L273" s="84"/>
      <c r="M273" s="84"/>
      <c r="N273" s="83"/>
      <c r="O273" s="222"/>
      <c r="P273" s="222"/>
      <c r="Q273" s="187"/>
      <c r="R273" s="187"/>
      <c r="S273" s="187"/>
      <c r="T273" s="187"/>
      <c r="U273" s="187"/>
      <c r="V273" s="187"/>
      <c r="W273" s="187"/>
      <c r="X273" s="187"/>
      <c r="Y273" s="187"/>
      <c r="Z273" s="187"/>
      <c r="AA273" s="187"/>
      <c r="AB273" s="187"/>
    </row>
    <row r="274" spans="1:28" ht="15.75" customHeight="1">
      <c r="A274" s="219"/>
      <c r="B274" s="83"/>
      <c r="C274" s="81"/>
      <c r="D274" s="82"/>
      <c r="E274" s="81"/>
      <c r="F274" s="82"/>
      <c r="G274" s="83"/>
      <c r="H274" s="221"/>
      <c r="I274" s="83"/>
      <c r="J274" s="83"/>
      <c r="K274" s="83"/>
      <c r="L274" s="84"/>
      <c r="M274" s="84"/>
      <c r="N274" s="83"/>
      <c r="O274" s="222"/>
      <c r="P274" s="222"/>
      <c r="Q274" s="187"/>
      <c r="R274" s="187"/>
      <c r="S274" s="187"/>
      <c r="T274" s="187"/>
      <c r="U274" s="187"/>
      <c r="V274" s="187"/>
      <c r="W274" s="187"/>
      <c r="X274" s="187"/>
      <c r="Y274" s="187"/>
      <c r="Z274" s="187"/>
      <c r="AA274" s="187"/>
      <c r="AB274" s="187"/>
    </row>
    <row r="275" spans="1:28" ht="15.75" customHeight="1">
      <c r="A275" s="219"/>
      <c r="B275" s="83"/>
      <c r="C275" s="81"/>
      <c r="D275" s="82"/>
      <c r="E275" s="81"/>
      <c r="F275" s="82"/>
      <c r="G275" s="83"/>
      <c r="H275" s="221"/>
      <c r="I275" s="83"/>
      <c r="J275" s="83"/>
      <c r="K275" s="83"/>
      <c r="L275" s="84"/>
      <c r="M275" s="84"/>
      <c r="N275" s="83"/>
      <c r="O275" s="222"/>
      <c r="P275" s="222"/>
      <c r="Q275" s="187"/>
      <c r="R275" s="187"/>
      <c r="S275" s="187"/>
      <c r="T275" s="187"/>
      <c r="U275" s="187"/>
      <c r="V275" s="187"/>
      <c r="W275" s="187"/>
      <c r="X275" s="187"/>
      <c r="Y275" s="187"/>
      <c r="Z275" s="187"/>
      <c r="AA275" s="187"/>
      <c r="AB275" s="187"/>
    </row>
    <row r="276" spans="1:28" ht="15.75" customHeight="1">
      <c r="A276" s="219"/>
      <c r="B276" s="83"/>
      <c r="C276" s="81"/>
      <c r="D276" s="82"/>
      <c r="E276" s="81"/>
      <c r="F276" s="82"/>
      <c r="G276" s="83"/>
      <c r="H276" s="221"/>
      <c r="I276" s="83"/>
      <c r="J276" s="83"/>
      <c r="K276" s="83"/>
      <c r="L276" s="84"/>
      <c r="M276" s="84"/>
      <c r="N276" s="83"/>
      <c r="O276" s="222"/>
      <c r="P276" s="222"/>
      <c r="Q276" s="187"/>
      <c r="R276" s="187"/>
      <c r="S276" s="187"/>
      <c r="T276" s="187"/>
      <c r="U276" s="187"/>
      <c r="V276" s="187"/>
      <c r="W276" s="187"/>
      <c r="X276" s="187"/>
      <c r="Y276" s="187"/>
      <c r="Z276" s="187"/>
      <c r="AA276" s="187"/>
      <c r="AB276" s="187"/>
    </row>
    <row r="277" spans="1:28" ht="15.75" customHeight="1">
      <c r="A277" s="219"/>
      <c r="B277" s="83"/>
      <c r="C277" s="81"/>
      <c r="D277" s="82"/>
      <c r="E277" s="81"/>
      <c r="F277" s="82"/>
      <c r="G277" s="83"/>
      <c r="H277" s="221"/>
      <c r="I277" s="83"/>
      <c r="J277" s="83"/>
      <c r="K277" s="83"/>
      <c r="L277" s="84"/>
      <c r="M277" s="84"/>
      <c r="N277" s="83"/>
      <c r="O277" s="222"/>
      <c r="P277" s="222"/>
      <c r="Q277" s="187"/>
      <c r="R277" s="187"/>
      <c r="S277" s="187"/>
      <c r="T277" s="187"/>
      <c r="U277" s="187"/>
      <c r="V277" s="187"/>
      <c r="W277" s="187"/>
      <c r="X277" s="187"/>
      <c r="Y277" s="187"/>
      <c r="Z277" s="187"/>
      <c r="AA277" s="187"/>
      <c r="AB277" s="187"/>
    </row>
    <row r="278" spans="1:28" ht="15.75" customHeight="1">
      <c r="A278" s="219"/>
      <c r="B278" s="83"/>
      <c r="C278" s="81"/>
      <c r="D278" s="82"/>
      <c r="E278" s="81"/>
      <c r="F278" s="82"/>
      <c r="G278" s="83"/>
      <c r="H278" s="221"/>
      <c r="I278" s="83"/>
      <c r="J278" s="83"/>
      <c r="K278" s="83"/>
      <c r="L278" s="84"/>
      <c r="M278" s="84"/>
      <c r="N278" s="83"/>
      <c r="O278" s="222"/>
      <c r="P278" s="222"/>
      <c r="Q278" s="187"/>
      <c r="R278" s="187"/>
      <c r="S278" s="187"/>
      <c r="T278" s="187"/>
      <c r="U278" s="187"/>
      <c r="V278" s="187"/>
      <c r="W278" s="187"/>
      <c r="X278" s="187"/>
      <c r="Y278" s="187"/>
      <c r="Z278" s="187"/>
      <c r="AA278" s="187"/>
      <c r="AB278" s="187"/>
    </row>
    <row r="279" spans="1:28" ht="15.75" customHeight="1">
      <c r="A279" s="219"/>
      <c r="B279" s="83"/>
      <c r="C279" s="81"/>
      <c r="D279" s="82"/>
      <c r="E279" s="81"/>
      <c r="F279" s="82"/>
      <c r="G279" s="83"/>
      <c r="H279" s="221"/>
      <c r="I279" s="83"/>
      <c r="J279" s="83"/>
      <c r="K279" s="83"/>
      <c r="L279" s="84"/>
      <c r="M279" s="84"/>
      <c r="N279" s="83"/>
      <c r="O279" s="222"/>
      <c r="P279" s="222"/>
      <c r="Q279" s="187"/>
      <c r="R279" s="187"/>
      <c r="S279" s="187"/>
      <c r="T279" s="187"/>
      <c r="U279" s="187"/>
      <c r="V279" s="187"/>
      <c r="W279" s="187"/>
      <c r="X279" s="187"/>
      <c r="Y279" s="187"/>
      <c r="Z279" s="187"/>
      <c r="AA279" s="187"/>
      <c r="AB279" s="187"/>
    </row>
    <row r="280" spans="1:28" ht="15.75" customHeight="1">
      <c r="A280" s="219"/>
      <c r="B280" s="83"/>
      <c r="C280" s="81"/>
      <c r="D280" s="82"/>
      <c r="E280" s="81"/>
      <c r="F280" s="82"/>
      <c r="G280" s="83"/>
      <c r="H280" s="221"/>
      <c r="I280" s="83"/>
      <c r="J280" s="83"/>
      <c r="K280" s="83"/>
      <c r="L280" s="84"/>
      <c r="M280" s="84"/>
      <c r="N280" s="83"/>
      <c r="O280" s="222"/>
      <c r="P280" s="222"/>
      <c r="Q280" s="187"/>
      <c r="R280" s="187"/>
      <c r="S280" s="187"/>
      <c r="T280" s="187"/>
      <c r="U280" s="187"/>
      <c r="V280" s="187"/>
      <c r="W280" s="187"/>
      <c r="X280" s="187"/>
      <c r="Y280" s="187"/>
      <c r="Z280" s="187"/>
      <c r="AA280" s="187"/>
      <c r="AB280" s="187"/>
    </row>
    <row r="281" spans="1:28" ht="15.75" customHeight="1">
      <c r="A281" s="219"/>
      <c r="B281" s="83"/>
      <c r="C281" s="81"/>
      <c r="D281" s="82"/>
      <c r="E281" s="81"/>
      <c r="F281" s="82"/>
      <c r="G281" s="83"/>
      <c r="H281" s="221"/>
      <c r="I281" s="83"/>
      <c r="J281" s="83"/>
      <c r="K281" s="83"/>
      <c r="L281" s="84"/>
      <c r="M281" s="84"/>
      <c r="N281" s="83"/>
      <c r="O281" s="222"/>
      <c r="P281" s="222"/>
      <c r="Q281" s="187"/>
      <c r="R281" s="187"/>
      <c r="S281" s="187"/>
      <c r="T281" s="187"/>
      <c r="U281" s="187"/>
      <c r="V281" s="187"/>
      <c r="W281" s="187"/>
      <c r="X281" s="187"/>
      <c r="Y281" s="187"/>
      <c r="Z281" s="187"/>
      <c r="AA281" s="187"/>
      <c r="AB281" s="187"/>
    </row>
    <row r="282" spans="1:28" ht="15.75" customHeight="1">
      <c r="A282" s="219"/>
      <c r="B282" s="83"/>
      <c r="C282" s="81"/>
      <c r="D282" s="82"/>
      <c r="E282" s="81"/>
      <c r="F282" s="82"/>
      <c r="G282" s="83"/>
      <c r="H282" s="221"/>
      <c r="I282" s="83"/>
      <c r="J282" s="83"/>
      <c r="K282" s="83"/>
      <c r="L282" s="84"/>
      <c r="M282" s="84"/>
      <c r="N282" s="83"/>
      <c r="O282" s="222"/>
      <c r="P282" s="222"/>
      <c r="Q282" s="187"/>
      <c r="R282" s="187"/>
      <c r="S282" s="187"/>
      <c r="T282" s="187"/>
      <c r="U282" s="187"/>
      <c r="V282" s="187"/>
      <c r="W282" s="187"/>
      <c r="X282" s="187"/>
      <c r="Y282" s="187"/>
      <c r="Z282" s="187"/>
      <c r="AA282" s="187"/>
      <c r="AB282" s="187"/>
    </row>
    <row r="283" spans="1:28" ht="15.75" customHeight="1">
      <c r="A283" s="219"/>
      <c r="B283" s="83"/>
      <c r="C283" s="81"/>
      <c r="D283" s="82"/>
      <c r="E283" s="81"/>
      <c r="F283" s="82"/>
      <c r="G283" s="83"/>
      <c r="H283" s="221"/>
      <c r="I283" s="83"/>
      <c r="J283" s="83"/>
      <c r="K283" s="83"/>
      <c r="L283" s="84"/>
      <c r="M283" s="84"/>
      <c r="N283" s="83"/>
      <c r="O283" s="222"/>
      <c r="P283" s="222"/>
      <c r="Q283" s="187"/>
      <c r="R283" s="187"/>
      <c r="S283" s="187"/>
      <c r="T283" s="187"/>
      <c r="U283" s="187"/>
      <c r="V283" s="187"/>
      <c r="W283" s="187"/>
      <c r="X283" s="187"/>
      <c r="Y283" s="187"/>
      <c r="Z283" s="187"/>
      <c r="AA283" s="187"/>
      <c r="AB283" s="187"/>
    </row>
    <row r="284" spans="1:28" ht="15.75" customHeight="1">
      <c r="A284" s="219"/>
      <c r="B284" s="83"/>
      <c r="C284" s="81"/>
      <c r="D284" s="82"/>
      <c r="E284" s="81"/>
      <c r="F284" s="82"/>
      <c r="G284" s="83"/>
      <c r="H284" s="221"/>
      <c r="I284" s="83"/>
      <c r="J284" s="83"/>
      <c r="K284" s="83"/>
      <c r="L284" s="84"/>
      <c r="M284" s="84"/>
      <c r="N284" s="83"/>
      <c r="O284" s="222"/>
      <c r="P284" s="222"/>
      <c r="Q284" s="187"/>
      <c r="R284" s="187"/>
      <c r="S284" s="187"/>
      <c r="T284" s="187"/>
      <c r="U284" s="187"/>
      <c r="V284" s="187"/>
      <c r="W284" s="187"/>
      <c r="X284" s="187"/>
      <c r="Y284" s="187"/>
      <c r="Z284" s="187"/>
      <c r="AA284" s="187"/>
      <c r="AB284" s="187"/>
    </row>
    <row r="285" spans="1:28" ht="15.75" customHeight="1">
      <c r="A285" s="219"/>
      <c r="B285" s="83"/>
      <c r="C285" s="81"/>
      <c r="D285" s="82"/>
      <c r="E285" s="81"/>
      <c r="F285" s="82"/>
      <c r="G285" s="83"/>
      <c r="H285" s="221"/>
      <c r="I285" s="83"/>
      <c r="J285" s="83"/>
      <c r="K285" s="83"/>
      <c r="L285" s="84"/>
      <c r="M285" s="84"/>
      <c r="N285" s="83"/>
      <c r="O285" s="222"/>
      <c r="P285" s="222"/>
      <c r="Q285" s="187"/>
      <c r="R285" s="187"/>
      <c r="S285" s="187"/>
      <c r="T285" s="187"/>
      <c r="U285" s="187"/>
      <c r="V285" s="187"/>
      <c r="W285" s="187"/>
      <c r="X285" s="187"/>
      <c r="Y285" s="187"/>
      <c r="Z285" s="187"/>
      <c r="AA285" s="187"/>
      <c r="AB285" s="187"/>
    </row>
    <row r="286" spans="1:28" ht="15.75" customHeight="1">
      <c r="A286" s="219"/>
      <c r="B286" s="83"/>
      <c r="C286" s="81"/>
      <c r="D286" s="82"/>
      <c r="E286" s="81"/>
      <c r="F286" s="82"/>
      <c r="G286" s="83"/>
      <c r="H286" s="221"/>
      <c r="I286" s="83"/>
      <c r="J286" s="83"/>
      <c r="K286" s="83"/>
      <c r="L286" s="84"/>
      <c r="M286" s="84"/>
      <c r="N286" s="83"/>
      <c r="O286" s="222"/>
      <c r="P286" s="222"/>
      <c r="Q286" s="187"/>
      <c r="R286" s="187"/>
      <c r="S286" s="187"/>
      <c r="T286" s="187"/>
      <c r="U286" s="187"/>
      <c r="V286" s="187"/>
      <c r="W286" s="187"/>
      <c r="X286" s="187"/>
      <c r="Y286" s="187"/>
      <c r="Z286" s="187"/>
      <c r="AA286" s="187"/>
      <c r="AB286" s="187"/>
    </row>
    <row r="287" spans="1:28" ht="15.75" customHeight="1">
      <c r="A287" s="219"/>
      <c r="B287" s="83"/>
      <c r="C287" s="81"/>
      <c r="D287" s="82"/>
      <c r="E287" s="81"/>
      <c r="F287" s="82"/>
      <c r="G287" s="83"/>
      <c r="H287" s="221"/>
      <c r="I287" s="83"/>
      <c r="J287" s="83"/>
      <c r="K287" s="83"/>
      <c r="L287" s="84"/>
      <c r="M287" s="84"/>
      <c r="N287" s="83"/>
      <c r="O287" s="222"/>
      <c r="P287" s="222"/>
      <c r="Q287" s="187"/>
      <c r="R287" s="187"/>
      <c r="S287" s="187"/>
      <c r="T287" s="187"/>
      <c r="U287" s="187"/>
      <c r="V287" s="187"/>
      <c r="W287" s="187"/>
      <c r="X287" s="187"/>
      <c r="Y287" s="187"/>
      <c r="Z287" s="187"/>
      <c r="AA287" s="187"/>
      <c r="AB287" s="187"/>
    </row>
    <row r="288" spans="1:28" ht="15.75" customHeight="1">
      <c r="A288" s="219"/>
      <c r="B288" s="83"/>
      <c r="C288" s="81"/>
      <c r="D288" s="82"/>
      <c r="E288" s="81"/>
      <c r="F288" s="82"/>
      <c r="G288" s="83"/>
      <c r="H288" s="221"/>
      <c r="I288" s="83"/>
      <c r="J288" s="83"/>
      <c r="K288" s="83"/>
      <c r="L288" s="84"/>
      <c r="M288" s="84"/>
      <c r="N288" s="83"/>
      <c r="O288" s="222"/>
      <c r="P288" s="222"/>
      <c r="Q288" s="187"/>
      <c r="R288" s="187"/>
      <c r="S288" s="187"/>
      <c r="T288" s="187"/>
      <c r="U288" s="187"/>
      <c r="V288" s="187"/>
      <c r="W288" s="187"/>
      <c r="X288" s="187"/>
      <c r="Y288" s="187"/>
      <c r="Z288" s="187"/>
      <c r="AA288" s="187"/>
      <c r="AB288" s="187"/>
    </row>
    <row r="289" spans="1:28" ht="15.75" customHeight="1">
      <c r="A289" s="219"/>
      <c r="B289" s="83"/>
      <c r="C289" s="81"/>
      <c r="D289" s="82"/>
      <c r="E289" s="81"/>
      <c r="F289" s="82"/>
      <c r="G289" s="83"/>
      <c r="H289" s="221"/>
      <c r="I289" s="83"/>
      <c r="J289" s="83"/>
      <c r="K289" s="83"/>
      <c r="L289" s="84"/>
      <c r="M289" s="84"/>
      <c r="N289" s="83"/>
      <c r="O289" s="222"/>
      <c r="P289" s="222"/>
      <c r="Q289" s="187"/>
      <c r="R289" s="187"/>
      <c r="S289" s="187"/>
      <c r="T289" s="187"/>
      <c r="U289" s="187"/>
      <c r="V289" s="187"/>
      <c r="W289" s="187"/>
      <c r="X289" s="187"/>
      <c r="Y289" s="187"/>
      <c r="Z289" s="187"/>
      <c r="AA289" s="187"/>
      <c r="AB289" s="187"/>
    </row>
    <row r="290" spans="1:28" ht="15.75" customHeight="1">
      <c r="A290" s="219"/>
      <c r="B290" s="83"/>
      <c r="C290" s="81"/>
      <c r="D290" s="82"/>
      <c r="E290" s="81"/>
      <c r="F290" s="82"/>
      <c r="G290" s="83"/>
      <c r="H290" s="221"/>
      <c r="I290" s="83"/>
      <c r="J290" s="83"/>
      <c r="K290" s="83"/>
      <c r="L290" s="84"/>
      <c r="M290" s="84"/>
      <c r="N290" s="83"/>
      <c r="O290" s="222"/>
      <c r="P290" s="222"/>
      <c r="Q290" s="187"/>
      <c r="R290" s="187"/>
      <c r="S290" s="187"/>
      <c r="T290" s="187"/>
      <c r="U290" s="187"/>
      <c r="V290" s="187"/>
      <c r="W290" s="187"/>
      <c r="X290" s="187"/>
      <c r="Y290" s="187"/>
      <c r="Z290" s="187"/>
      <c r="AA290" s="187"/>
      <c r="AB290" s="187"/>
    </row>
    <row r="291" spans="1:28" ht="15.75" customHeight="1">
      <c r="A291" s="219"/>
      <c r="B291" s="83"/>
      <c r="C291" s="81"/>
      <c r="D291" s="82"/>
      <c r="E291" s="81"/>
      <c r="F291" s="82"/>
      <c r="G291" s="83"/>
      <c r="H291" s="221"/>
      <c r="I291" s="83"/>
      <c r="J291" s="83"/>
      <c r="K291" s="83"/>
      <c r="L291" s="84"/>
      <c r="M291" s="84"/>
      <c r="N291" s="83"/>
      <c r="O291" s="222"/>
      <c r="P291" s="222"/>
      <c r="Q291" s="187"/>
      <c r="R291" s="187"/>
      <c r="S291" s="187"/>
      <c r="T291" s="187"/>
      <c r="U291" s="187"/>
      <c r="V291" s="187"/>
      <c r="W291" s="187"/>
      <c r="X291" s="187"/>
      <c r="Y291" s="187"/>
      <c r="Z291" s="187"/>
      <c r="AA291" s="187"/>
      <c r="AB291" s="187"/>
    </row>
    <row r="292" spans="1:28" ht="15.75" customHeight="1">
      <c r="A292" s="219"/>
      <c r="B292" s="83"/>
      <c r="C292" s="81"/>
      <c r="D292" s="82"/>
      <c r="E292" s="81"/>
      <c r="F292" s="82"/>
      <c r="G292" s="83"/>
      <c r="H292" s="221"/>
      <c r="I292" s="83"/>
      <c r="J292" s="83"/>
      <c r="K292" s="83"/>
      <c r="L292" s="84"/>
      <c r="M292" s="84"/>
      <c r="N292" s="83"/>
      <c r="O292" s="222"/>
      <c r="P292" s="222"/>
      <c r="Q292" s="187"/>
      <c r="R292" s="187"/>
      <c r="S292" s="187"/>
      <c r="T292" s="187"/>
      <c r="U292" s="187"/>
      <c r="V292" s="187"/>
      <c r="W292" s="187"/>
      <c r="X292" s="187"/>
      <c r="Y292" s="187"/>
      <c r="Z292" s="187"/>
      <c r="AA292" s="187"/>
      <c r="AB292" s="187"/>
    </row>
    <row r="293" spans="1:28" ht="15.75" customHeight="1">
      <c r="A293" s="219"/>
      <c r="B293" s="83"/>
      <c r="C293" s="81"/>
      <c r="D293" s="82"/>
      <c r="E293" s="81"/>
      <c r="F293" s="82"/>
      <c r="G293" s="83"/>
      <c r="H293" s="221"/>
      <c r="I293" s="83"/>
      <c r="J293" s="83"/>
      <c r="K293" s="83"/>
      <c r="L293" s="84"/>
      <c r="M293" s="84"/>
      <c r="N293" s="83"/>
      <c r="O293" s="222"/>
      <c r="P293" s="222"/>
      <c r="Q293" s="187"/>
      <c r="R293" s="187"/>
      <c r="S293" s="187"/>
      <c r="T293" s="187"/>
      <c r="U293" s="187"/>
      <c r="V293" s="187"/>
      <c r="W293" s="187"/>
      <c r="X293" s="187"/>
      <c r="Y293" s="187"/>
      <c r="Z293" s="187"/>
      <c r="AA293" s="187"/>
      <c r="AB293" s="187"/>
    </row>
    <row r="294" spans="1:28" ht="15.75" customHeight="1">
      <c r="A294" s="219"/>
      <c r="B294" s="83"/>
      <c r="C294" s="81"/>
      <c r="D294" s="82"/>
      <c r="E294" s="81"/>
      <c r="F294" s="82"/>
      <c r="G294" s="83"/>
      <c r="H294" s="221"/>
      <c r="I294" s="83"/>
      <c r="J294" s="83"/>
      <c r="K294" s="83"/>
      <c r="L294" s="84"/>
      <c r="M294" s="84"/>
      <c r="N294" s="83"/>
      <c r="O294" s="222"/>
      <c r="P294" s="222"/>
      <c r="Q294" s="187"/>
      <c r="R294" s="187"/>
      <c r="S294" s="187"/>
      <c r="T294" s="187"/>
      <c r="U294" s="187"/>
      <c r="V294" s="187"/>
      <c r="W294" s="187"/>
      <c r="X294" s="187"/>
      <c r="Y294" s="187"/>
      <c r="Z294" s="187"/>
      <c r="AA294" s="187"/>
      <c r="AB294" s="187"/>
    </row>
    <row r="295" spans="1:28" ht="15.75" customHeight="1">
      <c r="A295" s="219"/>
      <c r="B295" s="83"/>
      <c r="C295" s="81"/>
      <c r="D295" s="82"/>
      <c r="E295" s="81"/>
      <c r="F295" s="82"/>
      <c r="G295" s="83"/>
      <c r="H295" s="221"/>
      <c r="I295" s="83"/>
      <c r="J295" s="83"/>
      <c r="K295" s="83"/>
      <c r="L295" s="84"/>
      <c r="M295" s="84"/>
      <c r="N295" s="83"/>
      <c r="O295" s="222"/>
      <c r="P295" s="222"/>
      <c r="Q295" s="187"/>
      <c r="R295" s="187"/>
      <c r="S295" s="187"/>
      <c r="T295" s="187"/>
      <c r="U295" s="187"/>
      <c r="V295" s="187"/>
      <c r="W295" s="187"/>
      <c r="X295" s="187"/>
      <c r="Y295" s="187"/>
      <c r="Z295" s="187"/>
      <c r="AA295" s="187"/>
      <c r="AB295" s="187"/>
    </row>
    <row r="296" spans="1:28" ht="15.75" customHeight="1">
      <c r="A296" s="219"/>
      <c r="B296" s="83"/>
      <c r="C296" s="81"/>
      <c r="D296" s="82"/>
      <c r="E296" s="81"/>
      <c r="F296" s="82"/>
      <c r="G296" s="83"/>
      <c r="H296" s="221"/>
      <c r="I296" s="83"/>
      <c r="J296" s="83"/>
      <c r="K296" s="83"/>
      <c r="L296" s="84"/>
      <c r="M296" s="84"/>
      <c r="N296" s="83"/>
      <c r="O296" s="222"/>
      <c r="P296" s="222"/>
      <c r="Q296" s="187"/>
      <c r="R296" s="187"/>
      <c r="S296" s="187"/>
      <c r="T296" s="187"/>
      <c r="U296" s="187"/>
      <c r="V296" s="187"/>
      <c r="W296" s="187"/>
      <c r="X296" s="187"/>
      <c r="Y296" s="187"/>
      <c r="Z296" s="187"/>
      <c r="AA296" s="187"/>
      <c r="AB296" s="187"/>
    </row>
    <row r="297" spans="1:28" ht="15.75" customHeight="1">
      <c r="A297" s="219"/>
      <c r="B297" s="83"/>
      <c r="C297" s="81"/>
      <c r="D297" s="82"/>
      <c r="E297" s="81"/>
      <c r="F297" s="82"/>
      <c r="G297" s="83"/>
      <c r="H297" s="221"/>
      <c r="I297" s="83"/>
      <c r="J297" s="83"/>
      <c r="K297" s="83"/>
      <c r="L297" s="84"/>
      <c r="M297" s="84"/>
      <c r="N297" s="83"/>
      <c r="O297" s="222"/>
      <c r="P297" s="222"/>
      <c r="Q297" s="187"/>
      <c r="R297" s="187"/>
      <c r="S297" s="187"/>
      <c r="T297" s="187"/>
      <c r="U297" s="187"/>
      <c r="V297" s="187"/>
      <c r="W297" s="187"/>
      <c r="X297" s="187"/>
      <c r="Y297" s="187"/>
      <c r="Z297" s="187"/>
      <c r="AA297" s="187"/>
      <c r="AB297" s="187"/>
    </row>
    <row r="298" spans="1:28" ht="15.75" customHeight="1">
      <c r="A298" s="219"/>
      <c r="B298" s="83"/>
      <c r="C298" s="81"/>
      <c r="D298" s="82"/>
      <c r="E298" s="81"/>
      <c r="F298" s="82"/>
      <c r="G298" s="83"/>
      <c r="H298" s="221"/>
      <c r="I298" s="83"/>
      <c r="J298" s="83"/>
      <c r="K298" s="83"/>
      <c r="L298" s="84"/>
      <c r="M298" s="84"/>
      <c r="N298" s="83"/>
      <c r="O298" s="222"/>
      <c r="P298" s="222"/>
      <c r="Q298" s="187"/>
      <c r="R298" s="187"/>
      <c r="S298" s="187"/>
      <c r="T298" s="187"/>
      <c r="U298" s="187"/>
      <c r="V298" s="187"/>
      <c r="W298" s="187"/>
      <c r="X298" s="187"/>
      <c r="Y298" s="187"/>
      <c r="Z298" s="187"/>
      <c r="AA298" s="187"/>
      <c r="AB298" s="187"/>
    </row>
    <row r="299" spans="1:28" ht="15.75" customHeight="1">
      <c r="A299" s="219"/>
      <c r="B299" s="83"/>
      <c r="C299" s="81"/>
      <c r="D299" s="82"/>
      <c r="E299" s="81"/>
      <c r="F299" s="82"/>
      <c r="G299" s="83"/>
      <c r="H299" s="221"/>
      <c r="I299" s="83"/>
      <c r="J299" s="83"/>
      <c r="K299" s="83"/>
      <c r="L299" s="84"/>
      <c r="M299" s="84"/>
      <c r="N299" s="83"/>
      <c r="O299" s="222"/>
      <c r="P299" s="222"/>
      <c r="Q299" s="187"/>
      <c r="R299" s="187"/>
      <c r="S299" s="187"/>
      <c r="T299" s="187"/>
      <c r="U299" s="187"/>
      <c r="V299" s="187"/>
      <c r="W299" s="187"/>
      <c r="X299" s="187"/>
      <c r="Y299" s="187"/>
      <c r="Z299" s="187"/>
      <c r="AA299" s="187"/>
      <c r="AB299" s="187"/>
    </row>
    <row r="300" spans="1:28" ht="15.75" customHeight="1">
      <c r="A300" s="219"/>
      <c r="B300" s="83"/>
      <c r="C300" s="81"/>
      <c r="D300" s="82"/>
      <c r="E300" s="81"/>
      <c r="F300" s="82"/>
      <c r="G300" s="83"/>
      <c r="H300" s="221"/>
      <c r="I300" s="83"/>
      <c r="J300" s="83"/>
      <c r="K300" s="83"/>
      <c r="L300" s="84"/>
      <c r="M300" s="84"/>
      <c r="N300" s="83"/>
      <c r="O300" s="222"/>
      <c r="P300" s="222"/>
      <c r="Q300" s="187"/>
      <c r="R300" s="187"/>
      <c r="S300" s="187"/>
      <c r="T300" s="187"/>
      <c r="U300" s="187"/>
      <c r="V300" s="187"/>
      <c r="W300" s="187"/>
      <c r="X300" s="187"/>
      <c r="Y300" s="187"/>
      <c r="Z300" s="187"/>
      <c r="AA300" s="187"/>
      <c r="AB300" s="187"/>
    </row>
    <row r="301" spans="1:28" ht="15.75" customHeight="1">
      <c r="A301" s="219"/>
      <c r="B301" s="83"/>
      <c r="C301" s="81"/>
      <c r="D301" s="82"/>
      <c r="E301" s="81"/>
      <c r="F301" s="82"/>
      <c r="G301" s="83"/>
      <c r="H301" s="221"/>
      <c r="I301" s="83"/>
      <c r="J301" s="83"/>
      <c r="K301" s="83"/>
      <c r="L301" s="84"/>
      <c r="M301" s="84"/>
      <c r="N301" s="83"/>
      <c r="O301" s="222"/>
      <c r="P301" s="222"/>
      <c r="Q301" s="187"/>
      <c r="R301" s="187"/>
      <c r="S301" s="187"/>
      <c r="T301" s="187"/>
      <c r="U301" s="187"/>
      <c r="V301" s="187"/>
      <c r="W301" s="187"/>
      <c r="X301" s="187"/>
      <c r="Y301" s="187"/>
      <c r="Z301" s="187"/>
      <c r="AA301" s="187"/>
      <c r="AB301" s="187"/>
    </row>
    <row r="302" spans="1:28" ht="15.75" customHeight="1">
      <c r="A302" s="219"/>
      <c r="B302" s="83"/>
      <c r="C302" s="81"/>
      <c r="D302" s="82"/>
      <c r="E302" s="81"/>
      <c r="F302" s="82"/>
      <c r="G302" s="83"/>
      <c r="H302" s="221"/>
      <c r="I302" s="83"/>
      <c r="J302" s="83"/>
      <c r="K302" s="83"/>
      <c r="L302" s="84"/>
      <c r="M302" s="84"/>
      <c r="N302" s="83"/>
      <c r="O302" s="222"/>
      <c r="P302" s="222"/>
      <c r="Q302" s="187"/>
      <c r="R302" s="187"/>
      <c r="S302" s="187"/>
      <c r="T302" s="187"/>
      <c r="U302" s="187"/>
      <c r="V302" s="187"/>
      <c r="W302" s="187"/>
      <c r="X302" s="187"/>
      <c r="Y302" s="187"/>
      <c r="Z302" s="187"/>
      <c r="AA302" s="187"/>
      <c r="AB302" s="187"/>
    </row>
    <row r="303" spans="1:28" ht="15.75" customHeight="1">
      <c r="A303" s="219"/>
      <c r="B303" s="83"/>
      <c r="C303" s="81"/>
      <c r="D303" s="82"/>
      <c r="E303" s="81"/>
      <c r="F303" s="82"/>
      <c r="G303" s="83"/>
      <c r="H303" s="221"/>
      <c r="I303" s="83"/>
      <c r="J303" s="83"/>
      <c r="K303" s="83"/>
      <c r="L303" s="84"/>
      <c r="M303" s="84"/>
      <c r="N303" s="83"/>
      <c r="O303" s="222"/>
      <c r="P303" s="222"/>
      <c r="Q303" s="187"/>
      <c r="R303" s="187"/>
      <c r="S303" s="187"/>
      <c r="T303" s="187"/>
      <c r="U303" s="187"/>
      <c r="V303" s="187"/>
      <c r="W303" s="187"/>
      <c r="X303" s="187"/>
      <c r="Y303" s="187"/>
      <c r="Z303" s="187"/>
      <c r="AA303" s="187"/>
      <c r="AB303" s="187"/>
    </row>
    <row r="304" spans="1:28" ht="15.75" customHeight="1">
      <c r="A304" s="219"/>
      <c r="B304" s="83"/>
      <c r="C304" s="81"/>
      <c r="D304" s="82"/>
      <c r="E304" s="81"/>
      <c r="F304" s="82"/>
      <c r="G304" s="83"/>
      <c r="H304" s="221"/>
      <c r="I304" s="83"/>
      <c r="J304" s="83"/>
      <c r="K304" s="83"/>
      <c r="L304" s="84"/>
      <c r="M304" s="84"/>
      <c r="N304" s="83"/>
      <c r="O304" s="222"/>
      <c r="P304" s="222"/>
      <c r="Q304" s="187"/>
      <c r="R304" s="187"/>
      <c r="S304" s="187"/>
      <c r="T304" s="187"/>
      <c r="U304" s="187"/>
      <c r="V304" s="187"/>
      <c r="W304" s="187"/>
      <c r="X304" s="187"/>
      <c r="Y304" s="187"/>
      <c r="Z304" s="187"/>
      <c r="AA304" s="187"/>
      <c r="AB304" s="187"/>
    </row>
    <row r="305" spans="1:28" ht="15.75" customHeight="1">
      <c r="A305" s="219"/>
      <c r="B305" s="83"/>
      <c r="C305" s="81"/>
      <c r="D305" s="82"/>
      <c r="E305" s="81"/>
      <c r="F305" s="82"/>
      <c r="G305" s="83"/>
      <c r="H305" s="221"/>
      <c r="I305" s="83"/>
      <c r="J305" s="83"/>
      <c r="K305" s="83"/>
      <c r="L305" s="84"/>
      <c r="M305" s="84"/>
      <c r="N305" s="83"/>
      <c r="O305" s="222"/>
      <c r="P305" s="222"/>
      <c r="Q305" s="187"/>
      <c r="R305" s="187"/>
      <c r="S305" s="187"/>
      <c r="T305" s="187"/>
      <c r="U305" s="187"/>
      <c r="V305" s="187"/>
      <c r="W305" s="187"/>
      <c r="X305" s="187"/>
      <c r="Y305" s="187"/>
      <c r="Z305" s="187"/>
      <c r="AA305" s="187"/>
      <c r="AB305" s="187"/>
    </row>
    <row r="306" spans="1:28" ht="15.75" customHeight="1">
      <c r="A306" s="219"/>
      <c r="B306" s="83"/>
      <c r="C306" s="81"/>
      <c r="D306" s="82"/>
      <c r="E306" s="81"/>
      <c r="F306" s="82"/>
      <c r="G306" s="83"/>
      <c r="H306" s="221"/>
      <c r="I306" s="83"/>
      <c r="J306" s="83"/>
      <c r="K306" s="83"/>
      <c r="L306" s="84"/>
      <c r="M306" s="84"/>
      <c r="N306" s="83"/>
      <c r="O306" s="222"/>
      <c r="P306" s="222"/>
      <c r="Q306" s="187"/>
      <c r="R306" s="187"/>
      <c r="S306" s="187"/>
      <c r="T306" s="187"/>
      <c r="U306" s="187"/>
      <c r="V306" s="187"/>
      <c r="W306" s="187"/>
      <c r="X306" s="187"/>
      <c r="Y306" s="187"/>
      <c r="Z306" s="187"/>
      <c r="AA306" s="187"/>
      <c r="AB306" s="187"/>
    </row>
    <row r="307" spans="1:28" ht="15.75" customHeight="1">
      <c r="A307" s="219"/>
      <c r="B307" s="83"/>
      <c r="C307" s="81"/>
      <c r="D307" s="82"/>
      <c r="E307" s="81"/>
      <c r="F307" s="82"/>
      <c r="G307" s="83"/>
      <c r="H307" s="221"/>
      <c r="I307" s="83"/>
      <c r="J307" s="83"/>
      <c r="K307" s="83"/>
      <c r="L307" s="84"/>
      <c r="M307" s="84"/>
      <c r="N307" s="83"/>
      <c r="O307" s="222"/>
      <c r="P307" s="222"/>
      <c r="Q307" s="187"/>
      <c r="R307" s="187"/>
      <c r="S307" s="187"/>
      <c r="T307" s="187"/>
      <c r="U307" s="187"/>
      <c r="V307" s="187"/>
      <c r="W307" s="187"/>
      <c r="X307" s="187"/>
      <c r="Y307" s="187"/>
      <c r="Z307" s="187"/>
      <c r="AA307" s="187"/>
      <c r="AB307" s="187"/>
    </row>
    <row r="308" spans="1:28" ht="15.75" customHeight="1">
      <c r="A308" s="219"/>
      <c r="B308" s="83"/>
      <c r="C308" s="81"/>
      <c r="D308" s="82"/>
      <c r="E308" s="81"/>
      <c r="F308" s="82"/>
      <c r="G308" s="83"/>
      <c r="H308" s="221"/>
      <c r="I308" s="83"/>
      <c r="J308" s="83"/>
      <c r="K308" s="83"/>
      <c r="L308" s="84"/>
      <c r="M308" s="84"/>
      <c r="N308" s="83"/>
      <c r="O308" s="222"/>
      <c r="P308" s="222"/>
      <c r="Q308" s="187"/>
      <c r="R308" s="187"/>
      <c r="S308" s="187"/>
      <c r="T308" s="187"/>
      <c r="U308" s="187"/>
      <c r="V308" s="187"/>
      <c r="W308" s="187"/>
      <c r="X308" s="187"/>
      <c r="Y308" s="187"/>
      <c r="Z308" s="187"/>
      <c r="AA308" s="187"/>
      <c r="AB308" s="187"/>
    </row>
    <row r="309" spans="1:28" ht="15.75" customHeight="1">
      <c r="A309" s="219"/>
      <c r="B309" s="83"/>
      <c r="C309" s="81"/>
      <c r="D309" s="82"/>
      <c r="E309" s="81"/>
      <c r="F309" s="82"/>
      <c r="G309" s="83"/>
      <c r="H309" s="221"/>
      <c r="I309" s="83"/>
      <c r="J309" s="83"/>
      <c r="K309" s="83"/>
      <c r="L309" s="84"/>
      <c r="M309" s="84"/>
      <c r="N309" s="83"/>
      <c r="O309" s="222"/>
      <c r="P309" s="222"/>
      <c r="Q309" s="187"/>
      <c r="R309" s="187"/>
      <c r="S309" s="187"/>
      <c r="T309" s="187"/>
      <c r="U309" s="187"/>
      <c r="V309" s="187"/>
      <c r="W309" s="187"/>
      <c r="X309" s="187"/>
      <c r="Y309" s="187"/>
      <c r="Z309" s="187"/>
      <c r="AA309" s="187"/>
      <c r="AB309" s="187"/>
    </row>
    <row r="310" spans="1:28" ht="15.75" customHeight="1">
      <c r="A310" s="219"/>
      <c r="B310" s="83"/>
      <c r="C310" s="81"/>
      <c r="D310" s="82"/>
      <c r="E310" s="81"/>
      <c r="F310" s="82"/>
      <c r="G310" s="83"/>
      <c r="H310" s="221"/>
      <c r="I310" s="83"/>
      <c r="J310" s="83"/>
      <c r="K310" s="83"/>
      <c r="L310" s="84"/>
      <c r="M310" s="84"/>
      <c r="N310" s="83"/>
      <c r="O310" s="222"/>
      <c r="P310" s="222"/>
      <c r="Q310" s="187"/>
      <c r="R310" s="187"/>
      <c r="S310" s="187"/>
      <c r="T310" s="187"/>
      <c r="U310" s="187"/>
      <c r="V310" s="187"/>
      <c r="W310" s="187"/>
      <c r="X310" s="187"/>
      <c r="Y310" s="187"/>
      <c r="Z310" s="187"/>
      <c r="AA310" s="187"/>
      <c r="AB310" s="187"/>
    </row>
    <row r="311" spans="1:28" ht="15.75" customHeight="1">
      <c r="A311" s="219"/>
      <c r="B311" s="83"/>
      <c r="C311" s="81"/>
      <c r="D311" s="82"/>
      <c r="E311" s="81"/>
      <c r="F311" s="82"/>
      <c r="G311" s="83"/>
      <c r="H311" s="221"/>
      <c r="I311" s="83"/>
      <c r="J311" s="83"/>
      <c r="K311" s="83"/>
      <c r="L311" s="84"/>
      <c r="M311" s="84"/>
      <c r="N311" s="83"/>
      <c r="O311" s="222"/>
      <c r="P311" s="222"/>
      <c r="Q311" s="187"/>
      <c r="R311" s="187"/>
      <c r="S311" s="187"/>
      <c r="T311" s="187"/>
      <c r="U311" s="187"/>
      <c r="V311" s="187"/>
      <c r="W311" s="187"/>
      <c r="X311" s="187"/>
      <c r="Y311" s="187"/>
      <c r="Z311" s="187"/>
      <c r="AA311" s="187"/>
      <c r="AB311" s="187"/>
    </row>
    <row r="312" spans="1:28" ht="15.75" customHeight="1">
      <c r="A312" s="219"/>
      <c r="B312" s="83"/>
      <c r="C312" s="81"/>
      <c r="D312" s="82"/>
      <c r="E312" s="81"/>
      <c r="F312" s="82"/>
      <c r="G312" s="83"/>
      <c r="H312" s="221"/>
      <c r="I312" s="83"/>
      <c r="J312" s="83"/>
      <c r="K312" s="83"/>
      <c r="L312" s="84"/>
      <c r="M312" s="84"/>
      <c r="N312" s="83"/>
      <c r="O312" s="222"/>
      <c r="P312" s="222"/>
      <c r="Q312" s="187"/>
      <c r="R312" s="187"/>
      <c r="S312" s="187"/>
      <c r="T312" s="187"/>
      <c r="U312" s="187"/>
      <c r="V312" s="187"/>
      <c r="W312" s="187"/>
      <c r="X312" s="187"/>
      <c r="Y312" s="187"/>
      <c r="Z312" s="187"/>
      <c r="AA312" s="187"/>
      <c r="AB312" s="187"/>
    </row>
    <row r="313" spans="1:28" ht="15.75" customHeight="1">
      <c r="A313" s="219"/>
      <c r="B313" s="83"/>
      <c r="C313" s="81"/>
      <c r="D313" s="82"/>
      <c r="E313" s="81"/>
      <c r="F313" s="82"/>
      <c r="G313" s="83"/>
      <c r="H313" s="221"/>
      <c r="I313" s="83"/>
      <c r="J313" s="83"/>
      <c r="K313" s="83"/>
      <c r="L313" s="84"/>
      <c r="M313" s="84"/>
      <c r="N313" s="83"/>
      <c r="O313" s="222"/>
      <c r="P313" s="222"/>
      <c r="Q313" s="187"/>
      <c r="R313" s="187"/>
      <c r="S313" s="187"/>
      <c r="T313" s="187"/>
      <c r="U313" s="187"/>
      <c r="V313" s="187"/>
      <c r="W313" s="187"/>
      <c r="X313" s="187"/>
      <c r="Y313" s="187"/>
      <c r="Z313" s="187"/>
      <c r="AA313" s="187"/>
      <c r="AB313" s="187"/>
    </row>
    <row r="314" spans="1:28" ht="15.75" customHeight="1">
      <c r="A314" s="219"/>
      <c r="B314" s="83"/>
      <c r="C314" s="81"/>
      <c r="D314" s="82"/>
      <c r="E314" s="81"/>
      <c r="F314" s="82"/>
      <c r="G314" s="83"/>
      <c r="H314" s="221"/>
      <c r="I314" s="83"/>
      <c r="J314" s="83"/>
      <c r="K314" s="83"/>
      <c r="L314" s="84"/>
      <c r="M314" s="84"/>
      <c r="N314" s="83"/>
      <c r="O314" s="222"/>
      <c r="P314" s="222"/>
      <c r="Q314" s="187"/>
      <c r="R314" s="187"/>
      <c r="S314" s="187"/>
      <c r="T314" s="187"/>
      <c r="U314" s="187"/>
      <c r="V314" s="187"/>
      <c r="W314" s="187"/>
      <c r="X314" s="187"/>
      <c r="Y314" s="187"/>
      <c r="Z314" s="187"/>
      <c r="AA314" s="187"/>
      <c r="AB314" s="187"/>
    </row>
    <row r="315" spans="1:28" ht="15.75" customHeight="1">
      <c r="A315" s="219"/>
      <c r="B315" s="83"/>
      <c r="C315" s="81"/>
      <c r="D315" s="82"/>
      <c r="E315" s="81"/>
      <c r="F315" s="82"/>
      <c r="G315" s="83"/>
      <c r="H315" s="221"/>
      <c r="I315" s="83"/>
      <c r="J315" s="83"/>
      <c r="K315" s="83"/>
      <c r="L315" s="84"/>
      <c r="M315" s="84"/>
      <c r="N315" s="83"/>
      <c r="O315" s="222"/>
      <c r="P315" s="222"/>
      <c r="Q315" s="187"/>
      <c r="R315" s="187"/>
      <c r="S315" s="187"/>
      <c r="T315" s="187"/>
      <c r="U315" s="187"/>
      <c r="V315" s="187"/>
      <c r="W315" s="187"/>
      <c r="X315" s="187"/>
      <c r="Y315" s="187"/>
      <c r="Z315" s="187"/>
      <c r="AA315" s="187"/>
      <c r="AB315" s="187"/>
    </row>
    <row r="316" spans="1:28" ht="15.75" customHeight="1">
      <c r="A316" s="219"/>
      <c r="B316" s="83"/>
      <c r="C316" s="81"/>
      <c r="D316" s="82"/>
      <c r="E316" s="81"/>
      <c r="F316" s="82"/>
      <c r="G316" s="83"/>
      <c r="H316" s="221"/>
      <c r="I316" s="83"/>
      <c r="J316" s="83"/>
      <c r="K316" s="83"/>
      <c r="L316" s="84"/>
      <c r="M316" s="84"/>
      <c r="N316" s="83"/>
      <c r="O316" s="222"/>
      <c r="P316" s="222"/>
      <c r="Q316" s="187"/>
      <c r="R316" s="187"/>
      <c r="S316" s="187"/>
      <c r="T316" s="187"/>
      <c r="U316" s="187"/>
      <c r="V316" s="187"/>
      <c r="W316" s="187"/>
      <c r="X316" s="187"/>
      <c r="Y316" s="187"/>
      <c r="Z316" s="187"/>
      <c r="AA316" s="187"/>
      <c r="AB316" s="187"/>
    </row>
    <row r="317" spans="1:28" ht="15.75" customHeight="1">
      <c r="A317" s="219"/>
      <c r="B317" s="83"/>
      <c r="C317" s="81"/>
      <c r="D317" s="82"/>
      <c r="E317" s="81"/>
      <c r="F317" s="82"/>
      <c r="G317" s="83"/>
      <c r="H317" s="221"/>
      <c r="I317" s="83"/>
      <c r="J317" s="83"/>
      <c r="K317" s="83"/>
      <c r="L317" s="84"/>
      <c r="M317" s="84"/>
      <c r="N317" s="83"/>
      <c r="O317" s="222"/>
      <c r="P317" s="222"/>
      <c r="Q317" s="187"/>
      <c r="R317" s="187"/>
      <c r="S317" s="187"/>
      <c r="T317" s="187"/>
      <c r="U317" s="187"/>
      <c r="V317" s="187"/>
      <c r="W317" s="187"/>
      <c r="X317" s="187"/>
      <c r="Y317" s="187"/>
      <c r="Z317" s="187"/>
      <c r="AA317" s="187"/>
      <c r="AB317" s="187"/>
    </row>
    <row r="318" spans="1:28" ht="15.75" customHeight="1">
      <c r="A318" s="219"/>
      <c r="B318" s="83"/>
      <c r="C318" s="81"/>
      <c r="D318" s="82"/>
      <c r="E318" s="81"/>
      <c r="F318" s="82"/>
      <c r="G318" s="83"/>
      <c r="H318" s="221"/>
      <c r="I318" s="83"/>
      <c r="J318" s="83"/>
      <c r="K318" s="83"/>
      <c r="L318" s="84"/>
      <c r="M318" s="84"/>
      <c r="N318" s="83"/>
      <c r="O318" s="222"/>
      <c r="P318" s="222"/>
      <c r="Q318" s="187"/>
      <c r="R318" s="187"/>
      <c r="S318" s="187"/>
      <c r="T318" s="187"/>
      <c r="U318" s="187"/>
      <c r="V318" s="187"/>
      <c r="W318" s="187"/>
      <c r="X318" s="187"/>
      <c r="Y318" s="187"/>
      <c r="Z318" s="187"/>
      <c r="AA318" s="187"/>
      <c r="AB318" s="187"/>
    </row>
    <row r="319" spans="1:28" ht="15.75" customHeight="1">
      <c r="A319" s="219"/>
      <c r="B319" s="83"/>
      <c r="C319" s="81"/>
      <c r="D319" s="82"/>
      <c r="E319" s="81"/>
      <c r="F319" s="82"/>
      <c r="G319" s="83"/>
      <c r="H319" s="221"/>
      <c r="I319" s="83"/>
      <c r="J319" s="83"/>
      <c r="K319" s="83"/>
      <c r="L319" s="84"/>
      <c r="M319" s="84"/>
      <c r="N319" s="83"/>
      <c r="O319" s="222"/>
      <c r="P319" s="222"/>
      <c r="Q319" s="187"/>
      <c r="R319" s="187"/>
      <c r="S319" s="187"/>
      <c r="T319" s="187"/>
      <c r="U319" s="187"/>
      <c r="V319" s="187"/>
      <c r="W319" s="187"/>
      <c r="X319" s="187"/>
      <c r="Y319" s="187"/>
      <c r="Z319" s="187"/>
      <c r="AA319" s="187"/>
      <c r="AB319" s="187"/>
    </row>
    <row r="320" spans="1:28" ht="15.75" customHeight="1">
      <c r="A320" s="219"/>
      <c r="B320" s="83"/>
      <c r="C320" s="81"/>
      <c r="D320" s="82"/>
      <c r="E320" s="81"/>
      <c r="F320" s="82"/>
      <c r="G320" s="83"/>
      <c r="H320" s="221"/>
      <c r="I320" s="83"/>
      <c r="J320" s="83"/>
      <c r="K320" s="83"/>
      <c r="L320" s="84"/>
      <c r="M320" s="84"/>
      <c r="N320" s="83"/>
      <c r="O320" s="222"/>
      <c r="P320" s="222"/>
      <c r="Q320" s="187"/>
      <c r="R320" s="187"/>
      <c r="S320" s="187"/>
      <c r="T320" s="187"/>
      <c r="U320" s="187"/>
      <c r="V320" s="187"/>
      <c r="W320" s="187"/>
      <c r="X320" s="187"/>
      <c r="Y320" s="187"/>
      <c r="Z320" s="187"/>
      <c r="AA320" s="187"/>
      <c r="AB320" s="187"/>
    </row>
    <row r="321" spans="1:28" ht="15.75" customHeight="1">
      <c r="A321" s="219"/>
      <c r="B321" s="83"/>
      <c r="C321" s="81"/>
      <c r="D321" s="82"/>
      <c r="E321" s="81"/>
      <c r="F321" s="82"/>
      <c r="G321" s="83"/>
      <c r="H321" s="221"/>
      <c r="I321" s="83"/>
      <c r="J321" s="83"/>
      <c r="K321" s="83"/>
      <c r="L321" s="84"/>
      <c r="M321" s="84"/>
      <c r="N321" s="83"/>
      <c r="O321" s="222"/>
      <c r="P321" s="222"/>
      <c r="Q321" s="187"/>
      <c r="R321" s="187"/>
      <c r="S321" s="187"/>
      <c r="T321" s="187"/>
      <c r="U321" s="187"/>
      <c r="V321" s="187"/>
      <c r="W321" s="187"/>
      <c r="X321" s="187"/>
      <c r="Y321" s="187"/>
      <c r="Z321" s="187"/>
      <c r="AA321" s="187"/>
      <c r="AB321" s="187"/>
    </row>
    <row r="322" spans="1:28" ht="15.75" customHeight="1">
      <c r="A322" s="219"/>
      <c r="B322" s="83"/>
      <c r="C322" s="81"/>
      <c r="D322" s="82"/>
      <c r="E322" s="81"/>
      <c r="F322" s="82"/>
      <c r="G322" s="83"/>
      <c r="H322" s="221"/>
      <c r="I322" s="83"/>
      <c r="J322" s="83"/>
      <c r="K322" s="83"/>
      <c r="L322" s="84"/>
      <c r="M322" s="84"/>
      <c r="N322" s="83"/>
      <c r="O322" s="222"/>
      <c r="P322" s="222"/>
      <c r="Q322" s="187"/>
      <c r="R322" s="187"/>
      <c r="S322" s="187"/>
      <c r="T322" s="187"/>
      <c r="U322" s="187"/>
      <c r="V322" s="187"/>
      <c r="W322" s="187"/>
      <c r="X322" s="187"/>
      <c r="Y322" s="187"/>
      <c r="Z322" s="187"/>
      <c r="AA322" s="187"/>
      <c r="AB322" s="187"/>
    </row>
    <row r="323" spans="1:28" ht="15.75" customHeight="1">
      <c r="A323" s="219"/>
      <c r="B323" s="83"/>
      <c r="C323" s="81"/>
      <c r="D323" s="82"/>
      <c r="E323" s="81"/>
      <c r="F323" s="82"/>
      <c r="G323" s="83"/>
      <c r="H323" s="221"/>
      <c r="I323" s="83"/>
      <c r="J323" s="83"/>
      <c r="K323" s="83"/>
      <c r="L323" s="84"/>
      <c r="M323" s="84"/>
      <c r="N323" s="83"/>
      <c r="O323" s="222"/>
      <c r="P323" s="222"/>
      <c r="Q323" s="187"/>
      <c r="R323" s="187"/>
      <c r="S323" s="187"/>
      <c r="T323" s="187"/>
      <c r="U323" s="187"/>
      <c r="V323" s="187"/>
      <c r="W323" s="187"/>
      <c r="X323" s="187"/>
      <c r="Y323" s="187"/>
      <c r="Z323" s="187"/>
      <c r="AA323" s="187"/>
      <c r="AB323" s="187"/>
    </row>
    <row r="324" spans="1:28" ht="15.75" customHeight="1">
      <c r="A324" s="219"/>
      <c r="B324" s="83"/>
      <c r="C324" s="81"/>
      <c r="D324" s="82"/>
      <c r="E324" s="81"/>
      <c r="F324" s="82"/>
      <c r="G324" s="83"/>
      <c r="H324" s="221"/>
      <c r="I324" s="83"/>
      <c r="J324" s="83"/>
      <c r="K324" s="83"/>
      <c r="L324" s="84"/>
      <c r="M324" s="84"/>
      <c r="N324" s="83"/>
      <c r="O324" s="222"/>
      <c r="P324" s="222"/>
      <c r="Q324" s="187"/>
      <c r="R324" s="187"/>
      <c r="S324" s="187"/>
      <c r="T324" s="187"/>
      <c r="U324" s="187"/>
      <c r="V324" s="187"/>
      <c r="W324" s="187"/>
      <c r="X324" s="187"/>
      <c r="Y324" s="187"/>
      <c r="Z324" s="187"/>
      <c r="AA324" s="187"/>
      <c r="AB324" s="187"/>
    </row>
    <row r="325" spans="1:28" ht="15.75" customHeight="1">
      <c r="A325" s="219"/>
      <c r="B325" s="83"/>
      <c r="C325" s="81"/>
      <c r="D325" s="82"/>
      <c r="E325" s="81"/>
      <c r="F325" s="82"/>
      <c r="G325" s="83"/>
      <c r="H325" s="221"/>
      <c r="I325" s="83"/>
      <c r="J325" s="83"/>
      <c r="K325" s="83"/>
      <c r="L325" s="84"/>
      <c r="M325" s="84"/>
      <c r="N325" s="83"/>
      <c r="O325" s="222"/>
      <c r="P325" s="222"/>
      <c r="Q325" s="187"/>
      <c r="R325" s="187"/>
      <c r="S325" s="187"/>
      <c r="T325" s="187"/>
      <c r="U325" s="187"/>
      <c r="V325" s="187"/>
      <c r="W325" s="187"/>
      <c r="X325" s="187"/>
      <c r="Y325" s="187"/>
      <c r="Z325" s="187"/>
      <c r="AA325" s="187"/>
      <c r="AB325" s="187"/>
    </row>
    <row r="326" spans="1:28" ht="15.75" customHeight="1">
      <c r="A326" s="219"/>
      <c r="B326" s="83"/>
      <c r="C326" s="81"/>
      <c r="D326" s="82"/>
      <c r="E326" s="81"/>
      <c r="F326" s="82"/>
      <c r="G326" s="83"/>
      <c r="H326" s="221"/>
      <c r="I326" s="83"/>
      <c r="J326" s="83"/>
      <c r="K326" s="83"/>
      <c r="L326" s="84"/>
      <c r="M326" s="84"/>
      <c r="N326" s="83"/>
      <c r="O326" s="222"/>
      <c r="P326" s="222"/>
      <c r="Q326" s="187"/>
      <c r="R326" s="187"/>
      <c r="S326" s="187"/>
      <c r="T326" s="187"/>
      <c r="U326" s="187"/>
      <c r="V326" s="187"/>
      <c r="W326" s="187"/>
      <c r="X326" s="187"/>
      <c r="Y326" s="187"/>
      <c r="Z326" s="187"/>
      <c r="AA326" s="187"/>
      <c r="AB326" s="187"/>
    </row>
    <row r="327" spans="1:28" ht="15.75" customHeight="1">
      <c r="A327" s="219"/>
      <c r="B327" s="83"/>
      <c r="C327" s="81"/>
      <c r="D327" s="82"/>
      <c r="E327" s="81"/>
      <c r="F327" s="82"/>
      <c r="G327" s="83"/>
      <c r="H327" s="221"/>
      <c r="I327" s="83"/>
      <c r="J327" s="83"/>
      <c r="K327" s="83"/>
      <c r="L327" s="84"/>
      <c r="M327" s="84"/>
      <c r="N327" s="83"/>
      <c r="O327" s="222"/>
      <c r="P327" s="222"/>
      <c r="Q327" s="187"/>
      <c r="R327" s="187"/>
      <c r="S327" s="187"/>
      <c r="T327" s="187"/>
      <c r="U327" s="187"/>
      <c r="V327" s="187"/>
      <c r="W327" s="187"/>
      <c r="X327" s="187"/>
      <c r="Y327" s="187"/>
      <c r="Z327" s="187"/>
      <c r="AA327" s="187"/>
      <c r="AB327" s="187"/>
    </row>
    <row r="328" spans="1:28" ht="15.75" customHeight="1">
      <c r="A328" s="219"/>
      <c r="B328" s="83"/>
      <c r="C328" s="81"/>
      <c r="D328" s="82"/>
      <c r="E328" s="81"/>
      <c r="F328" s="82"/>
      <c r="G328" s="83"/>
      <c r="H328" s="221"/>
      <c r="I328" s="83"/>
      <c r="J328" s="83"/>
      <c r="K328" s="83"/>
      <c r="L328" s="84"/>
      <c r="M328" s="84"/>
      <c r="N328" s="83"/>
      <c r="O328" s="222"/>
      <c r="P328" s="222"/>
      <c r="Q328" s="187"/>
      <c r="R328" s="187"/>
      <c r="S328" s="187"/>
      <c r="T328" s="187"/>
      <c r="U328" s="187"/>
      <c r="V328" s="187"/>
      <c r="W328" s="187"/>
      <c r="X328" s="187"/>
      <c r="Y328" s="187"/>
      <c r="Z328" s="187"/>
      <c r="AA328" s="187"/>
      <c r="AB328" s="187"/>
    </row>
    <row r="329" spans="1:28" ht="15.75" customHeight="1">
      <c r="A329" s="219"/>
      <c r="B329" s="83"/>
      <c r="C329" s="81"/>
      <c r="D329" s="82"/>
      <c r="E329" s="81"/>
      <c r="F329" s="82"/>
      <c r="G329" s="83"/>
      <c r="H329" s="221"/>
      <c r="I329" s="83"/>
      <c r="J329" s="83"/>
      <c r="K329" s="83"/>
      <c r="L329" s="84"/>
      <c r="M329" s="84"/>
      <c r="N329" s="83"/>
      <c r="O329" s="222"/>
      <c r="P329" s="222"/>
      <c r="Q329" s="187"/>
      <c r="R329" s="187"/>
      <c r="S329" s="187"/>
      <c r="T329" s="187"/>
      <c r="U329" s="187"/>
      <c r="V329" s="187"/>
      <c r="W329" s="187"/>
      <c r="X329" s="187"/>
      <c r="Y329" s="187"/>
      <c r="Z329" s="187"/>
      <c r="AA329" s="187"/>
      <c r="AB329" s="187"/>
    </row>
    <row r="330" spans="1:28" ht="15.75" customHeight="1">
      <c r="A330" s="219"/>
      <c r="B330" s="83"/>
      <c r="C330" s="81"/>
      <c r="D330" s="82"/>
      <c r="E330" s="81"/>
      <c r="F330" s="82"/>
      <c r="G330" s="83"/>
      <c r="H330" s="221"/>
      <c r="I330" s="83"/>
      <c r="J330" s="83"/>
      <c r="K330" s="83"/>
      <c r="L330" s="84"/>
      <c r="M330" s="84"/>
      <c r="N330" s="83"/>
      <c r="O330" s="222"/>
      <c r="P330" s="222"/>
      <c r="Q330" s="187"/>
      <c r="R330" s="187"/>
      <c r="S330" s="187"/>
      <c r="T330" s="187"/>
      <c r="U330" s="187"/>
      <c r="V330" s="187"/>
      <c r="W330" s="187"/>
      <c r="X330" s="187"/>
      <c r="Y330" s="187"/>
      <c r="Z330" s="187"/>
      <c r="AA330" s="187"/>
      <c r="AB330" s="187"/>
    </row>
    <row r="331" spans="1:28" ht="15.75" customHeight="1">
      <c r="A331" s="219"/>
      <c r="B331" s="83"/>
      <c r="C331" s="81"/>
      <c r="D331" s="82"/>
      <c r="E331" s="81"/>
      <c r="F331" s="82"/>
      <c r="G331" s="83"/>
      <c r="H331" s="221"/>
      <c r="I331" s="83"/>
      <c r="J331" s="83"/>
      <c r="K331" s="83"/>
      <c r="L331" s="84"/>
      <c r="M331" s="84"/>
      <c r="N331" s="83"/>
      <c r="O331" s="222"/>
      <c r="P331" s="222"/>
      <c r="Q331" s="187"/>
      <c r="R331" s="187"/>
      <c r="S331" s="187"/>
      <c r="T331" s="187"/>
      <c r="U331" s="187"/>
      <c r="V331" s="187"/>
      <c r="W331" s="187"/>
      <c r="X331" s="187"/>
      <c r="Y331" s="187"/>
      <c r="Z331" s="187"/>
      <c r="AA331" s="187"/>
      <c r="AB331" s="187"/>
    </row>
    <row r="332" spans="1:28" ht="15.75" customHeight="1">
      <c r="A332" s="219"/>
      <c r="B332" s="83"/>
      <c r="C332" s="81"/>
      <c r="D332" s="82"/>
      <c r="E332" s="81"/>
      <c r="F332" s="82"/>
      <c r="G332" s="83"/>
      <c r="H332" s="221"/>
      <c r="I332" s="83"/>
      <c r="J332" s="83"/>
      <c r="K332" s="83"/>
      <c r="L332" s="84"/>
      <c r="M332" s="84"/>
      <c r="N332" s="83"/>
      <c r="O332" s="222"/>
      <c r="P332" s="222"/>
      <c r="Q332" s="187"/>
      <c r="R332" s="187"/>
      <c r="S332" s="187"/>
      <c r="T332" s="187"/>
      <c r="U332" s="187"/>
      <c r="V332" s="187"/>
      <c r="W332" s="187"/>
      <c r="X332" s="187"/>
      <c r="Y332" s="187"/>
      <c r="Z332" s="187"/>
      <c r="AA332" s="187"/>
      <c r="AB332" s="187"/>
    </row>
    <row r="333" spans="1:28" ht="15.75" customHeight="1">
      <c r="A333" s="219"/>
      <c r="B333" s="83"/>
      <c r="C333" s="81"/>
      <c r="D333" s="82"/>
      <c r="E333" s="81"/>
      <c r="F333" s="82"/>
      <c r="G333" s="83"/>
      <c r="H333" s="221"/>
      <c r="I333" s="83"/>
      <c r="J333" s="83"/>
      <c r="K333" s="83"/>
      <c r="L333" s="84"/>
      <c r="M333" s="84"/>
      <c r="N333" s="83"/>
      <c r="O333" s="222"/>
      <c r="P333" s="222"/>
      <c r="Q333" s="187"/>
      <c r="R333" s="187"/>
      <c r="S333" s="187"/>
      <c r="T333" s="187"/>
      <c r="U333" s="187"/>
      <c r="V333" s="187"/>
      <c r="W333" s="187"/>
      <c r="X333" s="187"/>
      <c r="Y333" s="187"/>
      <c r="Z333" s="187"/>
      <c r="AA333" s="187"/>
      <c r="AB333" s="187"/>
    </row>
    <row r="334" spans="1:28" ht="15.75" customHeight="1">
      <c r="A334" s="219"/>
      <c r="B334" s="83"/>
      <c r="C334" s="81"/>
      <c r="D334" s="82"/>
      <c r="E334" s="81"/>
      <c r="F334" s="82"/>
      <c r="G334" s="83"/>
      <c r="H334" s="221"/>
      <c r="I334" s="83"/>
      <c r="J334" s="83"/>
      <c r="K334" s="83"/>
      <c r="L334" s="84"/>
      <c r="M334" s="84"/>
      <c r="N334" s="83"/>
      <c r="O334" s="222"/>
      <c r="P334" s="222"/>
      <c r="Q334" s="187"/>
      <c r="R334" s="187"/>
      <c r="S334" s="187"/>
      <c r="T334" s="187"/>
      <c r="U334" s="187"/>
      <c r="V334" s="187"/>
      <c r="W334" s="187"/>
      <c r="X334" s="187"/>
      <c r="Y334" s="187"/>
      <c r="Z334" s="187"/>
      <c r="AA334" s="187"/>
      <c r="AB334" s="187"/>
    </row>
    <row r="335" spans="1:28" ht="15.75" customHeight="1">
      <c r="A335" s="219"/>
      <c r="B335" s="83"/>
      <c r="C335" s="81"/>
      <c r="D335" s="82"/>
      <c r="E335" s="81"/>
      <c r="F335" s="82"/>
      <c r="G335" s="83"/>
      <c r="H335" s="221"/>
      <c r="I335" s="83"/>
      <c r="J335" s="83"/>
      <c r="K335" s="83"/>
      <c r="L335" s="84"/>
      <c r="M335" s="84"/>
      <c r="N335" s="83"/>
      <c r="O335" s="222"/>
      <c r="P335" s="222"/>
      <c r="Q335" s="187"/>
      <c r="R335" s="187"/>
      <c r="S335" s="187"/>
      <c r="T335" s="187"/>
      <c r="U335" s="187"/>
      <c r="V335" s="187"/>
      <c r="W335" s="187"/>
      <c r="X335" s="187"/>
      <c r="Y335" s="187"/>
      <c r="Z335" s="187"/>
      <c r="AA335" s="187"/>
      <c r="AB335" s="187"/>
    </row>
    <row r="336" spans="1:28" ht="15.75" customHeight="1">
      <c r="A336" s="219"/>
      <c r="B336" s="83"/>
      <c r="C336" s="81"/>
      <c r="D336" s="82"/>
      <c r="E336" s="81"/>
      <c r="F336" s="82"/>
      <c r="G336" s="83"/>
      <c r="H336" s="221"/>
      <c r="I336" s="83"/>
      <c r="J336" s="83"/>
      <c r="K336" s="83"/>
      <c r="L336" s="84"/>
      <c r="M336" s="84"/>
      <c r="N336" s="83"/>
      <c r="O336" s="222"/>
      <c r="P336" s="222"/>
      <c r="Q336" s="187"/>
      <c r="R336" s="187"/>
      <c r="S336" s="187"/>
      <c r="T336" s="187"/>
      <c r="U336" s="187"/>
      <c r="V336" s="187"/>
      <c r="W336" s="187"/>
      <c r="X336" s="187"/>
      <c r="Y336" s="187"/>
      <c r="Z336" s="187"/>
      <c r="AA336" s="187"/>
      <c r="AB336" s="187"/>
    </row>
    <row r="337" spans="1:28" ht="15.75" customHeight="1">
      <c r="A337" s="219"/>
      <c r="B337" s="83"/>
      <c r="C337" s="81"/>
      <c r="D337" s="82"/>
      <c r="E337" s="81"/>
      <c r="F337" s="82"/>
      <c r="G337" s="83"/>
      <c r="H337" s="221"/>
      <c r="I337" s="83"/>
      <c r="J337" s="83"/>
      <c r="K337" s="83"/>
      <c r="L337" s="84"/>
      <c r="M337" s="84"/>
      <c r="N337" s="83"/>
      <c r="O337" s="222"/>
      <c r="P337" s="222"/>
      <c r="Q337" s="187"/>
      <c r="R337" s="187"/>
      <c r="S337" s="187"/>
      <c r="T337" s="187"/>
      <c r="U337" s="187"/>
      <c r="V337" s="187"/>
      <c r="W337" s="187"/>
      <c r="X337" s="187"/>
      <c r="Y337" s="187"/>
      <c r="Z337" s="187"/>
      <c r="AA337" s="187"/>
      <c r="AB337" s="187"/>
    </row>
    <row r="338" spans="1:28" ht="15.75" customHeight="1">
      <c r="A338" s="219"/>
      <c r="B338" s="83"/>
      <c r="C338" s="81"/>
      <c r="D338" s="82"/>
      <c r="E338" s="81"/>
      <c r="F338" s="82"/>
      <c r="G338" s="83"/>
      <c r="H338" s="221"/>
      <c r="I338" s="83"/>
      <c r="J338" s="83"/>
      <c r="K338" s="83"/>
      <c r="L338" s="84"/>
      <c r="M338" s="84"/>
      <c r="N338" s="83"/>
      <c r="O338" s="222"/>
      <c r="P338" s="222"/>
      <c r="Q338" s="187"/>
      <c r="R338" s="187"/>
      <c r="S338" s="187"/>
      <c r="T338" s="187"/>
      <c r="U338" s="187"/>
      <c r="V338" s="187"/>
      <c r="W338" s="187"/>
      <c r="X338" s="187"/>
      <c r="Y338" s="187"/>
      <c r="Z338" s="187"/>
      <c r="AA338" s="187"/>
      <c r="AB338" s="187"/>
    </row>
    <row r="339" spans="1:28" ht="15.75" customHeight="1">
      <c r="A339" s="219"/>
      <c r="B339" s="83"/>
      <c r="C339" s="81"/>
      <c r="D339" s="82"/>
      <c r="E339" s="81"/>
      <c r="F339" s="82"/>
      <c r="G339" s="83"/>
      <c r="H339" s="221"/>
      <c r="I339" s="83"/>
      <c r="J339" s="83"/>
      <c r="K339" s="83"/>
      <c r="L339" s="84"/>
      <c r="M339" s="84"/>
      <c r="N339" s="83"/>
      <c r="O339" s="222"/>
      <c r="P339" s="222"/>
      <c r="Q339" s="187"/>
      <c r="R339" s="187"/>
      <c r="S339" s="187"/>
      <c r="T339" s="187"/>
      <c r="U339" s="187"/>
      <c r="V339" s="187"/>
      <c r="W339" s="187"/>
      <c r="X339" s="187"/>
      <c r="Y339" s="187"/>
      <c r="Z339" s="187"/>
      <c r="AA339" s="187"/>
      <c r="AB339" s="187"/>
    </row>
    <row r="340" spans="1:28" ht="15.75" customHeight="1">
      <c r="A340" s="219"/>
      <c r="B340" s="83"/>
      <c r="C340" s="81"/>
      <c r="D340" s="82"/>
      <c r="E340" s="81"/>
      <c r="F340" s="82"/>
      <c r="G340" s="83"/>
      <c r="H340" s="221"/>
      <c r="I340" s="83"/>
      <c r="J340" s="83"/>
      <c r="K340" s="83"/>
      <c r="L340" s="84"/>
      <c r="M340" s="84"/>
      <c r="N340" s="83"/>
      <c r="O340" s="222"/>
      <c r="P340" s="222"/>
      <c r="Q340" s="187"/>
      <c r="R340" s="187"/>
      <c r="S340" s="187"/>
      <c r="T340" s="187"/>
      <c r="U340" s="187"/>
      <c r="V340" s="187"/>
      <c r="W340" s="187"/>
      <c r="X340" s="187"/>
      <c r="Y340" s="187"/>
      <c r="Z340" s="187"/>
      <c r="AA340" s="187"/>
      <c r="AB340" s="187"/>
    </row>
    <row r="341" spans="1:28" ht="15.75" customHeight="1">
      <c r="A341" s="219"/>
      <c r="B341" s="83"/>
      <c r="C341" s="81"/>
      <c r="D341" s="82"/>
      <c r="E341" s="81"/>
      <c r="F341" s="82"/>
      <c r="G341" s="83"/>
      <c r="H341" s="221"/>
      <c r="I341" s="83"/>
      <c r="J341" s="83"/>
      <c r="K341" s="83"/>
      <c r="L341" s="84"/>
      <c r="M341" s="84"/>
      <c r="N341" s="83"/>
      <c r="O341" s="222"/>
      <c r="P341" s="222"/>
      <c r="Q341" s="187"/>
      <c r="R341" s="187"/>
      <c r="S341" s="187"/>
      <c r="T341" s="187"/>
      <c r="U341" s="187"/>
      <c r="V341" s="187"/>
      <c r="W341" s="187"/>
      <c r="X341" s="187"/>
      <c r="Y341" s="187"/>
      <c r="Z341" s="187"/>
      <c r="AA341" s="187"/>
      <c r="AB341" s="187"/>
    </row>
    <row r="342" spans="1:28" ht="15.75" customHeight="1">
      <c r="A342" s="219"/>
      <c r="B342" s="83"/>
      <c r="C342" s="81"/>
      <c r="D342" s="82"/>
      <c r="E342" s="81"/>
      <c r="F342" s="82"/>
      <c r="G342" s="83"/>
      <c r="H342" s="221"/>
      <c r="I342" s="83"/>
      <c r="J342" s="83"/>
      <c r="K342" s="83"/>
      <c r="L342" s="84"/>
      <c r="M342" s="84"/>
      <c r="N342" s="83"/>
      <c r="O342" s="222"/>
      <c r="P342" s="222"/>
      <c r="Q342" s="187"/>
      <c r="R342" s="187"/>
      <c r="S342" s="187"/>
      <c r="T342" s="187"/>
      <c r="U342" s="187"/>
      <c r="V342" s="187"/>
      <c r="W342" s="187"/>
      <c r="X342" s="187"/>
      <c r="Y342" s="187"/>
      <c r="Z342" s="187"/>
      <c r="AA342" s="187"/>
      <c r="AB342" s="187"/>
    </row>
    <row r="343" spans="1:28" ht="15.75" customHeight="1">
      <c r="A343" s="219"/>
      <c r="B343" s="83"/>
      <c r="C343" s="81"/>
      <c r="D343" s="82"/>
      <c r="E343" s="81"/>
      <c r="F343" s="82"/>
      <c r="G343" s="83"/>
      <c r="H343" s="221"/>
      <c r="I343" s="83"/>
      <c r="J343" s="83"/>
      <c r="K343" s="83"/>
      <c r="L343" s="84"/>
      <c r="M343" s="84"/>
      <c r="N343" s="83"/>
      <c r="O343" s="222"/>
      <c r="P343" s="222"/>
      <c r="Q343" s="187"/>
      <c r="R343" s="187"/>
      <c r="S343" s="187"/>
      <c r="T343" s="187"/>
      <c r="U343" s="187"/>
      <c r="V343" s="187"/>
      <c r="W343" s="187"/>
      <c r="X343" s="187"/>
      <c r="Y343" s="187"/>
      <c r="Z343" s="187"/>
      <c r="AA343" s="187"/>
      <c r="AB343" s="187"/>
    </row>
    <row r="344" spans="1:28" ht="15.75" customHeight="1">
      <c r="A344" s="219"/>
      <c r="B344" s="83"/>
      <c r="C344" s="81"/>
      <c r="D344" s="82"/>
      <c r="E344" s="81"/>
      <c r="F344" s="82"/>
      <c r="G344" s="83"/>
      <c r="H344" s="221"/>
      <c r="I344" s="83"/>
      <c r="J344" s="83"/>
      <c r="K344" s="83"/>
      <c r="L344" s="84"/>
      <c r="M344" s="84"/>
      <c r="N344" s="83"/>
      <c r="O344" s="222"/>
      <c r="P344" s="222"/>
      <c r="Q344" s="187"/>
      <c r="R344" s="187"/>
      <c r="S344" s="187"/>
      <c r="T344" s="187"/>
      <c r="U344" s="187"/>
      <c r="V344" s="187"/>
      <c r="W344" s="187"/>
      <c r="X344" s="187"/>
      <c r="Y344" s="187"/>
      <c r="Z344" s="187"/>
      <c r="AA344" s="187"/>
      <c r="AB344" s="187"/>
    </row>
    <row r="345" spans="1:28" ht="15.75" customHeight="1">
      <c r="A345" s="219"/>
      <c r="B345" s="83"/>
      <c r="C345" s="81"/>
      <c r="D345" s="82"/>
      <c r="E345" s="81"/>
      <c r="F345" s="82"/>
      <c r="G345" s="83"/>
      <c r="H345" s="221"/>
      <c r="I345" s="83"/>
      <c r="J345" s="83"/>
      <c r="K345" s="83"/>
      <c r="L345" s="84"/>
      <c r="M345" s="84"/>
      <c r="N345" s="83"/>
      <c r="O345" s="222"/>
      <c r="P345" s="222"/>
      <c r="Q345" s="187"/>
      <c r="R345" s="187"/>
      <c r="S345" s="187"/>
      <c r="T345" s="187"/>
      <c r="U345" s="187"/>
      <c r="V345" s="187"/>
      <c r="W345" s="187"/>
      <c r="X345" s="187"/>
      <c r="Y345" s="187"/>
      <c r="Z345" s="187"/>
      <c r="AA345" s="187"/>
      <c r="AB345" s="187"/>
    </row>
    <row r="346" spans="1:28" ht="15.75" customHeight="1">
      <c r="A346" s="219"/>
      <c r="B346" s="83"/>
      <c r="C346" s="81"/>
      <c r="D346" s="82"/>
      <c r="E346" s="81"/>
      <c r="F346" s="82"/>
      <c r="G346" s="83"/>
      <c r="H346" s="221"/>
      <c r="I346" s="83"/>
      <c r="J346" s="83"/>
      <c r="K346" s="83"/>
      <c r="L346" s="84"/>
      <c r="M346" s="84"/>
      <c r="N346" s="83"/>
      <c r="O346" s="222"/>
      <c r="P346" s="222"/>
      <c r="Q346" s="187"/>
      <c r="R346" s="187"/>
      <c r="S346" s="187"/>
      <c r="T346" s="187"/>
      <c r="U346" s="187"/>
      <c r="V346" s="187"/>
      <c r="W346" s="187"/>
      <c r="X346" s="187"/>
      <c r="Y346" s="187"/>
      <c r="Z346" s="187"/>
      <c r="AA346" s="187"/>
      <c r="AB346" s="187"/>
    </row>
    <row r="347" spans="1:28" ht="15.75" customHeight="1">
      <c r="A347" s="219"/>
      <c r="B347" s="83"/>
      <c r="C347" s="81"/>
      <c r="D347" s="82"/>
      <c r="E347" s="81"/>
      <c r="F347" s="82"/>
      <c r="G347" s="83"/>
      <c r="H347" s="221"/>
      <c r="I347" s="83"/>
      <c r="J347" s="83"/>
      <c r="K347" s="83"/>
      <c r="L347" s="84"/>
      <c r="M347" s="84"/>
      <c r="N347" s="83"/>
      <c r="O347" s="222"/>
      <c r="P347" s="222"/>
      <c r="Q347" s="187"/>
      <c r="R347" s="187"/>
      <c r="S347" s="187"/>
      <c r="T347" s="187"/>
      <c r="U347" s="187"/>
      <c r="V347" s="187"/>
      <c r="W347" s="187"/>
      <c r="X347" s="187"/>
      <c r="Y347" s="187"/>
      <c r="Z347" s="187"/>
      <c r="AA347" s="187"/>
      <c r="AB347" s="187"/>
    </row>
    <row r="348" spans="1:28" ht="15.75" customHeight="1">
      <c r="A348" s="219"/>
      <c r="B348" s="83"/>
      <c r="C348" s="81"/>
      <c r="D348" s="82"/>
      <c r="E348" s="81"/>
      <c r="F348" s="82"/>
      <c r="G348" s="83"/>
      <c r="H348" s="221"/>
      <c r="I348" s="83"/>
      <c r="J348" s="83"/>
      <c r="K348" s="83"/>
      <c r="L348" s="84"/>
      <c r="M348" s="84"/>
      <c r="N348" s="83"/>
      <c r="O348" s="222"/>
      <c r="P348" s="222"/>
      <c r="Q348" s="187"/>
      <c r="R348" s="187"/>
      <c r="S348" s="187"/>
      <c r="T348" s="187"/>
      <c r="U348" s="187"/>
      <c r="V348" s="187"/>
      <c r="W348" s="187"/>
      <c r="X348" s="187"/>
      <c r="Y348" s="187"/>
      <c r="Z348" s="187"/>
      <c r="AA348" s="187"/>
      <c r="AB348" s="187"/>
    </row>
    <row r="349" spans="1:28" ht="15.75" customHeight="1">
      <c r="A349" s="219"/>
      <c r="B349" s="83"/>
      <c r="C349" s="81"/>
      <c r="D349" s="82"/>
      <c r="E349" s="81"/>
      <c r="F349" s="82"/>
      <c r="G349" s="83"/>
      <c r="H349" s="221"/>
      <c r="I349" s="83"/>
      <c r="J349" s="83"/>
      <c r="K349" s="83"/>
      <c r="L349" s="84"/>
      <c r="M349" s="84"/>
      <c r="N349" s="83"/>
      <c r="O349" s="222"/>
      <c r="P349" s="222"/>
      <c r="Q349" s="187"/>
      <c r="R349" s="187"/>
      <c r="S349" s="187"/>
      <c r="T349" s="187"/>
      <c r="U349" s="187"/>
      <c r="V349" s="187"/>
      <c r="W349" s="187"/>
      <c r="X349" s="187"/>
      <c r="Y349" s="187"/>
      <c r="Z349" s="187"/>
      <c r="AA349" s="187"/>
      <c r="AB349" s="187"/>
    </row>
    <row r="350" spans="1:28" ht="15.75" customHeight="1">
      <c r="A350" s="219"/>
      <c r="B350" s="83"/>
      <c r="C350" s="81"/>
      <c r="D350" s="82"/>
      <c r="E350" s="81"/>
      <c r="F350" s="82"/>
      <c r="G350" s="83"/>
      <c r="H350" s="221"/>
      <c r="I350" s="83"/>
      <c r="J350" s="83"/>
      <c r="K350" s="83"/>
      <c r="L350" s="84"/>
      <c r="M350" s="84"/>
      <c r="N350" s="83"/>
      <c r="O350" s="222"/>
      <c r="P350" s="222"/>
      <c r="Q350" s="187"/>
      <c r="R350" s="187"/>
      <c r="S350" s="187"/>
      <c r="T350" s="187"/>
      <c r="U350" s="187"/>
      <c r="V350" s="187"/>
      <c r="W350" s="187"/>
      <c r="X350" s="187"/>
      <c r="Y350" s="187"/>
      <c r="Z350" s="187"/>
      <c r="AA350" s="187"/>
      <c r="AB350" s="187"/>
    </row>
    <row r="351" spans="1:28" ht="15.75" customHeight="1">
      <c r="A351" s="219"/>
      <c r="B351" s="83"/>
      <c r="C351" s="81"/>
      <c r="D351" s="82"/>
      <c r="E351" s="81"/>
      <c r="F351" s="82"/>
      <c r="G351" s="83"/>
      <c r="H351" s="221"/>
      <c r="I351" s="83"/>
      <c r="J351" s="83"/>
      <c r="K351" s="83"/>
      <c r="L351" s="84"/>
      <c r="M351" s="84"/>
      <c r="N351" s="83"/>
      <c r="O351" s="222"/>
      <c r="P351" s="222"/>
      <c r="Q351" s="187"/>
      <c r="R351" s="187"/>
      <c r="S351" s="187"/>
      <c r="T351" s="187"/>
      <c r="U351" s="187"/>
      <c r="V351" s="187"/>
      <c r="W351" s="187"/>
      <c r="X351" s="187"/>
      <c r="Y351" s="187"/>
      <c r="Z351" s="187"/>
      <c r="AA351" s="187"/>
      <c r="AB351" s="187"/>
    </row>
    <row r="352" spans="1:28" ht="15.75" customHeight="1">
      <c r="A352" s="219"/>
      <c r="B352" s="83"/>
      <c r="C352" s="81"/>
      <c r="D352" s="82"/>
      <c r="E352" s="81"/>
      <c r="F352" s="82"/>
      <c r="G352" s="83"/>
      <c r="H352" s="221"/>
      <c r="I352" s="83"/>
      <c r="J352" s="83"/>
      <c r="K352" s="83"/>
      <c r="L352" s="84"/>
      <c r="M352" s="84"/>
      <c r="N352" s="83"/>
      <c r="O352" s="222"/>
      <c r="P352" s="222"/>
      <c r="Q352" s="187"/>
      <c r="R352" s="187"/>
      <c r="S352" s="187"/>
      <c r="T352" s="187"/>
      <c r="U352" s="187"/>
      <c r="V352" s="187"/>
      <c r="W352" s="187"/>
      <c r="X352" s="187"/>
      <c r="Y352" s="187"/>
      <c r="Z352" s="187"/>
      <c r="AA352" s="187"/>
      <c r="AB352" s="187"/>
    </row>
    <row r="353" spans="1:28" ht="15.75" customHeight="1">
      <c r="A353" s="219"/>
      <c r="B353" s="83"/>
      <c r="C353" s="81"/>
      <c r="D353" s="82"/>
      <c r="E353" s="81"/>
      <c r="F353" s="82"/>
      <c r="G353" s="83"/>
      <c r="H353" s="221"/>
      <c r="I353" s="83"/>
      <c r="J353" s="83"/>
      <c r="K353" s="83"/>
      <c r="L353" s="84"/>
      <c r="M353" s="84"/>
      <c r="N353" s="83"/>
      <c r="O353" s="222"/>
      <c r="P353" s="222"/>
      <c r="Q353" s="187"/>
      <c r="R353" s="187"/>
      <c r="S353" s="187"/>
      <c r="T353" s="187"/>
      <c r="U353" s="187"/>
      <c r="V353" s="187"/>
      <c r="W353" s="187"/>
      <c r="X353" s="187"/>
      <c r="Y353" s="187"/>
      <c r="Z353" s="187"/>
      <c r="AA353" s="187"/>
      <c r="AB353" s="187"/>
    </row>
    <row r="354" spans="1:28" ht="15.75" customHeight="1">
      <c r="A354" s="219"/>
      <c r="B354" s="83"/>
      <c r="C354" s="81"/>
      <c r="D354" s="82"/>
      <c r="E354" s="81"/>
      <c r="F354" s="82"/>
      <c r="G354" s="83"/>
      <c r="H354" s="221"/>
      <c r="I354" s="83"/>
      <c r="J354" s="83"/>
      <c r="K354" s="83"/>
      <c r="L354" s="84"/>
      <c r="M354" s="84"/>
      <c r="N354" s="83"/>
      <c r="O354" s="222"/>
      <c r="P354" s="222"/>
      <c r="Q354" s="187"/>
      <c r="R354" s="187"/>
      <c r="S354" s="187"/>
      <c r="T354" s="187"/>
      <c r="U354" s="187"/>
      <c r="V354" s="187"/>
      <c r="W354" s="187"/>
      <c r="X354" s="187"/>
      <c r="Y354" s="187"/>
      <c r="Z354" s="187"/>
      <c r="AA354" s="187"/>
      <c r="AB354" s="187"/>
    </row>
    <row r="355" spans="1:28" ht="15.75" customHeight="1">
      <c r="A355" s="219"/>
      <c r="B355" s="83"/>
      <c r="C355" s="81"/>
      <c r="D355" s="82"/>
      <c r="E355" s="81"/>
      <c r="F355" s="82"/>
      <c r="G355" s="83"/>
      <c r="H355" s="221"/>
      <c r="I355" s="83"/>
      <c r="J355" s="83"/>
      <c r="K355" s="83"/>
      <c r="L355" s="84"/>
      <c r="M355" s="84"/>
      <c r="N355" s="83"/>
      <c r="O355" s="222"/>
      <c r="P355" s="222"/>
      <c r="Q355" s="187"/>
      <c r="R355" s="187"/>
      <c r="S355" s="187"/>
      <c r="T355" s="187"/>
      <c r="U355" s="187"/>
      <c r="V355" s="187"/>
      <c r="W355" s="187"/>
      <c r="X355" s="187"/>
      <c r="Y355" s="187"/>
      <c r="Z355" s="187"/>
      <c r="AA355" s="187"/>
      <c r="AB355" s="187"/>
    </row>
    <row r="356" spans="1:28" ht="15.75" customHeight="1">
      <c r="A356" s="219"/>
      <c r="B356" s="83"/>
      <c r="C356" s="81"/>
      <c r="D356" s="82"/>
      <c r="E356" s="81"/>
      <c r="F356" s="82"/>
      <c r="G356" s="83"/>
      <c r="H356" s="221"/>
      <c r="I356" s="83"/>
      <c r="J356" s="83"/>
      <c r="K356" s="83"/>
      <c r="L356" s="84"/>
      <c r="M356" s="84"/>
      <c r="N356" s="83"/>
      <c r="O356" s="222"/>
      <c r="P356" s="222"/>
      <c r="Q356" s="187"/>
      <c r="R356" s="187"/>
      <c r="S356" s="187"/>
      <c r="T356" s="187"/>
      <c r="U356" s="187"/>
      <c r="V356" s="187"/>
      <c r="W356" s="187"/>
      <c r="X356" s="187"/>
      <c r="Y356" s="187"/>
      <c r="Z356" s="187"/>
      <c r="AA356" s="187"/>
      <c r="AB356" s="187"/>
    </row>
    <row r="357" spans="1:28" ht="15.75" customHeight="1">
      <c r="A357" s="219"/>
      <c r="B357" s="83"/>
      <c r="C357" s="81"/>
      <c r="D357" s="82"/>
      <c r="E357" s="81"/>
      <c r="F357" s="82"/>
      <c r="G357" s="83"/>
      <c r="H357" s="221"/>
      <c r="I357" s="83"/>
      <c r="J357" s="83"/>
      <c r="K357" s="83"/>
      <c r="L357" s="84"/>
      <c r="M357" s="84"/>
      <c r="N357" s="83"/>
      <c r="O357" s="222"/>
      <c r="P357" s="222"/>
      <c r="Q357" s="187"/>
      <c r="R357" s="187"/>
      <c r="S357" s="187"/>
      <c r="T357" s="187"/>
      <c r="U357" s="187"/>
      <c r="V357" s="187"/>
      <c r="W357" s="187"/>
      <c r="X357" s="187"/>
      <c r="Y357" s="187"/>
      <c r="Z357" s="187"/>
      <c r="AA357" s="187"/>
      <c r="AB357" s="187"/>
    </row>
    <row r="358" spans="1:28" ht="15.75" customHeight="1">
      <c r="A358" s="219"/>
      <c r="B358" s="83"/>
      <c r="C358" s="81"/>
      <c r="D358" s="82"/>
      <c r="E358" s="81"/>
      <c r="F358" s="82"/>
      <c r="G358" s="83"/>
      <c r="H358" s="221"/>
      <c r="I358" s="83"/>
      <c r="J358" s="83"/>
      <c r="K358" s="83"/>
      <c r="L358" s="84"/>
      <c r="M358" s="84"/>
      <c r="N358" s="83"/>
      <c r="O358" s="222"/>
      <c r="P358" s="222"/>
      <c r="Q358" s="187"/>
      <c r="R358" s="187"/>
      <c r="S358" s="187"/>
      <c r="T358" s="187"/>
      <c r="U358" s="187"/>
      <c r="V358" s="187"/>
      <c r="W358" s="187"/>
      <c r="X358" s="187"/>
      <c r="Y358" s="187"/>
      <c r="Z358" s="187"/>
      <c r="AA358" s="187"/>
      <c r="AB358" s="187"/>
    </row>
    <row r="359" spans="1:28" ht="15.75" customHeight="1">
      <c r="A359" s="219"/>
      <c r="B359" s="83"/>
      <c r="C359" s="81"/>
      <c r="D359" s="82"/>
      <c r="E359" s="81"/>
      <c r="F359" s="82"/>
      <c r="G359" s="83"/>
      <c r="H359" s="221"/>
      <c r="I359" s="83"/>
      <c r="J359" s="83"/>
      <c r="K359" s="83"/>
      <c r="L359" s="84"/>
      <c r="M359" s="84"/>
      <c r="N359" s="83"/>
      <c r="O359" s="222"/>
      <c r="P359" s="222"/>
      <c r="Q359" s="187"/>
      <c r="R359" s="187"/>
      <c r="S359" s="187"/>
      <c r="T359" s="187"/>
      <c r="U359" s="187"/>
      <c r="V359" s="187"/>
      <c r="W359" s="187"/>
      <c r="X359" s="187"/>
      <c r="Y359" s="187"/>
      <c r="Z359" s="187"/>
      <c r="AA359" s="187"/>
      <c r="AB359" s="187"/>
    </row>
    <row r="360" spans="1:28" ht="15.75" customHeight="1">
      <c r="A360" s="219"/>
      <c r="B360" s="83"/>
      <c r="C360" s="81"/>
      <c r="D360" s="82"/>
      <c r="E360" s="81"/>
      <c r="F360" s="82"/>
      <c r="G360" s="83"/>
      <c r="H360" s="221"/>
      <c r="I360" s="83"/>
      <c r="J360" s="83"/>
      <c r="K360" s="83"/>
      <c r="L360" s="84"/>
      <c r="M360" s="84"/>
      <c r="N360" s="83"/>
      <c r="O360" s="222"/>
      <c r="P360" s="222"/>
      <c r="Q360" s="187"/>
      <c r="R360" s="187"/>
      <c r="S360" s="187"/>
      <c r="T360" s="187"/>
      <c r="U360" s="187"/>
      <c r="V360" s="187"/>
      <c r="W360" s="187"/>
      <c r="X360" s="187"/>
      <c r="Y360" s="187"/>
      <c r="Z360" s="187"/>
      <c r="AA360" s="187"/>
      <c r="AB360" s="187"/>
    </row>
    <row r="361" spans="1:28" ht="15.75" customHeight="1">
      <c r="A361" s="219"/>
      <c r="B361" s="83"/>
      <c r="C361" s="81"/>
      <c r="D361" s="82"/>
      <c r="E361" s="81"/>
      <c r="F361" s="82"/>
      <c r="G361" s="83"/>
      <c r="H361" s="221"/>
      <c r="I361" s="83"/>
      <c r="J361" s="83"/>
      <c r="K361" s="83"/>
      <c r="L361" s="84"/>
      <c r="M361" s="84"/>
      <c r="N361" s="83"/>
      <c r="O361" s="222"/>
      <c r="P361" s="222"/>
      <c r="Q361" s="187"/>
      <c r="R361" s="187"/>
      <c r="S361" s="187"/>
      <c r="T361" s="187"/>
      <c r="U361" s="187"/>
      <c r="V361" s="187"/>
      <c r="W361" s="187"/>
      <c r="X361" s="187"/>
      <c r="Y361" s="187"/>
      <c r="Z361" s="187"/>
      <c r="AA361" s="187"/>
      <c r="AB361" s="187"/>
    </row>
    <row r="362" spans="1:28" ht="15.75" customHeight="1">
      <c r="A362" s="219"/>
      <c r="B362" s="83"/>
      <c r="C362" s="81"/>
      <c r="D362" s="82"/>
      <c r="E362" s="81"/>
      <c r="F362" s="82"/>
      <c r="G362" s="83"/>
      <c r="H362" s="221"/>
      <c r="I362" s="83"/>
      <c r="J362" s="83"/>
      <c r="K362" s="83"/>
      <c r="L362" s="84"/>
      <c r="M362" s="84"/>
      <c r="N362" s="83"/>
      <c r="O362" s="222"/>
      <c r="P362" s="222"/>
      <c r="Q362" s="187"/>
      <c r="R362" s="187"/>
      <c r="S362" s="187"/>
      <c r="T362" s="187"/>
      <c r="U362" s="187"/>
      <c r="V362" s="187"/>
      <c r="W362" s="187"/>
      <c r="X362" s="187"/>
      <c r="Y362" s="187"/>
      <c r="Z362" s="187"/>
      <c r="AA362" s="187"/>
      <c r="AB362" s="187"/>
    </row>
    <row r="363" spans="1:28" ht="15.75" customHeight="1">
      <c r="A363" s="219"/>
      <c r="B363" s="83"/>
      <c r="C363" s="81"/>
      <c r="D363" s="82"/>
      <c r="E363" s="81"/>
      <c r="F363" s="82"/>
      <c r="G363" s="83"/>
      <c r="H363" s="221"/>
      <c r="I363" s="83"/>
      <c r="J363" s="83"/>
      <c r="K363" s="83"/>
      <c r="L363" s="84"/>
      <c r="M363" s="84"/>
      <c r="N363" s="83"/>
      <c r="O363" s="222"/>
      <c r="P363" s="222"/>
      <c r="Q363" s="187"/>
      <c r="R363" s="187"/>
      <c r="S363" s="187"/>
      <c r="T363" s="187"/>
      <c r="U363" s="187"/>
      <c r="V363" s="187"/>
      <c r="W363" s="187"/>
      <c r="X363" s="187"/>
      <c r="Y363" s="187"/>
      <c r="Z363" s="187"/>
      <c r="AA363" s="187"/>
      <c r="AB363" s="187"/>
    </row>
    <row r="364" spans="1:28" ht="15.75" customHeight="1">
      <c r="A364" s="219"/>
      <c r="B364" s="83"/>
      <c r="C364" s="81"/>
      <c r="D364" s="82"/>
      <c r="E364" s="81"/>
      <c r="F364" s="82"/>
      <c r="G364" s="83"/>
      <c r="H364" s="221"/>
      <c r="I364" s="83"/>
      <c r="J364" s="83"/>
      <c r="K364" s="83"/>
      <c r="L364" s="84"/>
      <c r="M364" s="84"/>
      <c r="N364" s="83"/>
      <c r="O364" s="222"/>
      <c r="P364" s="222"/>
      <c r="Q364" s="187"/>
      <c r="R364" s="187"/>
      <c r="S364" s="187"/>
      <c r="T364" s="187"/>
      <c r="U364" s="187"/>
      <c r="V364" s="187"/>
      <c r="W364" s="187"/>
      <c r="X364" s="187"/>
      <c r="Y364" s="187"/>
      <c r="Z364" s="187"/>
      <c r="AA364" s="187"/>
      <c r="AB364" s="187"/>
    </row>
    <row r="365" spans="1:28" ht="15.75" customHeight="1">
      <c r="A365" s="219"/>
      <c r="B365" s="83"/>
      <c r="C365" s="81"/>
      <c r="D365" s="82"/>
      <c r="E365" s="81"/>
      <c r="F365" s="82"/>
      <c r="G365" s="83"/>
      <c r="H365" s="221"/>
      <c r="I365" s="83"/>
      <c r="J365" s="83"/>
      <c r="K365" s="83"/>
      <c r="L365" s="84"/>
      <c r="M365" s="84"/>
      <c r="N365" s="83"/>
      <c r="O365" s="222"/>
      <c r="P365" s="222"/>
      <c r="Q365" s="187"/>
      <c r="R365" s="187"/>
      <c r="S365" s="187"/>
      <c r="T365" s="187"/>
      <c r="U365" s="187"/>
      <c r="V365" s="187"/>
      <c r="W365" s="187"/>
      <c r="X365" s="187"/>
      <c r="Y365" s="187"/>
      <c r="Z365" s="187"/>
      <c r="AA365" s="187"/>
      <c r="AB365" s="187"/>
    </row>
    <row r="366" spans="1:28" ht="15.75" customHeight="1">
      <c r="A366" s="219"/>
      <c r="B366" s="83"/>
      <c r="C366" s="81"/>
      <c r="D366" s="82"/>
      <c r="E366" s="81"/>
      <c r="F366" s="82"/>
      <c r="G366" s="83"/>
      <c r="H366" s="221"/>
      <c r="I366" s="83"/>
      <c r="J366" s="83"/>
      <c r="K366" s="83"/>
      <c r="L366" s="84"/>
      <c r="M366" s="84"/>
      <c r="N366" s="83"/>
      <c r="O366" s="222"/>
      <c r="P366" s="222"/>
      <c r="Q366" s="187"/>
      <c r="R366" s="187"/>
      <c r="S366" s="187"/>
      <c r="T366" s="187"/>
      <c r="U366" s="187"/>
      <c r="V366" s="187"/>
      <c r="W366" s="187"/>
      <c r="X366" s="187"/>
      <c r="Y366" s="187"/>
      <c r="Z366" s="187"/>
      <c r="AA366" s="187"/>
      <c r="AB366" s="187"/>
    </row>
    <row r="367" spans="1:28" ht="15.75" customHeight="1">
      <c r="A367" s="219"/>
      <c r="B367" s="83"/>
      <c r="C367" s="81"/>
      <c r="D367" s="82"/>
      <c r="E367" s="81"/>
      <c r="F367" s="82"/>
      <c r="G367" s="83"/>
      <c r="H367" s="221"/>
      <c r="I367" s="83"/>
      <c r="J367" s="83"/>
      <c r="K367" s="83"/>
      <c r="L367" s="84"/>
      <c r="M367" s="84"/>
      <c r="N367" s="83"/>
      <c r="O367" s="222"/>
      <c r="P367" s="222"/>
      <c r="Q367" s="187"/>
      <c r="R367" s="187"/>
      <c r="S367" s="187"/>
      <c r="T367" s="187"/>
      <c r="U367" s="187"/>
      <c r="V367" s="187"/>
      <c r="W367" s="187"/>
      <c r="X367" s="187"/>
      <c r="Y367" s="187"/>
      <c r="Z367" s="187"/>
      <c r="AA367" s="187"/>
      <c r="AB367" s="187"/>
    </row>
    <row r="368" spans="1:28" ht="15.75" customHeight="1">
      <c r="A368" s="219"/>
      <c r="B368" s="83"/>
      <c r="C368" s="81"/>
      <c r="D368" s="82"/>
      <c r="E368" s="81"/>
      <c r="F368" s="82"/>
      <c r="G368" s="83"/>
      <c r="H368" s="221"/>
      <c r="I368" s="83"/>
      <c r="J368" s="83"/>
      <c r="K368" s="83"/>
      <c r="L368" s="84"/>
      <c r="M368" s="84"/>
      <c r="N368" s="83"/>
      <c r="O368" s="222"/>
      <c r="P368" s="222"/>
      <c r="Q368" s="187"/>
      <c r="R368" s="187"/>
      <c r="S368" s="187"/>
      <c r="T368" s="187"/>
      <c r="U368" s="187"/>
      <c r="V368" s="187"/>
      <c r="W368" s="187"/>
      <c r="X368" s="187"/>
      <c r="Y368" s="187"/>
      <c r="Z368" s="187"/>
      <c r="AA368" s="187"/>
      <c r="AB368" s="187"/>
    </row>
    <row r="369" spans="1:28" ht="15.75" customHeight="1">
      <c r="A369" s="219"/>
      <c r="B369" s="83"/>
      <c r="C369" s="81"/>
      <c r="D369" s="82"/>
      <c r="E369" s="81"/>
      <c r="F369" s="82"/>
      <c r="G369" s="83"/>
      <c r="H369" s="221"/>
      <c r="I369" s="83"/>
      <c r="J369" s="83"/>
      <c r="K369" s="83"/>
      <c r="L369" s="84"/>
      <c r="M369" s="84"/>
      <c r="N369" s="83"/>
      <c r="O369" s="222"/>
      <c r="P369" s="222"/>
      <c r="Q369" s="187"/>
      <c r="R369" s="187"/>
      <c r="S369" s="187"/>
      <c r="T369" s="187"/>
      <c r="U369" s="187"/>
      <c r="V369" s="187"/>
      <c r="W369" s="187"/>
      <c r="X369" s="187"/>
      <c r="Y369" s="187"/>
      <c r="Z369" s="187"/>
      <c r="AA369" s="187"/>
      <c r="AB369" s="187"/>
    </row>
    <row r="370" spans="1:28" ht="15.75" customHeight="1">
      <c r="A370" s="219"/>
      <c r="B370" s="83"/>
      <c r="C370" s="81"/>
      <c r="D370" s="82"/>
      <c r="E370" s="81"/>
      <c r="F370" s="82"/>
      <c r="G370" s="83"/>
      <c r="H370" s="221"/>
      <c r="I370" s="83"/>
      <c r="J370" s="83"/>
      <c r="K370" s="83"/>
      <c r="L370" s="84"/>
      <c r="M370" s="84"/>
      <c r="N370" s="83"/>
      <c r="O370" s="222"/>
      <c r="P370" s="222"/>
      <c r="Q370" s="187"/>
      <c r="R370" s="187"/>
      <c r="S370" s="187"/>
      <c r="T370" s="187"/>
      <c r="U370" s="187"/>
      <c r="V370" s="187"/>
      <c r="W370" s="187"/>
      <c r="X370" s="187"/>
      <c r="Y370" s="187"/>
      <c r="Z370" s="187"/>
      <c r="AA370" s="187"/>
      <c r="AB370" s="187"/>
    </row>
    <row r="371" spans="1:28" ht="15.75" customHeight="1">
      <c r="A371" s="219"/>
      <c r="B371" s="83"/>
      <c r="C371" s="81"/>
      <c r="D371" s="82"/>
      <c r="E371" s="81"/>
      <c r="F371" s="82"/>
      <c r="G371" s="83"/>
      <c r="H371" s="221"/>
      <c r="I371" s="83"/>
      <c r="J371" s="83"/>
      <c r="K371" s="83"/>
      <c r="L371" s="84"/>
      <c r="M371" s="84"/>
      <c r="N371" s="83"/>
      <c r="O371" s="222"/>
      <c r="P371" s="222"/>
      <c r="Q371" s="187"/>
      <c r="R371" s="187"/>
      <c r="S371" s="187"/>
      <c r="T371" s="187"/>
      <c r="U371" s="187"/>
      <c r="V371" s="187"/>
      <c r="W371" s="187"/>
      <c r="X371" s="187"/>
      <c r="Y371" s="187"/>
      <c r="Z371" s="187"/>
      <c r="AA371" s="187"/>
      <c r="AB371" s="187"/>
    </row>
    <row r="372" spans="1:28" ht="15.75" customHeight="1">
      <c r="A372" s="219"/>
      <c r="B372" s="83"/>
      <c r="C372" s="81"/>
      <c r="D372" s="82"/>
      <c r="E372" s="81"/>
      <c r="F372" s="82"/>
      <c r="G372" s="83"/>
      <c r="H372" s="221"/>
      <c r="I372" s="83"/>
      <c r="J372" s="83"/>
      <c r="K372" s="83"/>
      <c r="L372" s="84"/>
      <c r="M372" s="84"/>
      <c r="N372" s="83"/>
      <c r="O372" s="222"/>
      <c r="P372" s="222"/>
      <c r="Q372" s="187"/>
      <c r="R372" s="187"/>
      <c r="S372" s="187"/>
      <c r="T372" s="187"/>
      <c r="U372" s="187"/>
      <c r="V372" s="187"/>
      <c r="W372" s="187"/>
      <c r="X372" s="187"/>
      <c r="Y372" s="187"/>
      <c r="Z372" s="187"/>
      <c r="AA372" s="187"/>
      <c r="AB372" s="187"/>
    </row>
    <row r="373" spans="1:28" ht="15.75" customHeight="1">
      <c r="A373" s="219"/>
      <c r="B373" s="83"/>
      <c r="C373" s="81"/>
      <c r="D373" s="82"/>
      <c r="E373" s="81"/>
      <c r="F373" s="82"/>
      <c r="G373" s="83"/>
      <c r="H373" s="221"/>
      <c r="I373" s="83"/>
      <c r="J373" s="83"/>
      <c r="K373" s="83"/>
      <c r="L373" s="84"/>
      <c r="M373" s="84"/>
      <c r="N373" s="83"/>
      <c r="O373" s="222"/>
      <c r="P373" s="222"/>
      <c r="Q373" s="187"/>
      <c r="R373" s="187"/>
      <c r="S373" s="187"/>
      <c r="T373" s="187"/>
      <c r="U373" s="187"/>
      <c r="V373" s="187"/>
      <c r="W373" s="187"/>
      <c r="X373" s="187"/>
      <c r="Y373" s="187"/>
      <c r="Z373" s="187"/>
      <c r="AA373" s="187"/>
      <c r="AB373" s="187"/>
    </row>
    <row r="374" spans="1:28" ht="15.75" customHeight="1">
      <c r="A374" s="219"/>
      <c r="B374" s="83"/>
      <c r="C374" s="81"/>
      <c r="D374" s="82"/>
      <c r="E374" s="81"/>
      <c r="F374" s="82"/>
      <c r="G374" s="83"/>
      <c r="H374" s="221"/>
      <c r="I374" s="83"/>
      <c r="J374" s="83"/>
      <c r="K374" s="83"/>
      <c r="L374" s="84"/>
      <c r="M374" s="84"/>
      <c r="N374" s="83"/>
      <c r="O374" s="222"/>
      <c r="P374" s="222"/>
      <c r="Q374" s="187"/>
      <c r="R374" s="187"/>
      <c r="S374" s="187"/>
      <c r="T374" s="187"/>
      <c r="U374" s="187"/>
      <c r="V374" s="187"/>
      <c r="W374" s="187"/>
      <c r="X374" s="187"/>
      <c r="Y374" s="187"/>
      <c r="Z374" s="187"/>
      <c r="AA374" s="187"/>
      <c r="AB374" s="187"/>
    </row>
    <row r="375" spans="1:28" ht="15.75" customHeight="1">
      <c r="A375" s="219"/>
      <c r="B375" s="83"/>
      <c r="C375" s="81"/>
      <c r="D375" s="82"/>
      <c r="E375" s="81"/>
      <c r="F375" s="82"/>
      <c r="G375" s="83"/>
      <c r="H375" s="221"/>
      <c r="I375" s="83"/>
      <c r="J375" s="83"/>
      <c r="K375" s="83"/>
      <c r="L375" s="84"/>
      <c r="M375" s="84"/>
      <c r="N375" s="83"/>
      <c r="O375" s="222"/>
      <c r="P375" s="222"/>
      <c r="Q375" s="187"/>
      <c r="R375" s="187"/>
      <c r="S375" s="187"/>
      <c r="T375" s="187"/>
      <c r="U375" s="187"/>
      <c r="V375" s="187"/>
      <c r="W375" s="187"/>
      <c r="X375" s="187"/>
      <c r="Y375" s="187"/>
      <c r="Z375" s="187"/>
      <c r="AA375" s="187"/>
      <c r="AB375" s="187"/>
    </row>
    <row r="376" spans="1:28" ht="15.75" customHeight="1">
      <c r="A376" s="219"/>
      <c r="B376" s="83"/>
      <c r="C376" s="81"/>
      <c r="D376" s="82"/>
      <c r="E376" s="81"/>
      <c r="F376" s="82"/>
      <c r="G376" s="83"/>
      <c r="H376" s="221"/>
      <c r="I376" s="83"/>
      <c r="J376" s="83"/>
      <c r="K376" s="83"/>
      <c r="L376" s="84"/>
      <c r="M376" s="84"/>
      <c r="N376" s="83"/>
      <c r="O376" s="222"/>
      <c r="P376" s="222"/>
      <c r="Q376" s="187"/>
      <c r="R376" s="187"/>
      <c r="S376" s="187"/>
      <c r="T376" s="187"/>
      <c r="U376" s="187"/>
      <c r="V376" s="187"/>
      <c r="W376" s="187"/>
      <c r="X376" s="187"/>
      <c r="Y376" s="187"/>
      <c r="Z376" s="187"/>
      <c r="AA376" s="187"/>
      <c r="AB376" s="187"/>
    </row>
    <row r="377" spans="1:28" ht="15.75" customHeight="1">
      <c r="A377" s="219"/>
      <c r="B377" s="83"/>
      <c r="C377" s="81"/>
      <c r="D377" s="82"/>
      <c r="E377" s="81"/>
      <c r="F377" s="82"/>
      <c r="G377" s="83"/>
      <c r="H377" s="221"/>
      <c r="I377" s="83"/>
      <c r="J377" s="83"/>
      <c r="K377" s="83"/>
      <c r="L377" s="84"/>
      <c r="M377" s="84"/>
      <c r="N377" s="83"/>
      <c r="O377" s="222"/>
      <c r="P377" s="222"/>
      <c r="Q377" s="187"/>
      <c r="R377" s="187"/>
      <c r="S377" s="187"/>
      <c r="T377" s="187"/>
      <c r="U377" s="187"/>
      <c r="V377" s="187"/>
      <c r="W377" s="187"/>
      <c r="X377" s="187"/>
      <c r="Y377" s="187"/>
      <c r="Z377" s="187"/>
      <c r="AA377" s="187"/>
      <c r="AB377" s="187"/>
    </row>
    <row r="378" spans="1:28" ht="15.75" customHeight="1">
      <c r="A378" s="219"/>
      <c r="B378" s="83"/>
      <c r="C378" s="81"/>
      <c r="D378" s="82"/>
      <c r="E378" s="81"/>
      <c r="F378" s="82"/>
      <c r="G378" s="83"/>
      <c r="H378" s="221"/>
      <c r="I378" s="83"/>
      <c r="J378" s="83"/>
      <c r="K378" s="83"/>
      <c r="L378" s="84"/>
      <c r="M378" s="84"/>
      <c r="N378" s="83"/>
      <c r="O378" s="222"/>
      <c r="P378" s="222"/>
      <c r="Q378" s="187"/>
      <c r="R378" s="187"/>
      <c r="S378" s="187"/>
      <c r="T378" s="187"/>
      <c r="U378" s="187"/>
      <c r="V378" s="187"/>
      <c r="W378" s="187"/>
      <c r="X378" s="187"/>
      <c r="Y378" s="187"/>
      <c r="Z378" s="187"/>
      <c r="AA378" s="187"/>
      <c r="AB378" s="187"/>
    </row>
    <row r="379" spans="1:28" ht="15.75" customHeight="1">
      <c r="A379" s="219"/>
      <c r="B379" s="83"/>
      <c r="C379" s="81"/>
      <c r="D379" s="82"/>
      <c r="E379" s="81"/>
      <c r="F379" s="82"/>
      <c r="G379" s="83"/>
      <c r="H379" s="221"/>
      <c r="I379" s="83"/>
      <c r="J379" s="83"/>
      <c r="K379" s="83"/>
      <c r="L379" s="84"/>
      <c r="M379" s="84"/>
      <c r="N379" s="83"/>
      <c r="O379" s="222"/>
      <c r="P379" s="222"/>
      <c r="Q379" s="187"/>
      <c r="R379" s="187"/>
      <c r="S379" s="187"/>
      <c r="T379" s="187"/>
      <c r="U379" s="187"/>
      <c r="V379" s="187"/>
      <c r="W379" s="187"/>
      <c r="X379" s="187"/>
      <c r="Y379" s="187"/>
      <c r="Z379" s="187"/>
      <c r="AA379" s="187"/>
      <c r="AB379" s="187"/>
    </row>
    <row r="380" spans="1:28" ht="15.75" customHeight="1">
      <c r="A380" s="219"/>
      <c r="B380" s="83"/>
      <c r="C380" s="81"/>
      <c r="D380" s="82"/>
      <c r="E380" s="81"/>
      <c r="F380" s="82"/>
      <c r="G380" s="83"/>
      <c r="H380" s="221"/>
      <c r="I380" s="83"/>
      <c r="J380" s="83"/>
      <c r="K380" s="83"/>
      <c r="L380" s="84"/>
      <c r="M380" s="84"/>
      <c r="N380" s="83"/>
      <c r="O380" s="222"/>
      <c r="P380" s="222"/>
      <c r="Q380" s="187"/>
      <c r="R380" s="187"/>
      <c r="S380" s="187"/>
      <c r="T380" s="187"/>
      <c r="U380" s="187"/>
      <c r="V380" s="187"/>
      <c r="W380" s="187"/>
      <c r="X380" s="187"/>
      <c r="Y380" s="187"/>
      <c r="Z380" s="187"/>
      <c r="AA380" s="187"/>
      <c r="AB380" s="187"/>
    </row>
    <row r="381" spans="1:28" ht="15.75" customHeight="1">
      <c r="A381" s="219"/>
      <c r="B381" s="83"/>
      <c r="C381" s="81"/>
      <c r="D381" s="82"/>
      <c r="E381" s="81"/>
      <c r="F381" s="82"/>
      <c r="G381" s="83"/>
      <c r="H381" s="221"/>
      <c r="I381" s="83"/>
      <c r="J381" s="83"/>
      <c r="K381" s="83"/>
      <c r="L381" s="84"/>
      <c r="M381" s="84"/>
      <c r="N381" s="83"/>
      <c r="O381" s="222"/>
      <c r="P381" s="222"/>
      <c r="Q381" s="187"/>
      <c r="R381" s="187"/>
      <c r="S381" s="187"/>
      <c r="T381" s="187"/>
      <c r="U381" s="187"/>
      <c r="V381" s="187"/>
      <c r="W381" s="187"/>
      <c r="X381" s="187"/>
      <c r="Y381" s="187"/>
      <c r="Z381" s="187"/>
      <c r="AA381" s="187"/>
      <c r="AB381" s="187"/>
    </row>
    <row r="382" spans="1:28" ht="15.75" customHeight="1">
      <c r="A382" s="219"/>
      <c r="B382" s="83"/>
      <c r="C382" s="81"/>
      <c r="D382" s="82"/>
      <c r="E382" s="81"/>
      <c r="F382" s="82"/>
      <c r="G382" s="83"/>
      <c r="H382" s="221"/>
      <c r="I382" s="83"/>
      <c r="J382" s="83"/>
      <c r="K382" s="83"/>
      <c r="L382" s="84"/>
      <c r="M382" s="84"/>
      <c r="N382" s="83"/>
      <c r="O382" s="222"/>
      <c r="P382" s="222"/>
      <c r="Q382" s="187"/>
      <c r="R382" s="187"/>
      <c r="S382" s="187"/>
      <c r="T382" s="187"/>
      <c r="U382" s="187"/>
      <c r="V382" s="187"/>
      <c r="W382" s="187"/>
      <c r="X382" s="187"/>
      <c r="Y382" s="187"/>
      <c r="Z382" s="187"/>
      <c r="AA382" s="187"/>
      <c r="AB382" s="187"/>
    </row>
    <row r="383" spans="1:28" ht="15.75" customHeight="1">
      <c r="A383" s="219"/>
      <c r="B383" s="83"/>
      <c r="C383" s="81"/>
      <c r="D383" s="82"/>
      <c r="E383" s="81"/>
      <c r="F383" s="82"/>
      <c r="G383" s="83"/>
      <c r="H383" s="221"/>
      <c r="I383" s="83"/>
      <c r="J383" s="83"/>
      <c r="K383" s="83"/>
      <c r="L383" s="84"/>
      <c r="M383" s="84"/>
      <c r="N383" s="83"/>
      <c r="O383" s="222"/>
      <c r="P383" s="222"/>
      <c r="Q383" s="187"/>
      <c r="R383" s="187"/>
      <c r="S383" s="187"/>
      <c r="T383" s="187"/>
      <c r="U383" s="187"/>
      <c r="V383" s="187"/>
      <c r="W383" s="187"/>
      <c r="X383" s="187"/>
      <c r="Y383" s="187"/>
      <c r="Z383" s="187"/>
      <c r="AA383" s="187"/>
      <c r="AB383" s="187"/>
    </row>
    <row r="384" spans="1:28" ht="15.75" customHeight="1">
      <c r="A384" s="219"/>
      <c r="B384" s="83"/>
      <c r="C384" s="81"/>
      <c r="D384" s="82"/>
      <c r="E384" s="81"/>
      <c r="F384" s="82"/>
      <c r="G384" s="83"/>
      <c r="H384" s="221"/>
      <c r="I384" s="83"/>
      <c r="J384" s="83"/>
      <c r="K384" s="83"/>
      <c r="L384" s="84"/>
      <c r="M384" s="84"/>
      <c r="N384" s="83"/>
      <c r="O384" s="222"/>
      <c r="P384" s="222"/>
      <c r="Q384" s="187"/>
      <c r="R384" s="187"/>
      <c r="S384" s="187"/>
      <c r="T384" s="187"/>
      <c r="U384" s="187"/>
      <c r="V384" s="187"/>
      <c r="W384" s="187"/>
      <c r="X384" s="187"/>
      <c r="Y384" s="187"/>
      <c r="Z384" s="187"/>
      <c r="AA384" s="187"/>
      <c r="AB384" s="187"/>
    </row>
    <row r="385" spans="1:28" ht="15.75" customHeight="1">
      <c r="A385" s="219"/>
      <c r="B385" s="83"/>
      <c r="C385" s="81"/>
      <c r="D385" s="82"/>
      <c r="E385" s="81"/>
      <c r="F385" s="82"/>
      <c r="G385" s="83"/>
      <c r="H385" s="221"/>
      <c r="I385" s="83"/>
      <c r="J385" s="83"/>
      <c r="K385" s="83"/>
      <c r="L385" s="84"/>
      <c r="M385" s="84"/>
      <c r="N385" s="83"/>
      <c r="O385" s="222"/>
      <c r="P385" s="222"/>
      <c r="Q385" s="187"/>
      <c r="R385" s="187"/>
      <c r="S385" s="187"/>
      <c r="T385" s="187"/>
      <c r="U385" s="187"/>
      <c r="V385" s="187"/>
      <c r="W385" s="187"/>
      <c r="X385" s="187"/>
      <c r="Y385" s="187"/>
      <c r="Z385" s="187"/>
      <c r="AA385" s="187"/>
      <c r="AB385" s="187"/>
    </row>
    <row r="386" spans="1:28" ht="15.75" customHeight="1">
      <c r="A386" s="219"/>
      <c r="B386" s="83"/>
      <c r="C386" s="81"/>
      <c r="D386" s="82"/>
      <c r="E386" s="81"/>
      <c r="F386" s="82"/>
      <c r="G386" s="83"/>
      <c r="H386" s="221"/>
      <c r="I386" s="83"/>
      <c r="J386" s="83"/>
      <c r="K386" s="83"/>
      <c r="L386" s="84"/>
      <c r="M386" s="84"/>
      <c r="N386" s="83"/>
      <c r="O386" s="222"/>
      <c r="P386" s="222"/>
      <c r="Q386" s="187"/>
      <c r="R386" s="187"/>
      <c r="S386" s="187"/>
      <c r="T386" s="187"/>
      <c r="U386" s="187"/>
      <c r="V386" s="187"/>
      <c r="W386" s="187"/>
      <c r="X386" s="187"/>
      <c r="Y386" s="187"/>
      <c r="Z386" s="187"/>
      <c r="AA386" s="187"/>
      <c r="AB386" s="187"/>
    </row>
    <row r="387" spans="1:28" ht="15.75" customHeight="1">
      <c r="A387" s="219"/>
      <c r="B387" s="83"/>
      <c r="C387" s="81"/>
      <c r="D387" s="82"/>
      <c r="E387" s="81"/>
      <c r="F387" s="82"/>
      <c r="G387" s="83"/>
      <c r="H387" s="221"/>
      <c r="I387" s="83"/>
      <c r="J387" s="83"/>
      <c r="K387" s="83"/>
      <c r="L387" s="84"/>
      <c r="M387" s="84"/>
      <c r="N387" s="83"/>
      <c r="O387" s="222"/>
      <c r="P387" s="222"/>
      <c r="Q387" s="187"/>
      <c r="R387" s="187"/>
      <c r="S387" s="187"/>
      <c r="T387" s="187"/>
      <c r="U387" s="187"/>
      <c r="V387" s="187"/>
      <c r="W387" s="187"/>
      <c r="X387" s="187"/>
      <c r="Y387" s="187"/>
      <c r="Z387" s="187"/>
      <c r="AA387" s="187"/>
      <c r="AB387" s="187"/>
    </row>
    <row r="388" spans="1:28" ht="15.75" customHeight="1">
      <c r="A388" s="219"/>
      <c r="B388" s="83"/>
      <c r="C388" s="81"/>
      <c r="D388" s="82"/>
      <c r="E388" s="81"/>
      <c r="F388" s="82"/>
      <c r="G388" s="83"/>
      <c r="H388" s="221"/>
      <c r="I388" s="83"/>
      <c r="J388" s="83"/>
      <c r="K388" s="83"/>
      <c r="L388" s="84"/>
      <c r="M388" s="84"/>
      <c r="N388" s="83"/>
      <c r="O388" s="222"/>
      <c r="P388" s="222"/>
      <c r="Q388" s="187"/>
      <c r="R388" s="187"/>
      <c r="S388" s="187"/>
      <c r="T388" s="187"/>
      <c r="U388" s="187"/>
      <c r="V388" s="187"/>
      <c r="W388" s="187"/>
      <c r="X388" s="187"/>
      <c r="Y388" s="187"/>
      <c r="Z388" s="187"/>
      <c r="AA388" s="187"/>
      <c r="AB388" s="187"/>
    </row>
    <row r="389" spans="1:28" ht="15.75" customHeight="1">
      <c r="A389" s="219"/>
      <c r="B389" s="83"/>
      <c r="C389" s="81"/>
      <c r="D389" s="82"/>
      <c r="E389" s="81"/>
      <c r="F389" s="82"/>
      <c r="G389" s="83"/>
      <c r="H389" s="221"/>
      <c r="I389" s="83"/>
      <c r="J389" s="83"/>
      <c r="K389" s="83"/>
      <c r="L389" s="84"/>
      <c r="M389" s="84"/>
      <c r="N389" s="83"/>
      <c r="O389" s="222"/>
      <c r="P389" s="222"/>
      <c r="Q389" s="187"/>
      <c r="R389" s="187"/>
      <c r="S389" s="187"/>
      <c r="T389" s="187"/>
      <c r="U389" s="187"/>
      <c r="V389" s="187"/>
      <c r="W389" s="187"/>
      <c r="X389" s="187"/>
      <c r="Y389" s="187"/>
      <c r="Z389" s="187"/>
      <c r="AA389" s="187"/>
      <c r="AB389" s="187"/>
    </row>
    <row r="390" spans="1:28" ht="15.75" customHeight="1">
      <c r="A390" s="219"/>
      <c r="B390" s="83"/>
      <c r="C390" s="81"/>
      <c r="D390" s="82"/>
      <c r="E390" s="81"/>
      <c r="F390" s="82"/>
      <c r="G390" s="83"/>
      <c r="H390" s="221"/>
      <c r="I390" s="83"/>
      <c r="J390" s="83"/>
      <c r="K390" s="83"/>
      <c r="L390" s="84"/>
      <c r="M390" s="84"/>
      <c r="N390" s="83"/>
      <c r="O390" s="222"/>
      <c r="P390" s="222"/>
      <c r="Q390" s="187"/>
      <c r="R390" s="187"/>
      <c r="S390" s="187"/>
      <c r="T390" s="187"/>
      <c r="U390" s="187"/>
      <c r="V390" s="187"/>
      <c r="W390" s="187"/>
      <c r="X390" s="187"/>
      <c r="Y390" s="187"/>
      <c r="Z390" s="187"/>
      <c r="AA390" s="187"/>
      <c r="AB390" s="187"/>
    </row>
    <row r="391" spans="1:28" ht="15.75" customHeight="1">
      <c r="A391" s="219"/>
      <c r="B391" s="83"/>
      <c r="C391" s="81"/>
      <c r="D391" s="82"/>
      <c r="E391" s="81"/>
      <c r="F391" s="82"/>
      <c r="G391" s="83"/>
      <c r="H391" s="221"/>
      <c r="I391" s="83"/>
      <c r="J391" s="83"/>
      <c r="K391" s="83"/>
      <c r="L391" s="84"/>
      <c r="M391" s="84"/>
      <c r="N391" s="83"/>
      <c r="O391" s="222"/>
      <c r="P391" s="222"/>
      <c r="Q391" s="187"/>
      <c r="R391" s="187"/>
      <c r="S391" s="187"/>
      <c r="T391" s="187"/>
      <c r="U391" s="187"/>
      <c r="V391" s="187"/>
      <c r="W391" s="187"/>
      <c r="X391" s="187"/>
      <c r="Y391" s="187"/>
      <c r="Z391" s="187"/>
      <c r="AA391" s="187"/>
      <c r="AB391" s="187"/>
    </row>
    <row r="392" spans="1:28" ht="15.75" customHeight="1">
      <c r="A392" s="219"/>
      <c r="B392" s="83"/>
      <c r="C392" s="81"/>
      <c r="D392" s="82"/>
      <c r="E392" s="81"/>
      <c r="F392" s="82"/>
      <c r="G392" s="83"/>
      <c r="H392" s="221"/>
      <c r="I392" s="83"/>
      <c r="J392" s="83"/>
      <c r="K392" s="83"/>
      <c r="L392" s="84"/>
      <c r="M392" s="84"/>
      <c r="N392" s="83"/>
      <c r="O392" s="222"/>
      <c r="P392" s="222"/>
      <c r="Q392" s="187"/>
      <c r="R392" s="187"/>
      <c r="S392" s="187"/>
      <c r="T392" s="187"/>
      <c r="U392" s="187"/>
      <c r="V392" s="187"/>
      <c r="W392" s="187"/>
      <c r="X392" s="187"/>
      <c r="Y392" s="187"/>
      <c r="Z392" s="187"/>
      <c r="AA392" s="187"/>
      <c r="AB392" s="187"/>
    </row>
    <row r="393" spans="1:28" ht="15.75" customHeight="1">
      <c r="A393" s="219"/>
      <c r="B393" s="83"/>
      <c r="C393" s="81"/>
      <c r="D393" s="82"/>
      <c r="E393" s="81"/>
      <c r="F393" s="82"/>
      <c r="G393" s="83"/>
      <c r="H393" s="221"/>
      <c r="I393" s="83"/>
      <c r="J393" s="83"/>
      <c r="K393" s="83"/>
      <c r="L393" s="84"/>
      <c r="M393" s="84"/>
      <c r="N393" s="83"/>
      <c r="O393" s="222"/>
      <c r="P393" s="222"/>
      <c r="Q393" s="187"/>
      <c r="R393" s="187"/>
      <c r="S393" s="187"/>
      <c r="T393" s="187"/>
      <c r="U393" s="187"/>
      <c r="V393" s="187"/>
      <c r="W393" s="187"/>
      <c r="X393" s="187"/>
      <c r="Y393" s="187"/>
      <c r="Z393" s="187"/>
      <c r="AA393" s="187"/>
      <c r="AB393" s="187"/>
    </row>
    <row r="394" spans="1:28" ht="15.75" customHeight="1">
      <c r="A394" s="219"/>
      <c r="B394" s="83"/>
      <c r="C394" s="81"/>
      <c r="D394" s="82"/>
      <c r="E394" s="81"/>
      <c r="F394" s="82"/>
      <c r="G394" s="83"/>
      <c r="H394" s="221"/>
      <c r="I394" s="83"/>
      <c r="J394" s="83"/>
      <c r="K394" s="83"/>
      <c r="L394" s="84"/>
      <c r="M394" s="84"/>
      <c r="N394" s="83"/>
      <c r="O394" s="222"/>
      <c r="P394" s="222"/>
      <c r="Q394" s="187"/>
      <c r="R394" s="187"/>
      <c r="S394" s="187"/>
      <c r="T394" s="187"/>
      <c r="U394" s="187"/>
      <c r="V394" s="187"/>
      <c r="W394" s="187"/>
      <c r="X394" s="187"/>
      <c r="Y394" s="187"/>
      <c r="Z394" s="187"/>
      <c r="AA394" s="187"/>
      <c r="AB394" s="187"/>
    </row>
    <row r="395" spans="1:28" ht="15.75" customHeight="1">
      <c r="A395" s="219"/>
      <c r="B395" s="83"/>
      <c r="C395" s="81"/>
      <c r="D395" s="82"/>
      <c r="E395" s="81"/>
      <c r="F395" s="82"/>
      <c r="G395" s="83"/>
      <c r="H395" s="221"/>
      <c r="I395" s="83"/>
      <c r="J395" s="83"/>
      <c r="K395" s="83"/>
      <c r="L395" s="84"/>
      <c r="M395" s="84"/>
      <c r="N395" s="83"/>
      <c r="O395" s="222"/>
      <c r="P395" s="222"/>
      <c r="Q395" s="187"/>
      <c r="R395" s="187"/>
      <c r="S395" s="187"/>
      <c r="T395" s="187"/>
      <c r="U395" s="187"/>
      <c r="V395" s="187"/>
      <c r="W395" s="187"/>
      <c r="X395" s="187"/>
      <c r="Y395" s="187"/>
      <c r="Z395" s="187"/>
      <c r="AA395" s="187"/>
      <c r="AB395" s="187"/>
    </row>
    <row r="396" spans="1:28" ht="15.75" customHeight="1">
      <c r="A396" s="219"/>
      <c r="B396" s="83"/>
      <c r="C396" s="81"/>
      <c r="D396" s="82"/>
      <c r="E396" s="81"/>
      <c r="F396" s="82"/>
      <c r="G396" s="83"/>
      <c r="H396" s="221"/>
      <c r="I396" s="83"/>
      <c r="J396" s="83"/>
      <c r="K396" s="83"/>
      <c r="L396" s="84"/>
      <c r="M396" s="84"/>
      <c r="N396" s="83"/>
      <c r="O396" s="222"/>
      <c r="P396" s="222"/>
      <c r="Q396" s="187"/>
      <c r="R396" s="187"/>
      <c r="S396" s="187"/>
      <c r="T396" s="187"/>
      <c r="U396" s="187"/>
      <c r="V396" s="187"/>
      <c r="W396" s="187"/>
      <c r="X396" s="187"/>
      <c r="Y396" s="187"/>
      <c r="Z396" s="187"/>
      <c r="AA396" s="187"/>
      <c r="AB396" s="187"/>
    </row>
    <row r="397" spans="1:28" ht="15.75" customHeight="1">
      <c r="A397" s="219"/>
      <c r="B397" s="83"/>
      <c r="C397" s="81"/>
      <c r="D397" s="82"/>
      <c r="E397" s="81"/>
      <c r="F397" s="82"/>
      <c r="G397" s="83"/>
      <c r="H397" s="221"/>
      <c r="I397" s="83"/>
      <c r="J397" s="83"/>
      <c r="K397" s="83"/>
      <c r="L397" s="84"/>
      <c r="M397" s="84"/>
      <c r="N397" s="83"/>
      <c r="O397" s="222"/>
      <c r="P397" s="222"/>
      <c r="Q397" s="187"/>
      <c r="R397" s="187"/>
      <c r="S397" s="187"/>
      <c r="T397" s="187"/>
      <c r="U397" s="187"/>
      <c r="V397" s="187"/>
      <c r="W397" s="187"/>
      <c r="X397" s="187"/>
      <c r="Y397" s="187"/>
      <c r="Z397" s="187"/>
      <c r="AA397" s="187"/>
      <c r="AB397" s="187"/>
    </row>
    <row r="398" spans="1:28" ht="15.75" customHeight="1">
      <c r="A398" s="219"/>
      <c r="B398" s="83"/>
      <c r="C398" s="81"/>
      <c r="D398" s="82"/>
      <c r="E398" s="81"/>
      <c r="F398" s="82"/>
      <c r="G398" s="83"/>
      <c r="H398" s="221"/>
      <c r="I398" s="83"/>
      <c r="J398" s="83"/>
      <c r="K398" s="83"/>
      <c r="L398" s="84"/>
      <c r="M398" s="84"/>
      <c r="N398" s="83"/>
      <c r="O398" s="222"/>
      <c r="P398" s="222"/>
      <c r="Q398" s="187"/>
      <c r="R398" s="187"/>
      <c r="S398" s="187"/>
      <c r="T398" s="187"/>
      <c r="U398" s="187"/>
      <c r="V398" s="187"/>
      <c r="W398" s="187"/>
      <c r="X398" s="187"/>
      <c r="Y398" s="187"/>
      <c r="Z398" s="187"/>
      <c r="AA398" s="187"/>
      <c r="AB398" s="187"/>
    </row>
    <row r="399" spans="1:28" ht="15.75" customHeight="1">
      <c r="A399" s="219"/>
      <c r="B399" s="83"/>
      <c r="C399" s="81"/>
      <c r="D399" s="82"/>
      <c r="E399" s="81"/>
      <c r="F399" s="82"/>
      <c r="G399" s="83"/>
      <c r="H399" s="221"/>
      <c r="I399" s="83"/>
      <c r="J399" s="83"/>
      <c r="K399" s="83"/>
      <c r="L399" s="84"/>
      <c r="M399" s="84"/>
      <c r="N399" s="83"/>
      <c r="O399" s="222"/>
      <c r="P399" s="222"/>
      <c r="Q399" s="187"/>
      <c r="R399" s="187"/>
      <c r="S399" s="187"/>
      <c r="T399" s="187"/>
      <c r="U399" s="187"/>
      <c r="V399" s="187"/>
      <c r="W399" s="187"/>
      <c r="X399" s="187"/>
      <c r="Y399" s="187"/>
      <c r="Z399" s="187"/>
      <c r="AA399" s="187"/>
      <c r="AB399" s="187"/>
    </row>
    <row r="400" spans="1:28" ht="15.75" customHeight="1">
      <c r="A400" s="219"/>
      <c r="B400" s="83"/>
      <c r="C400" s="81"/>
      <c r="D400" s="82"/>
      <c r="E400" s="81"/>
      <c r="F400" s="82"/>
      <c r="G400" s="83"/>
      <c r="H400" s="221"/>
      <c r="I400" s="83"/>
      <c r="J400" s="83"/>
      <c r="K400" s="83"/>
      <c r="L400" s="84"/>
      <c r="M400" s="84"/>
      <c r="N400" s="83"/>
      <c r="O400" s="222"/>
      <c r="P400" s="222"/>
      <c r="Q400" s="187"/>
      <c r="R400" s="187"/>
      <c r="S400" s="187"/>
      <c r="T400" s="187"/>
      <c r="U400" s="187"/>
      <c r="V400" s="187"/>
      <c r="W400" s="187"/>
      <c r="X400" s="187"/>
      <c r="Y400" s="187"/>
      <c r="Z400" s="187"/>
      <c r="AA400" s="187"/>
      <c r="AB400" s="187"/>
    </row>
    <row r="401" spans="1:28" ht="15.75" customHeight="1">
      <c r="A401" s="219"/>
      <c r="B401" s="83"/>
      <c r="C401" s="81"/>
      <c r="D401" s="82"/>
      <c r="E401" s="81"/>
      <c r="F401" s="82"/>
      <c r="G401" s="83"/>
      <c r="H401" s="221"/>
      <c r="I401" s="83"/>
      <c r="J401" s="83"/>
      <c r="K401" s="83"/>
      <c r="L401" s="84"/>
      <c r="M401" s="84"/>
      <c r="N401" s="83"/>
      <c r="O401" s="222"/>
      <c r="P401" s="222"/>
      <c r="Q401" s="187"/>
      <c r="R401" s="187"/>
      <c r="S401" s="187"/>
      <c r="T401" s="187"/>
      <c r="U401" s="187"/>
      <c r="V401" s="187"/>
      <c r="W401" s="187"/>
      <c r="X401" s="187"/>
      <c r="Y401" s="187"/>
      <c r="Z401" s="187"/>
      <c r="AA401" s="187"/>
      <c r="AB401" s="187"/>
    </row>
    <row r="402" spans="1:28" ht="15.75" customHeight="1">
      <c r="A402" s="219"/>
      <c r="B402" s="83"/>
      <c r="C402" s="81"/>
      <c r="D402" s="82"/>
      <c r="E402" s="81"/>
      <c r="F402" s="82"/>
      <c r="G402" s="83"/>
      <c r="H402" s="221"/>
      <c r="I402" s="83"/>
      <c r="J402" s="83"/>
      <c r="K402" s="83"/>
      <c r="L402" s="84"/>
      <c r="M402" s="84"/>
      <c r="N402" s="83"/>
      <c r="O402" s="222"/>
      <c r="P402" s="222"/>
      <c r="Q402" s="187"/>
      <c r="R402" s="187"/>
      <c r="S402" s="187"/>
      <c r="T402" s="187"/>
      <c r="U402" s="187"/>
      <c r="V402" s="187"/>
      <c r="W402" s="187"/>
      <c r="X402" s="187"/>
      <c r="Y402" s="187"/>
      <c r="Z402" s="187"/>
      <c r="AA402" s="187"/>
      <c r="AB402" s="187"/>
    </row>
    <row r="403" spans="1:28" ht="15.75" customHeight="1">
      <c r="A403" s="219"/>
      <c r="B403" s="83"/>
      <c r="C403" s="81"/>
      <c r="D403" s="82"/>
      <c r="E403" s="81"/>
      <c r="F403" s="82"/>
      <c r="G403" s="83"/>
      <c r="H403" s="221"/>
      <c r="I403" s="83"/>
      <c r="J403" s="83"/>
      <c r="K403" s="83"/>
      <c r="L403" s="84"/>
      <c r="M403" s="84"/>
      <c r="N403" s="83"/>
      <c r="O403" s="222"/>
      <c r="P403" s="222"/>
      <c r="Q403" s="187"/>
      <c r="R403" s="187"/>
      <c r="S403" s="187"/>
      <c r="T403" s="187"/>
      <c r="U403" s="187"/>
      <c r="V403" s="187"/>
      <c r="W403" s="187"/>
      <c r="X403" s="187"/>
      <c r="Y403" s="187"/>
      <c r="Z403" s="187"/>
      <c r="AA403" s="187"/>
      <c r="AB403" s="187"/>
    </row>
    <row r="404" spans="1:28" ht="15.75" customHeight="1">
      <c r="A404" s="219"/>
      <c r="B404" s="83"/>
      <c r="C404" s="81"/>
      <c r="D404" s="82"/>
      <c r="E404" s="81"/>
      <c r="F404" s="82"/>
      <c r="G404" s="83"/>
      <c r="H404" s="221"/>
      <c r="I404" s="83"/>
      <c r="J404" s="83"/>
      <c r="K404" s="83"/>
      <c r="L404" s="84"/>
      <c r="M404" s="84"/>
      <c r="N404" s="83"/>
      <c r="O404" s="222"/>
      <c r="P404" s="222"/>
      <c r="Q404" s="187"/>
      <c r="R404" s="187"/>
      <c r="S404" s="187"/>
      <c r="T404" s="187"/>
      <c r="U404" s="187"/>
      <c r="V404" s="187"/>
      <c r="W404" s="187"/>
      <c r="X404" s="187"/>
      <c r="Y404" s="187"/>
      <c r="Z404" s="187"/>
      <c r="AA404" s="187"/>
      <c r="AB404" s="187"/>
    </row>
    <row r="405" spans="1:28" ht="15.75" customHeight="1">
      <c r="A405" s="219"/>
      <c r="B405" s="83"/>
      <c r="C405" s="81"/>
      <c r="D405" s="82"/>
      <c r="E405" s="81"/>
      <c r="F405" s="82"/>
      <c r="G405" s="83"/>
      <c r="H405" s="221"/>
      <c r="I405" s="83"/>
      <c r="J405" s="83"/>
      <c r="K405" s="83"/>
      <c r="L405" s="84"/>
      <c r="M405" s="84"/>
      <c r="N405" s="83"/>
      <c r="O405" s="222"/>
      <c r="P405" s="222"/>
      <c r="Q405" s="187"/>
      <c r="R405" s="187"/>
      <c r="S405" s="187"/>
      <c r="T405" s="187"/>
      <c r="U405" s="187"/>
      <c r="V405" s="187"/>
      <c r="W405" s="187"/>
      <c r="X405" s="187"/>
      <c r="Y405" s="187"/>
      <c r="Z405" s="187"/>
      <c r="AA405" s="187"/>
      <c r="AB405" s="187"/>
    </row>
    <row r="406" spans="1:28" ht="15.75" customHeight="1">
      <c r="A406" s="219"/>
      <c r="B406" s="83"/>
      <c r="C406" s="81"/>
      <c r="D406" s="82"/>
      <c r="E406" s="81"/>
      <c r="F406" s="82"/>
      <c r="G406" s="83"/>
      <c r="H406" s="221"/>
      <c r="I406" s="83"/>
      <c r="J406" s="83"/>
      <c r="K406" s="83"/>
      <c r="L406" s="84"/>
      <c r="M406" s="84"/>
      <c r="N406" s="83"/>
      <c r="O406" s="222"/>
      <c r="P406" s="222"/>
      <c r="Q406" s="187"/>
      <c r="R406" s="187"/>
      <c r="S406" s="187"/>
      <c r="T406" s="187"/>
      <c r="U406" s="187"/>
      <c r="V406" s="187"/>
      <c r="W406" s="187"/>
      <c r="X406" s="187"/>
      <c r="Y406" s="187"/>
      <c r="Z406" s="187"/>
      <c r="AA406" s="187"/>
      <c r="AB406" s="187"/>
    </row>
    <row r="407" spans="1:28" ht="15.75" customHeight="1">
      <c r="A407" s="219"/>
      <c r="B407" s="83"/>
      <c r="C407" s="81"/>
      <c r="D407" s="82"/>
      <c r="E407" s="81"/>
      <c r="F407" s="82"/>
      <c r="G407" s="83"/>
      <c r="H407" s="221"/>
      <c r="I407" s="83"/>
      <c r="J407" s="83"/>
      <c r="K407" s="83"/>
      <c r="L407" s="84"/>
      <c r="M407" s="84"/>
      <c r="N407" s="83"/>
      <c r="O407" s="222"/>
      <c r="P407" s="222"/>
      <c r="Q407" s="187"/>
      <c r="R407" s="187"/>
      <c r="S407" s="187"/>
      <c r="T407" s="187"/>
      <c r="U407" s="187"/>
      <c r="V407" s="187"/>
      <c r="W407" s="187"/>
      <c r="X407" s="187"/>
      <c r="Y407" s="187"/>
      <c r="Z407" s="187"/>
      <c r="AA407" s="187"/>
      <c r="AB407" s="187"/>
    </row>
    <row r="408" spans="1:28" ht="15.75" customHeight="1">
      <c r="A408" s="219"/>
      <c r="B408" s="83"/>
      <c r="C408" s="81"/>
      <c r="D408" s="82"/>
      <c r="E408" s="81"/>
      <c r="F408" s="82"/>
      <c r="G408" s="83"/>
      <c r="H408" s="221"/>
      <c r="I408" s="83"/>
      <c r="J408" s="83"/>
      <c r="K408" s="83"/>
      <c r="L408" s="84"/>
      <c r="M408" s="84"/>
      <c r="N408" s="83"/>
      <c r="O408" s="222"/>
      <c r="P408" s="222"/>
      <c r="Q408" s="187"/>
      <c r="R408" s="187"/>
      <c r="S408" s="187"/>
      <c r="T408" s="187"/>
      <c r="U408" s="187"/>
      <c r="V408" s="187"/>
      <c r="W408" s="187"/>
      <c r="X408" s="187"/>
      <c r="Y408" s="187"/>
      <c r="Z408" s="187"/>
      <c r="AA408" s="187"/>
      <c r="AB408" s="187"/>
    </row>
    <row r="409" spans="1:28" ht="15.75" customHeight="1">
      <c r="A409" s="219"/>
      <c r="B409" s="83"/>
      <c r="C409" s="81"/>
      <c r="D409" s="82"/>
      <c r="E409" s="81"/>
      <c r="F409" s="82"/>
      <c r="G409" s="83"/>
      <c r="H409" s="221"/>
      <c r="I409" s="83"/>
      <c r="J409" s="83"/>
      <c r="K409" s="83"/>
      <c r="L409" s="84"/>
      <c r="M409" s="84"/>
      <c r="N409" s="83"/>
      <c r="O409" s="222"/>
      <c r="P409" s="222"/>
      <c r="Q409" s="187"/>
      <c r="R409" s="187"/>
      <c r="S409" s="187"/>
      <c r="T409" s="187"/>
      <c r="U409" s="187"/>
      <c r="V409" s="187"/>
      <c r="W409" s="187"/>
      <c r="X409" s="187"/>
      <c r="Y409" s="187"/>
      <c r="Z409" s="187"/>
      <c r="AA409" s="187"/>
      <c r="AB409" s="187"/>
    </row>
    <row r="410" spans="1:28" ht="15.75" customHeight="1">
      <c r="A410" s="219"/>
      <c r="B410" s="83"/>
      <c r="C410" s="81"/>
      <c r="D410" s="82"/>
      <c r="E410" s="81"/>
      <c r="F410" s="82"/>
      <c r="G410" s="83"/>
      <c r="H410" s="221"/>
      <c r="I410" s="83"/>
      <c r="J410" s="83"/>
      <c r="K410" s="83"/>
      <c r="L410" s="84"/>
      <c r="M410" s="84"/>
      <c r="N410" s="83"/>
      <c r="O410" s="222"/>
      <c r="P410" s="222"/>
      <c r="Q410" s="187"/>
      <c r="R410" s="187"/>
      <c r="S410" s="187"/>
      <c r="T410" s="187"/>
      <c r="U410" s="187"/>
      <c r="V410" s="187"/>
      <c r="W410" s="187"/>
      <c r="X410" s="187"/>
      <c r="Y410" s="187"/>
      <c r="Z410" s="187"/>
      <c r="AA410" s="187"/>
      <c r="AB410" s="187"/>
    </row>
    <row r="411" spans="1:28" ht="15.75" customHeight="1">
      <c r="A411" s="219"/>
      <c r="B411" s="83"/>
      <c r="C411" s="81"/>
      <c r="D411" s="82"/>
      <c r="E411" s="81"/>
      <c r="F411" s="82"/>
      <c r="G411" s="83"/>
      <c r="H411" s="221"/>
      <c r="I411" s="83"/>
      <c r="J411" s="83"/>
      <c r="K411" s="83"/>
      <c r="L411" s="84"/>
      <c r="M411" s="84"/>
      <c r="N411" s="83"/>
      <c r="O411" s="222"/>
      <c r="P411" s="222"/>
      <c r="Q411" s="187"/>
      <c r="R411" s="187"/>
      <c r="S411" s="187"/>
      <c r="T411" s="187"/>
      <c r="U411" s="187"/>
      <c r="V411" s="187"/>
      <c r="W411" s="187"/>
      <c r="X411" s="187"/>
      <c r="Y411" s="187"/>
      <c r="Z411" s="187"/>
      <c r="AA411" s="187"/>
      <c r="AB411" s="187"/>
    </row>
    <row r="412" spans="1:28" ht="15.75" customHeight="1">
      <c r="A412" s="219"/>
      <c r="B412" s="83"/>
      <c r="C412" s="81"/>
      <c r="D412" s="82"/>
      <c r="E412" s="81"/>
      <c r="F412" s="82"/>
      <c r="G412" s="83"/>
      <c r="H412" s="221"/>
      <c r="I412" s="83"/>
      <c r="J412" s="83"/>
      <c r="K412" s="83"/>
      <c r="L412" s="84"/>
      <c r="M412" s="84"/>
      <c r="N412" s="83"/>
      <c r="O412" s="222"/>
      <c r="P412" s="222"/>
      <c r="Q412" s="187"/>
      <c r="R412" s="187"/>
      <c r="S412" s="187"/>
      <c r="T412" s="187"/>
      <c r="U412" s="187"/>
      <c r="V412" s="187"/>
      <c r="W412" s="187"/>
      <c r="X412" s="187"/>
      <c r="Y412" s="187"/>
      <c r="Z412" s="187"/>
      <c r="AA412" s="187"/>
      <c r="AB412" s="187"/>
    </row>
    <row r="413" spans="1:28" ht="15.75" customHeight="1">
      <c r="A413" s="219"/>
      <c r="B413" s="83"/>
      <c r="C413" s="81"/>
      <c r="D413" s="82"/>
      <c r="E413" s="81"/>
      <c r="F413" s="82"/>
      <c r="G413" s="83"/>
      <c r="H413" s="221"/>
      <c r="I413" s="83"/>
      <c r="J413" s="83"/>
      <c r="K413" s="83"/>
      <c r="L413" s="84"/>
      <c r="M413" s="84"/>
      <c r="N413" s="83"/>
      <c r="O413" s="222"/>
      <c r="P413" s="222"/>
      <c r="Q413" s="187"/>
      <c r="R413" s="187"/>
      <c r="S413" s="187"/>
      <c r="T413" s="187"/>
      <c r="U413" s="187"/>
      <c r="V413" s="187"/>
      <c r="W413" s="187"/>
      <c r="X413" s="187"/>
      <c r="Y413" s="187"/>
      <c r="Z413" s="187"/>
      <c r="AA413" s="187"/>
      <c r="AB413" s="187"/>
    </row>
    <row r="414" spans="1:28" ht="15.75" customHeight="1">
      <c r="A414" s="219"/>
      <c r="B414" s="83"/>
      <c r="C414" s="81"/>
      <c r="D414" s="82"/>
      <c r="E414" s="81"/>
      <c r="F414" s="82"/>
      <c r="G414" s="83"/>
      <c r="H414" s="221"/>
      <c r="I414" s="83"/>
      <c r="J414" s="83"/>
      <c r="K414" s="83"/>
      <c r="L414" s="84"/>
      <c r="M414" s="84"/>
      <c r="N414" s="83"/>
      <c r="O414" s="222"/>
      <c r="P414" s="222"/>
      <c r="Q414" s="187"/>
      <c r="R414" s="187"/>
      <c r="S414" s="187"/>
      <c r="T414" s="187"/>
      <c r="U414" s="187"/>
      <c r="V414" s="187"/>
      <c r="W414" s="187"/>
      <c r="X414" s="187"/>
      <c r="Y414" s="187"/>
      <c r="Z414" s="187"/>
      <c r="AA414" s="187"/>
      <c r="AB414" s="187"/>
    </row>
    <row r="415" spans="1:28" ht="15.75" customHeight="1">
      <c r="A415" s="219"/>
      <c r="B415" s="83"/>
      <c r="C415" s="81"/>
      <c r="D415" s="82"/>
      <c r="E415" s="81"/>
      <c r="F415" s="82"/>
      <c r="G415" s="83"/>
      <c r="H415" s="221"/>
      <c r="I415" s="83"/>
      <c r="J415" s="83"/>
      <c r="K415" s="83"/>
      <c r="L415" s="84"/>
      <c r="M415" s="84"/>
      <c r="N415" s="83"/>
      <c r="O415" s="222"/>
      <c r="P415" s="222"/>
      <c r="Q415" s="187"/>
      <c r="R415" s="187"/>
      <c r="S415" s="187"/>
      <c r="T415" s="187"/>
      <c r="U415" s="187"/>
      <c r="V415" s="187"/>
      <c r="W415" s="187"/>
      <c r="X415" s="187"/>
      <c r="Y415" s="187"/>
      <c r="Z415" s="187"/>
      <c r="AA415" s="187"/>
      <c r="AB415" s="187"/>
    </row>
    <row r="416" spans="1:28" ht="15.75" customHeight="1">
      <c r="A416" s="219"/>
      <c r="B416" s="83"/>
      <c r="C416" s="81"/>
      <c r="D416" s="82"/>
      <c r="E416" s="81"/>
      <c r="F416" s="82"/>
      <c r="G416" s="83"/>
      <c r="H416" s="221"/>
      <c r="I416" s="83"/>
      <c r="J416" s="83"/>
      <c r="K416" s="83"/>
      <c r="L416" s="84"/>
      <c r="M416" s="84"/>
      <c r="N416" s="83"/>
      <c r="O416" s="222"/>
      <c r="P416" s="222"/>
      <c r="Q416" s="187"/>
      <c r="R416" s="187"/>
      <c r="S416" s="187"/>
      <c r="T416" s="187"/>
      <c r="U416" s="187"/>
      <c r="V416" s="187"/>
      <c r="W416" s="187"/>
      <c r="X416" s="187"/>
      <c r="Y416" s="187"/>
      <c r="Z416" s="187"/>
      <c r="AA416" s="187"/>
      <c r="AB416" s="187"/>
    </row>
    <row r="417" spans="1:28" ht="15.75" customHeight="1">
      <c r="A417" s="219"/>
      <c r="B417" s="83"/>
      <c r="C417" s="81"/>
      <c r="D417" s="82"/>
      <c r="E417" s="81"/>
      <c r="F417" s="82"/>
      <c r="G417" s="83"/>
      <c r="H417" s="221"/>
      <c r="I417" s="83"/>
      <c r="J417" s="83"/>
      <c r="K417" s="83"/>
      <c r="L417" s="84"/>
      <c r="M417" s="84"/>
      <c r="N417" s="83"/>
      <c r="O417" s="222"/>
      <c r="P417" s="222"/>
      <c r="Q417" s="187"/>
      <c r="R417" s="187"/>
      <c r="S417" s="187"/>
      <c r="T417" s="187"/>
      <c r="U417" s="187"/>
      <c r="V417" s="187"/>
      <c r="W417" s="187"/>
      <c r="X417" s="187"/>
      <c r="Y417" s="187"/>
      <c r="Z417" s="187"/>
      <c r="AA417" s="187"/>
      <c r="AB417" s="187"/>
    </row>
    <row r="418" spans="1:28" ht="15.75" customHeight="1">
      <c r="A418" s="219"/>
      <c r="B418" s="83"/>
      <c r="C418" s="81"/>
      <c r="D418" s="82"/>
      <c r="E418" s="81"/>
      <c r="F418" s="82"/>
      <c r="G418" s="83"/>
      <c r="H418" s="221"/>
      <c r="I418" s="83"/>
      <c r="J418" s="83"/>
      <c r="K418" s="83"/>
      <c r="L418" s="84"/>
      <c r="M418" s="84"/>
      <c r="N418" s="83"/>
      <c r="O418" s="222"/>
      <c r="P418" s="222"/>
      <c r="Q418" s="187"/>
      <c r="R418" s="187"/>
      <c r="S418" s="187"/>
      <c r="T418" s="187"/>
      <c r="U418" s="187"/>
      <c r="V418" s="187"/>
      <c r="W418" s="187"/>
      <c r="X418" s="187"/>
      <c r="Y418" s="187"/>
      <c r="Z418" s="187"/>
      <c r="AA418" s="187"/>
      <c r="AB418" s="187"/>
    </row>
    <row r="419" spans="1:28" ht="15.75" customHeight="1">
      <c r="A419" s="219"/>
      <c r="B419" s="83"/>
      <c r="C419" s="81"/>
      <c r="D419" s="82"/>
      <c r="E419" s="81"/>
      <c r="F419" s="82"/>
      <c r="G419" s="83"/>
      <c r="H419" s="221"/>
      <c r="I419" s="83"/>
      <c r="J419" s="83"/>
      <c r="K419" s="83"/>
      <c r="L419" s="84"/>
      <c r="M419" s="84"/>
      <c r="N419" s="83"/>
      <c r="O419" s="222"/>
      <c r="P419" s="222"/>
      <c r="Q419" s="187"/>
      <c r="R419" s="187"/>
      <c r="S419" s="187"/>
      <c r="T419" s="187"/>
      <c r="U419" s="187"/>
      <c r="V419" s="187"/>
      <c r="W419" s="187"/>
      <c r="X419" s="187"/>
      <c r="Y419" s="187"/>
      <c r="Z419" s="187"/>
      <c r="AA419" s="187"/>
      <c r="AB419" s="187"/>
    </row>
    <row r="420" spans="1:28" ht="15.75" customHeight="1">
      <c r="A420" s="219"/>
      <c r="B420" s="83"/>
      <c r="C420" s="81"/>
      <c r="D420" s="82"/>
      <c r="E420" s="81"/>
      <c r="F420" s="82"/>
      <c r="G420" s="83"/>
      <c r="H420" s="221"/>
      <c r="I420" s="83"/>
      <c r="J420" s="83"/>
      <c r="K420" s="83"/>
      <c r="L420" s="84"/>
      <c r="M420" s="84"/>
      <c r="N420" s="83"/>
      <c r="O420" s="222"/>
      <c r="P420" s="222"/>
      <c r="Q420" s="187"/>
      <c r="R420" s="187"/>
      <c r="S420" s="187"/>
      <c r="T420" s="187"/>
      <c r="U420" s="187"/>
      <c r="V420" s="187"/>
      <c r="W420" s="187"/>
      <c r="X420" s="187"/>
      <c r="Y420" s="187"/>
      <c r="Z420" s="187"/>
      <c r="AA420" s="187"/>
      <c r="AB420" s="187"/>
    </row>
    <row r="421" spans="1:28" ht="15.75" customHeight="1">
      <c r="A421" s="219"/>
      <c r="B421" s="83"/>
      <c r="C421" s="81"/>
      <c r="D421" s="82"/>
      <c r="E421" s="81"/>
      <c r="F421" s="82"/>
      <c r="G421" s="83"/>
      <c r="H421" s="221"/>
      <c r="I421" s="83"/>
      <c r="J421" s="83"/>
      <c r="K421" s="83"/>
      <c r="L421" s="84"/>
      <c r="M421" s="84"/>
      <c r="N421" s="83"/>
      <c r="O421" s="222"/>
      <c r="P421" s="222"/>
      <c r="Q421" s="187"/>
      <c r="R421" s="187"/>
      <c r="S421" s="187"/>
      <c r="T421" s="187"/>
      <c r="U421" s="187"/>
      <c r="V421" s="187"/>
      <c r="W421" s="187"/>
      <c r="X421" s="187"/>
      <c r="Y421" s="187"/>
      <c r="Z421" s="187"/>
      <c r="AA421" s="187"/>
      <c r="AB421" s="187"/>
    </row>
    <row r="422" spans="1:28" ht="15.75" customHeight="1">
      <c r="A422" s="219"/>
      <c r="B422" s="83"/>
      <c r="C422" s="81"/>
      <c r="D422" s="82"/>
      <c r="E422" s="81"/>
      <c r="F422" s="82"/>
      <c r="G422" s="83"/>
      <c r="H422" s="221"/>
      <c r="I422" s="83"/>
      <c r="J422" s="83"/>
      <c r="K422" s="83"/>
      <c r="L422" s="84"/>
      <c r="M422" s="84"/>
      <c r="N422" s="83"/>
      <c r="O422" s="222"/>
      <c r="P422" s="222"/>
      <c r="Q422" s="187"/>
      <c r="R422" s="187"/>
      <c r="S422" s="187"/>
      <c r="T422" s="187"/>
      <c r="U422" s="187"/>
      <c r="V422" s="187"/>
      <c r="W422" s="187"/>
      <c r="X422" s="187"/>
      <c r="Y422" s="187"/>
      <c r="Z422" s="187"/>
      <c r="AA422" s="187"/>
      <c r="AB422" s="187"/>
    </row>
    <row r="423" spans="1:28" ht="15.75" customHeight="1">
      <c r="A423" s="219"/>
      <c r="B423" s="83"/>
      <c r="C423" s="81"/>
      <c r="D423" s="82"/>
      <c r="E423" s="81"/>
      <c r="F423" s="82"/>
      <c r="G423" s="83"/>
      <c r="H423" s="221"/>
      <c r="I423" s="83"/>
      <c r="J423" s="83"/>
      <c r="K423" s="83"/>
      <c r="L423" s="84"/>
      <c r="M423" s="84"/>
      <c r="N423" s="83"/>
      <c r="O423" s="222"/>
      <c r="P423" s="222"/>
      <c r="Q423" s="187"/>
      <c r="R423" s="187"/>
      <c r="S423" s="187"/>
      <c r="T423" s="187"/>
      <c r="U423" s="187"/>
      <c r="V423" s="187"/>
      <c r="W423" s="187"/>
      <c r="X423" s="187"/>
      <c r="Y423" s="187"/>
      <c r="Z423" s="187"/>
      <c r="AA423" s="187"/>
      <c r="AB423" s="187"/>
    </row>
    <row r="424" spans="1:28" ht="15.75" customHeight="1">
      <c r="A424" s="219"/>
      <c r="B424" s="83"/>
      <c r="C424" s="81"/>
      <c r="D424" s="82"/>
      <c r="E424" s="81"/>
      <c r="F424" s="82"/>
      <c r="G424" s="83"/>
      <c r="H424" s="221"/>
      <c r="I424" s="83"/>
      <c r="J424" s="83"/>
      <c r="K424" s="83"/>
      <c r="L424" s="84"/>
      <c r="M424" s="84"/>
      <c r="N424" s="83"/>
      <c r="O424" s="222"/>
      <c r="P424" s="222"/>
      <c r="Q424" s="187"/>
      <c r="R424" s="187"/>
      <c r="S424" s="187"/>
      <c r="T424" s="187"/>
      <c r="U424" s="187"/>
      <c r="V424" s="187"/>
      <c r="W424" s="187"/>
      <c r="X424" s="187"/>
      <c r="Y424" s="187"/>
      <c r="Z424" s="187"/>
      <c r="AA424" s="187"/>
      <c r="AB424" s="187"/>
    </row>
    <row r="425" spans="1:28" ht="15.75" customHeight="1">
      <c r="A425" s="219"/>
      <c r="B425" s="83"/>
      <c r="C425" s="81"/>
      <c r="D425" s="82"/>
      <c r="E425" s="81"/>
      <c r="F425" s="82"/>
      <c r="G425" s="83"/>
      <c r="H425" s="221"/>
      <c r="I425" s="83"/>
      <c r="J425" s="83"/>
      <c r="K425" s="83"/>
      <c r="L425" s="84"/>
      <c r="M425" s="84"/>
      <c r="N425" s="83"/>
      <c r="O425" s="222"/>
      <c r="P425" s="222"/>
      <c r="Q425" s="187"/>
      <c r="R425" s="187"/>
      <c r="S425" s="187"/>
      <c r="T425" s="187"/>
      <c r="U425" s="187"/>
      <c r="V425" s="187"/>
      <c r="W425" s="187"/>
      <c r="X425" s="187"/>
      <c r="Y425" s="187"/>
      <c r="Z425" s="187"/>
      <c r="AA425" s="187"/>
      <c r="AB425" s="187"/>
    </row>
    <row r="426" spans="1:28" ht="15.75" customHeight="1">
      <c r="A426" s="219"/>
      <c r="B426" s="83"/>
      <c r="C426" s="81"/>
      <c r="D426" s="82"/>
      <c r="E426" s="81"/>
      <c r="F426" s="82"/>
      <c r="G426" s="83"/>
      <c r="H426" s="221"/>
      <c r="I426" s="83"/>
      <c r="J426" s="83"/>
      <c r="K426" s="83"/>
      <c r="L426" s="84"/>
      <c r="M426" s="84"/>
      <c r="N426" s="83"/>
      <c r="O426" s="222"/>
      <c r="P426" s="222"/>
      <c r="Q426" s="187"/>
      <c r="R426" s="187"/>
      <c r="S426" s="187"/>
      <c r="T426" s="187"/>
      <c r="U426" s="187"/>
      <c r="V426" s="187"/>
      <c r="W426" s="187"/>
      <c r="X426" s="187"/>
      <c r="Y426" s="187"/>
      <c r="Z426" s="187"/>
      <c r="AA426" s="187"/>
      <c r="AB426" s="187"/>
    </row>
    <row r="427" spans="1:28" ht="15.75" customHeight="1">
      <c r="A427" s="219"/>
      <c r="B427" s="83"/>
      <c r="C427" s="81"/>
      <c r="D427" s="82"/>
      <c r="E427" s="81"/>
      <c r="F427" s="82"/>
      <c r="G427" s="83"/>
      <c r="H427" s="221"/>
      <c r="I427" s="83"/>
      <c r="J427" s="83"/>
      <c r="K427" s="83"/>
      <c r="L427" s="84"/>
      <c r="M427" s="84"/>
      <c r="N427" s="83"/>
      <c r="O427" s="222"/>
      <c r="P427" s="222"/>
      <c r="Q427" s="187"/>
      <c r="R427" s="187"/>
      <c r="S427" s="187"/>
      <c r="T427" s="187"/>
      <c r="U427" s="187"/>
      <c r="V427" s="187"/>
      <c r="W427" s="187"/>
      <c r="X427" s="187"/>
      <c r="Y427" s="187"/>
      <c r="Z427" s="187"/>
      <c r="AA427" s="187"/>
      <c r="AB427" s="187"/>
    </row>
    <row r="428" spans="1:28" ht="15.75" customHeight="1">
      <c r="A428" s="219"/>
      <c r="B428" s="83"/>
      <c r="C428" s="81"/>
      <c r="D428" s="82"/>
      <c r="E428" s="81"/>
      <c r="F428" s="82"/>
      <c r="G428" s="83"/>
      <c r="H428" s="221"/>
      <c r="I428" s="83"/>
      <c r="J428" s="83"/>
      <c r="K428" s="83"/>
      <c r="L428" s="84"/>
      <c r="M428" s="84"/>
      <c r="N428" s="83"/>
      <c r="O428" s="222"/>
      <c r="P428" s="222"/>
      <c r="Q428" s="187"/>
      <c r="R428" s="187"/>
      <c r="S428" s="187"/>
      <c r="T428" s="187"/>
      <c r="U428" s="187"/>
      <c r="V428" s="187"/>
      <c r="W428" s="187"/>
      <c r="X428" s="187"/>
      <c r="Y428" s="187"/>
      <c r="Z428" s="187"/>
      <c r="AA428" s="187"/>
      <c r="AB428" s="187"/>
    </row>
    <row r="429" spans="1:28" ht="15.75" customHeight="1">
      <c r="A429" s="219"/>
      <c r="B429" s="83"/>
      <c r="C429" s="81"/>
      <c r="D429" s="82"/>
      <c r="E429" s="81"/>
      <c r="F429" s="82"/>
      <c r="G429" s="83"/>
      <c r="H429" s="221"/>
      <c r="I429" s="83"/>
      <c r="J429" s="83"/>
      <c r="K429" s="83"/>
      <c r="L429" s="84"/>
      <c r="M429" s="84"/>
      <c r="N429" s="83"/>
      <c r="O429" s="222"/>
      <c r="P429" s="222"/>
      <c r="Q429" s="187"/>
      <c r="R429" s="187"/>
      <c r="S429" s="187"/>
      <c r="T429" s="187"/>
      <c r="U429" s="187"/>
      <c r="V429" s="187"/>
      <c r="W429" s="187"/>
      <c r="X429" s="187"/>
      <c r="Y429" s="187"/>
      <c r="Z429" s="187"/>
      <c r="AA429" s="187"/>
      <c r="AB429" s="187"/>
    </row>
    <row r="430" spans="1:28" ht="15.75" customHeight="1">
      <c r="A430" s="219"/>
      <c r="B430" s="83"/>
      <c r="C430" s="81"/>
      <c r="D430" s="82"/>
      <c r="E430" s="81"/>
      <c r="F430" s="82"/>
      <c r="G430" s="83"/>
      <c r="H430" s="221"/>
      <c r="I430" s="83"/>
      <c r="J430" s="83"/>
      <c r="K430" s="83"/>
      <c r="L430" s="84"/>
      <c r="M430" s="84"/>
      <c r="N430" s="83"/>
      <c r="O430" s="222"/>
      <c r="P430" s="222"/>
      <c r="Q430" s="187"/>
      <c r="R430" s="187"/>
      <c r="S430" s="187"/>
      <c r="T430" s="187"/>
      <c r="U430" s="187"/>
      <c r="V430" s="187"/>
      <c r="W430" s="187"/>
      <c r="X430" s="187"/>
      <c r="Y430" s="187"/>
      <c r="Z430" s="187"/>
      <c r="AA430" s="187"/>
      <c r="AB430" s="187"/>
    </row>
    <row r="431" spans="1:28" ht="15.75" customHeight="1">
      <c r="A431" s="219"/>
      <c r="B431" s="83"/>
      <c r="C431" s="81"/>
      <c r="D431" s="82"/>
      <c r="E431" s="81"/>
      <c r="F431" s="82"/>
      <c r="G431" s="83"/>
      <c r="H431" s="221"/>
      <c r="I431" s="83"/>
      <c r="J431" s="83"/>
      <c r="K431" s="83"/>
      <c r="L431" s="84"/>
      <c r="M431" s="84"/>
      <c r="N431" s="83"/>
      <c r="O431" s="222"/>
      <c r="P431" s="222"/>
      <c r="Q431" s="187"/>
      <c r="R431" s="187"/>
      <c r="S431" s="187"/>
      <c r="T431" s="187"/>
      <c r="U431" s="187"/>
      <c r="V431" s="187"/>
      <c r="W431" s="187"/>
      <c r="X431" s="187"/>
      <c r="Y431" s="187"/>
      <c r="Z431" s="187"/>
      <c r="AA431" s="187"/>
      <c r="AB431" s="187"/>
    </row>
    <row r="432" spans="1:28" ht="15.75" customHeight="1">
      <c r="A432" s="219"/>
      <c r="B432" s="83"/>
      <c r="C432" s="81"/>
      <c r="D432" s="82"/>
      <c r="E432" s="81"/>
      <c r="F432" s="82"/>
      <c r="G432" s="83"/>
      <c r="H432" s="221"/>
      <c r="I432" s="83"/>
      <c r="J432" s="83"/>
      <c r="K432" s="83"/>
      <c r="L432" s="84"/>
      <c r="M432" s="84"/>
      <c r="N432" s="83"/>
      <c r="O432" s="222"/>
      <c r="P432" s="222"/>
      <c r="Q432" s="187"/>
      <c r="R432" s="187"/>
      <c r="S432" s="187"/>
      <c r="T432" s="187"/>
      <c r="U432" s="187"/>
      <c r="V432" s="187"/>
      <c r="W432" s="187"/>
      <c r="X432" s="187"/>
      <c r="Y432" s="187"/>
      <c r="Z432" s="187"/>
      <c r="AA432" s="187"/>
      <c r="AB432" s="187"/>
    </row>
    <row r="433" spans="1:28" ht="15.75" customHeight="1">
      <c r="A433" s="219"/>
      <c r="B433" s="83"/>
      <c r="C433" s="81"/>
      <c r="D433" s="82"/>
      <c r="E433" s="81"/>
      <c r="F433" s="82"/>
      <c r="G433" s="83"/>
      <c r="H433" s="221"/>
      <c r="I433" s="83"/>
      <c r="J433" s="83"/>
      <c r="K433" s="83"/>
      <c r="L433" s="84"/>
      <c r="M433" s="84"/>
      <c r="N433" s="83"/>
      <c r="O433" s="222"/>
      <c r="P433" s="222"/>
      <c r="Q433" s="187"/>
      <c r="R433" s="187"/>
      <c r="S433" s="187"/>
      <c r="T433" s="187"/>
      <c r="U433" s="187"/>
      <c r="V433" s="187"/>
      <c r="W433" s="187"/>
      <c r="X433" s="187"/>
      <c r="Y433" s="187"/>
      <c r="Z433" s="187"/>
      <c r="AA433" s="187"/>
      <c r="AB433" s="187"/>
    </row>
    <row r="434" spans="1:28" ht="15.75" customHeight="1">
      <c r="A434" s="219"/>
      <c r="B434" s="83"/>
      <c r="C434" s="81"/>
      <c r="D434" s="82"/>
      <c r="E434" s="81"/>
      <c r="F434" s="82"/>
      <c r="G434" s="83"/>
      <c r="H434" s="221"/>
      <c r="I434" s="83"/>
      <c r="J434" s="83"/>
      <c r="K434" s="83"/>
      <c r="L434" s="84"/>
      <c r="M434" s="84"/>
      <c r="N434" s="83"/>
      <c r="O434" s="222"/>
      <c r="P434" s="222"/>
      <c r="Q434" s="187"/>
      <c r="R434" s="187"/>
      <c r="S434" s="187"/>
      <c r="T434" s="187"/>
      <c r="U434" s="187"/>
      <c r="V434" s="187"/>
      <c r="W434" s="187"/>
      <c r="X434" s="187"/>
      <c r="Y434" s="187"/>
      <c r="Z434" s="187"/>
      <c r="AA434" s="187"/>
      <c r="AB434" s="187"/>
    </row>
    <row r="435" spans="1:28" ht="15.75" customHeight="1">
      <c r="A435" s="219"/>
      <c r="B435" s="83"/>
      <c r="C435" s="81"/>
      <c r="D435" s="82"/>
      <c r="E435" s="81"/>
      <c r="F435" s="82"/>
      <c r="G435" s="83"/>
      <c r="H435" s="221"/>
      <c r="I435" s="83"/>
      <c r="J435" s="83"/>
      <c r="K435" s="83"/>
      <c r="L435" s="84"/>
      <c r="M435" s="84"/>
      <c r="N435" s="83"/>
      <c r="O435" s="222"/>
      <c r="P435" s="222"/>
      <c r="Q435" s="187"/>
      <c r="R435" s="187"/>
      <c r="S435" s="187"/>
      <c r="T435" s="187"/>
      <c r="U435" s="187"/>
      <c r="V435" s="187"/>
      <c r="W435" s="187"/>
      <c r="X435" s="187"/>
      <c r="Y435" s="187"/>
      <c r="Z435" s="187"/>
      <c r="AA435" s="187"/>
      <c r="AB435" s="187"/>
    </row>
    <row r="436" spans="1:28" ht="15.75" customHeight="1">
      <c r="A436" s="219"/>
      <c r="B436" s="83"/>
      <c r="C436" s="81"/>
      <c r="D436" s="82"/>
      <c r="E436" s="81"/>
      <c r="F436" s="82"/>
      <c r="G436" s="83"/>
      <c r="H436" s="221"/>
      <c r="I436" s="83"/>
      <c r="J436" s="83"/>
      <c r="K436" s="83"/>
      <c r="L436" s="84"/>
      <c r="M436" s="84"/>
      <c r="N436" s="83"/>
      <c r="O436" s="222"/>
      <c r="P436" s="222"/>
      <c r="Q436" s="187"/>
      <c r="R436" s="187"/>
      <c r="S436" s="187"/>
      <c r="T436" s="187"/>
      <c r="U436" s="187"/>
      <c r="V436" s="187"/>
      <c r="W436" s="187"/>
      <c r="X436" s="187"/>
      <c r="Y436" s="187"/>
      <c r="Z436" s="187"/>
      <c r="AA436" s="187"/>
      <c r="AB436" s="187"/>
    </row>
    <row r="437" spans="1:28" ht="15.75" customHeight="1">
      <c r="A437" s="219"/>
      <c r="B437" s="83"/>
      <c r="C437" s="81"/>
      <c r="D437" s="82"/>
      <c r="E437" s="81"/>
      <c r="F437" s="82"/>
      <c r="G437" s="83"/>
      <c r="H437" s="221"/>
      <c r="I437" s="83"/>
      <c r="J437" s="83"/>
      <c r="K437" s="83"/>
      <c r="L437" s="84"/>
      <c r="M437" s="84"/>
      <c r="N437" s="83"/>
      <c r="O437" s="222"/>
      <c r="P437" s="222"/>
      <c r="Q437" s="187"/>
      <c r="R437" s="187"/>
      <c r="S437" s="187"/>
      <c r="T437" s="187"/>
      <c r="U437" s="187"/>
      <c r="V437" s="187"/>
      <c r="W437" s="187"/>
      <c r="X437" s="187"/>
      <c r="Y437" s="187"/>
      <c r="Z437" s="187"/>
      <c r="AA437" s="187"/>
      <c r="AB437" s="187"/>
    </row>
    <row r="438" spans="1:28" ht="15.75" customHeight="1">
      <c r="A438" s="219"/>
      <c r="B438" s="83"/>
      <c r="C438" s="81"/>
      <c r="D438" s="82"/>
      <c r="E438" s="81"/>
      <c r="F438" s="82"/>
      <c r="G438" s="83"/>
      <c r="H438" s="221"/>
      <c r="I438" s="83"/>
      <c r="J438" s="83"/>
      <c r="K438" s="83"/>
      <c r="L438" s="84"/>
      <c r="M438" s="84"/>
      <c r="N438" s="83"/>
      <c r="O438" s="222"/>
      <c r="P438" s="222"/>
      <c r="Q438" s="187"/>
      <c r="R438" s="187"/>
      <c r="S438" s="187"/>
      <c r="T438" s="187"/>
      <c r="U438" s="187"/>
      <c r="V438" s="187"/>
      <c r="W438" s="187"/>
      <c r="X438" s="187"/>
      <c r="Y438" s="187"/>
      <c r="Z438" s="187"/>
      <c r="AA438" s="187"/>
      <c r="AB438" s="187"/>
    </row>
    <row r="439" spans="1:28" ht="15.75" customHeight="1">
      <c r="A439" s="219"/>
      <c r="B439" s="83"/>
      <c r="C439" s="81"/>
      <c r="D439" s="82"/>
      <c r="E439" s="81"/>
      <c r="F439" s="82"/>
      <c r="G439" s="83"/>
      <c r="H439" s="221"/>
      <c r="I439" s="83"/>
      <c r="J439" s="83"/>
      <c r="K439" s="83"/>
      <c r="L439" s="84"/>
      <c r="M439" s="84"/>
      <c r="N439" s="83"/>
      <c r="O439" s="222"/>
      <c r="P439" s="222"/>
      <c r="Q439" s="187"/>
      <c r="R439" s="187"/>
      <c r="S439" s="187"/>
      <c r="T439" s="187"/>
      <c r="U439" s="187"/>
      <c r="V439" s="187"/>
      <c r="W439" s="187"/>
      <c r="X439" s="187"/>
      <c r="Y439" s="187"/>
      <c r="Z439" s="187"/>
      <c r="AA439" s="187"/>
      <c r="AB439" s="187"/>
    </row>
    <row r="440" spans="1:28" ht="15.75" customHeight="1">
      <c r="A440" s="219"/>
      <c r="B440" s="83"/>
      <c r="C440" s="81"/>
      <c r="D440" s="82"/>
      <c r="E440" s="81"/>
      <c r="F440" s="82"/>
      <c r="G440" s="83"/>
      <c r="H440" s="221"/>
      <c r="I440" s="83"/>
      <c r="J440" s="83"/>
      <c r="K440" s="83"/>
      <c r="L440" s="84"/>
      <c r="M440" s="84"/>
      <c r="N440" s="83"/>
      <c r="O440" s="222"/>
      <c r="P440" s="222"/>
      <c r="Q440" s="187"/>
      <c r="R440" s="187"/>
      <c r="S440" s="187"/>
      <c r="T440" s="187"/>
      <c r="U440" s="187"/>
      <c r="V440" s="187"/>
      <c r="W440" s="187"/>
      <c r="X440" s="187"/>
      <c r="Y440" s="187"/>
      <c r="Z440" s="187"/>
      <c r="AA440" s="187"/>
      <c r="AB440" s="187"/>
    </row>
    <row r="441" spans="1:28" ht="15.75" customHeight="1">
      <c r="A441" s="219"/>
      <c r="B441" s="83"/>
      <c r="C441" s="81"/>
      <c r="D441" s="82"/>
      <c r="E441" s="81"/>
      <c r="F441" s="82"/>
      <c r="G441" s="83"/>
      <c r="H441" s="221"/>
      <c r="I441" s="83"/>
      <c r="J441" s="83"/>
      <c r="K441" s="83"/>
      <c r="L441" s="84"/>
      <c r="M441" s="84"/>
      <c r="N441" s="83"/>
      <c r="O441" s="222"/>
      <c r="P441" s="222"/>
      <c r="Q441" s="187"/>
      <c r="R441" s="187"/>
      <c r="S441" s="187"/>
      <c r="T441" s="187"/>
      <c r="U441" s="187"/>
      <c r="V441" s="187"/>
      <c r="W441" s="187"/>
      <c r="X441" s="187"/>
      <c r="Y441" s="187"/>
      <c r="Z441" s="187"/>
      <c r="AA441" s="187"/>
      <c r="AB441" s="187"/>
    </row>
    <row r="442" spans="1:28" ht="15.75" customHeight="1">
      <c r="A442" s="219"/>
      <c r="B442" s="83"/>
      <c r="C442" s="81"/>
      <c r="D442" s="82"/>
      <c r="E442" s="81"/>
      <c r="F442" s="82"/>
      <c r="G442" s="83"/>
      <c r="H442" s="221"/>
      <c r="I442" s="83"/>
      <c r="J442" s="83"/>
      <c r="K442" s="83"/>
      <c r="L442" s="84"/>
      <c r="M442" s="84"/>
      <c r="N442" s="83"/>
      <c r="O442" s="222"/>
      <c r="P442" s="222"/>
      <c r="Q442" s="187"/>
      <c r="R442" s="187"/>
      <c r="S442" s="187"/>
      <c r="T442" s="187"/>
      <c r="U442" s="187"/>
      <c r="V442" s="187"/>
      <c r="W442" s="187"/>
      <c r="X442" s="187"/>
      <c r="Y442" s="187"/>
      <c r="Z442" s="187"/>
      <c r="AA442" s="187"/>
      <c r="AB442" s="187"/>
    </row>
    <row r="443" spans="1:28" ht="15.75" customHeight="1">
      <c r="A443" s="219"/>
      <c r="B443" s="83"/>
      <c r="C443" s="81"/>
      <c r="D443" s="82"/>
      <c r="E443" s="81"/>
      <c r="F443" s="82"/>
      <c r="G443" s="83"/>
      <c r="H443" s="221"/>
      <c r="I443" s="83"/>
      <c r="J443" s="83"/>
      <c r="K443" s="83"/>
      <c r="L443" s="84"/>
      <c r="M443" s="84"/>
      <c r="N443" s="83"/>
      <c r="O443" s="222"/>
      <c r="P443" s="222"/>
      <c r="Q443" s="187"/>
      <c r="R443" s="187"/>
      <c r="S443" s="187"/>
      <c r="T443" s="187"/>
      <c r="U443" s="187"/>
      <c r="V443" s="187"/>
      <c r="W443" s="187"/>
      <c r="X443" s="187"/>
      <c r="Y443" s="187"/>
      <c r="Z443" s="187"/>
      <c r="AA443" s="187"/>
      <c r="AB443" s="187"/>
    </row>
    <row r="444" spans="1:28" ht="15.75" customHeight="1">
      <c r="A444" s="219"/>
      <c r="B444" s="83"/>
      <c r="C444" s="81"/>
      <c r="D444" s="82"/>
      <c r="E444" s="81"/>
      <c r="F444" s="82"/>
      <c r="G444" s="83"/>
      <c r="H444" s="221"/>
      <c r="I444" s="83"/>
      <c r="J444" s="83"/>
      <c r="K444" s="83"/>
      <c r="L444" s="84"/>
      <c r="M444" s="84"/>
      <c r="N444" s="83"/>
      <c r="O444" s="222"/>
      <c r="P444" s="222"/>
      <c r="Q444" s="187"/>
      <c r="R444" s="187"/>
      <c r="S444" s="187"/>
      <c r="T444" s="187"/>
      <c r="U444" s="187"/>
      <c r="V444" s="187"/>
      <c r="W444" s="187"/>
      <c r="X444" s="187"/>
      <c r="Y444" s="187"/>
      <c r="Z444" s="187"/>
      <c r="AA444" s="187"/>
      <c r="AB444" s="187"/>
    </row>
    <row r="445" spans="1:28" ht="15.75" customHeight="1">
      <c r="A445" s="219"/>
      <c r="B445" s="83"/>
      <c r="C445" s="81"/>
      <c r="D445" s="82"/>
      <c r="E445" s="81"/>
      <c r="F445" s="82"/>
      <c r="G445" s="83"/>
      <c r="H445" s="221"/>
      <c r="I445" s="83"/>
      <c r="J445" s="83"/>
      <c r="K445" s="83"/>
      <c r="L445" s="84"/>
      <c r="M445" s="84"/>
      <c r="N445" s="83"/>
      <c r="O445" s="222"/>
      <c r="P445" s="222"/>
      <c r="Q445" s="187"/>
      <c r="R445" s="187"/>
      <c r="S445" s="187"/>
      <c r="T445" s="187"/>
      <c r="U445" s="187"/>
      <c r="V445" s="187"/>
      <c r="W445" s="187"/>
      <c r="X445" s="187"/>
      <c r="Y445" s="187"/>
      <c r="Z445" s="187"/>
      <c r="AA445" s="187"/>
      <c r="AB445" s="187"/>
    </row>
    <row r="446" spans="1:28" ht="15.75" customHeight="1">
      <c r="A446" s="219"/>
      <c r="B446" s="83"/>
      <c r="C446" s="81"/>
      <c r="D446" s="82"/>
      <c r="E446" s="81"/>
      <c r="F446" s="82"/>
      <c r="G446" s="83"/>
      <c r="H446" s="221"/>
      <c r="I446" s="83"/>
      <c r="J446" s="83"/>
      <c r="K446" s="83"/>
      <c r="L446" s="84"/>
      <c r="M446" s="84"/>
      <c r="N446" s="83"/>
      <c r="O446" s="222"/>
      <c r="P446" s="222"/>
      <c r="Q446" s="187"/>
      <c r="R446" s="187"/>
      <c r="S446" s="187"/>
      <c r="T446" s="187"/>
      <c r="U446" s="187"/>
      <c r="V446" s="187"/>
      <c r="W446" s="187"/>
      <c r="X446" s="187"/>
      <c r="Y446" s="187"/>
      <c r="Z446" s="187"/>
      <c r="AA446" s="187"/>
      <c r="AB446" s="187"/>
    </row>
    <row r="447" spans="1:28" ht="15.75" customHeight="1">
      <c r="A447" s="219"/>
      <c r="B447" s="83"/>
      <c r="C447" s="81"/>
      <c r="D447" s="82"/>
      <c r="E447" s="81"/>
      <c r="F447" s="82"/>
      <c r="G447" s="83"/>
      <c r="H447" s="221"/>
      <c r="I447" s="83"/>
      <c r="J447" s="83"/>
      <c r="K447" s="83"/>
      <c r="L447" s="84"/>
      <c r="M447" s="84"/>
      <c r="N447" s="83"/>
      <c r="O447" s="222"/>
      <c r="P447" s="222"/>
      <c r="Q447" s="187"/>
      <c r="R447" s="187"/>
      <c r="S447" s="187"/>
      <c r="T447" s="187"/>
      <c r="U447" s="187"/>
      <c r="V447" s="187"/>
      <c r="W447" s="187"/>
      <c r="X447" s="187"/>
      <c r="Y447" s="187"/>
      <c r="Z447" s="187"/>
      <c r="AA447" s="187"/>
      <c r="AB447" s="187"/>
    </row>
    <row r="448" spans="1:28" ht="15.75" customHeight="1">
      <c r="A448" s="219"/>
      <c r="B448" s="83"/>
      <c r="C448" s="81"/>
      <c r="D448" s="82"/>
      <c r="E448" s="81"/>
      <c r="F448" s="82"/>
      <c r="G448" s="83"/>
      <c r="H448" s="221"/>
      <c r="I448" s="83"/>
      <c r="J448" s="83"/>
      <c r="K448" s="83"/>
      <c r="L448" s="84"/>
      <c r="M448" s="84"/>
      <c r="N448" s="83"/>
      <c r="O448" s="222"/>
      <c r="P448" s="222"/>
      <c r="Q448" s="187"/>
      <c r="R448" s="187"/>
      <c r="S448" s="187"/>
      <c r="T448" s="187"/>
      <c r="U448" s="187"/>
      <c r="V448" s="187"/>
      <c r="W448" s="187"/>
      <c r="X448" s="187"/>
      <c r="Y448" s="187"/>
      <c r="Z448" s="187"/>
      <c r="AA448" s="187"/>
      <c r="AB448" s="187"/>
    </row>
    <row r="449" spans="1:28" ht="15.75" customHeight="1">
      <c r="A449" s="219"/>
      <c r="B449" s="83"/>
      <c r="C449" s="81"/>
      <c r="D449" s="82"/>
      <c r="E449" s="81"/>
      <c r="F449" s="82"/>
      <c r="G449" s="83"/>
      <c r="H449" s="221"/>
      <c r="I449" s="83"/>
      <c r="J449" s="83"/>
      <c r="K449" s="83"/>
      <c r="L449" s="84"/>
      <c r="M449" s="84"/>
      <c r="N449" s="83"/>
      <c r="O449" s="222"/>
      <c r="P449" s="222"/>
      <c r="Q449" s="187"/>
      <c r="R449" s="187"/>
      <c r="S449" s="187"/>
      <c r="T449" s="187"/>
      <c r="U449" s="187"/>
      <c r="V449" s="187"/>
      <c r="W449" s="187"/>
      <c r="X449" s="187"/>
      <c r="Y449" s="187"/>
      <c r="Z449" s="187"/>
      <c r="AA449" s="187"/>
      <c r="AB449" s="187"/>
    </row>
    <row r="450" spans="1:28" ht="15.75" customHeight="1">
      <c r="A450" s="219"/>
      <c r="B450" s="83"/>
      <c r="C450" s="81"/>
      <c r="D450" s="82"/>
      <c r="E450" s="81"/>
      <c r="F450" s="82"/>
      <c r="G450" s="83"/>
      <c r="H450" s="221"/>
      <c r="I450" s="83"/>
      <c r="J450" s="83"/>
      <c r="K450" s="83"/>
      <c r="L450" s="84"/>
      <c r="M450" s="84"/>
      <c r="N450" s="83"/>
      <c r="O450" s="222"/>
      <c r="P450" s="222"/>
      <c r="Q450" s="187"/>
      <c r="R450" s="187"/>
      <c r="S450" s="187"/>
      <c r="T450" s="187"/>
      <c r="U450" s="187"/>
      <c r="V450" s="187"/>
      <c r="W450" s="187"/>
      <c r="X450" s="187"/>
      <c r="Y450" s="187"/>
      <c r="Z450" s="187"/>
      <c r="AA450" s="187"/>
      <c r="AB450" s="187"/>
    </row>
    <row r="451" spans="1:28" ht="15.75" customHeight="1">
      <c r="A451" s="219"/>
      <c r="B451" s="83"/>
      <c r="C451" s="81"/>
      <c r="D451" s="82"/>
      <c r="E451" s="81"/>
      <c r="F451" s="82"/>
      <c r="G451" s="83"/>
      <c r="H451" s="221"/>
      <c r="I451" s="83"/>
      <c r="J451" s="83"/>
      <c r="K451" s="83"/>
      <c r="L451" s="84"/>
      <c r="M451" s="84"/>
      <c r="N451" s="83"/>
      <c r="O451" s="222"/>
      <c r="P451" s="222"/>
      <c r="Q451" s="187"/>
      <c r="R451" s="187"/>
      <c r="S451" s="187"/>
      <c r="T451" s="187"/>
      <c r="U451" s="187"/>
      <c r="V451" s="187"/>
      <c r="W451" s="187"/>
      <c r="X451" s="187"/>
      <c r="Y451" s="187"/>
      <c r="Z451" s="187"/>
      <c r="AA451" s="187"/>
      <c r="AB451" s="187"/>
    </row>
    <row r="452" spans="1:28" ht="15.75" customHeight="1">
      <c r="A452" s="219"/>
      <c r="B452" s="83"/>
      <c r="C452" s="81"/>
      <c r="D452" s="82"/>
      <c r="E452" s="81"/>
      <c r="F452" s="82"/>
      <c r="G452" s="83"/>
      <c r="H452" s="221"/>
      <c r="I452" s="83"/>
      <c r="J452" s="83"/>
      <c r="K452" s="83"/>
      <c r="L452" s="84"/>
      <c r="M452" s="84"/>
      <c r="N452" s="83"/>
      <c r="O452" s="222"/>
      <c r="P452" s="222"/>
      <c r="Q452" s="187"/>
      <c r="R452" s="187"/>
      <c r="S452" s="187"/>
      <c r="T452" s="187"/>
      <c r="U452" s="187"/>
      <c r="V452" s="187"/>
      <c r="W452" s="187"/>
      <c r="X452" s="187"/>
      <c r="Y452" s="187"/>
      <c r="Z452" s="187"/>
      <c r="AA452" s="187"/>
      <c r="AB452" s="187"/>
    </row>
    <row r="453" spans="1:28" ht="15.75" customHeight="1">
      <c r="A453" s="219"/>
      <c r="B453" s="83"/>
      <c r="C453" s="81"/>
      <c r="D453" s="82"/>
      <c r="E453" s="81"/>
      <c r="F453" s="82"/>
      <c r="G453" s="83"/>
      <c r="H453" s="221"/>
      <c r="I453" s="83"/>
      <c r="J453" s="83"/>
      <c r="K453" s="83"/>
      <c r="L453" s="84"/>
      <c r="M453" s="84"/>
      <c r="N453" s="83"/>
      <c r="O453" s="222"/>
      <c r="P453" s="222"/>
      <c r="Q453" s="187"/>
      <c r="R453" s="187"/>
      <c r="S453" s="187"/>
      <c r="T453" s="187"/>
      <c r="U453" s="187"/>
      <c r="V453" s="187"/>
      <c r="W453" s="187"/>
      <c r="X453" s="187"/>
      <c r="Y453" s="187"/>
      <c r="Z453" s="187"/>
      <c r="AA453" s="187"/>
      <c r="AB453" s="187"/>
    </row>
    <row r="454" spans="1:28" ht="15.75" customHeight="1">
      <c r="A454" s="219"/>
      <c r="B454" s="83"/>
      <c r="C454" s="81"/>
      <c r="D454" s="82"/>
      <c r="E454" s="81"/>
      <c r="F454" s="82"/>
      <c r="G454" s="83"/>
      <c r="H454" s="221"/>
      <c r="I454" s="83"/>
      <c r="J454" s="83"/>
      <c r="K454" s="83"/>
      <c r="L454" s="84"/>
      <c r="M454" s="84"/>
      <c r="N454" s="83"/>
      <c r="O454" s="222"/>
      <c r="P454" s="222"/>
      <c r="Q454" s="187"/>
      <c r="R454" s="187"/>
      <c r="S454" s="187"/>
      <c r="T454" s="187"/>
      <c r="U454" s="187"/>
      <c r="V454" s="187"/>
      <c r="W454" s="187"/>
      <c r="X454" s="187"/>
      <c r="Y454" s="187"/>
      <c r="Z454" s="187"/>
      <c r="AA454" s="187"/>
      <c r="AB454" s="187"/>
    </row>
    <row r="455" spans="1:28" ht="15.75" customHeight="1">
      <c r="A455" s="219"/>
      <c r="B455" s="83"/>
      <c r="C455" s="81"/>
      <c r="D455" s="82"/>
      <c r="E455" s="81"/>
      <c r="F455" s="82"/>
      <c r="G455" s="83"/>
      <c r="H455" s="221"/>
      <c r="I455" s="83"/>
      <c r="J455" s="83"/>
      <c r="K455" s="83"/>
      <c r="L455" s="84"/>
      <c r="M455" s="84"/>
      <c r="N455" s="83"/>
      <c r="O455" s="222"/>
      <c r="P455" s="222"/>
      <c r="Q455" s="187"/>
      <c r="R455" s="187"/>
      <c r="S455" s="187"/>
      <c r="T455" s="187"/>
      <c r="U455" s="187"/>
      <c r="V455" s="187"/>
      <c r="W455" s="187"/>
      <c r="X455" s="187"/>
      <c r="Y455" s="187"/>
      <c r="Z455" s="187"/>
      <c r="AA455" s="187"/>
      <c r="AB455" s="187"/>
    </row>
    <row r="456" spans="1:28" ht="15.75" customHeight="1">
      <c r="A456" s="219"/>
      <c r="B456" s="83"/>
      <c r="C456" s="81"/>
      <c r="D456" s="82"/>
      <c r="E456" s="81"/>
      <c r="F456" s="82"/>
      <c r="G456" s="83"/>
      <c r="H456" s="221"/>
      <c r="I456" s="83"/>
      <c r="J456" s="83"/>
      <c r="K456" s="83"/>
      <c r="L456" s="84"/>
      <c r="M456" s="84"/>
      <c r="N456" s="83"/>
      <c r="O456" s="222"/>
      <c r="P456" s="222"/>
      <c r="Q456" s="187"/>
      <c r="R456" s="187"/>
      <c r="S456" s="187"/>
      <c r="T456" s="187"/>
      <c r="U456" s="187"/>
      <c r="V456" s="187"/>
      <c r="W456" s="187"/>
      <c r="X456" s="187"/>
      <c r="Y456" s="187"/>
      <c r="Z456" s="187"/>
      <c r="AA456" s="187"/>
      <c r="AB456" s="187"/>
    </row>
    <row r="457" spans="1:28" ht="15.75" customHeight="1">
      <c r="A457" s="219"/>
      <c r="B457" s="83"/>
      <c r="C457" s="81"/>
      <c r="D457" s="82"/>
      <c r="E457" s="81"/>
      <c r="F457" s="82"/>
      <c r="G457" s="83"/>
      <c r="H457" s="221"/>
      <c r="I457" s="83"/>
      <c r="J457" s="83"/>
      <c r="K457" s="83"/>
      <c r="L457" s="84"/>
      <c r="M457" s="84"/>
      <c r="N457" s="83"/>
      <c r="O457" s="222"/>
      <c r="P457" s="222"/>
      <c r="Q457" s="187"/>
      <c r="R457" s="187"/>
      <c r="S457" s="187"/>
      <c r="T457" s="187"/>
      <c r="U457" s="187"/>
      <c r="V457" s="187"/>
      <c r="W457" s="187"/>
      <c r="X457" s="187"/>
      <c r="Y457" s="187"/>
      <c r="Z457" s="187"/>
      <c r="AA457" s="187"/>
      <c r="AB457" s="187"/>
    </row>
    <row r="458" spans="1:28" ht="15.75" customHeight="1">
      <c r="A458" s="219"/>
      <c r="B458" s="83"/>
      <c r="C458" s="81"/>
      <c r="D458" s="82"/>
      <c r="E458" s="81"/>
      <c r="F458" s="82"/>
      <c r="G458" s="83"/>
      <c r="H458" s="221"/>
      <c r="I458" s="83"/>
      <c r="J458" s="83"/>
      <c r="K458" s="83"/>
      <c r="L458" s="84"/>
      <c r="M458" s="84"/>
      <c r="N458" s="83"/>
      <c r="O458" s="222"/>
      <c r="P458" s="222"/>
      <c r="Q458" s="187"/>
      <c r="R458" s="187"/>
      <c r="S458" s="187"/>
      <c r="T458" s="187"/>
      <c r="U458" s="187"/>
      <c r="V458" s="187"/>
      <c r="W458" s="187"/>
      <c r="X458" s="187"/>
      <c r="Y458" s="187"/>
      <c r="Z458" s="187"/>
      <c r="AA458" s="187"/>
      <c r="AB458" s="187"/>
    </row>
    <row r="459" spans="1:28" ht="15.75" customHeight="1">
      <c r="A459" s="219"/>
      <c r="B459" s="83"/>
      <c r="C459" s="81"/>
      <c r="D459" s="82"/>
      <c r="E459" s="81"/>
      <c r="F459" s="82"/>
      <c r="G459" s="83"/>
      <c r="H459" s="221"/>
      <c r="I459" s="83"/>
      <c r="J459" s="83"/>
      <c r="K459" s="83"/>
      <c r="L459" s="84"/>
      <c r="M459" s="84"/>
      <c r="N459" s="83"/>
      <c r="O459" s="222"/>
      <c r="P459" s="222"/>
      <c r="Q459" s="187"/>
      <c r="R459" s="187"/>
      <c r="S459" s="187"/>
      <c r="T459" s="187"/>
      <c r="U459" s="187"/>
      <c r="V459" s="187"/>
      <c r="W459" s="187"/>
      <c r="X459" s="187"/>
      <c r="Y459" s="187"/>
      <c r="Z459" s="187"/>
      <c r="AA459" s="187"/>
      <c r="AB459" s="187"/>
    </row>
    <row r="460" spans="1:28" ht="15.75" customHeight="1">
      <c r="A460" s="219"/>
      <c r="B460" s="83"/>
      <c r="C460" s="81"/>
      <c r="D460" s="82"/>
      <c r="E460" s="81"/>
      <c r="F460" s="82"/>
      <c r="G460" s="83"/>
      <c r="H460" s="221"/>
      <c r="I460" s="83"/>
      <c r="J460" s="83"/>
      <c r="K460" s="83"/>
      <c r="L460" s="84"/>
      <c r="M460" s="84"/>
      <c r="N460" s="83"/>
      <c r="O460" s="222"/>
      <c r="P460" s="222"/>
      <c r="Q460" s="187"/>
      <c r="R460" s="187"/>
      <c r="S460" s="187"/>
      <c r="T460" s="187"/>
      <c r="U460" s="187"/>
      <c r="V460" s="187"/>
      <c r="W460" s="187"/>
      <c r="X460" s="187"/>
      <c r="Y460" s="187"/>
      <c r="Z460" s="187"/>
      <c r="AA460" s="187"/>
      <c r="AB460" s="187"/>
    </row>
    <row r="461" spans="1:28" ht="15.75" customHeight="1">
      <c r="A461" s="219"/>
      <c r="B461" s="83"/>
      <c r="C461" s="81"/>
      <c r="D461" s="82"/>
      <c r="E461" s="81"/>
      <c r="F461" s="82"/>
      <c r="G461" s="83"/>
      <c r="H461" s="221"/>
      <c r="I461" s="83"/>
      <c r="J461" s="83"/>
      <c r="K461" s="83"/>
      <c r="L461" s="84"/>
      <c r="M461" s="84"/>
      <c r="N461" s="83"/>
      <c r="O461" s="222"/>
      <c r="P461" s="222"/>
      <c r="Q461" s="187"/>
      <c r="R461" s="187"/>
      <c r="S461" s="187"/>
      <c r="T461" s="187"/>
      <c r="U461" s="187"/>
      <c r="V461" s="187"/>
      <c r="W461" s="187"/>
      <c r="X461" s="187"/>
      <c r="Y461" s="187"/>
      <c r="Z461" s="187"/>
      <c r="AA461" s="187"/>
      <c r="AB461" s="187"/>
    </row>
    <row r="462" spans="1:28" ht="15.75" customHeight="1">
      <c r="A462" s="219"/>
      <c r="B462" s="83"/>
      <c r="C462" s="81"/>
      <c r="D462" s="82"/>
      <c r="E462" s="81"/>
      <c r="F462" s="82"/>
      <c r="G462" s="83"/>
      <c r="H462" s="221"/>
      <c r="I462" s="83"/>
      <c r="J462" s="83"/>
      <c r="K462" s="83"/>
      <c r="L462" s="84"/>
      <c r="M462" s="84"/>
      <c r="N462" s="83"/>
      <c r="O462" s="222"/>
      <c r="P462" s="222"/>
      <c r="Q462" s="187"/>
      <c r="R462" s="187"/>
      <c r="S462" s="187"/>
      <c r="T462" s="187"/>
      <c r="U462" s="187"/>
      <c r="V462" s="187"/>
      <c r="W462" s="187"/>
      <c r="X462" s="187"/>
      <c r="Y462" s="187"/>
      <c r="Z462" s="187"/>
      <c r="AA462" s="187"/>
      <c r="AB462" s="187"/>
    </row>
    <row r="463" spans="1:28" ht="15.75" customHeight="1">
      <c r="A463" s="219"/>
      <c r="B463" s="83"/>
      <c r="C463" s="81"/>
      <c r="D463" s="82"/>
      <c r="E463" s="81"/>
      <c r="F463" s="82"/>
      <c r="G463" s="83"/>
      <c r="H463" s="221"/>
      <c r="I463" s="83"/>
      <c r="J463" s="83"/>
      <c r="K463" s="83"/>
      <c r="L463" s="84"/>
      <c r="M463" s="84"/>
      <c r="N463" s="83"/>
      <c r="O463" s="222"/>
      <c r="P463" s="222"/>
      <c r="Q463" s="187"/>
      <c r="R463" s="187"/>
      <c r="S463" s="187"/>
      <c r="T463" s="187"/>
      <c r="U463" s="187"/>
      <c r="V463" s="187"/>
      <c r="W463" s="187"/>
      <c r="X463" s="187"/>
      <c r="Y463" s="187"/>
      <c r="Z463" s="187"/>
      <c r="AA463" s="187"/>
      <c r="AB463" s="187"/>
    </row>
    <row r="464" spans="1:28" ht="15.75" customHeight="1">
      <c r="A464" s="219"/>
      <c r="B464" s="83"/>
      <c r="C464" s="81"/>
      <c r="D464" s="82"/>
      <c r="E464" s="81"/>
      <c r="F464" s="82"/>
      <c r="G464" s="83"/>
      <c r="H464" s="221"/>
      <c r="I464" s="83"/>
      <c r="J464" s="83"/>
      <c r="K464" s="83"/>
      <c r="L464" s="84"/>
      <c r="M464" s="84"/>
      <c r="N464" s="83"/>
      <c r="O464" s="222"/>
      <c r="P464" s="222"/>
      <c r="Q464" s="187"/>
      <c r="R464" s="187"/>
      <c r="S464" s="187"/>
      <c r="T464" s="187"/>
      <c r="U464" s="187"/>
      <c r="V464" s="187"/>
      <c r="W464" s="187"/>
      <c r="X464" s="187"/>
      <c r="Y464" s="187"/>
      <c r="Z464" s="187"/>
      <c r="AA464" s="187"/>
      <c r="AB464" s="187"/>
    </row>
    <row r="465" spans="1:28" ht="15.75" customHeight="1">
      <c r="A465" s="219"/>
      <c r="B465" s="83"/>
      <c r="C465" s="81"/>
      <c r="D465" s="82"/>
      <c r="E465" s="81"/>
      <c r="F465" s="82"/>
      <c r="G465" s="83"/>
      <c r="H465" s="221"/>
      <c r="I465" s="83"/>
      <c r="J465" s="83"/>
      <c r="K465" s="83"/>
      <c r="L465" s="84"/>
      <c r="M465" s="84"/>
      <c r="N465" s="83"/>
      <c r="O465" s="222"/>
      <c r="P465" s="222"/>
      <c r="Q465" s="187"/>
      <c r="R465" s="187"/>
      <c r="S465" s="187"/>
      <c r="T465" s="187"/>
      <c r="U465" s="187"/>
      <c r="V465" s="187"/>
      <c r="W465" s="187"/>
      <c r="X465" s="187"/>
      <c r="Y465" s="187"/>
      <c r="Z465" s="187"/>
      <c r="AA465" s="187"/>
      <c r="AB465" s="187"/>
    </row>
    <row r="466" spans="1:28" ht="15.75" customHeight="1">
      <c r="A466" s="219"/>
      <c r="B466" s="83"/>
      <c r="C466" s="81"/>
      <c r="D466" s="82"/>
      <c r="E466" s="81"/>
      <c r="F466" s="82"/>
      <c r="G466" s="83"/>
      <c r="H466" s="221"/>
      <c r="I466" s="83"/>
      <c r="J466" s="83"/>
      <c r="K466" s="83"/>
      <c r="L466" s="84"/>
      <c r="M466" s="84"/>
      <c r="N466" s="83"/>
      <c r="O466" s="222"/>
      <c r="P466" s="222"/>
      <c r="Q466" s="187"/>
      <c r="R466" s="187"/>
      <c r="S466" s="187"/>
      <c r="T466" s="187"/>
      <c r="U466" s="187"/>
      <c r="V466" s="187"/>
      <c r="W466" s="187"/>
      <c r="X466" s="187"/>
      <c r="Y466" s="187"/>
      <c r="Z466" s="187"/>
      <c r="AA466" s="187"/>
      <c r="AB466" s="187"/>
    </row>
    <row r="467" spans="1:28" ht="15.75" customHeight="1">
      <c r="A467" s="219"/>
      <c r="B467" s="83"/>
      <c r="C467" s="81"/>
      <c r="D467" s="82"/>
      <c r="E467" s="81"/>
      <c r="F467" s="82"/>
      <c r="G467" s="83"/>
      <c r="H467" s="221"/>
      <c r="I467" s="83"/>
      <c r="J467" s="83"/>
      <c r="K467" s="83"/>
      <c r="L467" s="84"/>
      <c r="M467" s="84"/>
      <c r="N467" s="83"/>
      <c r="O467" s="222"/>
      <c r="P467" s="222"/>
      <c r="Q467" s="187"/>
      <c r="R467" s="187"/>
      <c r="S467" s="187"/>
      <c r="T467" s="187"/>
      <c r="U467" s="187"/>
      <c r="V467" s="187"/>
      <c r="W467" s="187"/>
      <c r="X467" s="187"/>
      <c r="Y467" s="187"/>
      <c r="Z467" s="187"/>
      <c r="AA467" s="187"/>
      <c r="AB467" s="187"/>
    </row>
    <row r="468" spans="1:28" ht="15.75" customHeight="1">
      <c r="A468" s="219"/>
      <c r="B468" s="83"/>
      <c r="C468" s="81"/>
      <c r="D468" s="82"/>
      <c r="E468" s="81"/>
      <c r="F468" s="82"/>
      <c r="G468" s="83"/>
      <c r="H468" s="221"/>
      <c r="I468" s="83"/>
      <c r="J468" s="83"/>
      <c r="K468" s="83"/>
      <c r="L468" s="84"/>
      <c r="M468" s="84"/>
      <c r="N468" s="83"/>
      <c r="O468" s="222"/>
      <c r="P468" s="222"/>
      <c r="Q468" s="187"/>
      <c r="R468" s="187"/>
      <c r="S468" s="187"/>
      <c r="T468" s="187"/>
      <c r="U468" s="187"/>
      <c r="V468" s="187"/>
      <c r="W468" s="187"/>
      <c r="X468" s="187"/>
      <c r="Y468" s="187"/>
      <c r="Z468" s="187"/>
      <c r="AA468" s="187"/>
      <c r="AB468" s="187"/>
    </row>
    <row r="469" spans="1:28" ht="15.75" customHeight="1">
      <c r="A469" s="219"/>
      <c r="B469" s="83"/>
      <c r="C469" s="81"/>
      <c r="D469" s="82"/>
      <c r="E469" s="81"/>
      <c r="F469" s="82"/>
      <c r="G469" s="83"/>
      <c r="H469" s="221"/>
      <c r="I469" s="83"/>
      <c r="J469" s="83"/>
      <c r="K469" s="83"/>
      <c r="L469" s="84"/>
      <c r="M469" s="84"/>
      <c r="N469" s="83"/>
      <c r="O469" s="222"/>
      <c r="P469" s="222"/>
      <c r="Q469" s="187"/>
      <c r="R469" s="187"/>
      <c r="S469" s="187"/>
      <c r="T469" s="187"/>
      <c r="U469" s="187"/>
      <c r="V469" s="187"/>
      <c r="W469" s="187"/>
      <c r="X469" s="187"/>
      <c r="Y469" s="187"/>
      <c r="Z469" s="187"/>
      <c r="AA469" s="187"/>
      <c r="AB469" s="187"/>
    </row>
    <row r="470" spans="1:28" ht="15.75" customHeight="1">
      <c r="A470" s="219"/>
      <c r="B470" s="83"/>
      <c r="C470" s="81"/>
      <c r="D470" s="82"/>
      <c r="E470" s="81"/>
      <c r="F470" s="82"/>
      <c r="G470" s="83"/>
      <c r="H470" s="221"/>
      <c r="I470" s="83"/>
      <c r="J470" s="83"/>
      <c r="K470" s="83"/>
      <c r="L470" s="84"/>
      <c r="M470" s="84"/>
      <c r="N470" s="83"/>
      <c r="O470" s="222"/>
      <c r="P470" s="222"/>
      <c r="Q470" s="187"/>
      <c r="R470" s="187"/>
      <c r="S470" s="187"/>
      <c r="T470" s="187"/>
      <c r="U470" s="187"/>
      <c r="V470" s="187"/>
      <c r="W470" s="187"/>
      <c r="X470" s="187"/>
      <c r="Y470" s="187"/>
      <c r="Z470" s="187"/>
      <c r="AA470" s="187"/>
      <c r="AB470" s="187"/>
    </row>
    <row r="471" spans="1:28" ht="15.75" customHeight="1">
      <c r="A471" s="219"/>
      <c r="B471" s="83"/>
      <c r="C471" s="81"/>
      <c r="D471" s="82"/>
      <c r="E471" s="81"/>
      <c r="F471" s="82"/>
      <c r="G471" s="83"/>
      <c r="H471" s="221"/>
      <c r="I471" s="83"/>
      <c r="J471" s="83"/>
      <c r="K471" s="83"/>
      <c r="L471" s="84"/>
      <c r="M471" s="84"/>
      <c r="N471" s="83"/>
      <c r="O471" s="222"/>
      <c r="P471" s="222"/>
      <c r="Q471" s="187"/>
      <c r="R471" s="187"/>
      <c r="S471" s="187"/>
      <c r="T471" s="187"/>
      <c r="U471" s="187"/>
      <c r="V471" s="187"/>
      <c r="W471" s="187"/>
      <c r="X471" s="187"/>
      <c r="Y471" s="187"/>
      <c r="Z471" s="187"/>
      <c r="AA471" s="187"/>
      <c r="AB471" s="187"/>
    </row>
    <row r="472" spans="1:28" ht="15.75" customHeight="1">
      <c r="A472" s="219"/>
      <c r="B472" s="83"/>
      <c r="C472" s="81"/>
      <c r="D472" s="82"/>
      <c r="E472" s="81"/>
      <c r="F472" s="82"/>
      <c r="G472" s="83"/>
      <c r="H472" s="221"/>
      <c r="I472" s="83"/>
      <c r="J472" s="83"/>
      <c r="K472" s="83"/>
      <c r="L472" s="84"/>
      <c r="M472" s="84"/>
      <c r="N472" s="83"/>
      <c r="O472" s="222"/>
      <c r="P472" s="222"/>
      <c r="Q472" s="187"/>
      <c r="R472" s="187"/>
      <c r="S472" s="187"/>
      <c r="T472" s="187"/>
      <c r="U472" s="187"/>
      <c r="V472" s="187"/>
      <c r="W472" s="187"/>
      <c r="X472" s="187"/>
      <c r="Y472" s="187"/>
      <c r="Z472" s="187"/>
      <c r="AA472" s="187"/>
      <c r="AB472" s="187"/>
    </row>
    <row r="473" spans="1:28" ht="15.75" customHeight="1">
      <c r="A473" s="219"/>
      <c r="B473" s="83"/>
      <c r="C473" s="81"/>
      <c r="D473" s="82"/>
      <c r="E473" s="81"/>
      <c r="F473" s="82"/>
      <c r="G473" s="83"/>
      <c r="H473" s="221"/>
      <c r="I473" s="83"/>
      <c r="J473" s="83"/>
      <c r="K473" s="83"/>
      <c r="L473" s="84"/>
      <c r="M473" s="84"/>
      <c r="N473" s="83"/>
      <c r="O473" s="222"/>
      <c r="P473" s="222"/>
      <c r="Q473" s="187"/>
      <c r="R473" s="187"/>
      <c r="S473" s="187"/>
      <c r="T473" s="187"/>
      <c r="U473" s="187"/>
      <c r="V473" s="187"/>
      <c r="W473" s="187"/>
      <c r="X473" s="187"/>
      <c r="Y473" s="187"/>
      <c r="Z473" s="187"/>
      <c r="AA473" s="187"/>
      <c r="AB473" s="187"/>
    </row>
    <row r="474" spans="1:28" ht="15.75" customHeight="1">
      <c r="A474" s="219"/>
      <c r="B474" s="83"/>
      <c r="C474" s="81"/>
      <c r="D474" s="82"/>
      <c r="E474" s="81"/>
      <c r="F474" s="82"/>
      <c r="G474" s="83"/>
      <c r="H474" s="221"/>
      <c r="I474" s="83"/>
      <c r="J474" s="83"/>
      <c r="K474" s="83"/>
      <c r="L474" s="84"/>
      <c r="M474" s="84"/>
      <c r="N474" s="83"/>
      <c r="O474" s="222"/>
      <c r="P474" s="222"/>
      <c r="Q474" s="187"/>
      <c r="R474" s="187"/>
      <c r="S474" s="187"/>
      <c r="T474" s="187"/>
      <c r="U474" s="187"/>
      <c r="V474" s="187"/>
      <c r="W474" s="187"/>
      <c r="X474" s="187"/>
      <c r="Y474" s="187"/>
      <c r="Z474" s="187"/>
      <c r="AA474" s="187"/>
      <c r="AB474" s="187"/>
    </row>
    <row r="475" spans="1:28" ht="15.75" customHeight="1">
      <c r="A475" s="219"/>
      <c r="B475" s="83"/>
      <c r="C475" s="81"/>
      <c r="D475" s="82"/>
      <c r="E475" s="81"/>
      <c r="F475" s="82"/>
      <c r="G475" s="83"/>
      <c r="H475" s="221"/>
      <c r="I475" s="83"/>
      <c r="J475" s="83"/>
      <c r="K475" s="83"/>
      <c r="L475" s="84"/>
      <c r="M475" s="84"/>
      <c r="N475" s="83"/>
      <c r="O475" s="222"/>
      <c r="P475" s="222"/>
      <c r="Q475" s="187"/>
      <c r="R475" s="187"/>
      <c r="S475" s="187"/>
      <c r="T475" s="187"/>
      <c r="U475" s="187"/>
      <c r="V475" s="187"/>
      <c r="W475" s="187"/>
      <c r="X475" s="187"/>
      <c r="Y475" s="187"/>
      <c r="Z475" s="187"/>
      <c r="AA475" s="187"/>
      <c r="AB475" s="187"/>
    </row>
    <row r="476" spans="1:28" ht="15.75" customHeight="1">
      <c r="A476" s="219"/>
      <c r="B476" s="83"/>
      <c r="C476" s="81"/>
      <c r="D476" s="82"/>
      <c r="E476" s="81"/>
      <c r="F476" s="82"/>
      <c r="G476" s="83"/>
      <c r="H476" s="221"/>
      <c r="I476" s="83"/>
      <c r="J476" s="83"/>
      <c r="K476" s="83"/>
      <c r="L476" s="84"/>
      <c r="M476" s="84"/>
      <c r="N476" s="83"/>
      <c r="O476" s="222"/>
      <c r="P476" s="222"/>
      <c r="Q476" s="187"/>
      <c r="R476" s="187"/>
      <c r="S476" s="187"/>
      <c r="T476" s="187"/>
      <c r="U476" s="187"/>
      <c r="V476" s="187"/>
      <c r="W476" s="187"/>
      <c r="X476" s="187"/>
      <c r="Y476" s="187"/>
      <c r="Z476" s="187"/>
      <c r="AA476" s="187"/>
      <c r="AB476" s="187"/>
    </row>
    <row r="477" spans="1:28" ht="15.75" customHeight="1">
      <c r="A477" s="219"/>
      <c r="B477" s="83"/>
      <c r="C477" s="81"/>
      <c r="D477" s="82"/>
      <c r="E477" s="81"/>
      <c r="F477" s="82"/>
      <c r="G477" s="83"/>
      <c r="H477" s="221"/>
      <c r="I477" s="83"/>
      <c r="J477" s="83"/>
      <c r="K477" s="83"/>
      <c r="L477" s="84"/>
      <c r="M477" s="84"/>
      <c r="N477" s="83"/>
      <c r="O477" s="222"/>
      <c r="P477" s="222"/>
      <c r="Q477" s="187"/>
      <c r="R477" s="187"/>
      <c r="S477" s="187"/>
      <c r="T477" s="187"/>
      <c r="U477" s="187"/>
      <c r="V477" s="187"/>
      <c r="W477" s="187"/>
      <c r="X477" s="187"/>
      <c r="Y477" s="187"/>
      <c r="Z477" s="187"/>
      <c r="AA477" s="187"/>
      <c r="AB477" s="187"/>
    </row>
    <row r="478" spans="1:28" ht="15.75" customHeight="1">
      <c r="A478" s="219"/>
      <c r="B478" s="83"/>
      <c r="C478" s="81"/>
      <c r="D478" s="82"/>
      <c r="E478" s="81"/>
      <c r="F478" s="82"/>
      <c r="G478" s="83"/>
      <c r="H478" s="221"/>
      <c r="I478" s="83"/>
      <c r="J478" s="83"/>
      <c r="K478" s="83"/>
      <c r="L478" s="84"/>
      <c r="M478" s="84"/>
      <c r="N478" s="83"/>
      <c r="O478" s="222"/>
      <c r="P478" s="222"/>
      <c r="Q478" s="187"/>
      <c r="R478" s="187"/>
      <c r="S478" s="187"/>
      <c r="T478" s="187"/>
      <c r="U478" s="187"/>
      <c r="V478" s="187"/>
      <c r="W478" s="187"/>
      <c r="X478" s="187"/>
      <c r="Y478" s="187"/>
      <c r="Z478" s="187"/>
      <c r="AA478" s="187"/>
      <c r="AB478" s="187"/>
    </row>
    <row r="479" spans="1:28" ht="15.75" customHeight="1">
      <c r="A479" s="219"/>
      <c r="B479" s="83"/>
      <c r="C479" s="81"/>
      <c r="D479" s="82"/>
      <c r="E479" s="81"/>
      <c r="F479" s="82"/>
      <c r="G479" s="83"/>
      <c r="H479" s="221"/>
      <c r="I479" s="83"/>
      <c r="J479" s="83"/>
      <c r="K479" s="83"/>
      <c r="L479" s="84"/>
      <c r="M479" s="84"/>
      <c r="N479" s="83"/>
      <c r="O479" s="222"/>
      <c r="P479" s="222"/>
      <c r="Q479" s="187"/>
      <c r="R479" s="187"/>
      <c r="S479" s="187"/>
      <c r="T479" s="187"/>
      <c r="U479" s="187"/>
      <c r="V479" s="187"/>
      <c r="W479" s="187"/>
      <c r="X479" s="187"/>
      <c r="Y479" s="187"/>
      <c r="Z479" s="187"/>
      <c r="AA479" s="187"/>
      <c r="AB479" s="187"/>
    </row>
    <row r="480" spans="1:28" ht="15.75" customHeight="1">
      <c r="A480" s="219"/>
      <c r="B480" s="83"/>
      <c r="C480" s="81"/>
      <c r="D480" s="82"/>
      <c r="E480" s="81"/>
      <c r="F480" s="82"/>
      <c r="G480" s="83"/>
      <c r="H480" s="221"/>
      <c r="I480" s="83"/>
      <c r="J480" s="83"/>
      <c r="K480" s="83"/>
      <c r="L480" s="84"/>
      <c r="M480" s="84"/>
      <c r="N480" s="83"/>
      <c r="O480" s="222"/>
      <c r="P480" s="222"/>
      <c r="Q480" s="187"/>
      <c r="R480" s="187"/>
      <c r="S480" s="187"/>
      <c r="T480" s="187"/>
      <c r="U480" s="187"/>
      <c r="V480" s="187"/>
      <c r="W480" s="187"/>
      <c r="X480" s="187"/>
      <c r="Y480" s="187"/>
      <c r="Z480" s="187"/>
      <c r="AA480" s="187"/>
      <c r="AB480" s="187"/>
    </row>
    <row r="481" spans="1:28" ht="15.75" customHeight="1">
      <c r="A481" s="219"/>
      <c r="B481" s="83"/>
      <c r="C481" s="81"/>
      <c r="D481" s="82"/>
      <c r="E481" s="81"/>
      <c r="F481" s="82"/>
      <c r="G481" s="83"/>
      <c r="H481" s="221"/>
      <c r="I481" s="83"/>
      <c r="J481" s="83"/>
      <c r="K481" s="83"/>
      <c r="L481" s="84"/>
      <c r="M481" s="84"/>
      <c r="N481" s="83"/>
      <c r="O481" s="222"/>
      <c r="P481" s="222"/>
      <c r="Q481" s="187"/>
      <c r="R481" s="187"/>
      <c r="S481" s="187"/>
      <c r="T481" s="187"/>
      <c r="U481" s="187"/>
      <c r="V481" s="187"/>
      <c r="W481" s="187"/>
      <c r="X481" s="187"/>
      <c r="Y481" s="187"/>
      <c r="Z481" s="187"/>
      <c r="AA481" s="187"/>
      <c r="AB481" s="187"/>
    </row>
    <row r="482" spans="1:28" ht="15.75" customHeight="1">
      <c r="A482" s="219"/>
      <c r="B482" s="83"/>
      <c r="C482" s="81"/>
      <c r="D482" s="82"/>
      <c r="E482" s="81"/>
      <c r="F482" s="82"/>
      <c r="G482" s="83"/>
      <c r="H482" s="221"/>
      <c r="I482" s="83"/>
      <c r="J482" s="83"/>
      <c r="K482" s="83"/>
      <c r="L482" s="84"/>
      <c r="M482" s="84"/>
      <c r="N482" s="83"/>
      <c r="O482" s="222"/>
      <c r="P482" s="222"/>
      <c r="Q482" s="187"/>
      <c r="R482" s="187"/>
      <c r="S482" s="187"/>
      <c r="T482" s="187"/>
      <c r="U482" s="187"/>
      <c r="V482" s="187"/>
      <c r="W482" s="187"/>
      <c r="X482" s="187"/>
      <c r="Y482" s="187"/>
      <c r="Z482" s="187"/>
      <c r="AA482" s="187"/>
      <c r="AB482" s="187"/>
    </row>
    <row r="483" spans="1:28" ht="15.75" customHeight="1">
      <c r="A483" s="219"/>
      <c r="B483" s="83"/>
      <c r="C483" s="81"/>
      <c r="D483" s="82"/>
      <c r="E483" s="81"/>
      <c r="F483" s="82"/>
      <c r="G483" s="83"/>
      <c r="H483" s="221"/>
      <c r="I483" s="83"/>
      <c r="J483" s="83"/>
      <c r="K483" s="83"/>
      <c r="L483" s="84"/>
      <c r="M483" s="84"/>
      <c r="N483" s="83"/>
      <c r="O483" s="222"/>
      <c r="P483" s="222"/>
      <c r="Q483" s="187"/>
      <c r="R483" s="187"/>
      <c r="S483" s="187"/>
      <c r="T483" s="187"/>
      <c r="U483" s="187"/>
      <c r="V483" s="187"/>
      <c r="W483" s="187"/>
      <c r="X483" s="187"/>
      <c r="Y483" s="187"/>
      <c r="Z483" s="187"/>
      <c r="AA483" s="187"/>
      <c r="AB483" s="187"/>
    </row>
    <row r="484" spans="1:28" ht="15.75" customHeight="1">
      <c r="A484" s="219"/>
      <c r="B484" s="83"/>
      <c r="C484" s="81"/>
      <c r="D484" s="82"/>
      <c r="E484" s="81"/>
      <c r="F484" s="82"/>
      <c r="G484" s="83"/>
      <c r="H484" s="221"/>
      <c r="I484" s="83"/>
      <c r="J484" s="83"/>
      <c r="K484" s="83"/>
      <c r="L484" s="84"/>
      <c r="M484" s="84"/>
      <c r="N484" s="83"/>
      <c r="O484" s="222"/>
      <c r="P484" s="222"/>
      <c r="Q484" s="187"/>
      <c r="R484" s="187"/>
      <c r="S484" s="187"/>
      <c r="T484" s="187"/>
      <c r="U484" s="187"/>
      <c r="V484" s="187"/>
      <c r="W484" s="187"/>
      <c r="X484" s="187"/>
      <c r="Y484" s="187"/>
      <c r="Z484" s="187"/>
      <c r="AA484" s="187"/>
      <c r="AB484" s="187"/>
    </row>
    <row r="485" spans="1:28" ht="15.75" customHeight="1">
      <c r="A485" s="219"/>
      <c r="B485" s="83"/>
      <c r="C485" s="81"/>
      <c r="D485" s="82"/>
      <c r="E485" s="81"/>
      <c r="F485" s="82"/>
      <c r="G485" s="83"/>
      <c r="H485" s="221"/>
      <c r="I485" s="83"/>
      <c r="J485" s="83"/>
      <c r="K485" s="83"/>
      <c r="L485" s="84"/>
      <c r="M485" s="84"/>
      <c r="N485" s="83"/>
      <c r="O485" s="222"/>
      <c r="P485" s="222"/>
      <c r="Q485" s="187"/>
      <c r="R485" s="187"/>
      <c r="S485" s="187"/>
      <c r="T485" s="187"/>
      <c r="U485" s="187"/>
      <c r="V485" s="187"/>
      <c r="W485" s="187"/>
      <c r="X485" s="187"/>
      <c r="Y485" s="187"/>
      <c r="Z485" s="187"/>
      <c r="AA485" s="187"/>
      <c r="AB485" s="187"/>
    </row>
    <row r="486" spans="1:28" ht="15.75" customHeight="1">
      <c r="A486" s="219"/>
      <c r="B486" s="83"/>
      <c r="C486" s="81"/>
      <c r="D486" s="82"/>
      <c r="E486" s="81"/>
      <c r="F486" s="82"/>
      <c r="G486" s="83"/>
      <c r="H486" s="221"/>
      <c r="I486" s="83"/>
      <c r="J486" s="83"/>
      <c r="K486" s="83"/>
      <c r="L486" s="84"/>
      <c r="M486" s="84"/>
      <c r="N486" s="83"/>
      <c r="O486" s="222"/>
      <c r="P486" s="222"/>
      <c r="Q486" s="187"/>
      <c r="R486" s="187"/>
      <c r="S486" s="187"/>
      <c r="T486" s="187"/>
      <c r="U486" s="187"/>
      <c r="V486" s="187"/>
      <c r="W486" s="187"/>
      <c r="X486" s="187"/>
      <c r="Y486" s="187"/>
      <c r="Z486" s="187"/>
      <c r="AA486" s="187"/>
      <c r="AB486" s="187"/>
    </row>
    <row r="487" spans="1:28" ht="15.75" customHeight="1">
      <c r="A487" s="219"/>
      <c r="B487" s="83"/>
      <c r="C487" s="81"/>
      <c r="D487" s="82"/>
      <c r="E487" s="81"/>
      <c r="F487" s="82"/>
      <c r="G487" s="83"/>
      <c r="H487" s="221"/>
      <c r="I487" s="83"/>
      <c r="J487" s="83"/>
      <c r="K487" s="83"/>
      <c r="L487" s="84"/>
      <c r="M487" s="84"/>
      <c r="N487" s="83"/>
      <c r="O487" s="222"/>
      <c r="P487" s="222"/>
      <c r="Q487" s="187"/>
      <c r="R487" s="187"/>
      <c r="S487" s="187"/>
      <c r="T487" s="187"/>
      <c r="U487" s="187"/>
      <c r="V487" s="187"/>
      <c r="W487" s="187"/>
      <c r="X487" s="187"/>
      <c r="Y487" s="187"/>
      <c r="Z487" s="187"/>
      <c r="AA487" s="187"/>
      <c r="AB487" s="187"/>
    </row>
    <row r="488" spans="1:28" ht="15.75" customHeight="1">
      <c r="A488" s="219"/>
      <c r="B488" s="83"/>
      <c r="C488" s="81"/>
      <c r="D488" s="82"/>
      <c r="E488" s="81"/>
      <c r="F488" s="82"/>
      <c r="G488" s="83"/>
      <c r="H488" s="221"/>
      <c r="I488" s="83"/>
      <c r="J488" s="83"/>
      <c r="K488" s="83"/>
      <c r="L488" s="84"/>
      <c r="M488" s="84"/>
      <c r="N488" s="83"/>
      <c r="O488" s="222"/>
      <c r="P488" s="222"/>
      <c r="Q488" s="187"/>
      <c r="R488" s="187"/>
      <c r="S488" s="187"/>
      <c r="T488" s="187"/>
      <c r="U488" s="187"/>
      <c r="V488" s="187"/>
      <c r="W488" s="187"/>
      <c r="X488" s="187"/>
      <c r="Y488" s="187"/>
      <c r="Z488" s="187"/>
      <c r="AA488" s="187"/>
      <c r="AB488" s="187"/>
    </row>
    <row r="489" spans="1:28" ht="15.75" customHeight="1">
      <c r="A489" s="219"/>
      <c r="B489" s="83"/>
      <c r="C489" s="81"/>
      <c r="D489" s="82"/>
      <c r="E489" s="81"/>
      <c r="F489" s="82"/>
      <c r="G489" s="83"/>
      <c r="H489" s="221"/>
      <c r="I489" s="83"/>
      <c r="J489" s="83"/>
      <c r="K489" s="83"/>
      <c r="L489" s="84"/>
      <c r="M489" s="84"/>
      <c r="N489" s="83"/>
      <c r="O489" s="222"/>
      <c r="P489" s="222"/>
      <c r="Q489" s="187"/>
      <c r="R489" s="187"/>
      <c r="S489" s="187"/>
      <c r="T489" s="187"/>
      <c r="U489" s="187"/>
      <c r="V489" s="187"/>
      <c r="W489" s="187"/>
      <c r="X489" s="187"/>
      <c r="Y489" s="187"/>
      <c r="Z489" s="187"/>
      <c r="AA489" s="187"/>
      <c r="AB489" s="187"/>
    </row>
    <row r="490" spans="1:28" ht="15.75" customHeight="1">
      <c r="A490" s="219"/>
      <c r="B490" s="83"/>
      <c r="C490" s="81"/>
      <c r="D490" s="82"/>
      <c r="E490" s="81"/>
      <c r="F490" s="82"/>
      <c r="G490" s="83"/>
      <c r="H490" s="221"/>
      <c r="I490" s="83"/>
      <c r="J490" s="83"/>
      <c r="K490" s="83"/>
      <c r="L490" s="84"/>
      <c r="M490" s="84"/>
      <c r="N490" s="83"/>
      <c r="O490" s="222"/>
      <c r="P490" s="222"/>
      <c r="Q490" s="187"/>
      <c r="R490" s="187"/>
      <c r="S490" s="187"/>
      <c r="T490" s="187"/>
      <c r="U490" s="187"/>
      <c r="V490" s="187"/>
      <c r="W490" s="187"/>
      <c r="X490" s="187"/>
      <c r="Y490" s="187"/>
      <c r="Z490" s="187"/>
      <c r="AA490" s="187"/>
      <c r="AB490" s="187"/>
    </row>
    <row r="491" spans="1:28" ht="15.75" customHeight="1">
      <c r="A491" s="219"/>
      <c r="B491" s="83"/>
      <c r="C491" s="81"/>
      <c r="D491" s="82"/>
      <c r="E491" s="81"/>
      <c r="F491" s="82"/>
      <c r="G491" s="83"/>
      <c r="H491" s="221"/>
      <c r="I491" s="83"/>
      <c r="J491" s="83"/>
      <c r="K491" s="83"/>
      <c r="L491" s="84"/>
      <c r="M491" s="84"/>
      <c r="N491" s="83"/>
      <c r="O491" s="222"/>
      <c r="P491" s="222"/>
      <c r="Q491" s="187"/>
      <c r="R491" s="187"/>
      <c r="S491" s="187"/>
      <c r="T491" s="187"/>
      <c r="U491" s="187"/>
      <c r="V491" s="187"/>
      <c r="W491" s="187"/>
      <c r="X491" s="187"/>
      <c r="Y491" s="187"/>
      <c r="Z491" s="187"/>
      <c r="AA491" s="187"/>
      <c r="AB491" s="187"/>
    </row>
    <row r="492" spans="1:28" ht="15.75" customHeight="1">
      <c r="A492" s="219"/>
      <c r="B492" s="83"/>
      <c r="C492" s="81"/>
      <c r="D492" s="82"/>
      <c r="E492" s="81"/>
      <c r="F492" s="82"/>
      <c r="G492" s="83"/>
      <c r="H492" s="221"/>
      <c r="I492" s="83"/>
      <c r="J492" s="83"/>
      <c r="K492" s="83"/>
      <c r="L492" s="84"/>
      <c r="M492" s="84"/>
      <c r="N492" s="83"/>
      <c r="O492" s="222"/>
      <c r="P492" s="222"/>
      <c r="Q492" s="187"/>
      <c r="R492" s="187"/>
      <c r="S492" s="187"/>
      <c r="T492" s="187"/>
      <c r="U492" s="187"/>
      <c r="V492" s="187"/>
      <c r="W492" s="187"/>
      <c r="X492" s="187"/>
      <c r="Y492" s="187"/>
      <c r="Z492" s="187"/>
      <c r="AA492" s="187"/>
      <c r="AB492" s="187"/>
    </row>
    <row r="493" spans="1:28" ht="15.75" customHeight="1">
      <c r="A493" s="219"/>
      <c r="B493" s="83"/>
      <c r="C493" s="81"/>
      <c r="D493" s="82"/>
      <c r="E493" s="81"/>
      <c r="F493" s="82"/>
      <c r="G493" s="83"/>
      <c r="H493" s="221"/>
      <c r="I493" s="83"/>
      <c r="J493" s="83"/>
      <c r="K493" s="83"/>
      <c r="L493" s="84"/>
      <c r="M493" s="84"/>
      <c r="N493" s="83"/>
      <c r="O493" s="222"/>
      <c r="P493" s="222"/>
      <c r="Q493" s="187"/>
      <c r="R493" s="187"/>
      <c r="S493" s="187"/>
      <c r="T493" s="187"/>
      <c r="U493" s="187"/>
      <c r="V493" s="187"/>
      <c r="W493" s="187"/>
      <c r="X493" s="187"/>
      <c r="Y493" s="187"/>
      <c r="Z493" s="187"/>
      <c r="AA493" s="187"/>
      <c r="AB493" s="187"/>
    </row>
    <row r="494" spans="1:28" ht="15.75" customHeight="1">
      <c r="A494" s="219"/>
      <c r="B494" s="83"/>
      <c r="C494" s="81"/>
      <c r="D494" s="82"/>
      <c r="E494" s="81"/>
      <c r="F494" s="82"/>
      <c r="G494" s="83"/>
      <c r="H494" s="221"/>
      <c r="I494" s="83"/>
      <c r="J494" s="83"/>
      <c r="K494" s="83"/>
      <c r="L494" s="84"/>
      <c r="M494" s="84"/>
      <c r="N494" s="83"/>
      <c r="O494" s="222"/>
      <c r="P494" s="222"/>
      <c r="Q494" s="187"/>
      <c r="R494" s="187"/>
      <c r="S494" s="187"/>
      <c r="T494" s="187"/>
      <c r="U494" s="187"/>
      <c r="V494" s="187"/>
      <c r="W494" s="187"/>
      <c r="X494" s="187"/>
      <c r="Y494" s="187"/>
      <c r="Z494" s="187"/>
      <c r="AA494" s="187"/>
      <c r="AB494" s="187"/>
    </row>
    <row r="495" spans="1:28" ht="15.75" customHeight="1">
      <c r="A495" s="219"/>
      <c r="B495" s="83"/>
      <c r="C495" s="81"/>
      <c r="D495" s="82"/>
      <c r="E495" s="81"/>
      <c r="F495" s="82"/>
      <c r="G495" s="83"/>
      <c r="H495" s="221"/>
      <c r="I495" s="83"/>
      <c r="J495" s="83"/>
      <c r="K495" s="83"/>
      <c r="L495" s="84"/>
      <c r="M495" s="84"/>
      <c r="N495" s="83"/>
      <c r="O495" s="222"/>
      <c r="P495" s="222"/>
      <c r="Q495" s="187"/>
      <c r="R495" s="187"/>
      <c r="S495" s="187"/>
      <c r="T495" s="187"/>
      <c r="U495" s="187"/>
      <c r="V495" s="187"/>
      <c r="W495" s="187"/>
      <c r="X495" s="187"/>
      <c r="Y495" s="187"/>
      <c r="Z495" s="187"/>
      <c r="AA495" s="187"/>
      <c r="AB495" s="187"/>
    </row>
    <row r="496" spans="1:28" ht="15.75" customHeight="1">
      <c r="A496" s="219"/>
      <c r="B496" s="83"/>
      <c r="C496" s="81"/>
      <c r="D496" s="82"/>
      <c r="E496" s="81"/>
      <c r="F496" s="82"/>
      <c r="G496" s="83"/>
      <c r="H496" s="221"/>
      <c r="I496" s="83"/>
      <c r="J496" s="83"/>
      <c r="K496" s="83"/>
      <c r="L496" s="84"/>
      <c r="M496" s="84"/>
      <c r="N496" s="83"/>
      <c r="O496" s="222"/>
      <c r="P496" s="222"/>
      <c r="Q496" s="187"/>
      <c r="R496" s="187"/>
      <c r="S496" s="187"/>
      <c r="T496" s="187"/>
      <c r="U496" s="187"/>
      <c r="V496" s="187"/>
      <c r="W496" s="187"/>
      <c r="X496" s="187"/>
      <c r="Y496" s="187"/>
      <c r="Z496" s="187"/>
      <c r="AA496" s="187"/>
      <c r="AB496" s="187"/>
    </row>
    <row r="497" spans="1:28" ht="15.75" customHeight="1">
      <c r="A497" s="219"/>
      <c r="B497" s="83"/>
      <c r="C497" s="81"/>
      <c r="D497" s="82"/>
      <c r="E497" s="81"/>
      <c r="F497" s="82"/>
      <c r="G497" s="83"/>
      <c r="H497" s="221"/>
      <c r="I497" s="83"/>
      <c r="J497" s="83"/>
      <c r="K497" s="83"/>
      <c r="L497" s="84"/>
      <c r="M497" s="84"/>
      <c r="N497" s="83"/>
      <c r="O497" s="222"/>
      <c r="P497" s="222"/>
      <c r="Q497" s="187"/>
      <c r="R497" s="187"/>
      <c r="S497" s="187"/>
      <c r="T497" s="187"/>
      <c r="U497" s="187"/>
      <c r="V497" s="187"/>
      <c r="W497" s="187"/>
      <c r="X497" s="187"/>
      <c r="Y497" s="187"/>
      <c r="Z497" s="187"/>
      <c r="AA497" s="187"/>
      <c r="AB497" s="187"/>
    </row>
    <row r="498" spans="1:28" ht="15.75" customHeight="1">
      <c r="A498" s="219"/>
      <c r="B498" s="83"/>
      <c r="C498" s="81"/>
      <c r="D498" s="82"/>
      <c r="E498" s="81"/>
      <c r="F498" s="82"/>
      <c r="G498" s="83"/>
      <c r="H498" s="221"/>
      <c r="I498" s="83"/>
      <c r="J498" s="83"/>
      <c r="K498" s="83"/>
      <c r="L498" s="84"/>
      <c r="M498" s="84"/>
      <c r="N498" s="83"/>
      <c r="O498" s="222"/>
      <c r="P498" s="222"/>
      <c r="Q498" s="187"/>
      <c r="R498" s="187"/>
      <c r="S498" s="187"/>
      <c r="T498" s="187"/>
      <c r="U498" s="187"/>
      <c r="V498" s="187"/>
      <c r="W498" s="187"/>
      <c r="X498" s="187"/>
      <c r="Y498" s="187"/>
      <c r="Z498" s="187"/>
      <c r="AA498" s="187"/>
      <c r="AB498" s="187"/>
    </row>
    <row r="499" spans="1:28" ht="15.75" customHeight="1">
      <c r="A499" s="219"/>
      <c r="B499" s="83"/>
      <c r="C499" s="81"/>
      <c r="D499" s="82"/>
      <c r="E499" s="81"/>
      <c r="F499" s="82"/>
      <c r="G499" s="83"/>
      <c r="H499" s="221"/>
      <c r="I499" s="83"/>
      <c r="J499" s="83"/>
      <c r="K499" s="83"/>
      <c r="L499" s="84"/>
      <c r="M499" s="84"/>
      <c r="N499" s="83"/>
      <c r="O499" s="222"/>
      <c r="P499" s="222"/>
      <c r="Q499" s="187"/>
      <c r="R499" s="187"/>
      <c r="S499" s="187"/>
      <c r="T499" s="187"/>
      <c r="U499" s="187"/>
      <c r="V499" s="187"/>
      <c r="W499" s="187"/>
      <c r="X499" s="187"/>
      <c r="Y499" s="187"/>
      <c r="Z499" s="187"/>
      <c r="AA499" s="187"/>
      <c r="AB499" s="187"/>
    </row>
    <row r="500" spans="1:28" ht="15.75" customHeight="1">
      <c r="A500" s="219"/>
      <c r="B500" s="83"/>
      <c r="C500" s="81"/>
      <c r="D500" s="82"/>
      <c r="E500" s="81"/>
      <c r="F500" s="82"/>
      <c r="G500" s="83"/>
      <c r="H500" s="221"/>
      <c r="I500" s="83"/>
      <c r="J500" s="83"/>
      <c r="K500" s="83"/>
      <c r="L500" s="84"/>
      <c r="M500" s="84"/>
      <c r="N500" s="83"/>
      <c r="O500" s="222"/>
      <c r="P500" s="222"/>
      <c r="Q500" s="187"/>
      <c r="R500" s="187"/>
      <c r="S500" s="187"/>
      <c r="T500" s="187"/>
      <c r="U500" s="187"/>
      <c r="V500" s="187"/>
      <c r="W500" s="187"/>
      <c r="X500" s="187"/>
      <c r="Y500" s="187"/>
      <c r="Z500" s="187"/>
      <c r="AA500" s="187"/>
      <c r="AB500" s="187"/>
    </row>
    <row r="501" spans="1:28" ht="15.75" customHeight="1">
      <c r="A501" s="219"/>
      <c r="B501" s="83"/>
      <c r="C501" s="81"/>
      <c r="D501" s="82"/>
      <c r="E501" s="81"/>
      <c r="F501" s="82"/>
      <c r="G501" s="83"/>
      <c r="H501" s="221"/>
      <c r="I501" s="83"/>
      <c r="J501" s="83"/>
      <c r="K501" s="83"/>
      <c r="L501" s="84"/>
      <c r="M501" s="84"/>
      <c r="N501" s="83"/>
      <c r="O501" s="222"/>
      <c r="P501" s="222"/>
      <c r="Q501" s="187"/>
      <c r="R501" s="187"/>
      <c r="S501" s="187"/>
      <c r="T501" s="187"/>
      <c r="U501" s="187"/>
      <c r="V501" s="187"/>
      <c r="W501" s="187"/>
      <c r="X501" s="187"/>
      <c r="Y501" s="187"/>
      <c r="Z501" s="187"/>
      <c r="AA501" s="187"/>
      <c r="AB501" s="187"/>
    </row>
    <row r="502" spans="1:28" ht="15.75" customHeight="1">
      <c r="A502" s="219"/>
      <c r="B502" s="83"/>
      <c r="C502" s="81"/>
      <c r="D502" s="82"/>
      <c r="E502" s="81"/>
      <c r="F502" s="82"/>
      <c r="G502" s="83"/>
      <c r="H502" s="221"/>
      <c r="I502" s="83"/>
      <c r="J502" s="83"/>
      <c r="K502" s="83"/>
      <c r="L502" s="84"/>
      <c r="M502" s="84"/>
      <c r="N502" s="83"/>
      <c r="O502" s="222"/>
      <c r="P502" s="222"/>
      <c r="Q502" s="187"/>
      <c r="R502" s="187"/>
      <c r="S502" s="187"/>
      <c r="T502" s="187"/>
      <c r="U502" s="187"/>
      <c r="V502" s="187"/>
      <c r="W502" s="187"/>
      <c r="X502" s="187"/>
      <c r="Y502" s="187"/>
      <c r="Z502" s="187"/>
      <c r="AA502" s="187"/>
      <c r="AB502" s="187"/>
    </row>
    <row r="503" spans="1:28" ht="15.75" customHeight="1">
      <c r="A503" s="219"/>
      <c r="B503" s="83"/>
      <c r="C503" s="81"/>
      <c r="D503" s="82"/>
      <c r="E503" s="81"/>
      <c r="F503" s="82"/>
      <c r="G503" s="83"/>
      <c r="H503" s="221"/>
      <c r="I503" s="83"/>
      <c r="J503" s="83"/>
      <c r="K503" s="83"/>
      <c r="L503" s="84"/>
      <c r="M503" s="84"/>
      <c r="N503" s="83"/>
      <c r="O503" s="222"/>
      <c r="P503" s="222"/>
      <c r="Q503" s="187"/>
      <c r="R503" s="187"/>
      <c r="S503" s="187"/>
      <c r="T503" s="187"/>
      <c r="U503" s="187"/>
      <c r="V503" s="187"/>
      <c r="W503" s="187"/>
      <c r="X503" s="187"/>
      <c r="Y503" s="187"/>
      <c r="Z503" s="187"/>
      <c r="AA503" s="187"/>
      <c r="AB503" s="187"/>
    </row>
    <row r="504" spans="1:28" ht="15.75" customHeight="1">
      <c r="A504" s="219"/>
      <c r="B504" s="83"/>
      <c r="C504" s="81"/>
      <c r="D504" s="82"/>
      <c r="E504" s="81"/>
      <c r="F504" s="82"/>
      <c r="G504" s="83"/>
      <c r="H504" s="221"/>
      <c r="I504" s="83"/>
      <c r="J504" s="83"/>
      <c r="K504" s="83"/>
      <c r="L504" s="84"/>
      <c r="M504" s="84"/>
      <c r="N504" s="83"/>
      <c r="O504" s="222"/>
      <c r="P504" s="222"/>
      <c r="Q504" s="187"/>
      <c r="R504" s="187"/>
      <c r="S504" s="187"/>
      <c r="T504" s="187"/>
      <c r="U504" s="187"/>
      <c r="V504" s="187"/>
      <c r="W504" s="187"/>
      <c r="X504" s="187"/>
      <c r="Y504" s="187"/>
      <c r="Z504" s="187"/>
      <c r="AA504" s="187"/>
      <c r="AB504" s="187"/>
    </row>
    <row r="505" spans="1:28" ht="15.75" customHeight="1">
      <c r="A505" s="219"/>
      <c r="B505" s="83"/>
      <c r="C505" s="81"/>
      <c r="D505" s="82"/>
      <c r="E505" s="81"/>
      <c r="F505" s="82"/>
      <c r="G505" s="83"/>
      <c r="H505" s="221"/>
      <c r="I505" s="83"/>
      <c r="J505" s="83"/>
      <c r="K505" s="83"/>
      <c r="L505" s="84"/>
      <c r="M505" s="84"/>
      <c r="N505" s="83"/>
      <c r="O505" s="222"/>
      <c r="P505" s="222"/>
      <c r="Q505" s="187"/>
      <c r="R505" s="187"/>
      <c r="S505" s="187"/>
      <c r="T505" s="187"/>
      <c r="U505" s="187"/>
      <c r="V505" s="187"/>
      <c r="W505" s="187"/>
      <c r="X505" s="187"/>
      <c r="Y505" s="187"/>
      <c r="Z505" s="187"/>
      <c r="AA505" s="187"/>
      <c r="AB505" s="187"/>
    </row>
    <row r="506" spans="1:28" ht="15.75" customHeight="1">
      <c r="A506" s="219"/>
      <c r="B506" s="83"/>
      <c r="C506" s="81"/>
      <c r="D506" s="82"/>
      <c r="E506" s="81"/>
      <c r="F506" s="82"/>
      <c r="G506" s="83"/>
      <c r="H506" s="221"/>
      <c r="I506" s="83"/>
      <c r="J506" s="83"/>
      <c r="K506" s="83"/>
      <c r="L506" s="84"/>
      <c r="M506" s="84"/>
      <c r="N506" s="83"/>
      <c r="O506" s="222"/>
      <c r="P506" s="222"/>
      <c r="Q506" s="187"/>
      <c r="R506" s="187"/>
      <c r="S506" s="187"/>
      <c r="T506" s="187"/>
      <c r="U506" s="187"/>
      <c r="V506" s="187"/>
      <c r="W506" s="187"/>
      <c r="X506" s="187"/>
      <c r="Y506" s="187"/>
      <c r="Z506" s="187"/>
      <c r="AA506" s="187"/>
      <c r="AB506" s="187"/>
    </row>
    <row r="507" spans="1:28" ht="15.75" customHeight="1">
      <c r="A507" s="219"/>
      <c r="B507" s="83"/>
      <c r="C507" s="81"/>
      <c r="D507" s="82"/>
      <c r="E507" s="81"/>
      <c r="F507" s="82"/>
      <c r="G507" s="83"/>
      <c r="H507" s="221"/>
      <c r="I507" s="83"/>
      <c r="J507" s="83"/>
      <c r="K507" s="83"/>
      <c r="L507" s="84"/>
      <c r="M507" s="84"/>
      <c r="N507" s="83"/>
      <c r="O507" s="222"/>
      <c r="P507" s="222"/>
      <c r="Q507" s="187"/>
      <c r="R507" s="187"/>
      <c r="S507" s="187"/>
      <c r="T507" s="187"/>
      <c r="U507" s="187"/>
      <c r="V507" s="187"/>
      <c r="W507" s="187"/>
      <c r="X507" s="187"/>
      <c r="Y507" s="187"/>
      <c r="Z507" s="187"/>
      <c r="AA507" s="187"/>
      <c r="AB507" s="187"/>
    </row>
    <row r="508" spans="1:28" ht="15.75" customHeight="1">
      <c r="A508" s="219"/>
      <c r="B508" s="83"/>
      <c r="C508" s="81"/>
      <c r="D508" s="82"/>
      <c r="E508" s="81"/>
      <c r="F508" s="82"/>
      <c r="G508" s="83"/>
      <c r="H508" s="221"/>
      <c r="I508" s="83"/>
      <c r="J508" s="83"/>
      <c r="K508" s="83"/>
      <c r="L508" s="84"/>
      <c r="M508" s="84"/>
      <c r="N508" s="83"/>
      <c r="O508" s="222"/>
      <c r="P508" s="222"/>
      <c r="Q508" s="187"/>
      <c r="R508" s="187"/>
      <c r="S508" s="187"/>
      <c r="T508" s="187"/>
      <c r="U508" s="187"/>
      <c r="V508" s="187"/>
      <c r="W508" s="187"/>
      <c r="X508" s="187"/>
      <c r="Y508" s="187"/>
      <c r="Z508" s="187"/>
      <c r="AA508" s="187"/>
      <c r="AB508" s="187"/>
    </row>
    <row r="509" spans="1:28" ht="15.75" customHeight="1">
      <c r="A509" s="219"/>
      <c r="B509" s="83"/>
      <c r="C509" s="81"/>
      <c r="D509" s="82"/>
      <c r="E509" s="81"/>
      <c r="F509" s="82"/>
      <c r="G509" s="83"/>
      <c r="H509" s="221"/>
      <c r="I509" s="83"/>
      <c r="J509" s="83"/>
      <c r="K509" s="83"/>
      <c r="L509" s="84"/>
      <c r="M509" s="84"/>
      <c r="N509" s="83"/>
      <c r="O509" s="222"/>
      <c r="P509" s="222"/>
      <c r="Q509" s="187"/>
      <c r="R509" s="187"/>
      <c r="S509" s="187"/>
      <c r="T509" s="187"/>
      <c r="U509" s="187"/>
      <c r="V509" s="187"/>
      <c r="W509" s="187"/>
      <c r="X509" s="187"/>
      <c r="Y509" s="187"/>
      <c r="Z509" s="187"/>
      <c r="AA509" s="187"/>
      <c r="AB509" s="187"/>
    </row>
    <row r="510" spans="1:28" ht="15.75" customHeight="1">
      <c r="A510" s="219"/>
      <c r="B510" s="83"/>
      <c r="C510" s="81"/>
      <c r="D510" s="82"/>
      <c r="E510" s="81"/>
      <c r="F510" s="82"/>
      <c r="G510" s="83"/>
      <c r="H510" s="221"/>
      <c r="I510" s="83"/>
      <c r="J510" s="83"/>
      <c r="K510" s="83"/>
      <c r="L510" s="84"/>
      <c r="M510" s="84"/>
      <c r="N510" s="83"/>
      <c r="O510" s="222"/>
      <c r="P510" s="222"/>
      <c r="Q510" s="187"/>
      <c r="R510" s="187"/>
      <c r="S510" s="187"/>
      <c r="T510" s="187"/>
      <c r="U510" s="187"/>
      <c r="V510" s="187"/>
      <c r="W510" s="187"/>
      <c r="X510" s="187"/>
      <c r="Y510" s="187"/>
      <c r="Z510" s="187"/>
      <c r="AA510" s="187"/>
      <c r="AB510" s="187"/>
    </row>
    <row r="511" spans="1:28" ht="15.75" customHeight="1">
      <c r="A511" s="219"/>
      <c r="B511" s="83"/>
      <c r="C511" s="81"/>
      <c r="D511" s="82"/>
      <c r="E511" s="81"/>
      <c r="F511" s="82"/>
      <c r="G511" s="83"/>
      <c r="H511" s="221"/>
      <c r="I511" s="83"/>
      <c r="J511" s="83"/>
      <c r="K511" s="83"/>
      <c r="L511" s="84"/>
      <c r="M511" s="84"/>
      <c r="N511" s="83"/>
      <c r="O511" s="222"/>
      <c r="P511" s="222"/>
      <c r="Q511" s="187"/>
      <c r="R511" s="187"/>
      <c r="S511" s="187"/>
      <c r="T511" s="187"/>
      <c r="U511" s="187"/>
      <c r="V511" s="187"/>
      <c r="W511" s="187"/>
      <c r="X511" s="187"/>
      <c r="Y511" s="187"/>
      <c r="Z511" s="187"/>
      <c r="AA511" s="187"/>
      <c r="AB511" s="187"/>
    </row>
    <row r="512" spans="1:28" ht="15.75" customHeight="1">
      <c r="A512" s="219"/>
      <c r="B512" s="83"/>
      <c r="C512" s="81"/>
      <c r="D512" s="82"/>
      <c r="E512" s="81"/>
      <c r="F512" s="82"/>
      <c r="G512" s="83"/>
      <c r="H512" s="221"/>
      <c r="I512" s="83"/>
      <c r="J512" s="83"/>
      <c r="K512" s="83"/>
      <c r="L512" s="84"/>
      <c r="M512" s="84"/>
      <c r="N512" s="83"/>
      <c r="O512" s="222"/>
      <c r="P512" s="222"/>
      <c r="Q512" s="187"/>
      <c r="R512" s="187"/>
      <c r="S512" s="187"/>
      <c r="T512" s="187"/>
      <c r="U512" s="187"/>
      <c r="V512" s="187"/>
      <c r="W512" s="187"/>
      <c r="X512" s="187"/>
      <c r="Y512" s="187"/>
      <c r="Z512" s="187"/>
      <c r="AA512" s="187"/>
      <c r="AB512" s="187"/>
    </row>
    <row r="513" spans="1:28" ht="15.75" customHeight="1">
      <c r="A513" s="219"/>
      <c r="B513" s="83"/>
      <c r="C513" s="81"/>
      <c r="D513" s="82"/>
      <c r="E513" s="81"/>
      <c r="F513" s="82"/>
      <c r="G513" s="83"/>
      <c r="H513" s="221"/>
      <c r="I513" s="83"/>
      <c r="J513" s="83"/>
      <c r="K513" s="83"/>
      <c r="L513" s="84"/>
      <c r="M513" s="84"/>
      <c r="N513" s="83"/>
      <c r="O513" s="222"/>
      <c r="P513" s="222"/>
      <c r="Q513" s="187"/>
      <c r="R513" s="187"/>
      <c r="S513" s="187"/>
      <c r="T513" s="187"/>
      <c r="U513" s="187"/>
      <c r="V513" s="187"/>
      <c r="W513" s="187"/>
      <c r="X513" s="187"/>
      <c r="Y513" s="187"/>
      <c r="Z513" s="187"/>
      <c r="AA513" s="187"/>
      <c r="AB513" s="187"/>
    </row>
    <row r="514" spans="1:28" ht="15.75" customHeight="1">
      <c r="A514" s="219"/>
      <c r="B514" s="83"/>
      <c r="C514" s="81"/>
      <c r="D514" s="82"/>
      <c r="E514" s="81"/>
      <c r="F514" s="82"/>
      <c r="G514" s="83"/>
      <c r="H514" s="221"/>
      <c r="I514" s="83"/>
      <c r="J514" s="83"/>
      <c r="K514" s="83"/>
      <c r="L514" s="84"/>
      <c r="M514" s="84"/>
      <c r="N514" s="83"/>
      <c r="O514" s="222"/>
      <c r="P514" s="222"/>
      <c r="Q514" s="187"/>
      <c r="R514" s="187"/>
      <c r="S514" s="187"/>
      <c r="T514" s="187"/>
      <c r="U514" s="187"/>
      <c r="V514" s="187"/>
      <c r="W514" s="187"/>
      <c r="X514" s="187"/>
      <c r="Y514" s="187"/>
      <c r="Z514" s="187"/>
      <c r="AA514" s="187"/>
      <c r="AB514" s="187"/>
    </row>
    <row r="515" spans="1:28" ht="15.75" customHeight="1">
      <c r="A515" s="219"/>
      <c r="B515" s="83"/>
      <c r="C515" s="81"/>
      <c r="D515" s="82"/>
      <c r="E515" s="81"/>
      <c r="F515" s="82"/>
      <c r="G515" s="83"/>
      <c r="H515" s="221"/>
      <c r="I515" s="83"/>
      <c r="J515" s="83"/>
      <c r="K515" s="83"/>
      <c r="L515" s="84"/>
      <c r="M515" s="84"/>
      <c r="N515" s="83"/>
      <c r="O515" s="222"/>
      <c r="P515" s="222"/>
      <c r="Q515" s="187"/>
      <c r="R515" s="187"/>
      <c r="S515" s="187"/>
      <c r="T515" s="187"/>
      <c r="U515" s="187"/>
      <c r="V515" s="187"/>
      <c r="W515" s="187"/>
      <c r="X515" s="187"/>
      <c r="Y515" s="187"/>
      <c r="Z515" s="187"/>
      <c r="AA515" s="187"/>
      <c r="AB515" s="187"/>
    </row>
    <row r="516" spans="1:28" ht="15.75" customHeight="1">
      <c r="A516" s="219"/>
      <c r="B516" s="83"/>
      <c r="C516" s="81"/>
      <c r="D516" s="82"/>
      <c r="E516" s="81"/>
      <c r="F516" s="82"/>
      <c r="G516" s="83"/>
      <c r="H516" s="221"/>
      <c r="I516" s="83"/>
      <c r="J516" s="83"/>
      <c r="K516" s="83"/>
      <c r="L516" s="84"/>
      <c r="M516" s="84"/>
      <c r="N516" s="83"/>
      <c r="O516" s="222"/>
      <c r="P516" s="222"/>
      <c r="Q516" s="187"/>
      <c r="R516" s="187"/>
      <c r="S516" s="187"/>
      <c r="T516" s="187"/>
      <c r="U516" s="187"/>
      <c r="V516" s="187"/>
      <c r="W516" s="187"/>
      <c r="X516" s="187"/>
      <c r="Y516" s="187"/>
      <c r="Z516" s="187"/>
      <c r="AA516" s="187"/>
      <c r="AB516" s="187"/>
    </row>
    <row r="517" spans="1:28" ht="15.75" customHeight="1">
      <c r="A517" s="219"/>
      <c r="B517" s="83"/>
      <c r="C517" s="81"/>
      <c r="D517" s="82"/>
      <c r="E517" s="81"/>
      <c r="F517" s="82"/>
      <c r="G517" s="83"/>
      <c r="H517" s="221"/>
      <c r="I517" s="83"/>
      <c r="J517" s="83"/>
      <c r="K517" s="83"/>
      <c r="L517" s="84"/>
      <c r="M517" s="84"/>
      <c r="N517" s="83"/>
      <c r="O517" s="222"/>
      <c r="P517" s="222"/>
      <c r="Q517" s="187"/>
      <c r="R517" s="187"/>
      <c r="S517" s="187"/>
      <c r="T517" s="187"/>
      <c r="U517" s="187"/>
      <c r="V517" s="187"/>
      <c r="W517" s="187"/>
      <c r="X517" s="187"/>
      <c r="Y517" s="187"/>
      <c r="Z517" s="187"/>
      <c r="AA517" s="187"/>
      <c r="AB517" s="187"/>
    </row>
    <row r="518" spans="1:28" ht="15.75" customHeight="1">
      <c r="A518" s="219"/>
      <c r="B518" s="83"/>
      <c r="C518" s="81"/>
      <c r="D518" s="82"/>
      <c r="E518" s="81"/>
      <c r="F518" s="82"/>
      <c r="G518" s="83"/>
      <c r="H518" s="221"/>
      <c r="I518" s="83"/>
      <c r="J518" s="83"/>
      <c r="K518" s="83"/>
      <c r="L518" s="84"/>
      <c r="M518" s="84"/>
      <c r="N518" s="83"/>
      <c r="O518" s="222"/>
      <c r="P518" s="222"/>
      <c r="Q518" s="187"/>
      <c r="R518" s="187"/>
      <c r="S518" s="187"/>
      <c r="T518" s="187"/>
      <c r="U518" s="187"/>
      <c r="V518" s="187"/>
      <c r="W518" s="187"/>
      <c r="X518" s="187"/>
      <c r="Y518" s="187"/>
      <c r="Z518" s="187"/>
      <c r="AA518" s="187"/>
      <c r="AB518" s="187"/>
    </row>
    <row r="519" spans="1:28" ht="15.75" customHeight="1">
      <c r="A519" s="219"/>
      <c r="B519" s="83"/>
      <c r="C519" s="81"/>
      <c r="D519" s="82"/>
      <c r="E519" s="81"/>
      <c r="F519" s="82"/>
      <c r="G519" s="83"/>
      <c r="H519" s="221"/>
      <c r="I519" s="83"/>
      <c r="J519" s="83"/>
      <c r="K519" s="83"/>
      <c r="L519" s="84"/>
      <c r="M519" s="84"/>
      <c r="N519" s="83"/>
      <c r="O519" s="222"/>
      <c r="P519" s="222"/>
      <c r="Q519" s="187"/>
      <c r="R519" s="187"/>
      <c r="S519" s="187"/>
      <c r="T519" s="187"/>
      <c r="U519" s="187"/>
      <c r="V519" s="187"/>
      <c r="W519" s="187"/>
      <c r="X519" s="187"/>
      <c r="Y519" s="187"/>
      <c r="Z519" s="187"/>
      <c r="AA519" s="187"/>
      <c r="AB519" s="187"/>
    </row>
    <row r="520" spans="1:28" ht="15.75" customHeight="1">
      <c r="A520" s="219"/>
      <c r="B520" s="83"/>
      <c r="C520" s="81"/>
      <c r="D520" s="82"/>
      <c r="E520" s="81"/>
      <c r="F520" s="82"/>
      <c r="G520" s="83"/>
      <c r="H520" s="221"/>
      <c r="I520" s="83"/>
      <c r="J520" s="83"/>
      <c r="K520" s="83"/>
      <c r="L520" s="84"/>
      <c r="M520" s="84"/>
      <c r="N520" s="83"/>
      <c r="O520" s="222"/>
      <c r="P520" s="222"/>
      <c r="Q520" s="187"/>
      <c r="R520" s="187"/>
      <c r="S520" s="187"/>
      <c r="T520" s="187"/>
      <c r="U520" s="187"/>
      <c r="V520" s="187"/>
      <c r="W520" s="187"/>
      <c r="X520" s="187"/>
      <c r="Y520" s="187"/>
      <c r="Z520" s="187"/>
      <c r="AA520" s="187"/>
      <c r="AB520" s="187"/>
    </row>
    <row r="521" spans="1:28" ht="15.75" customHeight="1">
      <c r="A521" s="219"/>
      <c r="B521" s="83"/>
      <c r="C521" s="81"/>
      <c r="D521" s="82"/>
      <c r="E521" s="81"/>
      <c r="F521" s="82"/>
      <c r="G521" s="83"/>
      <c r="H521" s="221"/>
      <c r="I521" s="83"/>
      <c r="J521" s="83"/>
      <c r="K521" s="83"/>
      <c r="L521" s="84"/>
      <c r="M521" s="84"/>
      <c r="N521" s="83"/>
      <c r="O521" s="222"/>
      <c r="P521" s="222"/>
      <c r="Q521" s="187"/>
      <c r="R521" s="187"/>
      <c r="S521" s="187"/>
      <c r="T521" s="187"/>
      <c r="U521" s="187"/>
      <c r="V521" s="187"/>
      <c r="W521" s="187"/>
      <c r="X521" s="187"/>
      <c r="Y521" s="187"/>
      <c r="Z521" s="187"/>
      <c r="AA521" s="187"/>
      <c r="AB521" s="187"/>
    </row>
    <row r="522" spans="1:28" ht="15.75" customHeight="1">
      <c r="A522" s="219"/>
      <c r="B522" s="83"/>
      <c r="C522" s="81"/>
      <c r="D522" s="82"/>
      <c r="E522" s="81"/>
      <c r="F522" s="82"/>
      <c r="G522" s="83"/>
      <c r="H522" s="221"/>
      <c r="I522" s="83"/>
      <c r="J522" s="83"/>
      <c r="K522" s="83"/>
      <c r="L522" s="84"/>
      <c r="M522" s="84"/>
      <c r="N522" s="83"/>
      <c r="O522" s="222"/>
      <c r="P522" s="222"/>
      <c r="Q522" s="187"/>
      <c r="R522" s="187"/>
      <c r="S522" s="187"/>
      <c r="T522" s="187"/>
      <c r="U522" s="187"/>
      <c r="V522" s="187"/>
      <c r="W522" s="187"/>
      <c r="X522" s="187"/>
      <c r="Y522" s="187"/>
      <c r="Z522" s="187"/>
      <c r="AA522" s="187"/>
      <c r="AB522" s="187"/>
    </row>
    <row r="523" spans="1:28" ht="15.75" customHeight="1">
      <c r="A523" s="219"/>
      <c r="B523" s="83"/>
      <c r="C523" s="81"/>
      <c r="D523" s="82"/>
      <c r="E523" s="81"/>
      <c r="F523" s="82"/>
      <c r="G523" s="83"/>
      <c r="H523" s="221"/>
      <c r="I523" s="83"/>
      <c r="J523" s="83"/>
      <c r="K523" s="83"/>
      <c r="L523" s="84"/>
      <c r="M523" s="84"/>
      <c r="N523" s="83"/>
      <c r="O523" s="222"/>
      <c r="P523" s="222"/>
      <c r="Q523" s="187"/>
      <c r="R523" s="187"/>
      <c r="S523" s="187"/>
      <c r="T523" s="187"/>
      <c r="U523" s="187"/>
      <c r="V523" s="187"/>
      <c r="W523" s="187"/>
      <c r="X523" s="187"/>
      <c r="Y523" s="187"/>
      <c r="Z523" s="187"/>
      <c r="AA523" s="187"/>
      <c r="AB523" s="187"/>
    </row>
    <row r="524" spans="1:28" ht="15.75" customHeight="1">
      <c r="A524" s="219"/>
      <c r="B524" s="83"/>
      <c r="C524" s="81"/>
      <c r="D524" s="82"/>
      <c r="E524" s="81"/>
      <c r="F524" s="82"/>
      <c r="G524" s="83"/>
      <c r="H524" s="221"/>
      <c r="I524" s="83"/>
      <c r="J524" s="83"/>
      <c r="K524" s="83"/>
      <c r="L524" s="84"/>
      <c r="M524" s="84"/>
      <c r="N524" s="83"/>
      <c r="O524" s="222"/>
      <c r="P524" s="222"/>
      <c r="Q524" s="187"/>
      <c r="R524" s="187"/>
      <c r="S524" s="187"/>
      <c r="T524" s="187"/>
      <c r="U524" s="187"/>
      <c r="V524" s="187"/>
      <c r="W524" s="187"/>
      <c r="X524" s="187"/>
      <c r="Y524" s="187"/>
      <c r="Z524" s="187"/>
      <c r="AA524" s="187"/>
      <c r="AB524" s="187"/>
    </row>
    <row r="525" spans="1:28" ht="15.75" customHeight="1">
      <c r="A525" s="219"/>
      <c r="B525" s="83"/>
      <c r="C525" s="81"/>
      <c r="D525" s="82"/>
      <c r="E525" s="81"/>
      <c r="F525" s="82"/>
      <c r="G525" s="83"/>
      <c r="H525" s="221"/>
      <c r="I525" s="83"/>
      <c r="J525" s="83"/>
      <c r="K525" s="83"/>
      <c r="L525" s="84"/>
      <c r="M525" s="84"/>
      <c r="N525" s="83"/>
      <c r="O525" s="222"/>
      <c r="P525" s="222"/>
      <c r="Q525" s="187"/>
      <c r="R525" s="187"/>
      <c r="S525" s="187"/>
      <c r="T525" s="187"/>
      <c r="U525" s="187"/>
      <c r="V525" s="187"/>
      <c r="W525" s="187"/>
      <c r="X525" s="187"/>
      <c r="Y525" s="187"/>
      <c r="Z525" s="187"/>
      <c r="AA525" s="187"/>
      <c r="AB525" s="187"/>
    </row>
    <row r="526" spans="1:28" ht="15.75" customHeight="1">
      <c r="A526" s="219"/>
      <c r="B526" s="83"/>
      <c r="C526" s="81"/>
      <c r="D526" s="82"/>
      <c r="E526" s="81"/>
      <c r="F526" s="82"/>
      <c r="G526" s="83"/>
      <c r="H526" s="221"/>
      <c r="I526" s="83"/>
      <c r="J526" s="83"/>
      <c r="K526" s="83"/>
      <c r="L526" s="84"/>
      <c r="M526" s="84"/>
      <c r="N526" s="83"/>
      <c r="O526" s="222"/>
      <c r="P526" s="222"/>
      <c r="Q526" s="187"/>
      <c r="R526" s="187"/>
      <c r="S526" s="187"/>
      <c r="T526" s="187"/>
      <c r="U526" s="187"/>
      <c r="V526" s="187"/>
      <c r="W526" s="187"/>
      <c r="X526" s="187"/>
      <c r="Y526" s="187"/>
      <c r="Z526" s="187"/>
      <c r="AA526" s="187"/>
      <c r="AB526" s="187"/>
    </row>
    <row r="527" spans="1:28" ht="15.75" customHeight="1">
      <c r="A527" s="219"/>
      <c r="B527" s="83"/>
      <c r="C527" s="81"/>
      <c r="D527" s="82"/>
      <c r="E527" s="81"/>
      <c r="F527" s="82"/>
      <c r="G527" s="83"/>
      <c r="H527" s="221"/>
      <c r="I527" s="83"/>
      <c r="J527" s="83"/>
      <c r="K527" s="83"/>
      <c r="L527" s="84"/>
      <c r="M527" s="84"/>
      <c r="N527" s="83"/>
      <c r="O527" s="222"/>
      <c r="P527" s="222"/>
      <c r="Q527" s="187"/>
      <c r="R527" s="187"/>
      <c r="S527" s="187"/>
      <c r="T527" s="187"/>
      <c r="U527" s="187"/>
      <c r="V527" s="187"/>
      <c r="W527" s="187"/>
      <c r="X527" s="187"/>
      <c r="Y527" s="187"/>
      <c r="Z527" s="187"/>
      <c r="AA527" s="187"/>
      <c r="AB527" s="187"/>
    </row>
    <row r="528" spans="1:28" ht="15.75" customHeight="1">
      <c r="A528" s="219"/>
      <c r="B528" s="83"/>
      <c r="C528" s="81"/>
      <c r="D528" s="82"/>
      <c r="E528" s="81"/>
      <c r="F528" s="82"/>
      <c r="G528" s="83"/>
      <c r="H528" s="221"/>
      <c r="I528" s="83"/>
      <c r="J528" s="83"/>
      <c r="K528" s="83"/>
      <c r="L528" s="84"/>
      <c r="M528" s="84"/>
      <c r="N528" s="83"/>
      <c r="O528" s="222"/>
      <c r="P528" s="222"/>
      <c r="Q528" s="187"/>
      <c r="R528" s="187"/>
      <c r="S528" s="187"/>
      <c r="T528" s="187"/>
      <c r="U528" s="187"/>
      <c r="V528" s="187"/>
      <c r="W528" s="187"/>
      <c r="X528" s="187"/>
      <c r="Y528" s="187"/>
      <c r="Z528" s="187"/>
      <c r="AA528" s="187"/>
      <c r="AB528" s="187"/>
    </row>
    <row r="529" spans="1:28" ht="15.75" customHeight="1">
      <c r="A529" s="219"/>
      <c r="B529" s="83"/>
      <c r="C529" s="81"/>
      <c r="D529" s="82"/>
      <c r="E529" s="81"/>
      <c r="F529" s="82"/>
      <c r="G529" s="83"/>
      <c r="H529" s="221"/>
      <c r="I529" s="83"/>
      <c r="J529" s="83"/>
      <c r="K529" s="83"/>
      <c r="L529" s="84"/>
      <c r="M529" s="84"/>
      <c r="N529" s="83"/>
      <c r="O529" s="222"/>
      <c r="P529" s="222"/>
      <c r="Q529" s="187"/>
      <c r="R529" s="187"/>
      <c r="S529" s="187"/>
      <c r="T529" s="187"/>
      <c r="U529" s="187"/>
      <c r="V529" s="187"/>
      <c r="W529" s="187"/>
      <c r="X529" s="187"/>
      <c r="Y529" s="187"/>
      <c r="Z529" s="187"/>
      <c r="AA529" s="187"/>
      <c r="AB529" s="187"/>
    </row>
    <row r="530" spans="1:28" ht="15.75" customHeight="1">
      <c r="A530" s="219"/>
      <c r="B530" s="83"/>
      <c r="C530" s="81"/>
      <c r="D530" s="82"/>
      <c r="E530" s="81"/>
      <c r="F530" s="82"/>
      <c r="G530" s="83"/>
      <c r="H530" s="221"/>
      <c r="I530" s="83"/>
      <c r="J530" s="83"/>
      <c r="K530" s="83"/>
      <c r="L530" s="84"/>
      <c r="M530" s="84"/>
      <c r="N530" s="83"/>
      <c r="O530" s="222"/>
      <c r="P530" s="222"/>
      <c r="Q530" s="187"/>
      <c r="R530" s="187"/>
      <c r="S530" s="187"/>
      <c r="T530" s="187"/>
      <c r="U530" s="187"/>
      <c r="V530" s="187"/>
      <c r="W530" s="187"/>
      <c r="X530" s="187"/>
      <c r="Y530" s="187"/>
      <c r="Z530" s="187"/>
      <c r="AA530" s="187"/>
      <c r="AB530" s="187"/>
    </row>
    <row r="531" spans="1:28" ht="15.75" customHeight="1">
      <c r="A531" s="219"/>
      <c r="B531" s="83"/>
      <c r="C531" s="81"/>
      <c r="D531" s="82"/>
      <c r="E531" s="81"/>
      <c r="F531" s="82"/>
      <c r="G531" s="83"/>
      <c r="H531" s="221"/>
      <c r="I531" s="83"/>
      <c r="J531" s="83"/>
      <c r="K531" s="83"/>
      <c r="L531" s="84"/>
      <c r="M531" s="84"/>
      <c r="N531" s="83"/>
      <c r="O531" s="222"/>
      <c r="P531" s="222"/>
      <c r="Q531" s="187"/>
      <c r="R531" s="187"/>
      <c r="S531" s="187"/>
      <c r="T531" s="187"/>
      <c r="U531" s="187"/>
      <c r="V531" s="187"/>
      <c r="W531" s="187"/>
      <c r="X531" s="187"/>
      <c r="Y531" s="187"/>
      <c r="Z531" s="187"/>
      <c r="AA531" s="187"/>
      <c r="AB531" s="187"/>
    </row>
    <row r="532" spans="1:28" ht="15.75" customHeight="1">
      <c r="A532" s="219"/>
      <c r="B532" s="83"/>
      <c r="C532" s="81"/>
      <c r="D532" s="82"/>
      <c r="E532" s="81"/>
      <c r="F532" s="82"/>
      <c r="G532" s="83"/>
      <c r="H532" s="221"/>
      <c r="I532" s="83"/>
      <c r="J532" s="83"/>
      <c r="K532" s="83"/>
      <c r="L532" s="84"/>
      <c r="M532" s="84"/>
      <c r="N532" s="83"/>
      <c r="O532" s="222"/>
      <c r="P532" s="222"/>
      <c r="Q532" s="187"/>
      <c r="R532" s="187"/>
      <c r="S532" s="187"/>
      <c r="T532" s="187"/>
      <c r="U532" s="187"/>
      <c r="V532" s="187"/>
      <c r="W532" s="187"/>
      <c r="X532" s="187"/>
      <c r="Y532" s="187"/>
      <c r="Z532" s="187"/>
      <c r="AA532" s="187"/>
      <c r="AB532" s="187"/>
    </row>
    <row r="533" spans="1:28" ht="15.75" customHeight="1">
      <c r="A533" s="219"/>
      <c r="B533" s="83"/>
      <c r="C533" s="81"/>
      <c r="D533" s="82"/>
      <c r="E533" s="81"/>
      <c r="F533" s="82"/>
      <c r="G533" s="83"/>
      <c r="H533" s="221"/>
      <c r="I533" s="83"/>
      <c r="J533" s="83"/>
      <c r="K533" s="83"/>
      <c r="L533" s="84"/>
      <c r="M533" s="84"/>
      <c r="N533" s="83"/>
      <c r="O533" s="222"/>
      <c r="P533" s="222"/>
      <c r="Q533" s="187"/>
      <c r="R533" s="187"/>
      <c r="S533" s="187"/>
      <c r="T533" s="187"/>
      <c r="U533" s="187"/>
      <c r="V533" s="187"/>
      <c r="W533" s="187"/>
      <c r="X533" s="187"/>
      <c r="Y533" s="187"/>
      <c r="Z533" s="187"/>
      <c r="AA533" s="187"/>
      <c r="AB533" s="187"/>
    </row>
    <row r="534" spans="1:28" ht="15.75" customHeight="1">
      <c r="A534" s="219"/>
      <c r="B534" s="83"/>
      <c r="C534" s="81"/>
      <c r="D534" s="82"/>
      <c r="E534" s="81"/>
      <c r="F534" s="82"/>
      <c r="G534" s="83"/>
      <c r="H534" s="221"/>
      <c r="I534" s="83"/>
      <c r="J534" s="83"/>
      <c r="K534" s="83"/>
      <c r="L534" s="84"/>
      <c r="M534" s="84"/>
      <c r="N534" s="83"/>
      <c r="O534" s="222"/>
      <c r="P534" s="222"/>
      <c r="Q534" s="187"/>
      <c r="R534" s="187"/>
      <c r="S534" s="187"/>
      <c r="T534" s="187"/>
      <c r="U534" s="187"/>
      <c r="V534" s="187"/>
      <c r="W534" s="187"/>
      <c r="X534" s="187"/>
      <c r="Y534" s="187"/>
      <c r="Z534" s="187"/>
      <c r="AA534" s="187"/>
      <c r="AB534" s="187"/>
    </row>
    <row r="535" spans="1:28" ht="15.75" customHeight="1">
      <c r="A535" s="219"/>
      <c r="B535" s="83"/>
      <c r="C535" s="81"/>
      <c r="D535" s="82"/>
      <c r="E535" s="81"/>
      <c r="F535" s="82"/>
      <c r="G535" s="83"/>
      <c r="H535" s="221"/>
      <c r="I535" s="83"/>
      <c r="J535" s="83"/>
      <c r="K535" s="83"/>
      <c r="L535" s="84"/>
      <c r="M535" s="84"/>
      <c r="N535" s="83"/>
      <c r="O535" s="222"/>
      <c r="P535" s="222"/>
      <c r="Q535" s="187"/>
      <c r="R535" s="187"/>
      <c r="S535" s="187"/>
      <c r="T535" s="187"/>
      <c r="U535" s="187"/>
      <c r="V535" s="187"/>
      <c r="W535" s="187"/>
      <c r="X535" s="187"/>
      <c r="Y535" s="187"/>
      <c r="Z535" s="187"/>
      <c r="AA535" s="187"/>
      <c r="AB535" s="187"/>
    </row>
    <row r="536" spans="1:28" ht="15.75" customHeight="1">
      <c r="A536" s="219"/>
      <c r="B536" s="83"/>
      <c r="C536" s="81"/>
      <c r="D536" s="82"/>
      <c r="E536" s="81"/>
      <c r="F536" s="82"/>
      <c r="G536" s="83"/>
      <c r="H536" s="221"/>
      <c r="I536" s="83"/>
      <c r="J536" s="83"/>
      <c r="K536" s="83"/>
      <c r="L536" s="84"/>
      <c r="M536" s="84"/>
      <c r="N536" s="83"/>
      <c r="O536" s="222"/>
      <c r="P536" s="222"/>
      <c r="Q536" s="187"/>
      <c r="R536" s="187"/>
      <c r="S536" s="187"/>
      <c r="T536" s="187"/>
      <c r="U536" s="187"/>
      <c r="V536" s="187"/>
      <c r="W536" s="187"/>
      <c r="X536" s="187"/>
      <c r="Y536" s="187"/>
      <c r="Z536" s="187"/>
      <c r="AA536" s="187"/>
      <c r="AB536" s="187"/>
    </row>
    <row r="537" spans="1:28" ht="15.75" customHeight="1">
      <c r="A537" s="219"/>
      <c r="B537" s="83"/>
      <c r="C537" s="81"/>
      <c r="D537" s="82"/>
      <c r="E537" s="81"/>
      <c r="F537" s="82"/>
      <c r="G537" s="83"/>
      <c r="H537" s="221"/>
      <c r="I537" s="83"/>
      <c r="J537" s="83"/>
      <c r="K537" s="83"/>
      <c r="L537" s="84"/>
      <c r="M537" s="84"/>
      <c r="N537" s="83"/>
      <c r="O537" s="222"/>
      <c r="P537" s="222"/>
      <c r="Q537" s="187"/>
      <c r="R537" s="187"/>
      <c r="S537" s="187"/>
      <c r="T537" s="187"/>
      <c r="U537" s="187"/>
      <c r="V537" s="187"/>
      <c r="W537" s="187"/>
      <c r="X537" s="187"/>
      <c r="Y537" s="187"/>
      <c r="Z537" s="187"/>
      <c r="AA537" s="187"/>
      <c r="AB537" s="187"/>
    </row>
    <row r="538" spans="1:28" ht="15.75" customHeight="1">
      <c r="A538" s="219"/>
      <c r="B538" s="83"/>
      <c r="C538" s="81"/>
      <c r="D538" s="82"/>
      <c r="E538" s="81"/>
      <c r="F538" s="82"/>
      <c r="G538" s="83"/>
      <c r="H538" s="221"/>
      <c r="I538" s="83"/>
      <c r="J538" s="83"/>
      <c r="K538" s="83"/>
      <c r="L538" s="84"/>
      <c r="M538" s="84"/>
      <c r="N538" s="83"/>
      <c r="O538" s="222"/>
      <c r="P538" s="222"/>
      <c r="Q538" s="187"/>
      <c r="R538" s="187"/>
      <c r="S538" s="187"/>
      <c r="T538" s="187"/>
      <c r="U538" s="187"/>
      <c r="V538" s="187"/>
      <c r="W538" s="187"/>
      <c r="X538" s="187"/>
      <c r="Y538" s="187"/>
      <c r="Z538" s="187"/>
      <c r="AA538" s="187"/>
      <c r="AB538" s="187"/>
    </row>
    <row r="539" spans="1:28" ht="15.75" customHeight="1">
      <c r="A539" s="219"/>
      <c r="B539" s="83"/>
      <c r="C539" s="81"/>
      <c r="D539" s="82"/>
      <c r="E539" s="81"/>
      <c r="F539" s="82"/>
      <c r="G539" s="83"/>
      <c r="H539" s="221"/>
      <c r="I539" s="83"/>
      <c r="J539" s="83"/>
      <c r="K539" s="83"/>
      <c r="L539" s="84"/>
      <c r="M539" s="84"/>
      <c r="N539" s="83"/>
      <c r="O539" s="222"/>
      <c r="P539" s="222"/>
      <c r="Q539" s="187"/>
      <c r="R539" s="187"/>
      <c r="S539" s="187"/>
      <c r="T539" s="187"/>
      <c r="U539" s="187"/>
      <c r="V539" s="187"/>
      <c r="W539" s="187"/>
      <c r="X539" s="187"/>
      <c r="Y539" s="187"/>
      <c r="Z539" s="187"/>
      <c r="AA539" s="187"/>
      <c r="AB539" s="187"/>
    </row>
    <row r="540" spans="1:28" ht="15.75" customHeight="1">
      <c r="A540" s="219"/>
      <c r="B540" s="83"/>
      <c r="C540" s="81"/>
      <c r="D540" s="82"/>
      <c r="E540" s="81"/>
      <c r="F540" s="82"/>
      <c r="G540" s="83"/>
      <c r="H540" s="221"/>
      <c r="I540" s="83"/>
      <c r="J540" s="83"/>
      <c r="K540" s="83"/>
      <c r="L540" s="84"/>
      <c r="M540" s="84"/>
      <c r="N540" s="83"/>
      <c r="O540" s="222"/>
      <c r="P540" s="222"/>
      <c r="Q540" s="187"/>
      <c r="R540" s="187"/>
      <c r="S540" s="187"/>
      <c r="T540" s="187"/>
      <c r="U540" s="187"/>
      <c r="V540" s="187"/>
      <c r="W540" s="187"/>
      <c r="X540" s="187"/>
      <c r="Y540" s="187"/>
      <c r="Z540" s="187"/>
      <c r="AA540" s="187"/>
      <c r="AB540" s="187"/>
    </row>
    <row r="541" spans="1:28" ht="15.75" customHeight="1">
      <c r="A541" s="219"/>
      <c r="B541" s="83"/>
      <c r="C541" s="81"/>
      <c r="D541" s="82"/>
      <c r="E541" s="81"/>
      <c r="F541" s="82"/>
      <c r="G541" s="83"/>
      <c r="H541" s="221"/>
      <c r="I541" s="83"/>
      <c r="J541" s="83"/>
      <c r="K541" s="83"/>
      <c r="L541" s="84"/>
      <c r="M541" s="84"/>
      <c r="N541" s="83"/>
      <c r="O541" s="222"/>
      <c r="P541" s="222"/>
      <c r="Q541" s="187"/>
      <c r="R541" s="187"/>
      <c r="S541" s="187"/>
      <c r="T541" s="187"/>
      <c r="U541" s="187"/>
      <c r="V541" s="187"/>
      <c r="W541" s="187"/>
      <c r="X541" s="187"/>
      <c r="Y541" s="187"/>
      <c r="Z541" s="187"/>
      <c r="AA541" s="187"/>
      <c r="AB541" s="187"/>
    </row>
    <row r="542" spans="1:28" ht="15.75" customHeight="1">
      <c r="A542" s="219"/>
      <c r="B542" s="83"/>
      <c r="C542" s="81"/>
      <c r="D542" s="82"/>
      <c r="E542" s="81"/>
      <c r="F542" s="82"/>
      <c r="G542" s="83"/>
      <c r="H542" s="221"/>
      <c r="I542" s="83"/>
      <c r="J542" s="83"/>
      <c r="K542" s="83"/>
      <c r="L542" s="84"/>
      <c r="M542" s="84"/>
      <c r="N542" s="83"/>
      <c r="O542" s="222"/>
      <c r="P542" s="222"/>
      <c r="Q542" s="187"/>
      <c r="R542" s="187"/>
      <c r="S542" s="187"/>
      <c r="T542" s="187"/>
      <c r="U542" s="187"/>
      <c r="V542" s="187"/>
      <c r="W542" s="187"/>
      <c r="X542" s="187"/>
      <c r="Y542" s="187"/>
      <c r="Z542" s="187"/>
      <c r="AA542" s="187"/>
      <c r="AB542" s="187"/>
    </row>
    <row r="543" spans="1:28" ht="15.75" customHeight="1">
      <c r="A543" s="219"/>
      <c r="B543" s="83"/>
      <c r="C543" s="81"/>
      <c r="D543" s="82"/>
      <c r="E543" s="81"/>
      <c r="F543" s="82"/>
      <c r="G543" s="83"/>
      <c r="H543" s="221"/>
      <c r="I543" s="83"/>
      <c r="J543" s="83"/>
      <c r="K543" s="83"/>
      <c r="L543" s="84"/>
      <c r="M543" s="84"/>
      <c r="N543" s="83"/>
      <c r="O543" s="222"/>
      <c r="P543" s="222"/>
      <c r="Q543" s="187"/>
      <c r="R543" s="187"/>
      <c r="S543" s="187"/>
      <c r="T543" s="187"/>
      <c r="U543" s="187"/>
      <c r="V543" s="187"/>
      <c r="W543" s="187"/>
      <c r="X543" s="187"/>
      <c r="Y543" s="187"/>
      <c r="Z543" s="187"/>
      <c r="AA543" s="187"/>
      <c r="AB543" s="187"/>
    </row>
    <row r="544" spans="1:28" ht="15.75" customHeight="1">
      <c r="A544" s="219"/>
      <c r="B544" s="83"/>
      <c r="C544" s="81"/>
      <c r="D544" s="82"/>
      <c r="E544" s="81"/>
      <c r="F544" s="82"/>
      <c r="G544" s="83"/>
      <c r="H544" s="221"/>
      <c r="I544" s="83"/>
      <c r="J544" s="83"/>
      <c r="K544" s="83"/>
      <c r="L544" s="84"/>
      <c r="M544" s="84"/>
      <c r="N544" s="83"/>
      <c r="O544" s="222"/>
      <c r="P544" s="222"/>
      <c r="Q544" s="187"/>
      <c r="R544" s="187"/>
      <c r="S544" s="187"/>
      <c r="T544" s="187"/>
      <c r="U544" s="187"/>
      <c r="V544" s="187"/>
      <c r="W544" s="187"/>
      <c r="X544" s="187"/>
      <c r="Y544" s="187"/>
      <c r="Z544" s="187"/>
      <c r="AA544" s="187"/>
      <c r="AB544" s="187"/>
    </row>
    <row r="545" spans="1:28" ht="15.75" customHeight="1">
      <c r="A545" s="219"/>
      <c r="B545" s="83"/>
      <c r="C545" s="81"/>
      <c r="D545" s="82"/>
      <c r="E545" s="81"/>
      <c r="F545" s="82"/>
      <c r="G545" s="83"/>
      <c r="H545" s="221"/>
      <c r="I545" s="83"/>
      <c r="J545" s="83"/>
      <c r="K545" s="83"/>
      <c r="L545" s="84"/>
      <c r="M545" s="84"/>
      <c r="N545" s="83"/>
      <c r="O545" s="222"/>
      <c r="P545" s="222"/>
      <c r="Q545" s="187"/>
      <c r="R545" s="187"/>
      <c r="S545" s="187"/>
      <c r="T545" s="187"/>
      <c r="U545" s="187"/>
      <c r="V545" s="187"/>
      <c r="W545" s="187"/>
      <c r="X545" s="187"/>
      <c r="Y545" s="187"/>
      <c r="Z545" s="187"/>
      <c r="AA545" s="187"/>
      <c r="AB545" s="187"/>
    </row>
    <row r="546" spans="1:28" ht="15.75" customHeight="1">
      <c r="A546" s="219"/>
      <c r="B546" s="83"/>
      <c r="C546" s="81"/>
      <c r="D546" s="82"/>
      <c r="E546" s="81"/>
      <c r="F546" s="82"/>
      <c r="G546" s="83"/>
      <c r="H546" s="221"/>
      <c r="I546" s="83"/>
      <c r="J546" s="83"/>
      <c r="K546" s="83"/>
      <c r="L546" s="84"/>
      <c r="M546" s="84"/>
      <c r="N546" s="83"/>
      <c r="O546" s="222"/>
      <c r="P546" s="222"/>
      <c r="Q546" s="187"/>
      <c r="R546" s="187"/>
      <c r="S546" s="187"/>
      <c r="T546" s="187"/>
      <c r="U546" s="187"/>
      <c r="V546" s="187"/>
      <c r="W546" s="187"/>
      <c r="X546" s="187"/>
      <c r="Y546" s="187"/>
      <c r="Z546" s="187"/>
      <c r="AA546" s="187"/>
      <c r="AB546" s="187"/>
    </row>
    <row r="547" spans="1:28" ht="15.75" customHeight="1">
      <c r="A547" s="219"/>
      <c r="B547" s="83"/>
      <c r="C547" s="81"/>
      <c r="D547" s="82"/>
      <c r="E547" s="81"/>
      <c r="F547" s="82"/>
      <c r="G547" s="83"/>
      <c r="H547" s="221"/>
      <c r="I547" s="83"/>
      <c r="J547" s="83"/>
      <c r="K547" s="83"/>
      <c r="L547" s="84"/>
      <c r="M547" s="84"/>
      <c r="N547" s="83"/>
      <c r="O547" s="222"/>
      <c r="P547" s="222"/>
      <c r="Q547" s="187"/>
      <c r="R547" s="187"/>
      <c r="S547" s="187"/>
      <c r="T547" s="187"/>
      <c r="U547" s="187"/>
      <c r="V547" s="187"/>
      <c r="W547" s="187"/>
      <c r="X547" s="187"/>
      <c r="Y547" s="187"/>
      <c r="Z547" s="187"/>
      <c r="AA547" s="187"/>
      <c r="AB547" s="187"/>
    </row>
    <row r="548" spans="1:28" ht="15.75" customHeight="1">
      <c r="A548" s="219"/>
      <c r="B548" s="83"/>
      <c r="C548" s="81"/>
      <c r="D548" s="82"/>
      <c r="E548" s="81"/>
      <c r="F548" s="82"/>
      <c r="G548" s="83"/>
      <c r="H548" s="221"/>
      <c r="I548" s="83"/>
      <c r="J548" s="83"/>
      <c r="K548" s="83"/>
      <c r="L548" s="84"/>
      <c r="M548" s="84"/>
      <c r="N548" s="83"/>
      <c r="O548" s="222"/>
      <c r="P548" s="222"/>
      <c r="Q548" s="187"/>
      <c r="R548" s="187"/>
      <c r="S548" s="187"/>
      <c r="T548" s="187"/>
      <c r="U548" s="187"/>
      <c r="V548" s="187"/>
      <c r="W548" s="187"/>
      <c r="X548" s="187"/>
      <c r="Y548" s="187"/>
      <c r="Z548" s="187"/>
      <c r="AA548" s="187"/>
      <c r="AB548" s="187"/>
    </row>
    <row r="549" spans="1:28" ht="15.75" customHeight="1">
      <c r="A549" s="219"/>
      <c r="B549" s="83"/>
      <c r="C549" s="81"/>
      <c r="D549" s="82"/>
      <c r="E549" s="81"/>
      <c r="F549" s="82"/>
      <c r="G549" s="83"/>
      <c r="H549" s="221"/>
      <c r="I549" s="83"/>
      <c r="J549" s="83"/>
      <c r="K549" s="83"/>
      <c r="L549" s="84"/>
      <c r="M549" s="84"/>
      <c r="N549" s="83"/>
      <c r="O549" s="222"/>
      <c r="P549" s="222"/>
      <c r="Q549" s="187"/>
      <c r="R549" s="187"/>
      <c r="S549" s="187"/>
      <c r="T549" s="187"/>
      <c r="U549" s="187"/>
      <c r="V549" s="187"/>
      <c r="W549" s="187"/>
      <c r="X549" s="187"/>
      <c r="Y549" s="187"/>
      <c r="Z549" s="187"/>
      <c r="AA549" s="187"/>
      <c r="AB549" s="187"/>
    </row>
    <row r="550" spans="1:28" ht="15.75" customHeight="1">
      <c r="A550" s="219"/>
      <c r="B550" s="83"/>
      <c r="C550" s="81"/>
      <c r="D550" s="82"/>
      <c r="E550" s="81"/>
      <c r="F550" s="82"/>
      <c r="G550" s="83"/>
      <c r="H550" s="221"/>
      <c r="I550" s="83"/>
      <c r="J550" s="83"/>
      <c r="K550" s="83"/>
      <c r="L550" s="84"/>
      <c r="M550" s="84"/>
      <c r="N550" s="83"/>
      <c r="O550" s="222"/>
      <c r="P550" s="222"/>
      <c r="Q550" s="187"/>
      <c r="R550" s="187"/>
      <c r="S550" s="187"/>
      <c r="T550" s="187"/>
      <c r="U550" s="187"/>
      <c r="V550" s="187"/>
      <c r="W550" s="187"/>
      <c r="X550" s="187"/>
      <c r="Y550" s="187"/>
      <c r="Z550" s="187"/>
      <c r="AA550" s="187"/>
      <c r="AB550" s="187"/>
    </row>
    <row r="551" spans="1:28" ht="15.75" customHeight="1">
      <c r="A551" s="219"/>
      <c r="B551" s="83"/>
      <c r="C551" s="81"/>
      <c r="D551" s="82"/>
      <c r="E551" s="81"/>
      <c r="F551" s="82"/>
      <c r="G551" s="83"/>
      <c r="H551" s="221"/>
      <c r="I551" s="83"/>
      <c r="J551" s="83"/>
      <c r="K551" s="83"/>
      <c r="L551" s="84"/>
      <c r="M551" s="84"/>
      <c r="N551" s="83"/>
      <c r="O551" s="222"/>
      <c r="P551" s="222"/>
      <c r="Q551" s="187"/>
      <c r="R551" s="187"/>
      <c r="S551" s="187"/>
      <c r="T551" s="187"/>
      <c r="U551" s="187"/>
      <c r="V551" s="187"/>
      <c r="W551" s="187"/>
      <c r="X551" s="187"/>
      <c r="Y551" s="187"/>
      <c r="Z551" s="187"/>
      <c r="AA551" s="187"/>
      <c r="AB551" s="187"/>
    </row>
    <row r="552" spans="1:28" ht="15.75" customHeight="1">
      <c r="A552" s="219"/>
      <c r="B552" s="83"/>
      <c r="C552" s="81"/>
      <c r="D552" s="82"/>
      <c r="E552" s="81"/>
      <c r="F552" s="82"/>
      <c r="G552" s="83"/>
      <c r="H552" s="221"/>
      <c r="I552" s="83"/>
      <c r="J552" s="83"/>
      <c r="K552" s="83"/>
      <c r="L552" s="84"/>
      <c r="M552" s="84"/>
      <c r="N552" s="83"/>
      <c r="O552" s="222"/>
      <c r="P552" s="222"/>
      <c r="Q552" s="187"/>
      <c r="R552" s="187"/>
      <c r="S552" s="187"/>
      <c r="T552" s="187"/>
      <c r="U552" s="187"/>
      <c r="V552" s="187"/>
      <c r="W552" s="187"/>
      <c r="X552" s="187"/>
      <c r="Y552" s="187"/>
      <c r="Z552" s="187"/>
      <c r="AA552" s="187"/>
      <c r="AB552" s="187"/>
    </row>
    <row r="553" spans="1:28" ht="15.75" customHeight="1">
      <c r="A553" s="219"/>
      <c r="B553" s="83"/>
      <c r="C553" s="81"/>
      <c r="D553" s="82"/>
      <c r="E553" s="81"/>
      <c r="F553" s="82"/>
      <c r="G553" s="83"/>
      <c r="H553" s="221"/>
      <c r="I553" s="83"/>
      <c r="J553" s="83"/>
      <c r="K553" s="83"/>
      <c r="L553" s="84"/>
      <c r="M553" s="84"/>
      <c r="N553" s="83"/>
      <c r="O553" s="222"/>
      <c r="P553" s="222"/>
      <c r="Q553" s="187"/>
      <c r="R553" s="187"/>
      <c r="S553" s="187"/>
      <c r="T553" s="187"/>
      <c r="U553" s="187"/>
      <c r="V553" s="187"/>
      <c r="W553" s="187"/>
      <c r="X553" s="187"/>
      <c r="Y553" s="187"/>
      <c r="Z553" s="187"/>
      <c r="AA553" s="187"/>
      <c r="AB553" s="187"/>
    </row>
    <row r="554" spans="1:28" ht="15.75" customHeight="1">
      <c r="A554" s="219"/>
      <c r="B554" s="83"/>
      <c r="C554" s="81"/>
      <c r="D554" s="82"/>
      <c r="E554" s="81"/>
      <c r="F554" s="82"/>
      <c r="G554" s="83"/>
      <c r="H554" s="221"/>
      <c r="I554" s="83"/>
      <c r="J554" s="83"/>
      <c r="K554" s="83"/>
      <c r="L554" s="84"/>
      <c r="M554" s="84"/>
      <c r="N554" s="83"/>
      <c r="O554" s="222"/>
      <c r="P554" s="222"/>
      <c r="Q554" s="187"/>
      <c r="R554" s="187"/>
      <c r="S554" s="187"/>
      <c r="T554" s="187"/>
      <c r="U554" s="187"/>
      <c r="V554" s="187"/>
      <c r="W554" s="187"/>
      <c r="X554" s="187"/>
      <c r="Y554" s="187"/>
      <c r="Z554" s="187"/>
      <c r="AA554" s="187"/>
      <c r="AB554" s="187"/>
    </row>
    <row r="555" spans="1:28" ht="15.75" customHeight="1">
      <c r="A555" s="219"/>
      <c r="B555" s="83"/>
      <c r="C555" s="81"/>
      <c r="D555" s="82"/>
      <c r="E555" s="81"/>
      <c r="F555" s="82"/>
      <c r="G555" s="83"/>
      <c r="H555" s="221"/>
      <c r="I555" s="83"/>
      <c r="J555" s="83"/>
      <c r="K555" s="83"/>
      <c r="L555" s="84"/>
      <c r="M555" s="84"/>
      <c r="N555" s="83"/>
      <c r="O555" s="222"/>
      <c r="P555" s="222"/>
      <c r="Q555" s="187"/>
      <c r="R555" s="187"/>
      <c r="S555" s="187"/>
      <c r="T555" s="187"/>
      <c r="U555" s="187"/>
      <c r="V555" s="187"/>
      <c r="W555" s="187"/>
      <c r="X555" s="187"/>
      <c r="Y555" s="187"/>
      <c r="Z555" s="187"/>
      <c r="AA555" s="187"/>
      <c r="AB555" s="187"/>
    </row>
    <row r="556" spans="1:28" ht="15.75" customHeight="1">
      <c r="A556" s="219"/>
      <c r="B556" s="83"/>
      <c r="C556" s="81"/>
      <c r="D556" s="82"/>
      <c r="E556" s="81"/>
      <c r="F556" s="82"/>
      <c r="G556" s="83"/>
      <c r="H556" s="221"/>
      <c r="I556" s="83"/>
      <c r="J556" s="83"/>
      <c r="K556" s="83"/>
      <c r="L556" s="84"/>
      <c r="M556" s="84"/>
      <c r="N556" s="83"/>
      <c r="O556" s="222"/>
      <c r="P556" s="222"/>
      <c r="Q556" s="187"/>
      <c r="R556" s="187"/>
      <c r="S556" s="187"/>
      <c r="T556" s="187"/>
      <c r="U556" s="187"/>
      <c r="V556" s="187"/>
      <c r="W556" s="187"/>
      <c r="X556" s="187"/>
      <c r="Y556" s="187"/>
      <c r="Z556" s="187"/>
      <c r="AA556" s="187"/>
      <c r="AB556" s="187"/>
    </row>
    <row r="557" spans="1:28" ht="15.75" customHeight="1">
      <c r="A557" s="219"/>
      <c r="B557" s="83"/>
      <c r="C557" s="81"/>
      <c r="D557" s="82"/>
      <c r="E557" s="81"/>
      <c r="F557" s="82"/>
      <c r="G557" s="83"/>
      <c r="H557" s="221"/>
      <c r="I557" s="83"/>
      <c r="J557" s="83"/>
      <c r="K557" s="83"/>
      <c r="L557" s="84"/>
      <c r="M557" s="84"/>
      <c r="N557" s="83"/>
      <c r="O557" s="222"/>
      <c r="P557" s="222"/>
      <c r="Q557" s="187"/>
      <c r="R557" s="187"/>
      <c r="S557" s="187"/>
      <c r="T557" s="187"/>
      <c r="U557" s="187"/>
      <c r="V557" s="187"/>
      <c r="W557" s="187"/>
      <c r="X557" s="187"/>
      <c r="Y557" s="187"/>
      <c r="Z557" s="187"/>
      <c r="AA557" s="187"/>
      <c r="AB557" s="187"/>
    </row>
    <row r="558" spans="1:28" ht="15.75" customHeight="1">
      <c r="A558" s="219"/>
      <c r="B558" s="83"/>
      <c r="C558" s="81"/>
      <c r="D558" s="82"/>
      <c r="E558" s="81"/>
      <c r="F558" s="82"/>
      <c r="G558" s="83"/>
      <c r="H558" s="221"/>
      <c r="I558" s="83"/>
      <c r="J558" s="83"/>
      <c r="K558" s="83"/>
      <c r="L558" s="84"/>
      <c r="M558" s="84"/>
      <c r="N558" s="83"/>
      <c r="O558" s="222"/>
      <c r="P558" s="222"/>
      <c r="Q558" s="187"/>
      <c r="R558" s="187"/>
      <c r="S558" s="187"/>
      <c r="T558" s="187"/>
      <c r="U558" s="187"/>
      <c r="V558" s="187"/>
      <c r="W558" s="187"/>
      <c r="X558" s="187"/>
      <c r="Y558" s="187"/>
      <c r="Z558" s="187"/>
      <c r="AA558" s="187"/>
      <c r="AB558" s="187"/>
    </row>
    <row r="559" spans="1:28" ht="15.75" customHeight="1">
      <c r="A559" s="219"/>
      <c r="B559" s="83"/>
      <c r="C559" s="81"/>
      <c r="D559" s="82"/>
      <c r="E559" s="81"/>
      <c r="F559" s="82"/>
      <c r="G559" s="83"/>
      <c r="H559" s="221"/>
      <c r="I559" s="83"/>
      <c r="J559" s="83"/>
      <c r="K559" s="83"/>
      <c r="L559" s="84"/>
      <c r="M559" s="84"/>
      <c r="N559" s="83"/>
      <c r="O559" s="222"/>
      <c r="P559" s="222"/>
      <c r="Q559" s="187"/>
      <c r="R559" s="187"/>
      <c r="S559" s="187"/>
      <c r="T559" s="187"/>
      <c r="U559" s="187"/>
      <c r="V559" s="187"/>
      <c r="W559" s="187"/>
      <c r="X559" s="187"/>
      <c r="Y559" s="187"/>
      <c r="Z559" s="187"/>
      <c r="AA559" s="187"/>
      <c r="AB559" s="187"/>
    </row>
    <row r="560" spans="1:28" ht="15.75" customHeight="1">
      <c r="A560" s="219"/>
      <c r="B560" s="83"/>
      <c r="C560" s="81"/>
      <c r="D560" s="82"/>
      <c r="E560" s="81"/>
      <c r="F560" s="82"/>
      <c r="G560" s="83"/>
      <c r="H560" s="221"/>
      <c r="I560" s="83"/>
      <c r="J560" s="83"/>
      <c r="K560" s="83"/>
      <c r="L560" s="84"/>
      <c r="M560" s="84"/>
      <c r="N560" s="83"/>
      <c r="O560" s="222"/>
      <c r="P560" s="222"/>
      <c r="Q560" s="187"/>
      <c r="R560" s="187"/>
      <c r="S560" s="187"/>
      <c r="T560" s="187"/>
      <c r="U560" s="187"/>
      <c r="V560" s="187"/>
      <c r="W560" s="187"/>
      <c r="X560" s="187"/>
      <c r="Y560" s="187"/>
      <c r="Z560" s="187"/>
      <c r="AA560" s="187"/>
      <c r="AB560" s="187"/>
    </row>
    <row r="561" spans="1:28" ht="15.75" customHeight="1">
      <c r="A561" s="219"/>
      <c r="B561" s="83"/>
      <c r="C561" s="81"/>
      <c r="D561" s="82"/>
      <c r="E561" s="81"/>
      <c r="F561" s="82"/>
      <c r="G561" s="83"/>
      <c r="H561" s="221"/>
      <c r="I561" s="83"/>
      <c r="J561" s="83"/>
      <c r="K561" s="83"/>
      <c r="L561" s="84"/>
      <c r="M561" s="84"/>
      <c r="N561" s="83"/>
      <c r="O561" s="222"/>
      <c r="P561" s="222"/>
      <c r="Q561" s="187"/>
      <c r="R561" s="187"/>
      <c r="S561" s="187"/>
      <c r="T561" s="187"/>
      <c r="U561" s="187"/>
      <c r="V561" s="187"/>
      <c r="W561" s="187"/>
      <c r="X561" s="187"/>
      <c r="Y561" s="187"/>
      <c r="Z561" s="187"/>
      <c r="AA561" s="187"/>
      <c r="AB561" s="187"/>
    </row>
    <row r="562" spans="1:28" ht="15.75" customHeight="1">
      <c r="A562" s="219"/>
      <c r="B562" s="83"/>
      <c r="C562" s="81"/>
      <c r="D562" s="82"/>
      <c r="E562" s="81"/>
      <c r="F562" s="82"/>
      <c r="G562" s="83"/>
      <c r="H562" s="221"/>
      <c r="I562" s="83"/>
      <c r="J562" s="83"/>
      <c r="K562" s="83"/>
      <c r="L562" s="84"/>
      <c r="M562" s="84"/>
      <c r="N562" s="83"/>
      <c r="O562" s="222"/>
      <c r="P562" s="222"/>
      <c r="Q562" s="187"/>
      <c r="R562" s="187"/>
      <c r="S562" s="187"/>
      <c r="T562" s="187"/>
      <c r="U562" s="187"/>
      <c r="V562" s="187"/>
      <c r="W562" s="187"/>
      <c r="X562" s="187"/>
      <c r="Y562" s="187"/>
      <c r="Z562" s="187"/>
      <c r="AA562" s="187"/>
      <c r="AB562" s="187"/>
    </row>
    <row r="563" spans="1:28" ht="15.75" customHeight="1">
      <c r="A563" s="219"/>
      <c r="B563" s="83"/>
      <c r="C563" s="81"/>
      <c r="D563" s="82"/>
      <c r="E563" s="81"/>
      <c r="F563" s="82"/>
      <c r="G563" s="83"/>
      <c r="H563" s="221"/>
      <c r="I563" s="83"/>
      <c r="J563" s="83"/>
      <c r="K563" s="83"/>
      <c r="L563" s="84"/>
      <c r="M563" s="84"/>
      <c r="N563" s="83"/>
      <c r="O563" s="222"/>
      <c r="P563" s="222"/>
      <c r="Q563" s="187"/>
      <c r="R563" s="187"/>
      <c r="S563" s="187"/>
      <c r="T563" s="187"/>
      <c r="U563" s="187"/>
      <c r="V563" s="187"/>
      <c r="W563" s="187"/>
      <c r="X563" s="187"/>
      <c r="Y563" s="187"/>
      <c r="Z563" s="187"/>
      <c r="AA563" s="187"/>
      <c r="AB563" s="187"/>
    </row>
    <row r="564" spans="1:28" ht="15.75" customHeight="1">
      <c r="A564" s="219"/>
      <c r="B564" s="83"/>
      <c r="C564" s="81"/>
      <c r="D564" s="82"/>
      <c r="E564" s="81"/>
      <c r="F564" s="82"/>
      <c r="G564" s="83"/>
      <c r="H564" s="221"/>
      <c r="I564" s="83"/>
      <c r="J564" s="83"/>
      <c r="K564" s="83"/>
      <c r="L564" s="84"/>
      <c r="M564" s="84"/>
      <c r="N564" s="83"/>
      <c r="O564" s="222"/>
      <c r="P564" s="222"/>
      <c r="Q564" s="187"/>
      <c r="R564" s="187"/>
      <c r="S564" s="187"/>
      <c r="T564" s="187"/>
      <c r="U564" s="187"/>
      <c r="V564" s="187"/>
      <c r="W564" s="187"/>
      <c r="X564" s="187"/>
      <c r="Y564" s="187"/>
      <c r="Z564" s="187"/>
      <c r="AA564" s="187"/>
      <c r="AB564" s="187"/>
    </row>
    <row r="565" spans="1:28" ht="15.75" customHeight="1">
      <c r="A565" s="219"/>
      <c r="B565" s="83"/>
      <c r="C565" s="81"/>
      <c r="D565" s="82"/>
      <c r="E565" s="81"/>
      <c r="F565" s="82"/>
      <c r="G565" s="83"/>
      <c r="H565" s="221"/>
      <c r="I565" s="83"/>
      <c r="J565" s="83"/>
      <c r="K565" s="83"/>
      <c r="L565" s="84"/>
      <c r="M565" s="84"/>
      <c r="N565" s="83"/>
      <c r="O565" s="222"/>
      <c r="P565" s="222"/>
      <c r="Q565" s="187"/>
      <c r="R565" s="187"/>
      <c r="S565" s="187"/>
      <c r="T565" s="187"/>
      <c r="U565" s="187"/>
      <c r="V565" s="187"/>
      <c r="W565" s="187"/>
      <c r="X565" s="187"/>
      <c r="Y565" s="187"/>
      <c r="Z565" s="187"/>
      <c r="AA565" s="187"/>
      <c r="AB565" s="187"/>
    </row>
    <row r="566" spans="1:28" ht="15.75" customHeight="1">
      <c r="A566" s="219"/>
      <c r="B566" s="83"/>
      <c r="C566" s="81"/>
      <c r="D566" s="82"/>
      <c r="E566" s="81"/>
      <c r="F566" s="82"/>
      <c r="G566" s="83"/>
      <c r="H566" s="221"/>
      <c r="I566" s="83"/>
      <c r="J566" s="83"/>
      <c r="K566" s="83"/>
      <c r="L566" s="84"/>
      <c r="M566" s="84"/>
      <c r="N566" s="83"/>
      <c r="O566" s="222"/>
      <c r="P566" s="222"/>
      <c r="Q566" s="187"/>
      <c r="R566" s="187"/>
      <c r="S566" s="187"/>
      <c r="T566" s="187"/>
      <c r="U566" s="187"/>
      <c r="V566" s="187"/>
      <c r="W566" s="187"/>
      <c r="X566" s="187"/>
      <c r="Y566" s="187"/>
      <c r="Z566" s="187"/>
      <c r="AA566" s="187"/>
      <c r="AB566" s="187"/>
    </row>
    <row r="567" spans="1:28" ht="15.75" customHeight="1">
      <c r="A567" s="219"/>
      <c r="B567" s="83"/>
      <c r="C567" s="81"/>
      <c r="D567" s="82"/>
      <c r="E567" s="81"/>
      <c r="F567" s="82"/>
      <c r="G567" s="83"/>
      <c r="H567" s="221"/>
      <c r="I567" s="83"/>
      <c r="J567" s="83"/>
      <c r="K567" s="83"/>
      <c r="L567" s="84"/>
      <c r="M567" s="84"/>
      <c r="N567" s="83"/>
      <c r="O567" s="222"/>
      <c r="P567" s="222"/>
      <c r="Q567" s="187"/>
      <c r="R567" s="187"/>
      <c r="S567" s="187"/>
      <c r="T567" s="187"/>
      <c r="U567" s="187"/>
      <c r="V567" s="187"/>
      <c r="W567" s="187"/>
      <c r="X567" s="187"/>
      <c r="Y567" s="187"/>
      <c r="Z567" s="187"/>
      <c r="AA567" s="187"/>
      <c r="AB567" s="187"/>
    </row>
    <row r="568" spans="1:28" ht="15.75" customHeight="1">
      <c r="A568" s="219"/>
      <c r="B568" s="83"/>
      <c r="C568" s="81"/>
      <c r="D568" s="82"/>
      <c r="E568" s="81"/>
      <c r="F568" s="82"/>
      <c r="G568" s="83"/>
      <c r="H568" s="221"/>
      <c r="I568" s="83"/>
      <c r="J568" s="83"/>
      <c r="K568" s="83"/>
      <c r="L568" s="84"/>
      <c r="M568" s="84"/>
      <c r="N568" s="83"/>
      <c r="O568" s="222"/>
      <c r="P568" s="222"/>
      <c r="Q568" s="187"/>
      <c r="R568" s="187"/>
      <c r="S568" s="187"/>
      <c r="T568" s="187"/>
      <c r="U568" s="187"/>
      <c r="V568" s="187"/>
      <c r="W568" s="187"/>
      <c r="X568" s="187"/>
      <c r="Y568" s="187"/>
      <c r="Z568" s="187"/>
      <c r="AA568" s="187"/>
      <c r="AB568" s="187"/>
    </row>
    <row r="569" spans="1:28" ht="15.75" customHeight="1">
      <c r="A569" s="219"/>
      <c r="B569" s="83"/>
      <c r="C569" s="81"/>
      <c r="D569" s="82"/>
      <c r="E569" s="81"/>
      <c r="F569" s="82"/>
      <c r="G569" s="83"/>
      <c r="H569" s="221"/>
      <c r="I569" s="83"/>
      <c r="J569" s="83"/>
      <c r="K569" s="83"/>
      <c r="L569" s="84"/>
      <c r="M569" s="84"/>
      <c r="N569" s="83"/>
      <c r="O569" s="222"/>
      <c r="P569" s="222"/>
      <c r="Q569" s="187"/>
      <c r="R569" s="187"/>
      <c r="S569" s="187"/>
      <c r="T569" s="187"/>
      <c r="U569" s="187"/>
      <c r="V569" s="187"/>
      <c r="W569" s="187"/>
      <c r="X569" s="187"/>
      <c r="Y569" s="187"/>
      <c r="Z569" s="187"/>
      <c r="AA569" s="187"/>
      <c r="AB569" s="187"/>
    </row>
    <row r="570" spans="1:28" ht="15.75" customHeight="1">
      <c r="A570" s="219"/>
      <c r="B570" s="83"/>
      <c r="C570" s="81"/>
      <c r="D570" s="82"/>
      <c r="E570" s="81"/>
      <c r="F570" s="82"/>
      <c r="G570" s="83"/>
      <c r="H570" s="221"/>
      <c r="I570" s="83"/>
      <c r="J570" s="83"/>
      <c r="K570" s="83"/>
      <c r="L570" s="84"/>
      <c r="M570" s="84"/>
      <c r="N570" s="83"/>
      <c r="O570" s="222"/>
      <c r="P570" s="222"/>
      <c r="Q570" s="187"/>
      <c r="R570" s="187"/>
      <c r="S570" s="187"/>
      <c r="T570" s="187"/>
      <c r="U570" s="187"/>
      <c r="V570" s="187"/>
      <c r="W570" s="187"/>
      <c r="X570" s="187"/>
      <c r="Y570" s="187"/>
      <c r="Z570" s="187"/>
      <c r="AA570" s="187"/>
      <c r="AB570" s="187"/>
    </row>
    <row r="571" spans="1:28" ht="15.75" customHeight="1">
      <c r="A571" s="219"/>
      <c r="B571" s="83"/>
      <c r="C571" s="81"/>
      <c r="D571" s="82"/>
      <c r="E571" s="81"/>
      <c r="F571" s="82"/>
      <c r="G571" s="83"/>
      <c r="H571" s="221"/>
      <c r="I571" s="83"/>
      <c r="J571" s="83"/>
      <c r="K571" s="83"/>
      <c r="L571" s="84"/>
      <c r="M571" s="84"/>
      <c r="N571" s="83"/>
      <c r="O571" s="222"/>
      <c r="P571" s="222"/>
      <c r="Q571" s="187"/>
      <c r="R571" s="187"/>
      <c r="S571" s="187"/>
      <c r="T571" s="187"/>
      <c r="U571" s="187"/>
      <c r="V571" s="187"/>
      <c r="W571" s="187"/>
      <c r="X571" s="187"/>
      <c r="Y571" s="187"/>
      <c r="Z571" s="187"/>
      <c r="AA571" s="187"/>
      <c r="AB571" s="187"/>
    </row>
    <row r="572" spans="1:28" ht="15.75" customHeight="1">
      <c r="A572" s="219"/>
      <c r="B572" s="83"/>
      <c r="C572" s="81"/>
      <c r="D572" s="82"/>
      <c r="E572" s="81"/>
      <c r="F572" s="82"/>
      <c r="G572" s="83"/>
      <c r="H572" s="221"/>
      <c r="I572" s="83"/>
      <c r="J572" s="83"/>
      <c r="K572" s="83"/>
      <c r="L572" s="84"/>
      <c r="M572" s="84"/>
      <c r="N572" s="83"/>
      <c r="O572" s="222"/>
      <c r="P572" s="222"/>
      <c r="Q572" s="187"/>
      <c r="R572" s="187"/>
      <c r="S572" s="187"/>
      <c r="T572" s="187"/>
      <c r="U572" s="187"/>
      <c r="V572" s="187"/>
      <c r="W572" s="187"/>
      <c r="X572" s="187"/>
      <c r="Y572" s="187"/>
      <c r="Z572" s="187"/>
      <c r="AA572" s="187"/>
      <c r="AB572" s="187"/>
    </row>
    <row r="573" spans="1:28" ht="15.75" customHeight="1">
      <c r="A573" s="219"/>
      <c r="B573" s="83"/>
      <c r="C573" s="81"/>
      <c r="D573" s="82"/>
      <c r="E573" s="81"/>
      <c r="F573" s="82"/>
      <c r="G573" s="83"/>
      <c r="H573" s="221"/>
      <c r="I573" s="83"/>
      <c r="J573" s="83"/>
      <c r="K573" s="83"/>
      <c r="L573" s="84"/>
      <c r="M573" s="84"/>
      <c r="N573" s="83"/>
      <c r="O573" s="222"/>
      <c r="P573" s="222"/>
      <c r="Q573" s="187"/>
      <c r="R573" s="187"/>
      <c r="S573" s="187"/>
      <c r="T573" s="187"/>
      <c r="U573" s="187"/>
      <c r="V573" s="187"/>
      <c r="W573" s="187"/>
      <c r="X573" s="187"/>
      <c r="Y573" s="187"/>
      <c r="Z573" s="187"/>
      <c r="AA573" s="187"/>
      <c r="AB573" s="187"/>
    </row>
    <row r="574" spans="1:28" ht="15.75" customHeight="1">
      <c r="A574" s="219"/>
      <c r="B574" s="83"/>
      <c r="C574" s="81"/>
      <c r="D574" s="82"/>
      <c r="E574" s="81"/>
      <c r="F574" s="82"/>
      <c r="G574" s="83"/>
      <c r="H574" s="221"/>
      <c r="I574" s="83"/>
      <c r="J574" s="83"/>
      <c r="K574" s="83"/>
      <c r="L574" s="84"/>
      <c r="M574" s="84"/>
      <c r="N574" s="83"/>
      <c r="O574" s="222"/>
      <c r="P574" s="222"/>
      <c r="Q574" s="187"/>
      <c r="R574" s="187"/>
      <c r="S574" s="187"/>
      <c r="T574" s="187"/>
      <c r="U574" s="187"/>
      <c r="V574" s="187"/>
      <c r="W574" s="187"/>
      <c r="X574" s="187"/>
      <c r="Y574" s="187"/>
      <c r="Z574" s="187"/>
      <c r="AA574" s="187"/>
      <c r="AB574" s="187"/>
    </row>
    <row r="575" spans="1:28" ht="15.75" customHeight="1">
      <c r="A575" s="219"/>
      <c r="B575" s="83"/>
      <c r="C575" s="81"/>
      <c r="D575" s="82"/>
      <c r="E575" s="81"/>
      <c r="F575" s="82"/>
      <c r="G575" s="83"/>
      <c r="H575" s="221"/>
      <c r="I575" s="83"/>
      <c r="J575" s="83"/>
      <c r="K575" s="83"/>
      <c r="L575" s="84"/>
      <c r="M575" s="84"/>
      <c r="N575" s="83"/>
      <c r="O575" s="222"/>
      <c r="P575" s="222"/>
      <c r="Q575" s="187"/>
      <c r="R575" s="187"/>
      <c r="S575" s="187"/>
      <c r="T575" s="187"/>
      <c r="U575" s="187"/>
      <c r="V575" s="187"/>
      <c r="W575" s="187"/>
      <c r="X575" s="187"/>
      <c r="Y575" s="187"/>
      <c r="Z575" s="187"/>
      <c r="AA575" s="187"/>
      <c r="AB575" s="187"/>
    </row>
    <row r="576" spans="1:28" ht="15.75" customHeight="1">
      <c r="A576" s="219"/>
      <c r="B576" s="83"/>
      <c r="C576" s="81"/>
      <c r="D576" s="82"/>
      <c r="E576" s="81"/>
      <c r="F576" s="82"/>
      <c r="G576" s="83"/>
      <c r="H576" s="221"/>
      <c r="I576" s="83"/>
      <c r="J576" s="83"/>
      <c r="K576" s="83"/>
      <c r="L576" s="84"/>
      <c r="M576" s="84"/>
      <c r="N576" s="83"/>
      <c r="O576" s="222"/>
      <c r="P576" s="222"/>
      <c r="Q576" s="187"/>
      <c r="R576" s="187"/>
      <c r="S576" s="187"/>
      <c r="T576" s="187"/>
      <c r="U576" s="187"/>
      <c r="V576" s="187"/>
      <c r="W576" s="187"/>
      <c r="X576" s="187"/>
      <c r="Y576" s="187"/>
      <c r="Z576" s="187"/>
      <c r="AA576" s="187"/>
      <c r="AB576" s="187"/>
    </row>
    <row r="577" spans="1:28" ht="15.75" customHeight="1">
      <c r="A577" s="219"/>
      <c r="B577" s="83"/>
      <c r="C577" s="81"/>
      <c r="D577" s="82"/>
      <c r="E577" s="81"/>
      <c r="F577" s="82"/>
      <c r="G577" s="83"/>
      <c r="H577" s="221"/>
      <c r="I577" s="83"/>
      <c r="J577" s="83"/>
      <c r="K577" s="83"/>
      <c r="L577" s="84"/>
      <c r="M577" s="84"/>
      <c r="N577" s="83"/>
      <c r="O577" s="222"/>
      <c r="P577" s="222"/>
      <c r="Q577" s="187"/>
      <c r="R577" s="187"/>
      <c r="S577" s="187"/>
      <c r="T577" s="187"/>
      <c r="U577" s="187"/>
      <c r="V577" s="187"/>
      <c r="W577" s="187"/>
      <c r="X577" s="187"/>
      <c r="Y577" s="187"/>
      <c r="Z577" s="187"/>
      <c r="AA577" s="187"/>
      <c r="AB577" s="187"/>
    </row>
    <row r="578" spans="1:28" ht="15.75" customHeight="1">
      <c r="A578" s="219"/>
      <c r="B578" s="83"/>
      <c r="C578" s="81"/>
      <c r="D578" s="82"/>
      <c r="E578" s="81"/>
      <c r="F578" s="82"/>
      <c r="G578" s="83"/>
      <c r="H578" s="221"/>
      <c r="I578" s="83"/>
      <c r="J578" s="83"/>
      <c r="K578" s="83"/>
      <c r="L578" s="84"/>
      <c r="M578" s="84"/>
      <c r="N578" s="83"/>
      <c r="O578" s="222"/>
      <c r="P578" s="222"/>
      <c r="Q578" s="187"/>
      <c r="R578" s="187"/>
      <c r="S578" s="187"/>
      <c r="T578" s="187"/>
      <c r="U578" s="187"/>
      <c r="V578" s="187"/>
      <c r="W578" s="187"/>
      <c r="X578" s="187"/>
      <c r="Y578" s="187"/>
      <c r="Z578" s="187"/>
      <c r="AA578" s="187"/>
      <c r="AB578" s="187"/>
    </row>
    <row r="579" spans="1:28" ht="15.75" customHeight="1">
      <c r="A579" s="219"/>
      <c r="B579" s="83"/>
      <c r="C579" s="81"/>
      <c r="D579" s="82"/>
      <c r="E579" s="81"/>
      <c r="F579" s="82"/>
      <c r="G579" s="83"/>
      <c r="H579" s="221"/>
      <c r="I579" s="83"/>
      <c r="J579" s="83"/>
      <c r="K579" s="83"/>
      <c r="L579" s="84"/>
      <c r="M579" s="84"/>
      <c r="N579" s="83"/>
      <c r="O579" s="222"/>
      <c r="P579" s="222"/>
      <c r="Q579" s="187"/>
      <c r="R579" s="187"/>
      <c r="S579" s="187"/>
      <c r="T579" s="187"/>
      <c r="U579" s="187"/>
      <c r="V579" s="187"/>
      <c r="W579" s="187"/>
      <c r="X579" s="187"/>
      <c r="Y579" s="187"/>
      <c r="Z579" s="187"/>
      <c r="AA579" s="187"/>
      <c r="AB579" s="187"/>
    </row>
    <row r="580" spans="1:28" ht="15.75" customHeight="1">
      <c r="A580" s="219"/>
      <c r="B580" s="83"/>
      <c r="C580" s="81"/>
      <c r="D580" s="82"/>
      <c r="E580" s="81"/>
      <c r="F580" s="82"/>
      <c r="G580" s="83"/>
      <c r="H580" s="221"/>
      <c r="I580" s="83"/>
      <c r="J580" s="83"/>
      <c r="K580" s="83"/>
      <c r="L580" s="84"/>
      <c r="M580" s="84"/>
      <c r="N580" s="83"/>
      <c r="O580" s="222"/>
      <c r="P580" s="222"/>
      <c r="Q580" s="187"/>
      <c r="R580" s="187"/>
      <c r="S580" s="187"/>
      <c r="T580" s="187"/>
      <c r="U580" s="187"/>
      <c r="V580" s="187"/>
      <c r="W580" s="187"/>
      <c r="X580" s="187"/>
      <c r="Y580" s="187"/>
      <c r="Z580" s="187"/>
      <c r="AA580" s="187"/>
      <c r="AB580" s="187"/>
    </row>
    <row r="581" spans="1:28" ht="15.75" customHeight="1">
      <c r="A581" s="219"/>
      <c r="B581" s="83"/>
      <c r="C581" s="81"/>
      <c r="D581" s="82"/>
      <c r="E581" s="81"/>
      <c r="F581" s="82"/>
      <c r="G581" s="83"/>
      <c r="H581" s="221"/>
      <c r="I581" s="83"/>
      <c r="J581" s="83"/>
      <c r="K581" s="83"/>
      <c r="L581" s="84"/>
      <c r="M581" s="84"/>
      <c r="N581" s="83"/>
      <c r="O581" s="222"/>
      <c r="P581" s="222"/>
      <c r="Q581" s="187"/>
      <c r="R581" s="187"/>
      <c r="S581" s="187"/>
      <c r="T581" s="187"/>
      <c r="U581" s="187"/>
      <c r="V581" s="187"/>
      <c r="W581" s="187"/>
      <c r="X581" s="187"/>
      <c r="Y581" s="187"/>
      <c r="Z581" s="187"/>
      <c r="AA581" s="187"/>
      <c r="AB581" s="187"/>
    </row>
    <row r="582" spans="1:28" ht="15.75" customHeight="1">
      <c r="A582" s="219"/>
      <c r="B582" s="83"/>
      <c r="C582" s="81"/>
      <c r="D582" s="82"/>
      <c r="E582" s="81"/>
      <c r="F582" s="82"/>
      <c r="G582" s="83"/>
      <c r="H582" s="221"/>
      <c r="I582" s="83"/>
      <c r="J582" s="83"/>
      <c r="K582" s="83"/>
      <c r="L582" s="84"/>
      <c r="M582" s="84"/>
      <c r="N582" s="83"/>
      <c r="O582" s="222"/>
      <c r="P582" s="222"/>
      <c r="Q582" s="187"/>
      <c r="R582" s="187"/>
      <c r="S582" s="187"/>
      <c r="T582" s="187"/>
      <c r="U582" s="187"/>
      <c r="V582" s="187"/>
      <c r="W582" s="187"/>
      <c r="X582" s="187"/>
      <c r="Y582" s="187"/>
      <c r="Z582" s="187"/>
      <c r="AA582" s="187"/>
      <c r="AB582" s="187"/>
    </row>
    <row r="583" spans="1:28" ht="15.75" customHeight="1">
      <c r="A583" s="219"/>
      <c r="B583" s="83"/>
      <c r="C583" s="81"/>
      <c r="D583" s="82"/>
      <c r="E583" s="81"/>
      <c r="F583" s="82"/>
      <c r="G583" s="83"/>
      <c r="H583" s="221"/>
      <c r="I583" s="83"/>
      <c r="J583" s="83"/>
      <c r="K583" s="83"/>
      <c r="L583" s="84"/>
      <c r="M583" s="84"/>
      <c r="N583" s="83"/>
      <c r="O583" s="222"/>
      <c r="P583" s="222"/>
      <c r="Q583" s="187"/>
      <c r="R583" s="187"/>
      <c r="S583" s="187"/>
      <c r="T583" s="187"/>
      <c r="U583" s="187"/>
      <c r="V583" s="187"/>
      <c r="W583" s="187"/>
      <c r="X583" s="187"/>
      <c r="Y583" s="187"/>
      <c r="Z583" s="187"/>
      <c r="AA583" s="187"/>
      <c r="AB583" s="187"/>
    </row>
    <row r="584" spans="1:28" ht="15.75" customHeight="1">
      <c r="A584" s="219"/>
      <c r="B584" s="83"/>
      <c r="C584" s="81"/>
      <c r="D584" s="82"/>
      <c r="E584" s="81"/>
      <c r="F584" s="82"/>
      <c r="G584" s="83"/>
      <c r="H584" s="221"/>
      <c r="I584" s="83"/>
      <c r="J584" s="83"/>
      <c r="K584" s="83"/>
      <c r="L584" s="84"/>
      <c r="M584" s="84"/>
      <c r="N584" s="83"/>
      <c r="O584" s="222"/>
      <c r="P584" s="222"/>
      <c r="Q584" s="187"/>
      <c r="R584" s="187"/>
      <c r="S584" s="187"/>
      <c r="T584" s="187"/>
      <c r="U584" s="187"/>
      <c r="V584" s="187"/>
      <c r="W584" s="187"/>
      <c r="X584" s="187"/>
      <c r="Y584" s="187"/>
      <c r="Z584" s="187"/>
      <c r="AA584" s="187"/>
      <c r="AB584" s="187"/>
    </row>
    <row r="585" spans="1:28" ht="15.75" customHeight="1">
      <c r="A585" s="219"/>
      <c r="B585" s="83"/>
      <c r="C585" s="81"/>
      <c r="D585" s="82"/>
      <c r="E585" s="81"/>
      <c r="F585" s="82"/>
      <c r="G585" s="83"/>
      <c r="H585" s="221"/>
      <c r="I585" s="83"/>
      <c r="J585" s="83"/>
      <c r="K585" s="83"/>
      <c r="L585" s="84"/>
      <c r="M585" s="84"/>
      <c r="N585" s="83"/>
      <c r="O585" s="222"/>
      <c r="P585" s="222"/>
      <c r="Q585" s="187"/>
      <c r="R585" s="187"/>
      <c r="S585" s="187"/>
      <c r="T585" s="187"/>
      <c r="U585" s="187"/>
      <c r="V585" s="187"/>
      <c r="W585" s="187"/>
      <c r="X585" s="187"/>
      <c r="Y585" s="187"/>
      <c r="Z585" s="187"/>
      <c r="AA585" s="187"/>
      <c r="AB585" s="187"/>
    </row>
    <row r="586" spans="1:28" ht="15.75" customHeight="1">
      <c r="A586" s="219"/>
      <c r="B586" s="83"/>
      <c r="C586" s="81"/>
      <c r="D586" s="82"/>
      <c r="E586" s="81"/>
      <c r="F586" s="82"/>
      <c r="G586" s="83"/>
      <c r="H586" s="221"/>
      <c r="I586" s="83"/>
      <c r="J586" s="83"/>
      <c r="K586" s="83"/>
      <c r="L586" s="84"/>
      <c r="M586" s="84"/>
      <c r="N586" s="83"/>
      <c r="O586" s="222"/>
      <c r="P586" s="222"/>
      <c r="Q586" s="187"/>
      <c r="R586" s="187"/>
      <c r="S586" s="187"/>
      <c r="T586" s="187"/>
      <c r="U586" s="187"/>
      <c r="V586" s="187"/>
      <c r="W586" s="187"/>
      <c r="X586" s="187"/>
      <c r="Y586" s="187"/>
      <c r="Z586" s="187"/>
      <c r="AA586" s="187"/>
      <c r="AB586" s="187"/>
    </row>
    <row r="587" spans="1:28" ht="15.75" customHeight="1">
      <c r="A587" s="219"/>
      <c r="B587" s="83"/>
      <c r="C587" s="81"/>
      <c r="D587" s="82"/>
      <c r="E587" s="81"/>
      <c r="F587" s="82"/>
      <c r="G587" s="83"/>
      <c r="H587" s="221"/>
      <c r="I587" s="83"/>
      <c r="J587" s="83"/>
      <c r="K587" s="83"/>
      <c r="L587" s="84"/>
      <c r="M587" s="84"/>
      <c r="N587" s="83"/>
      <c r="O587" s="222"/>
      <c r="P587" s="222"/>
      <c r="Q587" s="187"/>
      <c r="R587" s="187"/>
      <c r="S587" s="187"/>
      <c r="T587" s="187"/>
      <c r="U587" s="187"/>
      <c r="V587" s="187"/>
      <c r="W587" s="187"/>
      <c r="X587" s="187"/>
      <c r="Y587" s="187"/>
      <c r="Z587" s="187"/>
      <c r="AA587" s="187"/>
      <c r="AB587" s="187"/>
    </row>
    <row r="588" spans="1:28" ht="15.75" customHeight="1">
      <c r="A588" s="219"/>
      <c r="B588" s="83"/>
      <c r="C588" s="81"/>
      <c r="D588" s="82"/>
      <c r="E588" s="81"/>
      <c r="F588" s="82"/>
      <c r="G588" s="83"/>
      <c r="H588" s="221"/>
      <c r="I588" s="83"/>
      <c r="J588" s="83"/>
      <c r="K588" s="83"/>
      <c r="L588" s="84"/>
      <c r="M588" s="84"/>
      <c r="N588" s="83"/>
      <c r="O588" s="222"/>
      <c r="P588" s="222"/>
      <c r="Q588" s="187"/>
      <c r="R588" s="187"/>
      <c r="S588" s="187"/>
      <c r="T588" s="187"/>
      <c r="U588" s="187"/>
      <c r="V588" s="187"/>
      <c r="W588" s="187"/>
      <c r="X588" s="187"/>
      <c r="Y588" s="187"/>
      <c r="Z588" s="187"/>
      <c r="AA588" s="187"/>
      <c r="AB588" s="187"/>
    </row>
    <row r="589" spans="1:28" ht="15.75" customHeight="1">
      <c r="A589" s="219"/>
      <c r="B589" s="83"/>
      <c r="C589" s="81"/>
      <c r="D589" s="82"/>
      <c r="E589" s="81"/>
      <c r="F589" s="82"/>
      <c r="G589" s="83"/>
      <c r="H589" s="221"/>
      <c r="I589" s="83"/>
      <c r="J589" s="83"/>
      <c r="K589" s="83"/>
      <c r="L589" s="84"/>
      <c r="M589" s="84"/>
      <c r="N589" s="83"/>
      <c r="O589" s="222"/>
      <c r="P589" s="222"/>
      <c r="Q589" s="187"/>
      <c r="R589" s="187"/>
      <c r="S589" s="187"/>
      <c r="T589" s="187"/>
      <c r="U589" s="187"/>
      <c r="V589" s="187"/>
      <c r="W589" s="187"/>
      <c r="X589" s="187"/>
      <c r="Y589" s="187"/>
      <c r="Z589" s="187"/>
      <c r="AA589" s="187"/>
      <c r="AB589" s="187"/>
    </row>
    <row r="590" spans="1:28" ht="15.75" customHeight="1">
      <c r="A590" s="219"/>
      <c r="B590" s="83"/>
      <c r="C590" s="81"/>
      <c r="D590" s="82"/>
      <c r="E590" s="81"/>
      <c r="F590" s="82"/>
      <c r="G590" s="83"/>
      <c r="H590" s="221"/>
      <c r="I590" s="83"/>
      <c r="J590" s="83"/>
      <c r="K590" s="83"/>
      <c r="L590" s="84"/>
      <c r="M590" s="84"/>
      <c r="N590" s="83"/>
      <c r="O590" s="222"/>
      <c r="P590" s="222"/>
      <c r="Q590" s="187"/>
      <c r="R590" s="187"/>
      <c r="S590" s="187"/>
      <c r="T590" s="187"/>
      <c r="U590" s="187"/>
      <c r="V590" s="187"/>
      <c r="W590" s="187"/>
      <c r="X590" s="187"/>
      <c r="Y590" s="187"/>
      <c r="Z590" s="187"/>
      <c r="AA590" s="187"/>
      <c r="AB590" s="187"/>
    </row>
    <row r="591" spans="1:28" ht="15.75" customHeight="1">
      <c r="A591" s="219"/>
      <c r="B591" s="83"/>
      <c r="C591" s="81"/>
      <c r="D591" s="82"/>
      <c r="E591" s="81"/>
      <c r="F591" s="82"/>
      <c r="G591" s="83"/>
      <c r="H591" s="221"/>
      <c r="I591" s="83"/>
      <c r="J591" s="83"/>
      <c r="K591" s="83"/>
      <c r="L591" s="84"/>
      <c r="M591" s="84"/>
      <c r="N591" s="83"/>
      <c r="O591" s="222"/>
      <c r="P591" s="222"/>
      <c r="Q591" s="187"/>
      <c r="R591" s="187"/>
      <c r="S591" s="187"/>
      <c r="T591" s="187"/>
      <c r="U591" s="187"/>
      <c r="V591" s="187"/>
      <c r="W591" s="187"/>
      <c r="X591" s="187"/>
      <c r="Y591" s="187"/>
      <c r="Z591" s="187"/>
      <c r="AA591" s="187"/>
      <c r="AB591" s="187"/>
    </row>
    <row r="592" spans="1:28" ht="15.75" customHeight="1">
      <c r="A592" s="219"/>
      <c r="B592" s="83"/>
      <c r="C592" s="81"/>
      <c r="D592" s="82"/>
      <c r="E592" s="81"/>
      <c r="F592" s="82"/>
      <c r="G592" s="83"/>
      <c r="H592" s="221"/>
      <c r="I592" s="83"/>
      <c r="J592" s="83"/>
      <c r="K592" s="83"/>
      <c r="L592" s="84"/>
      <c r="M592" s="84"/>
      <c r="N592" s="83"/>
      <c r="O592" s="222"/>
      <c r="P592" s="222"/>
      <c r="Q592" s="187"/>
      <c r="R592" s="187"/>
      <c r="S592" s="187"/>
      <c r="T592" s="187"/>
      <c r="U592" s="187"/>
      <c r="V592" s="187"/>
      <c r="W592" s="187"/>
      <c r="X592" s="187"/>
      <c r="Y592" s="187"/>
      <c r="Z592" s="187"/>
      <c r="AA592" s="187"/>
      <c r="AB592" s="187"/>
    </row>
    <row r="593" spans="1:28" ht="15.75" customHeight="1">
      <c r="A593" s="219"/>
      <c r="B593" s="83"/>
      <c r="C593" s="81"/>
      <c r="D593" s="82"/>
      <c r="E593" s="81"/>
      <c r="F593" s="82"/>
      <c r="G593" s="83"/>
      <c r="H593" s="221"/>
      <c r="I593" s="83"/>
      <c r="J593" s="83"/>
      <c r="K593" s="83"/>
      <c r="L593" s="84"/>
      <c r="M593" s="84"/>
      <c r="N593" s="83"/>
      <c r="O593" s="222"/>
      <c r="P593" s="222"/>
      <c r="Q593" s="187"/>
      <c r="R593" s="187"/>
      <c r="S593" s="187"/>
      <c r="T593" s="187"/>
      <c r="U593" s="187"/>
      <c r="V593" s="187"/>
      <c r="W593" s="187"/>
      <c r="X593" s="187"/>
      <c r="Y593" s="187"/>
      <c r="Z593" s="187"/>
      <c r="AA593" s="187"/>
      <c r="AB593" s="187"/>
    </row>
    <row r="594" spans="1:28" ht="15.75" customHeight="1">
      <c r="A594" s="219"/>
      <c r="B594" s="83"/>
      <c r="C594" s="81"/>
      <c r="D594" s="82"/>
      <c r="E594" s="81"/>
      <c r="F594" s="82"/>
      <c r="G594" s="83"/>
      <c r="H594" s="221"/>
      <c r="I594" s="83"/>
      <c r="J594" s="83"/>
      <c r="K594" s="83"/>
      <c r="L594" s="84"/>
      <c r="M594" s="84"/>
      <c r="N594" s="83"/>
      <c r="O594" s="222"/>
      <c r="P594" s="222"/>
      <c r="Q594" s="187"/>
      <c r="R594" s="187"/>
      <c r="S594" s="187"/>
      <c r="T594" s="187"/>
      <c r="U594" s="187"/>
      <c r="V594" s="187"/>
      <c r="W594" s="187"/>
      <c r="X594" s="187"/>
      <c r="Y594" s="187"/>
      <c r="Z594" s="187"/>
      <c r="AA594" s="187"/>
      <c r="AB594" s="187"/>
    </row>
    <row r="595" spans="1:28" ht="15.75" customHeight="1">
      <c r="A595" s="219"/>
      <c r="B595" s="83"/>
      <c r="C595" s="81"/>
      <c r="D595" s="82"/>
      <c r="E595" s="81"/>
      <c r="F595" s="82"/>
      <c r="G595" s="83"/>
      <c r="H595" s="221"/>
      <c r="I595" s="83"/>
      <c r="J595" s="83"/>
      <c r="K595" s="83"/>
      <c r="L595" s="84"/>
      <c r="M595" s="84"/>
      <c r="N595" s="83"/>
      <c r="O595" s="222"/>
      <c r="P595" s="222"/>
      <c r="Q595" s="187"/>
      <c r="R595" s="187"/>
      <c r="S595" s="187"/>
      <c r="T595" s="187"/>
      <c r="U595" s="187"/>
      <c r="V595" s="187"/>
      <c r="W595" s="187"/>
      <c r="X595" s="187"/>
      <c r="Y595" s="187"/>
      <c r="Z595" s="187"/>
      <c r="AA595" s="187"/>
      <c r="AB595" s="187"/>
    </row>
    <row r="596" spans="1:28" ht="15.75" customHeight="1">
      <c r="A596" s="219"/>
      <c r="B596" s="83"/>
      <c r="C596" s="81"/>
      <c r="D596" s="82"/>
      <c r="E596" s="81"/>
      <c r="F596" s="82"/>
      <c r="G596" s="83"/>
      <c r="H596" s="221"/>
      <c r="I596" s="83"/>
      <c r="J596" s="83"/>
      <c r="K596" s="83"/>
      <c r="L596" s="84"/>
      <c r="M596" s="84"/>
      <c r="N596" s="83"/>
      <c r="O596" s="222"/>
      <c r="P596" s="222"/>
      <c r="Q596" s="187"/>
      <c r="R596" s="187"/>
      <c r="S596" s="187"/>
      <c r="T596" s="187"/>
      <c r="U596" s="187"/>
      <c r="V596" s="187"/>
      <c r="W596" s="187"/>
      <c r="X596" s="187"/>
      <c r="Y596" s="187"/>
      <c r="Z596" s="187"/>
      <c r="AA596" s="187"/>
      <c r="AB596" s="187"/>
    </row>
    <row r="597" spans="1:28" ht="15.75" customHeight="1">
      <c r="A597" s="219"/>
      <c r="B597" s="83"/>
      <c r="C597" s="81"/>
      <c r="D597" s="82"/>
      <c r="E597" s="81"/>
      <c r="F597" s="82"/>
      <c r="G597" s="83"/>
      <c r="H597" s="221"/>
      <c r="I597" s="83"/>
      <c r="J597" s="83"/>
      <c r="K597" s="83"/>
      <c r="L597" s="84"/>
      <c r="M597" s="84"/>
      <c r="N597" s="83"/>
      <c r="O597" s="222"/>
      <c r="P597" s="222"/>
      <c r="Q597" s="187"/>
      <c r="R597" s="187"/>
      <c r="S597" s="187"/>
      <c r="T597" s="187"/>
      <c r="U597" s="187"/>
      <c r="V597" s="187"/>
      <c r="W597" s="187"/>
      <c r="X597" s="187"/>
      <c r="Y597" s="187"/>
      <c r="Z597" s="187"/>
      <c r="AA597" s="187"/>
      <c r="AB597" s="187"/>
    </row>
    <row r="598" spans="1:28" ht="15.75" customHeight="1">
      <c r="A598" s="219"/>
      <c r="B598" s="83"/>
      <c r="C598" s="81"/>
      <c r="D598" s="82"/>
      <c r="E598" s="81"/>
      <c r="F598" s="82"/>
      <c r="G598" s="83"/>
      <c r="H598" s="221"/>
      <c r="I598" s="83"/>
      <c r="J598" s="83"/>
      <c r="K598" s="83"/>
      <c r="L598" s="84"/>
      <c r="M598" s="84"/>
      <c r="N598" s="83"/>
      <c r="O598" s="222"/>
      <c r="P598" s="222"/>
      <c r="Q598" s="187"/>
      <c r="R598" s="187"/>
      <c r="S598" s="187"/>
      <c r="T598" s="187"/>
      <c r="U598" s="187"/>
      <c r="V598" s="187"/>
      <c r="W598" s="187"/>
      <c r="X598" s="187"/>
      <c r="Y598" s="187"/>
      <c r="Z598" s="187"/>
      <c r="AA598" s="187"/>
      <c r="AB598" s="187"/>
    </row>
    <row r="599" spans="1:28" ht="15.75" customHeight="1">
      <c r="A599" s="219"/>
      <c r="B599" s="83"/>
      <c r="C599" s="81"/>
      <c r="D599" s="82"/>
      <c r="E599" s="81"/>
      <c r="F599" s="82"/>
      <c r="G599" s="83"/>
      <c r="H599" s="221"/>
      <c r="I599" s="83"/>
      <c r="J599" s="83"/>
      <c r="K599" s="83"/>
      <c r="L599" s="84"/>
      <c r="M599" s="84"/>
      <c r="N599" s="83"/>
      <c r="O599" s="222"/>
      <c r="P599" s="222"/>
      <c r="Q599" s="187"/>
      <c r="R599" s="187"/>
      <c r="S599" s="187"/>
      <c r="T599" s="187"/>
      <c r="U599" s="187"/>
      <c r="V599" s="187"/>
      <c r="W599" s="187"/>
      <c r="X599" s="187"/>
      <c r="Y599" s="187"/>
      <c r="Z599" s="187"/>
      <c r="AA599" s="187"/>
      <c r="AB599" s="187"/>
    </row>
    <row r="600" spans="1:28" ht="15.75" customHeight="1">
      <c r="A600" s="219"/>
      <c r="B600" s="83"/>
      <c r="C600" s="81"/>
      <c r="D600" s="82"/>
      <c r="E600" s="81"/>
      <c r="F600" s="82"/>
      <c r="G600" s="83"/>
      <c r="H600" s="221"/>
      <c r="I600" s="83"/>
      <c r="J600" s="83"/>
      <c r="K600" s="83"/>
      <c r="L600" s="84"/>
      <c r="M600" s="84"/>
      <c r="N600" s="83"/>
      <c r="O600" s="222"/>
      <c r="P600" s="222"/>
      <c r="Q600" s="187"/>
      <c r="R600" s="187"/>
      <c r="S600" s="187"/>
      <c r="T600" s="187"/>
      <c r="U600" s="187"/>
      <c r="V600" s="187"/>
      <c r="W600" s="187"/>
      <c r="X600" s="187"/>
      <c r="Y600" s="187"/>
      <c r="Z600" s="187"/>
      <c r="AA600" s="187"/>
      <c r="AB600" s="187"/>
    </row>
    <row r="601" spans="1:28" ht="15.75" customHeight="1">
      <c r="A601" s="219"/>
      <c r="B601" s="83"/>
      <c r="C601" s="81"/>
      <c r="D601" s="82"/>
      <c r="E601" s="81"/>
      <c r="F601" s="82"/>
      <c r="G601" s="83"/>
      <c r="H601" s="221"/>
      <c r="I601" s="83"/>
      <c r="J601" s="83"/>
      <c r="K601" s="83"/>
      <c r="L601" s="84"/>
      <c r="M601" s="84"/>
      <c r="N601" s="83"/>
      <c r="O601" s="222"/>
      <c r="P601" s="222"/>
      <c r="Q601" s="187"/>
      <c r="R601" s="187"/>
      <c r="S601" s="187"/>
      <c r="T601" s="187"/>
      <c r="U601" s="187"/>
      <c r="V601" s="187"/>
      <c r="W601" s="187"/>
      <c r="X601" s="187"/>
      <c r="Y601" s="187"/>
      <c r="Z601" s="187"/>
      <c r="AA601" s="187"/>
      <c r="AB601" s="187"/>
    </row>
    <row r="602" spans="1:28" ht="15.75" customHeight="1">
      <c r="A602" s="219"/>
      <c r="B602" s="83"/>
      <c r="C602" s="81"/>
      <c r="D602" s="82"/>
      <c r="E602" s="81"/>
      <c r="F602" s="82"/>
      <c r="G602" s="83"/>
      <c r="H602" s="221"/>
      <c r="I602" s="83"/>
      <c r="J602" s="83"/>
      <c r="K602" s="83"/>
      <c r="L602" s="84"/>
      <c r="M602" s="84"/>
      <c r="N602" s="83"/>
      <c r="O602" s="222"/>
      <c r="P602" s="222"/>
      <c r="Q602" s="187"/>
      <c r="R602" s="187"/>
      <c r="S602" s="187"/>
      <c r="T602" s="187"/>
      <c r="U602" s="187"/>
      <c r="V602" s="187"/>
      <c r="W602" s="187"/>
      <c r="X602" s="187"/>
      <c r="Y602" s="187"/>
      <c r="Z602" s="187"/>
      <c r="AA602" s="187"/>
      <c r="AB602" s="187"/>
    </row>
    <row r="603" spans="1:28" ht="15.75" customHeight="1">
      <c r="A603" s="219"/>
      <c r="B603" s="83"/>
      <c r="C603" s="81"/>
      <c r="D603" s="82"/>
      <c r="E603" s="81"/>
      <c r="F603" s="82"/>
      <c r="G603" s="83"/>
      <c r="H603" s="221"/>
      <c r="I603" s="83"/>
      <c r="J603" s="83"/>
      <c r="K603" s="83"/>
      <c r="L603" s="84"/>
      <c r="M603" s="84"/>
      <c r="N603" s="83"/>
      <c r="O603" s="222"/>
      <c r="P603" s="222"/>
      <c r="Q603" s="187"/>
      <c r="R603" s="187"/>
      <c r="S603" s="187"/>
      <c r="T603" s="187"/>
      <c r="U603" s="187"/>
      <c r="V603" s="187"/>
      <c r="W603" s="187"/>
      <c r="X603" s="187"/>
      <c r="Y603" s="187"/>
      <c r="Z603" s="187"/>
      <c r="AA603" s="187"/>
      <c r="AB603" s="187"/>
    </row>
    <row r="604" spans="1:28" ht="15.75" customHeight="1">
      <c r="A604" s="219"/>
      <c r="B604" s="83"/>
      <c r="C604" s="81"/>
      <c r="D604" s="82"/>
      <c r="E604" s="81"/>
      <c r="F604" s="82"/>
      <c r="G604" s="83"/>
      <c r="H604" s="221"/>
      <c r="I604" s="83"/>
      <c r="J604" s="83"/>
      <c r="K604" s="83"/>
      <c r="L604" s="84"/>
      <c r="M604" s="84"/>
      <c r="N604" s="83"/>
      <c r="O604" s="222"/>
      <c r="P604" s="222"/>
      <c r="Q604" s="187"/>
      <c r="R604" s="187"/>
      <c r="S604" s="187"/>
      <c r="T604" s="187"/>
      <c r="U604" s="187"/>
      <c r="V604" s="187"/>
      <c r="W604" s="187"/>
      <c r="X604" s="187"/>
      <c r="Y604" s="187"/>
      <c r="Z604" s="187"/>
      <c r="AA604" s="187"/>
      <c r="AB604" s="187"/>
    </row>
    <row r="605" spans="1:28" ht="15.75" customHeight="1">
      <c r="A605" s="219"/>
      <c r="B605" s="83"/>
      <c r="C605" s="81"/>
      <c r="D605" s="82"/>
      <c r="E605" s="81"/>
      <c r="F605" s="82"/>
      <c r="G605" s="83"/>
      <c r="H605" s="221"/>
      <c r="I605" s="83"/>
      <c r="J605" s="83"/>
      <c r="K605" s="83"/>
      <c r="L605" s="84"/>
      <c r="M605" s="84"/>
      <c r="N605" s="83"/>
      <c r="O605" s="222"/>
      <c r="P605" s="222"/>
      <c r="Q605" s="187"/>
      <c r="R605" s="187"/>
      <c r="S605" s="187"/>
      <c r="T605" s="187"/>
      <c r="U605" s="187"/>
      <c r="V605" s="187"/>
      <c r="W605" s="187"/>
      <c r="X605" s="187"/>
      <c r="Y605" s="187"/>
      <c r="Z605" s="187"/>
      <c r="AA605" s="187"/>
      <c r="AB605" s="187"/>
    </row>
    <row r="606" spans="1:28" ht="15.75" customHeight="1">
      <c r="A606" s="219"/>
      <c r="B606" s="83"/>
      <c r="C606" s="81"/>
      <c r="D606" s="82"/>
      <c r="E606" s="81"/>
      <c r="F606" s="82"/>
      <c r="G606" s="83"/>
      <c r="H606" s="221"/>
      <c r="I606" s="83"/>
      <c r="J606" s="83"/>
      <c r="K606" s="83"/>
      <c r="L606" s="84"/>
      <c r="M606" s="84"/>
      <c r="N606" s="83"/>
      <c r="O606" s="222"/>
      <c r="P606" s="222"/>
      <c r="Q606" s="187"/>
      <c r="R606" s="187"/>
      <c r="S606" s="187"/>
      <c r="T606" s="187"/>
      <c r="U606" s="187"/>
      <c r="V606" s="187"/>
      <c r="W606" s="187"/>
      <c r="X606" s="187"/>
      <c r="Y606" s="187"/>
      <c r="Z606" s="187"/>
      <c r="AA606" s="187"/>
      <c r="AB606" s="187"/>
    </row>
    <row r="607" spans="1:28" ht="15.75" customHeight="1">
      <c r="A607" s="219"/>
      <c r="B607" s="83"/>
      <c r="C607" s="81"/>
      <c r="D607" s="82"/>
      <c r="E607" s="81"/>
      <c r="F607" s="82"/>
      <c r="G607" s="83"/>
      <c r="H607" s="221"/>
      <c r="I607" s="83"/>
      <c r="J607" s="83"/>
      <c r="K607" s="83"/>
      <c r="L607" s="84"/>
      <c r="M607" s="84"/>
      <c r="N607" s="83"/>
      <c r="O607" s="222"/>
      <c r="P607" s="222"/>
      <c r="Q607" s="187"/>
      <c r="R607" s="187"/>
      <c r="S607" s="187"/>
      <c r="T607" s="187"/>
      <c r="U607" s="187"/>
      <c r="V607" s="187"/>
      <c r="W607" s="187"/>
      <c r="X607" s="187"/>
      <c r="Y607" s="187"/>
      <c r="Z607" s="187"/>
      <c r="AA607" s="187"/>
      <c r="AB607" s="187"/>
    </row>
    <row r="608" spans="1:28" ht="15.75" customHeight="1">
      <c r="A608" s="219"/>
      <c r="B608" s="83"/>
      <c r="C608" s="81"/>
      <c r="D608" s="82"/>
      <c r="E608" s="81"/>
      <c r="F608" s="82"/>
      <c r="G608" s="83"/>
      <c r="H608" s="221"/>
      <c r="I608" s="83"/>
      <c r="J608" s="83"/>
      <c r="K608" s="83"/>
      <c r="L608" s="84"/>
      <c r="M608" s="84"/>
      <c r="N608" s="83"/>
      <c r="O608" s="222"/>
      <c r="P608" s="222"/>
      <c r="Q608" s="187"/>
      <c r="R608" s="187"/>
      <c r="S608" s="187"/>
      <c r="T608" s="187"/>
      <c r="U608" s="187"/>
      <c r="V608" s="187"/>
      <c r="W608" s="187"/>
      <c r="X608" s="187"/>
      <c r="Y608" s="187"/>
      <c r="Z608" s="187"/>
      <c r="AA608" s="187"/>
      <c r="AB608" s="187"/>
    </row>
    <row r="609" spans="1:28" ht="15.75" customHeight="1">
      <c r="A609" s="219"/>
      <c r="B609" s="83"/>
      <c r="C609" s="81"/>
      <c r="D609" s="82"/>
      <c r="E609" s="81"/>
      <c r="F609" s="82"/>
      <c r="G609" s="83"/>
      <c r="H609" s="221"/>
      <c r="I609" s="83"/>
      <c r="J609" s="83"/>
      <c r="K609" s="83"/>
      <c r="L609" s="84"/>
      <c r="M609" s="84"/>
      <c r="N609" s="83"/>
      <c r="O609" s="222"/>
      <c r="P609" s="222"/>
      <c r="Q609" s="187"/>
      <c r="R609" s="187"/>
      <c r="S609" s="187"/>
      <c r="T609" s="187"/>
      <c r="U609" s="187"/>
      <c r="V609" s="187"/>
      <c r="W609" s="187"/>
      <c r="X609" s="187"/>
      <c r="Y609" s="187"/>
      <c r="Z609" s="187"/>
      <c r="AA609" s="187"/>
      <c r="AB609" s="187"/>
    </row>
    <row r="610" spans="1:28" ht="15.75" customHeight="1">
      <c r="A610" s="219"/>
      <c r="B610" s="83"/>
      <c r="C610" s="81"/>
      <c r="D610" s="82"/>
      <c r="E610" s="81"/>
      <c r="F610" s="82"/>
      <c r="G610" s="83"/>
      <c r="H610" s="221"/>
      <c r="I610" s="83"/>
      <c r="J610" s="83"/>
      <c r="K610" s="83"/>
      <c r="L610" s="84"/>
      <c r="M610" s="84"/>
      <c r="N610" s="83"/>
      <c r="O610" s="222"/>
      <c r="P610" s="222"/>
      <c r="Q610" s="187"/>
      <c r="R610" s="187"/>
      <c r="S610" s="187"/>
      <c r="T610" s="187"/>
      <c r="U610" s="187"/>
      <c r="V610" s="187"/>
      <c r="W610" s="187"/>
      <c r="X610" s="187"/>
      <c r="Y610" s="187"/>
      <c r="Z610" s="187"/>
      <c r="AA610" s="187"/>
      <c r="AB610" s="187"/>
    </row>
    <row r="611" spans="1:28" ht="15.75" customHeight="1">
      <c r="A611" s="219"/>
      <c r="B611" s="83"/>
      <c r="C611" s="81"/>
      <c r="D611" s="82"/>
      <c r="E611" s="81"/>
      <c r="F611" s="82"/>
      <c r="G611" s="83"/>
      <c r="H611" s="221"/>
      <c r="I611" s="83"/>
      <c r="J611" s="83"/>
      <c r="K611" s="83"/>
      <c r="L611" s="84"/>
      <c r="M611" s="84"/>
      <c r="N611" s="83"/>
      <c r="O611" s="222"/>
      <c r="P611" s="222"/>
      <c r="Q611" s="187"/>
      <c r="R611" s="187"/>
      <c r="S611" s="187"/>
      <c r="T611" s="187"/>
      <c r="U611" s="187"/>
      <c r="V611" s="187"/>
      <c r="W611" s="187"/>
      <c r="X611" s="187"/>
      <c r="Y611" s="187"/>
      <c r="Z611" s="187"/>
      <c r="AA611" s="187"/>
      <c r="AB611" s="187"/>
    </row>
    <row r="612" spans="1:28" ht="15.75" customHeight="1">
      <c r="A612" s="219"/>
      <c r="B612" s="83"/>
      <c r="C612" s="81"/>
      <c r="D612" s="82"/>
      <c r="E612" s="81"/>
      <c r="F612" s="82"/>
      <c r="G612" s="83"/>
      <c r="H612" s="221"/>
      <c r="I612" s="83"/>
      <c r="J612" s="83"/>
      <c r="K612" s="83"/>
      <c r="L612" s="84"/>
      <c r="M612" s="84"/>
      <c r="N612" s="83"/>
      <c r="O612" s="222"/>
      <c r="P612" s="222"/>
      <c r="Q612" s="187"/>
      <c r="R612" s="187"/>
      <c r="S612" s="187"/>
      <c r="T612" s="187"/>
      <c r="U612" s="187"/>
      <c r="V612" s="187"/>
      <c r="W612" s="187"/>
      <c r="X612" s="187"/>
      <c r="Y612" s="187"/>
      <c r="Z612" s="187"/>
      <c r="AA612" s="187"/>
      <c r="AB612" s="187"/>
    </row>
    <row r="613" spans="1:28" ht="15.75" customHeight="1">
      <c r="A613" s="219"/>
      <c r="B613" s="83"/>
      <c r="C613" s="81"/>
      <c r="D613" s="82"/>
      <c r="E613" s="81"/>
      <c r="F613" s="82"/>
      <c r="G613" s="83"/>
      <c r="H613" s="221"/>
      <c r="I613" s="83"/>
      <c r="J613" s="83"/>
      <c r="K613" s="83"/>
      <c r="L613" s="84"/>
      <c r="M613" s="84"/>
      <c r="N613" s="83"/>
      <c r="O613" s="222"/>
      <c r="P613" s="222"/>
      <c r="Q613" s="187"/>
      <c r="R613" s="187"/>
      <c r="S613" s="187"/>
      <c r="T613" s="187"/>
      <c r="U613" s="187"/>
      <c r="V613" s="187"/>
      <c r="W613" s="187"/>
      <c r="X613" s="187"/>
      <c r="Y613" s="187"/>
      <c r="Z613" s="187"/>
      <c r="AA613" s="187"/>
      <c r="AB613" s="187"/>
    </row>
    <row r="614" spans="1:28" ht="15.75" customHeight="1">
      <c r="A614" s="219"/>
      <c r="B614" s="83"/>
      <c r="C614" s="81"/>
      <c r="D614" s="82"/>
      <c r="E614" s="81"/>
      <c r="F614" s="82"/>
      <c r="G614" s="83"/>
      <c r="H614" s="221"/>
      <c r="I614" s="83"/>
      <c r="J614" s="83"/>
      <c r="K614" s="83"/>
      <c r="L614" s="84"/>
      <c r="M614" s="84"/>
      <c r="N614" s="83"/>
      <c r="O614" s="222"/>
      <c r="P614" s="222"/>
      <c r="Q614" s="187"/>
      <c r="R614" s="187"/>
      <c r="S614" s="187"/>
      <c r="T614" s="187"/>
      <c r="U614" s="187"/>
      <c r="V614" s="187"/>
      <c r="W614" s="187"/>
      <c r="X614" s="187"/>
      <c r="Y614" s="187"/>
      <c r="Z614" s="187"/>
      <c r="AA614" s="187"/>
      <c r="AB614" s="187"/>
    </row>
    <row r="615" spans="1:28" ht="15.75" customHeight="1">
      <c r="A615" s="219"/>
      <c r="B615" s="83"/>
      <c r="C615" s="81"/>
      <c r="D615" s="82"/>
      <c r="E615" s="81"/>
      <c r="F615" s="82"/>
      <c r="G615" s="83"/>
      <c r="H615" s="221"/>
      <c r="I615" s="83"/>
      <c r="J615" s="83"/>
      <c r="K615" s="83"/>
      <c r="L615" s="84"/>
      <c r="M615" s="84"/>
      <c r="N615" s="83"/>
      <c r="O615" s="222"/>
      <c r="P615" s="222"/>
      <c r="Q615" s="187"/>
      <c r="R615" s="187"/>
      <c r="S615" s="187"/>
      <c r="T615" s="187"/>
      <c r="U615" s="187"/>
      <c r="V615" s="187"/>
      <c r="W615" s="187"/>
      <c r="X615" s="187"/>
      <c r="Y615" s="187"/>
      <c r="Z615" s="187"/>
      <c r="AA615" s="187"/>
      <c r="AB615" s="187"/>
    </row>
    <row r="616" spans="1:28" ht="15.75" customHeight="1">
      <c r="A616" s="219"/>
      <c r="B616" s="83"/>
      <c r="C616" s="81"/>
      <c r="D616" s="82"/>
      <c r="E616" s="81"/>
      <c r="F616" s="82"/>
      <c r="G616" s="83"/>
      <c r="H616" s="221"/>
      <c r="I616" s="83"/>
      <c r="J616" s="83"/>
      <c r="K616" s="83"/>
      <c r="L616" s="84"/>
      <c r="M616" s="84"/>
      <c r="N616" s="83"/>
      <c r="O616" s="222"/>
      <c r="P616" s="222"/>
      <c r="Q616" s="187"/>
      <c r="R616" s="187"/>
      <c r="S616" s="187"/>
      <c r="T616" s="187"/>
      <c r="U616" s="187"/>
      <c r="V616" s="187"/>
      <c r="W616" s="187"/>
      <c r="X616" s="187"/>
      <c r="Y616" s="187"/>
      <c r="Z616" s="187"/>
      <c r="AA616" s="187"/>
      <c r="AB616" s="187"/>
    </row>
    <row r="617" spans="1:28" ht="15.75" customHeight="1">
      <c r="A617" s="219"/>
      <c r="B617" s="83"/>
      <c r="C617" s="81"/>
      <c r="D617" s="82"/>
      <c r="E617" s="81"/>
      <c r="F617" s="82"/>
      <c r="G617" s="83"/>
      <c r="H617" s="221"/>
      <c r="I617" s="83"/>
      <c r="J617" s="83"/>
      <c r="K617" s="83"/>
      <c r="L617" s="84"/>
      <c r="M617" s="84"/>
      <c r="N617" s="83"/>
      <c r="O617" s="222"/>
      <c r="P617" s="222"/>
      <c r="Q617" s="187"/>
      <c r="R617" s="187"/>
      <c r="S617" s="187"/>
      <c r="T617" s="187"/>
      <c r="U617" s="187"/>
      <c r="V617" s="187"/>
      <c r="W617" s="187"/>
      <c r="X617" s="187"/>
      <c r="Y617" s="187"/>
      <c r="Z617" s="187"/>
      <c r="AA617" s="187"/>
      <c r="AB617" s="187"/>
    </row>
    <row r="618" spans="1:28" ht="15.75" customHeight="1">
      <c r="A618" s="219"/>
      <c r="B618" s="83"/>
      <c r="C618" s="81"/>
      <c r="D618" s="82"/>
      <c r="E618" s="81"/>
      <c r="F618" s="82"/>
      <c r="G618" s="83"/>
      <c r="H618" s="221"/>
      <c r="I618" s="83"/>
      <c r="J618" s="83"/>
      <c r="K618" s="83"/>
      <c r="L618" s="84"/>
      <c r="M618" s="84"/>
      <c r="N618" s="83"/>
      <c r="O618" s="222"/>
      <c r="P618" s="222"/>
      <c r="Q618" s="187"/>
      <c r="R618" s="187"/>
      <c r="S618" s="187"/>
      <c r="T618" s="187"/>
      <c r="U618" s="187"/>
      <c r="V618" s="187"/>
      <c r="W618" s="187"/>
      <c r="X618" s="187"/>
      <c r="Y618" s="187"/>
      <c r="Z618" s="187"/>
      <c r="AA618" s="187"/>
      <c r="AB618" s="187"/>
    </row>
    <row r="619" spans="1:28" ht="15.75" customHeight="1">
      <c r="A619" s="219"/>
      <c r="B619" s="83"/>
      <c r="C619" s="81"/>
      <c r="D619" s="82"/>
      <c r="E619" s="81"/>
      <c r="F619" s="82"/>
      <c r="G619" s="83"/>
      <c r="H619" s="221"/>
      <c r="I619" s="83"/>
      <c r="J619" s="83"/>
      <c r="K619" s="83"/>
      <c r="L619" s="84"/>
      <c r="M619" s="84"/>
      <c r="N619" s="83"/>
      <c r="O619" s="222"/>
      <c r="P619" s="222"/>
      <c r="Q619" s="187"/>
      <c r="R619" s="187"/>
      <c r="S619" s="187"/>
      <c r="T619" s="187"/>
      <c r="U619" s="187"/>
      <c r="V619" s="187"/>
      <c r="W619" s="187"/>
      <c r="X619" s="187"/>
      <c r="Y619" s="187"/>
      <c r="Z619" s="187"/>
      <c r="AA619" s="187"/>
      <c r="AB619" s="187"/>
    </row>
    <row r="620" spans="1:28" ht="15.75" customHeight="1">
      <c r="A620" s="219"/>
      <c r="B620" s="83"/>
      <c r="C620" s="81"/>
      <c r="D620" s="82"/>
      <c r="E620" s="81"/>
      <c r="F620" s="82"/>
      <c r="G620" s="83"/>
      <c r="H620" s="221"/>
      <c r="I620" s="83"/>
      <c r="J620" s="83"/>
      <c r="K620" s="83"/>
      <c r="L620" s="84"/>
      <c r="M620" s="84"/>
      <c r="N620" s="83"/>
      <c r="O620" s="222"/>
      <c r="P620" s="222"/>
      <c r="Q620" s="187"/>
      <c r="R620" s="187"/>
      <c r="S620" s="187"/>
      <c r="T620" s="187"/>
      <c r="U620" s="187"/>
      <c r="V620" s="187"/>
      <c r="W620" s="187"/>
      <c r="X620" s="187"/>
      <c r="Y620" s="187"/>
      <c r="Z620" s="187"/>
      <c r="AA620" s="187"/>
      <c r="AB620" s="187"/>
    </row>
    <row r="621" spans="1:28" ht="15.75" customHeight="1">
      <c r="A621" s="219"/>
      <c r="B621" s="83"/>
      <c r="C621" s="81"/>
      <c r="D621" s="82"/>
      <c r="E621" s="81"/>
      <c r="F621" s="82"/>
      <c r="G621" s="83"/>
      <c r="H621" s="221"/>
      <c r="I621" s="83"/>
      <c r="J621" s="83"/>
      <c r="K621" s="83"/>
      <c r="L621" s="84"/>
      <c r="M621" s="84"/>
      <c r="N621" s="83"/>
      <c r="O621" s="222"/>
      <c r="P621" s="222"/>
      <c r="Q621" s="187"/>
      <c r="R621" s="187"/>
      <c r="S621" s="187"/>
      <c r="T621" s="187"/>
      <c r="U621" s="187"/>
      <c r="V621" s="187"/>
      <c r="W621" s="187"/>
      <c r="X621" s="187"/>
      <c r="Y621" s="187"/>
      <c r="Z621" s="187"/>
      <c r="AA621" s="187"/>
      <c r="AB621" s="187"/>
    </row>
    <row r="622" spans="1:28" ht="15.75" customHeight="1">
      <c r="A622" s="219"/>
      <c r="B622" s="83"/>
      <c r="C622" s="81"/>
      <c r="D622" s="82"/>
      <c r="E622" s="81"/>
      <c r="F622" s="82"/>
      <c r="G622" s="83"/>
      <c r="H622" s="221"/>
      <c r="I622" s="83"/>
      <c r="J622" s="83"/>
      <c r="K622" s="83"/>
      <c r="L622" s="84"/>
      <c r="M622" s="84"/>
      <c r="N622" s="83"/>
      <c r="O622" s="222"/>
      <c r="P622" s="222"/>
      <c r="Q622" s="187"/>
      <c r="R622" s="187"/>
      <c r="S622" s="187"/>
      <c r="T622" s="187"/>
      <c r="U622" s="187"/>
      <c r="V622" s="187"/>
      <c r="W622" s="187"/>
      <c r="X622" s="187"/>
      <c r="Y622" s="187"/>
      <c r="Z622" s="187"/>
      <c r="AA622" s="187"/>
      <c r="AB622" s="187"/>
    </row>
    <row r="623" spans="1:28" ht="15.75" customHeight="1">
      <c r="A623" s="219"/>
      <c r="B623" s="83"/>
      <c r="C623" s="81"/>
      <c r="D623" s="82"/>
      <c r="E623" s="81"/>
      <c r="F623" s="82"/>
      <c r="G623" s="83"/>
      <c r="H623" s="221"/>
      <c r="I623" s="83"/>
      <c r="J623" s="83"/>
      <c r="K623" s="83"/>
      <c r="L623" s="84"/>
      <c r="M623" s="84"/>
      <c r="N623" s="83"/>
      <c r="O623" s="222"/>
      <c r="P623" s="222"/>
      <c r="Q623" s="187"/>
      <c r="R623" s="187"/>
      <c r="S623" s="187"/>
      <c r="T623" s="187"/>
      <c r="U623" s="187"/>
      <c r="V623" s="187"/>
      <c r="W623" s="187"/>
      <c r="X623" s="187"/>
      <c r="Y623" s="187"/>
      <c r="Z623" s="187"/>
      <c r="AA623" s="187"/>
      <c r="AB623" s="187"/>
    </row>
    <row r="624" spans="1:28" ht="15.75" customHeight="1">
      <c r="A624" s="219"/>
      <c r="B624" s="83"/>
      <c r="C624" s="81"/>
      <c r="D624" s="82"/>
      <c r="E624" s="81"/>
      <c r="F624" s="82"/>
      <c r="G624" s="83"/>
      <c r="H624" s="221"/>
      <c r="I624" s="83"/>
      <c r="J624" s="83"/>
      <c r="K624" s="83"/>
      <c r="L624" s="84"/>
      <c r="M624" s="84"/>
      <c r="N624" s="83"/>
      <c r="O624" s="222"/>
      <c r="P624" s="222"/>
      <c r="Q624" s="187"/>
      <c r="R624" s="187"/>
      <c r="S624" s="187"/>
      <c r="T624" s="187"/>
      <c r="U624" s="187"/>
      <c r="V624" s="187"/>
      <c r="W624" s="187"/>
      <c r="X624" s="187"/>
      <c r="Y624" s="187"/>
      <c r="Z624" s="187"/>
      <c r="AA624" s="187"/>
      <c r="AB624" s="187"/>
    </row>
    <row r="625" spans="1:28" ht="15.75" customHeight="1">
      <c r="A625" s="219"/>
      <c r="B625" s="83"/>
      <c r="C625" s="81"/>
      <c r="D625" s="82"/>
      <c r="E625" s="81"/>
      <c r="F625" s="82"/>
      <c r="G625" s="83"/>
      <c r="H625" s="221"/>
      <c r="I625" s="83"/>
      <c r="J625" s="83"/>
      <c r="K625" s="83"/>
      <c r="L625" s="84"/>
      <c r="M625" s="84"/>
      <c r="N625" s="83"/>
      <c r="O625" s="222"/>
      <c r="P625" s="222"/>
      <c r="Q625" s="187"/>
      <c r="R625" s="187"/>
      <c r="S625" s="187"/>
      <c r="T625" s="187"/>
      <c r="U625" s="187"/>
      <c r="V625" s="187"/>
      <c r="W625" s="187"/>
      <c r="X625" s="187"/>
      <c r="Y625" s="187"/>
      <c r="Z625" s="187"/>
      <c r="AA625" s="187"/>
      <c r="AB625" s="187"/>
    </row>
    <row r="626" spans="1:28" ht="15.75" customHeight="1">
      <c r="A626" s="219"/>
      <c r="B626" s="83"/>
      <c r="C626" s="81"/>
      <c r="D626" s="82"/>
      <c r="E626" s="81"/>
      <c r="F626" s="82"/>
      <c r="G626" s="83"/>
      <c r="H626" s="221"/>
      <c r="I626" s="83"/>
      <c r="J626" s="83"/>
      <c r="K626" s="83"/>
      <c r="L626" s="84"/>
      <c r="M626" s="84"/>
      <c r="N626" s="83"/>
      <c r="O626" s="222"/>
      <c r="P626" s="222"/>
      <c r="Q626" s="187"/>
      <c r="R626" s="187"/>
      <c r="S626" s="187"/>
      <c r="T626" s="187"/>
      <c r="U626" s="187"/>
      <c r="V626" s="187"/>
      <c r="W626" s="187"/>
      <c r="X626" s="187"/>
      <c r="Y626" s="187"/>
      <c r="Z626" s="187"/>
      <c r="AA626" s="187"/>
      <c r="AB626" s="187"/>
    </row>
    <row r="627" spans="1:28" ht="15.75" customHeight="1">
      <c r="A627" s="219"/>
      <c r="B627" s="83"/>
      <c r="C627" s="81"/>
      <c r="D627" s="82"/>
      <c r="E627" s="81"/>
      <c r="F627" s="82"/>
      <c r="G627" s="83"/>
      <c r="H627" s="221"/>
      <c r="I627" s="83"/>
      <c r="J627" s="83"/>
      <c r="K627" s="83"/>
      <c r="L627" s="84"/>
      <c r="M627" s="84"/>
      <c r="N627" s="83"/>
      <c r="O627" s="222"/>
      <c r="P627" s="222"/>
      <c r="Q627" s="187"/>
      <c r="R627" s="187"/>
      <c r="S627" s="187"/>
      <c r="T627" s="187"/>
      <c r="U627" s="187"/>
      <c r="V627" s="187"/>
      <c r="W627" s="187"/>
      <c r="X627" s="187"/>
      <c r="Y627" s="187"/>
      <c r="Z627" s="187"/>
      <c r="AA627" s="187"/>
      <c r="AB627" s="187"/>
    </row>
    <row r="628" spans="1:28" ht="15.75" customHeight="1">
      <c r="A628" s="219"/>
      <c r="B628" s="83"/>
      <c r="C628" s="81"/>
      <c r="D628" s="82"/>
      <c r="E628" s="81"/>
      <c r="F628" s="82"/>
      <c r="G628" s="83"/>
      <c r="H628" s="221"/>
      <c r="I628" s="83"/>
      <c r="J628" s="83"/>
      <c r="K628" s="83"/>
      <c r="L628" s="84"/>
      <c r="M628" s="84"/>
      <c r="N628" s="83"/>
      <c r="O628" s="222"/>
      <c r="P628" s="222"/>
      <c r="Q628" s="187"/>
      <c r="R628" s="187"/>
      <c r="S628" s="187"/>
      <c r="T628" s="187"/>
      <c r="U628" s="187"/>
      <c r="V628" s="187"/>
      <c r="W628" s="187"/>
      <c r="X628" s="187"/>
      <c r="Y628" s="187"/>
      <c r="Z628" s="187"/>
      <c r="AA628" s="187"/>
      <c r="AB628" s="187"/>
    </row>
    <row r="629" spans="1:28" ht="15.75" customHeight="1">
      <c r="A629" s="219"/>
      <c r="B629" s="83"/>
      <c r="C629" s="81"/>
      <c r="D629" s="82"/>
      <c r="E629" s="81"/>
      <c r="F629" s="82"/>
      <c r="G629" s="83"/>
      <c r="H629" s="221"/>
      <c r="I629" s="83"/>
      <c r="J629" s="83"/>
      <c r="K629" s="83"/>
      <c r="L629" s="84"/>
      <c r="M629" s="84"/>
      <c r="N629" s="83"/>
      <c r="O629" s="222"/>
      <c r="P629" s="222"/>
      <c r="Q629" s="187"/>
      <c r="R629" s="187"/>
      <c r="S629" s="187"/>
      <c r="T629" s="187"/>
      <c r="U629" s="187"/>
      <c r="V629" s="187"/>
      <c r="W629" s="187"/>
      <c r="X629" s="187"/>
      <c r="Y629" s="187"/>
      <c r="Z629" s="187"/>
      <c r="AA629" s="187"/>
      <c r="AB629" s="187"/>
    </row>
    <row r="630" spans="1:28" ht="15.75" customHeight="1">
      <c r="A630" s="219"/>
      <c r="B630" s="83"/>
      <c r="C630" s="81"/>
      <c r="D630" s="82"/>
      <c r="E630" s="81"/>
      <c r="F630" s="82"/>
      <c r="G630" s="83"/>
      <c r="H630" s="221"/>
      <c r="I630" s="83"/>
      <c r="J630" s="83"/>
      <c r="K630" s="83"/>
      <c r="L630" s="84"/>
      <c r="M630" s="84"/>
      <c r="N630" s="83"/>
      <c r="O630" s="222"/>
      <c r="P630" s="222"/>
      <c r="Q630" s="187"/>
      <c r="R630" s="187"/>
      <c r="S630" s="187"/>
      <c r="T630" s="187"/>
      <c r="U630" s="187"/>
      <c r="V630" s="187"/>
      <c r="W630" s="187"/>
      <c r="X630" s="187"/>
      <c r="Y630" s="187"/>
      <c r="Z630" s="187"/>
      <c r="AA630" s="187"/>
      <c r="AB630" s="187"/>
    </row>
    <row r="631" spans="1:28" ht="15.75" customHeight="1">
      <c r="A631" s="219"/>
      <c r="B631" s="83"/>
      <c r="C631" s="81"/>
      <c r="D631" s="82"/>
      <c r="E631" s="81"/>
      <c r="F631" s="82"/>
      <c r="G631" s="83"/>
      <c r="H631" s="221"/>
      <c r="I631" s="83"/>
      <c r="J631" s="83"/>
      <c r="K631" s="83"/>
      <c r="L631" s="84"/>
      <c r="M631" s="84"/>
      <c r="N631" s="83"/>
      <c r="O631" s="222"/>
      <c r="P631" s="222"/>
      <c r="Q631" s="187"/>
      <c r="R631" s="187"/>
      <c r="S631" s="187"/>
      <c r="T631" s="187"/>
      <c r="U631" s="187"/>
      <c r="V631" s="187"/>
      <c r="W631" s="187"/>
      <c r="X631" s="187"/>
      <c r="Y631" s="187"/>
      <c r="Z631" s="187"/>
      <c r="AA631" s="187"/>
      <c r="AB631" s="187"/>
    </row>
    <row r="632" spans="1:28" ht="15.75" customHeight="1">
      <c r="A632" s="219"/>
      <c r="B632" s="83"/>
      <c r="C632" s="81"/>
      <c r="D632" s="82"/>
      <c r="E632" s="81"/>
      <c r="F632" s="82"/>
      <c r="G632" s="83"/>
      <c r="H632" s="221"/>
      <c r="I632" s="83"/>
      <c r="J632" s="83"/>
      <c r="K632" s="83"/>
      <c r="L632" s="84"/>
      <c r="M632" s="84"/>
      <c r="N632" s="83"/>
      <c r="O632" s="222"/>
      <c r="P632" s="222"/>
      <c r="Q632" s="187"/>
      <c r="R632" s="187"/>
      <c r="S632" s="187"/>
      <c r="T632" s="187"/>
      <c r="U632" s="187"/>
      <c r="V632" s="187"/>
      <c r="W632" s="187"/>
      <c r="X632" s="187"/>
      <c r="Y632" s="187"/>
      <c r="Z632" s="187"/>
      <c r="AA632" s="187"/>
      <c r="AB632" s="187"/>
    </row>
    <row r="633" spans="1:28" ht="15.75" customHeight="1">
      <c r="A633" s="219"/>
      <c r="B633" s="83"/>
      <c r="C633" s="81"/>
      <c r="D633" s="82"/>
      <c r="E633" s="81"/>
      <c r="F633" s="82"/>
      <c r="G633" s="83"/>
      <c r="H633" s="221"/>
      <c r="I633" s="83"/>
      <c r="J633" s="83"/>
      <c r="K633" s="83"/>
      <c r="L633" s="84"/>
      <c r="M633" s="84"/>
      <c r="N633" s="83"/>
      <c r="O633" s="222"/>
      <c r="P633" s="222"/>
      <c r="Q633" s="187"/>
      <c r="R633" s="187"/>
      <c r="S633" s="187"/>
      <c r="T633" s="187"/>
      <c r="U633" s="187"/>
      <c r="V633" s="187"/>
      <c r="W633" s="187"/>
      <c r="X633" s="187"/>
      <c r="Y633" s="187"/>
      <c r="Z633" s="187"/>
      <c r="AA633" s="187"/>
      <c r="AB633" s="187"/>
    </row>
    <row r="634" spans="1:28" ht="15.75" customHeight="1">
      <c r="A634" s="219"/>
      <c r="B634" s="83"/>
      <c r="C634" s="81"/>
      <c r="D634" s="82"/>
      <c r="E634" s="81"/>
      <c r="F634" s="82"/>
      <c r="G634" s="83"/>
      <c r="H634" s="221"/>
      <c r="I634" s="83"/>
      <c r="J634" s="83"/>
      <c r="K634" s="83"/>
      <c r="L634" s="84"/>
      <c r="M634" s="84"/>
      <c r="N634" s="83"/>
      <c r="O634" s="222"/>
      <c r="P634" s="222"/>
      <c r="Q634" s="187"/>
      <c r="R634" s="187"/>
      <c r="S634" s="187"/>
      <c r="T634" s="187"/>
      <c r="U634" s="187"/>
      <c r="V634" s="187"/>
      <c r="W634" s="187"/>
      <c r="X634" s="187"/>
      <c r="Y634" s="187"/>
      <c r="Z634" s="187"/>
      <c r="AA634" s="187"/>
      <c r="AB634" s="187"/>
    </row>
    <row r="635" spans="1:28" ht="15.75" customHeight="1">
      <c r="A635" s="219"/>
      <c r="B635" s="83"/>
      <c r="C635" s="81"/>
      <c r="D635" s="82"/>
      <c r="E635" s="81"/>
      <c r="F635" s="82"/>
      <c r="G635" s="83"/>
      <c r="H635" s="221"/>
      <c r="I635" s="83"/>
      <c r="J635" s="83"/>
      <c r="K635" s="83"/>
      <c r="L635" s="84"/>
      <c r="M635" s="84"/>
      <c r="N635" s="83"/>
      <c r="O635" s="222"/>
      <c r="P635" s="222"/>
      <c r="Q635" s="187"/>
      <c r="R635" s="187"/>
      <c r="S635" s="187"/>
      <c r="T635" s="187"/>
      <c r="U635" s="187"/>
      <c r="V635" s="187"/>
      <c r="W635" s="187"/>
      <c r="X635" s="187"/>
      <c r="Y635" s="187"/>
      <c r="Z635" s="187"/>
      <c r="AA635" s="187"/>
      <c r="AB635" s="187"/>
    </row>
    <row r="636" spans="1:28" ht="15.75" customHeight="1">
      <c r="A636" s="219"/>
      <c r="B636" s="83"/>
      <c r="C636" s="81"/>
      <c r="D636" s="82"/>
      <c r="E636" s="81"/>
      <c r="F636" s="82"/>
      <c r="G636" s="83"/>
      <c r="H636" s="221"/>
      <c r="I636" s="83"/>
      <c r="J636" s="83"/>
      <c r="K636" s="83"/>
      <c r="L636" s="84"/>
      <c r="M636" s="84"/>
      <c r="N636" s="83"/>
      <c r="O636" s="222"/>
      <c r="P636" s="222"/>
      <c r="Q636" s="187"/>
      <c r="R636" s="187"/>
      <c r="S636" s="187"/>
      <c r="T636" s="187"/>
      <c r="U636" s="187"/>
      <c r="V636" s="187"/>
      <c r="W636" s="187"/>
      <c r="X636" s="187"/>
      <c r="Y636" s="187"/>
      <c r="Z636" s="187"/>
      <c r="AA636" s="187"/>
      <c r="AB636" s="187"/>
    </row>
    <row r="637" spans="1:28" ht="15.75" customHeight="1">
      <c r="A637" s="219"/>
      <c r="B637" s="83"/>
      <c r="C637" s="81"/>
      <c r="D637" s="82"/>
      <c r="E637" s="81"/>
      <c r="F637" s="82"/>
      <c r="G637" s="83"/>
      <c r="H637" s="221"/>
      <c r="I637" s="83"/>
      <c r="J637" s="83"/>
      <c r="K637" s="83"/>
      <c r="L637" s="84"/>
      <c r="M637" s="84"/>
      <c r="N637" s="83"/>
      <c r="O637" s="222"/>
      <c r="P637" s="222"/>
      <c r="Q637" s="187"/>
      <c r="R637" s="187"/>
      <c r="S637" s="187"/>
      <c r="T637" s="187"/>
      <c r="U637" s="187"/>
      <c r="V637" s="187"/>
      <c r="W637" s="187"/>
      <c r="X637" s="187"/>
      <c r="Y637" s="187"/>
      <c r="Z637" s="187"/>
      <c r="AA637" s="187"/>
      <c r="AB637" s="187"/>
    </row>
    <row r="638" spans="1:28" ht="15.75" customHeight="1">
      <c r="A638" s="219"/>
      <c r="B638" s="83"/>
      <c r="C638" s="81"/>
      <c r="D638" s="82"/>
      <c r="E638" s="81"/>
      <c r="F638" s="82"/>
      <c r="G638" s="83"/>
      <c r="H638" s="221"/>
      <c r="I638" s="83"/>
      <c r="J638" s="83"/>
      <c r="K638" s="83"/>
      <c r="L638" s="84"/>
      <c r="M638" s="84"/>
      <c r="N638" s="83"/>
      <c r="O638" s="222"/>
      <c r="P638" s="222"/>
      <c r="Q638" s="187"/>
      <c r="R638" s="187"/>
      <c r="S638" s="187"/>
      <c r="T638" s="187"/>
      <c r="U638" s="187"/>
      <c r="V638" s="187"/>
      <c r="W638" s="187"/>
      <c r="X638" s="187"/>
      <c r="Y638" s="187"/>
      <c r="Z638" s="187"/>
      <c r="AA638" s="187"/>
      <c r="AB638" s="187"/>
    </row>
    <row r="639" spans="1:28" ht="15.75" customHeight="1">
      <c r="A639" s="219"/>
      <c r="B639" s="83"/>
      <c r="C639" s="81"/>
      <c r="D639" s="82"/>
      <c r="E639" s="81"/>
      <c r="F639" s="82"/>
      <c r="G639" s="83"/>
      <c r="H639" s="221"/>
      <c r="I639" s="83"/>
      <c r="J639" s="83"/>
      <c r="K639" s="83"/>
      <c r="L639" s="84"/>
      <c r="M639" s="84"/>
      <c r="N639" s="83"/>
      <c r="O639" s="222"/>
      <c r="P639" s="222"/>
      <c r="Q639" s="187"/>
      <c r="R639" s="187"/>
      <c r="S639" s="187"/>
      <c r="T639" s="187"/>
      <c r="U639" s="187"/>
      <c r="V639" s="187"/>
      <c r="W639" s="187"/>
      <c r="X639" s="187"/>
      <c r="Y639" s="187"/>
      <c r="Z639" s="187"/>
      <c r="AA639" s="187"/>
      <c r="AB639" s="187"/>
    </row>
    <row r="640" spans="1:28" ht="15.75" customHeight="1">
      <c r="A640" s="219"/>
      <c r="B640" s="83"/>
      <c r="C640" s="81"/>
      <c r="D640" s="82"/>
      <c r="E640" s="81"/>
      <c r="F640" s="82"/>
      <c r="G640" s="83"/>
      <c r="H640" s="221"/>
      <c r="I640" s="83"/>
      <c r="J640" s="83"/>
      <c r="K640" s="83"/>
      <c r="L640" s="84"/>
      <c r="M640" s="84"/>
      <c r="N640" s="83"/>
      <c r="O640" s="222"/>
      <c r="P640" s="222"/>
      <c r="Q640" s="187"/>
      <c r="R640" s="187"/>
      <c r="S640" s="187"/>
      <c r="T640" s="187"/>
      <c r="U640" s="187"/>
      <c r="V640" s="187"/>
      <c r="W640" s="187"/>
      <c r="X640" s="187"/>
      <c r="Y640" s="187"/>
      <c r="Z640" s="187"/>
      <c r="AA640" s="187"/>
      <c r="AB640" s="187"/>
    </row>
    <row r="641" spans="1:28" ht="15.75" customHeight="1">
      <c r="A641" s="219"/>
      <c r="B641" s="83"/>
      <c r="C641" s="81"/>
      <c r="D641" s="82"/>
      <c r="E641" s="81"/>
      <c r="F641" s="82"/>
      <c r="G641" s="83"/>
      <c r="H641" s="221"/>
      <c r="I641" s="83"/>
      <c r="J641" s="83"/>
      <c r="K641" s="83"/>
      <c r="L641" s="84"/>
      <c r="M641" s="84"/>
      <c r="N641" s="83"/>
      <c r="O641" s="222"/>
      <c r="P641" s="222"/>
      <c r="Q641" s="187"/>
      <c r="R641" s="187"/>
      <c r="S641" s="187"/>
      <c r="T641" s="187"/>
      <c r="U641" s="187"/>
      <c r="V641" s="187"/>
      <c r="W641" s="187"/>
      <c r="X641" s="187"/>
      <c r="Y641" s="187"/>
      <c r="Z641" s="187"/>
      <c r="AA641" s="187"/>
      <c r="AB641" s="187"/>
    </row>
    <row r="642" spans="1:28" ht="15.75" customHeight="1">
      <c r="A642" s="219"/>
      <c r="B642" s="83"/>
      <c r="C642" s="81"/>
      <c r="D642" s="82"/>
      <c r="E642" s="81"/>
      <c r="F642" s="82"/>
      <c r="G642" s="83"/>
      <c r="H642" s="221"/>
      <c r="I642" s="83"/>
      <c r="J642" s="83"/>
      <c r="K642" s="83"/>
      <c r="L642" s="84"/>
      <c r="M642" s="84"/>
      <c r="N642" s="83"/>
      <c r="O642" s="222"/>
      <c r="P642" s="222"/>
      <c r="Q642" s="187"/>
      <c r="R642" s="187"/>
      <c r="S642" s="187"/>
      <c r="T642" s="187"/>
      <c r="U642" s="187"/>
      <c r="V642" s="187"/>
      <c r="W642" s="187"/>
      <c r="X642" s="187"/>
      <c r="Y642" s="187"/>
      <c r="Z642" s="187"/>
      <c r="AA642" s="187"/>
      <c r="AB642" s="187"/>
    </row>
    <row r="643" spans="1:28" ht="15.75" customHeight="1">
      <c r="A643" s="219"/>
      <c r="B643" s="83"/>
      <c r="C643" s="81"/>
      <c r="D643" s="82"/>
      <c r="E643" s="81"/>
      <c r="F643" s="82"/>
      <c r="G643" s="83"/>
      <c r="H643" s="221"/>
      <c r="I643" s="83"/>
      <c r="J643" s="83"/>
      <c r="K643" s="83"/>
      <c r="L643" s="84"/>
      <c r="M643" s="84"/>
      <c r="N643" s="83"/>
      <c r="O643" s="222"/>
      <c r="P643" s="222"/>
      <c r="Q643" s="187"/>
      <c r="R643" s="187"/>
      <c r="S643" s="187"/>
      <c r="T643" s="187"/>
      <c r="U643" s="187"/>
      <c r="V643" s="187"/>
      <c r="W643" s="187"/>
      <c r="X643" s="187"/>
      <c r="Y643" s="187"/>
      <c r="Z643" s="187"/>
      <c r="AA643" s="187"/>
      <c r="AB643" s="187"/>
    </row>
    <row r="644" spans="1:28" ht="15.75" customHeight="1">
      <c r="A644" s="219"/>
      <c r="B644" s="83"/>
      <c r="C644" s="81"/>
      <c r="D644" s="82"/>
      <c r="E644" s="81"/>
      <c r="F644" s="82"/>
      <c r="G644" s="83"/>
      <c r="H644" s="221"/>
      <c r="I644" s="83"/>
      <c r="J644" s="83"/>
      <c r="K644" s="83"/>
      <c r="L644" s="84"/>
      <c r="M644" s="84"/>
      <c r="N644" s="83"/>
      <c r="O644" s="222"/>
      <c r="P644" s="222"/>
      <c r="Q644" s="187"/>
      <c r="R644" s="187"/>
      <c r="S644" s="187"/>
      <c r="T644" s="187"/>
      <c r="U644" s="187"/>
      <c r="V644" s="187"/>
      <c r="W644" s="187"/>
      <c r="X644" s="187"/>
      <c r="Y644" s="187"/>
      <c r="Z644" s="187"/>
      <c r="AA644" s="187"/>
      <c r="AB644" s="187"/>
    </row>
    <row r="645" spans="1:28" ht="15.75" customHeight="1">
      <c r="A645" s="219"/>
      <c r="B645" s="83"/>
      <c r="C645" s="81"/>
      <c r="D645" s="82"/>
      <c r="E645" s="81"/>
      <c r="F645" s="82"/>
      <c r="G645" s="83"/>
      <c r="H645" s="221"/>
      <c r="I645" s="83"/>
      <c r="J645" s="83"/>
      <c r="K645" s="83"/>
      <c r="L645" s="84"/>
      <c r="M645" s="84"/>
      <c r="N645" s="83"/>
      <c r="O645" s="222"/>
      <c r="P645" s="222"/>
      <c r="Q645" s="187"/>
      <c r="R645" s="187"/>
      <c r="S645" s="187"/>
      <c r="T645" s="187"/>
      <c r="U645" s="187"/>
      <c r="V645" s="187"/>
      <c r="W645" s="187"/>
      <c r="X645" s="187"/>
      <c r="Y645" s="187"/>
      <c r="Z645" s="187"/>
      <c r="AA645" s="187"/>
      <c r="AB645" s="187"/>
    </row>
    <row r="646" spans="1:28" ht="15.75" customHeight="1">
      <c r="A646" s="219"/>
      <c r="B646" s="83"/>
      <c r="C646" s="81"/>
      <c r="D646" s="82"/>
      <c r="E646" s="81"/>
      <c r="F646" s="82"/>
      <c r="G646" s="83"/>
      <c r="H646" s="221"/>
      <c r="I646" s="83"/>
      <c r="J646" s="83"/>
      <c r="K646" s="83"/>
      <c r="L646" s="84"/>
      <c r="M646" s="84"/>
      <c r="N646" s="83"/>
      <c r="O646" s="222"/>
      <c r="P646" s="222"/>
      <c r="Q646" s="187"/>
      <c r="R646" s="187"/>
      <c r="S646" s="187"/>
      <c r="T646" s="187"/>
      <c r="U646" s="187"/>
      <c r="V646" s="187"/>
      <c r="W646" s="187"/>
      <c r="X646" s="187"/>
      <c r="Y646" s="187"/>
      <c r="Z646" s="187"/>
      <c r="AA646" s="187"/>
      <c r="AB646" s="187"/>
    </row>
    <row r="647" spans="1:28" ht="15.75" customHeight="1">
      <c r="A647" s="219"/>
      <c r="B647" s="83"/>
      <c r="C647" s="81"/>
      <c r="D647" s="82"/>
      <c r="E647" s="81"/>
      <c r="F647" s="82"/>
      <c r="G647" s="83"/>
      <c r="H647" s="221"/>
      <c r="I647" s="83"/>
      <c r="J647" s="83"/>
      <c r="K647" s="83"/>
      <c r="L647" s="84"/>
      <c r="M647" s="84"/>
      <c r="N647" s="83"/>
      <c r="O647" s="222"/>
      <c r="P647" s="222"/>
      <c r="Q647" s="187"/>
      <c r="R647" s="187"/>
      <c r="S647" s="187"/>
      <c r="T647" s="187"/>
      <c r="U647" s="187"/>
      <c r="V647" s="187"/>
      <c r="W647" s="187"/>
      <c r="X647" s="187"/>
      <c r="Y647" s="187"/>
      <c r="Z647" s="187"/>
      <c r="AA647" s="187"/>
      <c r="AB647" s="187"/>
    </row>
    <row r="648" spans="1:28" ht="15.75" customHeight="1">
      <c r="A648" s="219"/>
      <c r="B648" s="83"/>
      <c r="C648" s="81"/>
      <c r="D648" s="82"/>
      <c r="E648" s="81"/>
      <c r="F648" s="82"/>
      <c r="G648" s="83"/>
      <c r="H648" s="221"/>
      <c r="I648" s="83"/>
      <c r="J648" s="83"/>
      <c r="K648" s="83"/>
      <c r="L648" s="84"/>
      <c r="M648" s="84"/>
      <c r="N648" s="83"/>
      <c r="O648" s="222"/>
      <c r="P648" s="222"/>
      <c r="Q648" s="187"/>
      <c r="R648" s="187"/>
      <c r="S648" s="187"/>
      <c r="T648" s="187"/>
      <c r="U648" s="187"/>
      <c r="V648" s="187"/>
      <c r="W648" s="187"/>
      <c r="X648" s="187"/>
      <c r="Y648" s="187"/>
      <c r="Z648" s="187"/>
      <c r="AA648" s="187"/>
      <c r="AB648" s="187"/>
    </row>
    <row r="649" spans="1:28" ht="15.75" customHeight="1">
      <c r="A649" s="219"/>
      <c r="B649" s="83"/>
      <c r="C649" s="81"/>
      <c r="D649" s="82"/>
      <c r="E649" s="81"/>
      <c r="F649" s="82"/>
      <c r="G649" s="83"/>
      <c r="H649" s="221"/>
      <c r="I649" s="83"/>
      <c r="J649" s="83"/>
      <c r="K649" s="83"/>
      <c r="L649" s="84"/>
      <c r="M649" s="84"/>
      <c r="N649" s="83"/>
      <c r="O649" s="222"/>
      <c r="P649" s="222"/>
      <c r="Q649" s="187"/>
      <c r="R649" s="187"/>
      <c r="S649" s="187"/>
      <c r="T649" s="187"/>
      <c r="U649" s="187"/>
      <c r="V649" s="187"/>
      <c r="W649" s="187"/>
      <c r="X649" s="187"/>
      <c r="Y649" s="187"/>
      <c r="Z649" s="187"/>
      <c r="AA649" s="187"/>
      <c r="AB649" s="187"/>
    </row>
    <row r="650" spans="1:28" ht="15.75" customHeight="1">
      <c r="A650" s="219"/>
      <c r="B650" s="83"/>
      <c r="C650" s="81"/>
      <c r="D650" s="82"/>
      <c r="E650" s="81"/>
      <c r="F650" s="82"/>
      <c r="G650" s="83"/>
      <c r="H650" s="221"/>
      <c r="I650" s="83"/>
      <c r="J650" s="83"/>
      <c r="K650" s="83"/>
      <c r="L650" s="84"/>
      <c r="M650" s="84"/>
      <c r="N650" s="83"/>
      <c r="O650" s="222"/>
      <c r="P650" s="222"/>
      <c r="Q650" s="187"/>
      <c r="R650" s="187"/>
      <c r="S650" s="187"/>
      <c r="T650" s="187"/>
      <c r="U650" s="187"/>
      <c r="V650" s="187"/>
      <c r="W650" s="187"/>
      <c r="X650" s="187"/>
      <c r="Y650" s="187"/>
      <c r="Z650" s="187"/>
      <c r="AA650" s="187"/>
      <c r="AB650" s="187"/>
    </row>
    <row r="651" spans="1:28" ht="15.75" customHeight="1">
      <c r="A651" s="219"/>
      <c r="B651" s="83"/>
      <c r="C651" s="81"/>
      <c r="D651" s="82"/>
      <c r="E651" s="81"/>
      <c r="F651" s="82"/>
      <c r="G651" s="83"/>
      <c r="H651" s="221"/>
      <c r="I651" s="83"/>
      <c r="J651" s="83"/>
      <c r="K651" s="83"/>
      <c r="L651" s="84"/>
      <c r="M651" s="84"/>
      <c r="N651" s="83"/>
      <c r="O651" s="222"/>
      <c r="P651" s="222"/>
      <c r="Q651" s="187"/>
      <c r="R651" s="187"/>
      <c r="S651" s="187"/>
      <c r="T651" s="187"/>
      <c r="U651" s="187"/>
      <c r="V651" s="187"/>
      <c r="W651" s="187"/>
      <c r="X651" s="187"/>
      <c r="Y651" s="187"/>
      <c r="Z651" s="187"/>
      <c r="AA651" s="187"/>
      <c r="AB651" s="187"/>
    </row>
    <row r="652" spans="1:28" ht="15.75" customHeight="1">
      <c r="A652" s="219"/>
      <c r="B652" s="83"/>
      <c r="C652" s="81"/>
      <c r="D652" s="82"/>
      <c r="E652" s="81"/>
      <c r="F652" s="82"/>
      <c r="G652" s="83"/>
      <c r="H652" s="221"/>
      <c r="I652" s="83"/>
      <c r="J652" s="83"/>
      <c r="K652" s="83"/>
      <c r="L652" s="84"/>
      <c r="M652" s="84"/>
      <c r="N652" s="83"/>
      <c r="O652" s="222"/>
      <c r="P652" s="222"/>
      <c r="Q652" s="187"/>
      <c r="R652" s="187"/>
      <c r="S652" s="187"/>
      <c r="T652" s="187"/>
      <c r="U652" s="187"/>
      <c r="V652" s="187"/>
      <c r="W652" s="187"/>
      <c r="X652" s="187"/>
      <c r="Y652" s="187"/>
      <c r="Z652" s="187"/>
      <c r="AA652" s="187"/>
      <c r="AB652" s="187"/>
    </row>
    <row r="653" spans="1:28" ht="15.75" customHeight="1">
      <c r="A653" s="219"/>
      <c r="B653" s="83"/>
      <c r="C653" s="81"/>
      <c r="D653" s="82"/>
      <c r="E653" s="81"/>
      <c r="F653" s="82"/>
      <c r="G653" s="83"/>
      <c r="H653" s="221"/>
      <c r="I653" s="83"/>
      <c r="J653" s="83"/>
      <c r="K653" s="83"/>
      <c r="L653" s="84"/>
      <c r="M653" s="84"/>
      <c r="N653" s="83"/>
      <c r="O653" s="222"/>
      <c r="P653" s="222"/>
      <c r="Q653" s="187"/>
      <c r="R653" s="187"/>
      <c r="S653" s="187"/>
      <c r="T653" s="187"/>
      <c r="U653" s="187"/>
      <c r="V653" s="187"/>
      <c r="W653" s="187"/>
      <c r="X653" s="187"/>
      <c r="Y653" s="187"/>
      <c r="Z653" s="187"/>
      <c r="AA653" s="187"/>
      <c r="AB653" s="187"/>
    </row>
    <row r="654" spans="1:28" ht="15.75" customHeight="1">
      <c r="A654" s="219"/>
      <c r="B654" s="83"/>
      <c r="C654" s="81"/>
      <c r="D654" s="82"/>
      <c r="E654" s="81"/>
      <c r="F654" s="82"/>
      <c r="G654" s="83"/>
      <c r="H654" s="221"/>
      <c r="I654" s="83"/>
      <c r="J654" s="83"/>
      <c r="K654" s="83"/>
      <c r="L654" s="84"/>
      <c r="M654" s="84"/>
      <c r="N654" s="83"/>
      <c r="O654" s="222"/>
      <c r="P654" s="222"/>
      <c r="Q654" s="187"/>
      <c r="R654" s="187"/>
      <c r="S654" s="187"/>
      <c r="T654" s="187"/>
      <c r="U654" s="187"/>
      <c r="V654" s="187"/>
      <c r="W654" s="187"/>
      <c r="X654" s="187"/>
      <c r="Y654" s="187"/>
      <c r="Z654" s="187"/>
      <c r="AA654" s="187"/>
      <c r="AB654" s="187"/>
    </row>
    <row r="655" spans="1:28" ht="15.75" customHeight="1">
      <c r="A655" s="219"/>
      <c r="B655" s="83"/>
      <c r="C655" s="81"/>
      <c r="D655" s="82"/>
      <c r="E655" s="81"/>
      <c r="F655" s="82"/>
      <c r="G655" s="83"/>
      <c r="H655" s="221"/>
      <c r="I655" s="83"/>
      <c r="J655" s="83"/>
      <c r="K655" s="83"/>
      <c r="L655" s="84"/>
      <c r="M655" s="84"/>
      <c r="N655" s="83"/>
      <c r="O655" s="222"/>
      <c r="P655" s="222"/>
      <c r="Q655" s="187"/>
      <c r="R655" s="187"/>
      <c r="S655" s="187"/>
      <c r="T655" s="187"/>
      <c r="U655" s="187"/>
      <c r="V655" s="187"/>
      <c r="W655" s="187"/>
      <c r="X655" s="187"/>
      <c r="Y655" s="187"/>
      <c r="Z655" s="187"/>
      <c r="AA655" s="187"/>
      <c r="AB655" s="187"/>
    </row>
    <row r="656" spans="1:28" ht="15.75" customHeight="1">
      <c r="A656" s="219"/>
      <c r="B656" s="83"/>
      <c r="C656" s="81"/>
      <c r="D656" s="82"/>
      <c r="E656" s="81"/>
      <c r="F656" s="82"/>
      <c r="G656" s="83"/>
      <c r="H656" s="221"/>
      <c r="I656" s="83"/>
      <c r="J656" s="83"/>
      <c r="K656" s="83"/>
      <c r="L656" s="84"/>
      <c r="M656" s="84"/>
      <c r="N656" s="83"/>
      <c r="O656" s="222"/>
      <c r="P656" s="222"/>
      <c r="Q656" s="187"/>
      <c r="R656" s="187"/>
      <c r="S656" s="187"/>
      <c r="T656" s="187"/>
      <c r="U656" s="187"/>
      <c r="V656" s="187"/>
      <c r="W656" s="187"/>
      <c r="X656" s="187"/>
      <c r="Y656" s="187"/>
      <c r="Z656" s="187"/>
      <c r="AA656" s="187"/>
      <c r="AB656" s="187"/>
    </row>
    <row r="657" spans="1:28" ht="15.75" customHeight="1">
      <c r="A657" s="219"/>
      <c r="B657" s="83"/>
      <c r="C657" s="81"/>
      <c r="D657" s="82"/>
      <c r="E657" s="81"/>
      <c r="F657" s="82"/>
      <c r="G657" s="83"/>
      <c r="H657" s="221"/>
      <c r="I657" s="83"/>
      <c r="J657" s="83"/>
      <c r="K657" s="83"/>
      <c r="L657" s="84"/>
      <c r="M657" s="84"/>
      <c r="N657" s="83"/>
      <c r="O657" s="222"/>
      <c r="P657" s="222"/>
      <c r="Q657" s="187"/>
      <c r="R657" s="187"/>
      <c r="S657" s="187"/>
      <c r="T657" s="187"/>
      <c r="U657" s="187"/>
      <c r="V657" s="187"/>
      <c r="W657" s="187"/>
      <c r="X657" s="187"/>
      <c r="Y657" s="187"/>
      <c r="Z657" s="187"/>
      <c r="AA657" s="187"/>
      <c r="AB657" s="187"/>
    </row>
    <row r="658" spans="1:28" ht="15.75" customHeight="1">
      <c r="A658" s="219"/>
      <c r="B658" s="83"/>
      <c r="C658" s="81"/>
      <c r="D658" s="82"/>
      <c r="E658" s="81"/>
      <c r="F658" s="82"/>
      <c r="G658" s="83"/>
      <c r="H658" s="221"/>
      <c r="I658" s="83"/>
      <c r="J658" s="83"/>
      <c r="K658" s="83"/>
      <c r="L658" s="84"/>
      <c r="M658" s="84"/>
      <c r="N658" s="83"/>
      <c r="O658" s="222"/>
      <c r="P658" s="222"/>
      <c r="Q658" s="187"/>
      <c r="R658" s="187"/>
      <c r="S658" s="187"/>
      <c r="T658" s="187"/>
      <c r="U658" s="187"/>
      <c r="V658" s="187"/>
      <c r="W658" s="187"/>
      <c r="X658" s="187"/>
      <c r="Y658" s="187"/>
      <c r="Z658" s="187"/>
      <c r="AA658" s="187"/>
      <c r="AB658" s="187"/>
    </row>
    <row r="659" spans="1:28" ht="15.75" customHeight="1">
      <c r="A659" s="219"/>
      <c r="B659" s="83"/>
      <c r="C659" s="81"/>
      <c r="D659" s="82"/>
      <c r="E659" s="81"/>
      <c r="F659" s="82"/>
      <c r="G659" s="83"/>
      <c r="H659" s="221"/>
      <c r="I659" s="83"/>
      <c r="J659" s="83"/>
      <c r="K659" s="83"/>
      <c r="L659" s="84"/>
      <c r="M659" s="84"/>
      <c r="N659" s="83"/>
      <c r="O659" s="222"/>
      <c r="P659" s="222"/>
      <c r="Q659" s="187"/>
      <c r="R659" s="187"/>
      <c r="S659" s="187"/>
      <c r="T659" s="187"/>
      <c r="U659" s="187"/>
      <c r="V659" s="187"/>
      <c r="W659" s="187"/>
      <c r="X659" s="187"/>
      <c r="Y659" s="187"/>
      <c r="Z659" s="187"/>
      <c r="AA659" s="187"/>
      <c r="AB659" s="187"/>
    </row>
    <row r="660" spans="1:28" ht="15.75" customHeight="1">
      <c r="A660" s="219"/>
      <c r="B660" s="83"/>
      <c r="C660" s="81"/>
      <c r="D660" s="82"/>
      <c r="E660" s="81"/>
      <c r="F660" s="82"/>
      <c r="G660" s="83"/>
      <c r="H660" s="221"/>
      <c r="I660" s="83"/>
      <c r="J660" s="83"/>
      <c r="K660" s="83"/>
      <c r="L660" s="84"/>
      <c r="M660" s="84"/>
      <c r="N660" s="83"/>
      <c r="O660" s="222"/>
      <c r="P660" s="222"/>
      <c r="Q660" s="187"/>
      <c r="R660" s="187"/>
      <c r="S660" s="187"/>
      <c r="T660" s="187"/>
      <c r="U660" s="187"/>
      <c r="V660" s="187"/>
      <c r="W660" s="187"/>
      <c r="X660" s="187"/>
      <c r="Y660" s="187"/>
      <c r="Z660" s="187"/>
      <c r="AA660" s="187"/>
      <c r="AB660" s="187"/>
    </row>
    <row r="661" spans="1:28" ht="15.75" customHeight="1">
      <c r="A661" s="219"/>
      <c r="B661" s="83"/>
      <c r="C661" s="81"/>
      <c r="D661" s="82"/>
      <c r="E661" s="81"/>
      <c r="F661" s="82"/>
      <c r="G661" s="83"/>
      <c r="H661" s="221"/>
      <c r="I661" s="83"/>
      <c r="J661" s="83"/>
      <c r="K661" s="83"/>
      <c r="L661" s="84"/>
      <c r="M661" s="84"/>
      <c r="N661" s="83"/>
      <c r="O661" s="222"/>
      <c r="P661" s="222"/>
      <c r="Q661" s="187"/>
      <c r="R661" s="187"/>
      <c r="S661" s="187"/>
      <c r="T661" s="187"/>
      <c r="U661" s="187"/>
      <c r="V661" s="187"/>
      <c r="W661" s="187"/>
      <c r="X661" s="187"/>
      <c r="Y661" s="187"/>
      <c r="Z661" s="187"/>
      <c r="AA661" s="187"/>
      <c r="AB661" s="187"/>
    </row>
    <row r="662" spans="1:28" ht="15.75" customHeight="1">
      <c r="A662" s="219"/>
      <c r="B662" s="83"/>
      <c r="C662" s="81"/>
      <c r="D662" s="82"/>
      <c r="E662" s="81"/>
      <c r="F662" s="82"/>
      <c r="G662" s="83"/>
      <c r="H662" s="221"/>
      <c r="I662" s="83"/>
      <c r="J662" s="83"/>
      <c r="K662" s="83"/>
      <c r="L662" s="84"/>
      <c r="M662" s="84"/>
      <c r="N662" s="83"/>
      <c r="O662" s="222"/>
      <c r="P662" s="222"/>
      <c r="Q662" s="187"/>
      <c r="R662" s="187"/>
      <c r="S662" s="187"/>
      <c r="T662" s="187"/>
      <c r="U662" s="187"/>
      <c r="V662" s="187"/>
      <c r="W662" s="187"/>
      <c r="X662" s="187"/>
      <c r="Y662" s="187"/>
      <c r="Z662" s="187"/>
      <c r="AA662" s="187"/>
      <c r="AB662" s="187"/>
    </row>
    <row r="663" spans="1:28" ht="15.75" customHeight="1">
      <c r="A663" s="219"/>
      <c r="B663" s="83"/>
      <c r="C663" s="81"/>
      <c r="D663" s="82"/>
      <c r="E663" s="81"/>
      <c r="F663" s="82"/>
      <c r="G663" s="83"/>
      <c r="H663" s="221"/>
      <c r="I663" s="83"/>
      <c r="J663" s="83"/>
      <c r="K663" s="83"/>
      <c r="L663" s="84"/>
      <c r="M663" s="84"/>
      <c r="N663" s="83"/>
      <c r="O663" s="222"/>
      <c r="P663" s="222"/>
      <c r="Q663" s="187"/>
      <c r="R663" s="187"/>
      <c r="S663" s="187"/>
      <c r="T663" s="187"/>
      <c r="U663" s="187"/>
      <c r="V663" s="187"/>
      <c r="W663" s="187"/>
      <c r="X663" s="187"/>
      <c r="Y663" s="187"/>
      <c r="Z663" s="187"/>
      <c r="AA663" s="187"/>
      <c r="AB663" s="187"/>
    </row>
    <row r="664" spans="1:28" ht="15.75" customHeight="1">
      <c r="A664" s="219"/>
      <c r="B664" s="83"/>
      <c r="C664" s="81"/>
      <c r="D664" s="82"/>
      <c r="E664" s="81"/>
      <c r="F664" s="82"/>
      <c r="G664" s="83"/>
      <c r="H664" s="221"/>
      <c r="I664" s="83"/>
      <c r="J664" s="83"/>
      <c r="K664" s="83"/>
      <c r="L664" s="84"/>
      <c r="M664" s="84"/>
      <c r="N664" s="83"/>
      <c r="O664" s="222"/>
      <c r="P664" s="222"/>
      <c r="Q664" s="187"/>
      <c r="R664" s="187"/>
      <c r="S664" s="187"/>
      <c r="T664" s="187"/>
      <c r="U664" s="187"/>
      <c r="V664" s="187"/>
      <c r="W664" s="187"/>
      <c r="X664" s="187"/>
      <c r="Y664" s="187"/>
      <c r="Z664" s="187"/>
      <c r="AA664" s="187"/>
      <c r="AB664" s="187"/>
    </row>
    <row r="665" spans="1:28" ht="15.75" customHeight="1">
      <c r="A665" s="219"/>
      <c r="B665" s="83"/>
      <c r="C665" s="81"/>
      <c r="D665" s="82"/>
      <c r="E665" s="81"/>
      <c r="F665" s="82"/>
      <c r="G665" s="83"/>
      <c r="H665" s="221"/>
      <c r="I665" s="83"/>
      <c r="J665" s="83"/>
      <c r="K665" s="83"/>
      <c r="L665" s="84"/>
      <c r="M665" s="84"/>
      <c r="N665" s="83"/>
      <c r="O665" s="222"/>
      <c r="P665" s="222"/>
      <c r="Q665" s="187"/>
      <c r="R665" s="187"/>
      <c r="S665" s="187"/>
      <c r="T665" s="187"/>
      <c r="U665" s="187"/>
      <c r="V665" s="187"/>
      <c r="W665" s="187"/>
      <c r="X665" s="187"/>
      <c r="Y665" s="187"/>
      <c r="Z665" s="187"/>
      <c r="AA665" s="187"/>
      <c r="AB665" s="187"/>
    </row>
    <row r="666" spans="1:28" ht="15.75" customHeight="1">
      <c r="A666" s="219"/>
      <c r="B666" s="83"/>
      <c r="C666" s="81"/>
      <c r="D666" s="82"/>
      <c r="E666" s="81"/>
      <c r="F666" s="82"/>
      <c r="G666" s="83"/>
      <c r="H666" s="221"/>
      <c r="I666" s="83"/>
      <c r="J666" s="83"/>
      <c r="K666" s="83"/>
      <c r="L666" s="84"/>
      <c r="M666" s="84"/>
      <c r="N666" s="83"/>
      <c r="O666" s="222"/>
      <c r="P666" s="222"/>
      <c r="Q666" s="187"/>
      <c r="R666" s="187"/>
      <c r="S666" s="187"/>
      <c r="T666" s="187"/>
      <c r="U666" s="187"/>
      <c r="V666" s="187"/>
      <c r="W666" s="187"/>
      <c r="X666" s="187"/>
      <c r="Y666" s="187"/>
      <c r="Z666" s="187"/>
      <c r="AA666" s="187"/>
      <c r="AB666" s="187"/>
    </row>
    <row r="667" spans="1:28" ht="15.75" customHeight="1">
      <c r="A667" s="219"/>
      <c r="B667" s="83"/>
      <c r="C667" s="81"/>
      <c r="D667" s="82"/>
      <c r="E667" s="81"/>
      <c r="F667" s="82"/>
      <c r="G667" s="83"/>
      <c r="H667" s="221"/>
      <c r="I667" s="83"/>
      <c r="J667" s="83"/>
      <c r="K667" s="83"/>
      <c r="L667" s="84"/>
      <c r="M667" s="84"/>
      <c r="N667" s="83"/>
      <c r="O667" s="222"/>
      <c r="P667" s="222"/>
      <c r="Q667" s="187"/>
      <c r="R667" s="187"/>
      <c r="S667" s="187"/>
      <c r="T667" s="187"/>
      <c r="U667" s="187"/>
      <c r="V667" s="187"/>
      <c r="W667" s="187"/>
      <c r="X667" s="187"/>
      <c r="Y667" s="187"/>
      <c r="Z667" s="187"/>
      <c r="AA667" s="187"/>
      <c r="AB667" s="187"/>
    </row>
    <row r="668" spans="1:28" ht="15.75" customHeight="1">
      <c r="A668" s="219"/>
      <c r="B668" s="83"/>
      <c r="C668" s="81"/>
      <c r="D668" s="82"/>
      <c r="E668" s="81"/>
      <c r="F668" s="82"/>
      <c r="G668" s="83"/>
      <c r="H668" s="221"/>
      <c r="I668" s="83"/>
      <c r="J668" s="83"/>
      <c r="K668" s="83"/>
      <c r="L668" s="84"/>
      <c r="M668" s="84"/>
      <c r="N668" s="83"/>
      <c r="O668" s="222"/>
      <c r="P668" s="222"/>
      <c r="Q668" s="187"/>
      <c r="R668" s="187"/>
      <c r="S668" s="187"/>
      <c r="T668" s="187"/>
      <c r="U668" s="187"/>
      <c r="V668" s="187"/>
      <c r="W668" s="187"/>
      <c r="X668" s="187"/>
      <c r="Y668" s="187"/>
      <c r="Z668" s="187"/>
      <c r="AA668" s="187"/>
      <c r="AB668" s="187"/>
    </row>
    <row r="669" spans="1:28" ht="15.75" customHeight="1">
      <c r="A669" s="219"/>
      <c r="B669" s="83"/>
      <c r="C669" s="81"/>
      <c r="D669" s="82"/>
      <c r="E669" s="81"/>
      <c r="F669" s="82"/>
      <c r="G669" s="83"/>
      <c r="H669" s="221"/>
      <c r="I669" s="83"/>
      <c r="J669" s="83"/>
      <c r="K669" s="83"/>
      <c r="L669" s="84"/>
      <c r="M669" s="84"/>
      <c r="N669" s="83"/>
      <c r="O669" s="222"/>
      <c r="P669" s="222"/>
      <c r="Q669" s="187"/>
      <c r="R669" s="187"/>
      <c r="S669" s="187"/>
      <c r="T669" s="187"/>
      <c r="U669" s="187"/>
      <c r="V669" s="187"/>
      <c r="W669" s="187"/>
      <c r="X669" s="187"/>
      <c r="Y669" s="187"/>
      <c r="Z669" s="187"/>
      <c r="AA669" s="187"/>
      <c r="AB669" s="187"/>
    </row>
    <row r="670" spans="1:28" ht="15.75" customHeight="1">
      <c r="A670" s="219"/>
      <c r="B670" s="83"/>
      <c r="C670" s="81"/>
      <c r="D670" s="82"/>
      <c r="E670" s="81"/>
      <c r="F670" s="82"/>
      <c r="G670" s="83"/>
      <c r="H670" s="221"/>
      <c r="I670" s="83"/>
      <c r="J670" s="83"/>
      <c r="K670" s="83"/>
      <c r="L670" s="84"/>
      <c r="M670" s="84"/>
      <c r="N670" s="83"/>
      <c r="O670" s="222"/>
      <c r="P670" s="222"/>
      <c r="Q670" s="187"/>
      <c r="R670" s="187"/>
      <c r="S670" s="187"/>
      <c r="T670" s="187"/>
      <c r="U670" s="187"/>
      <c r="V670" s="187"/>
      <c r="W670" s="187"/>
      <c r="X670" s="187"/>
      <c r="Y670" s="187"/>
      <c r="Z670" s="187"/>
      <c r="AA670" s="187"/>
      <c r="AB670" s="187"/>
    </row>
    <row r="671" spans="1:28" ht="15.75" customHeight="1">
      <c r="A671" s="219"/>
      <c r="B671" s="83"/>
      <c r="C671" s="81"/>
      <c r="D671" s="82"/>
      <c r="E671" s="81"/>
      <c r="F671" s="82"/>
      <c r="G671" s="83"/>
      <c r="H671" s="221"/>
      <c r="I671" s="83"/>
      <c r="J671" s="83"/>
      <c r="K671" s="83"/>
      <c r="L671" s="84"/>
      <c r="M671" s="84"/>
      <c r="N671" s="83"/>
      <c r="O671" s="222"/>
      <c r="P671" s="222"/>
      <c r="Q671" s="187"/>
      <c r="R671" s="187"/>
      <c r="S671" s="187"/>
      <c r="T671" s="187"/>
      <c r="U671" s="187"/>
      <c r="V671" s="187"/>
      <c r="W671" s="187"/>
      <c r="X671" s="187"/>
      <c r="Y671" s="187"/>
      <c r="Z671" s="187"/>
      <c r="AA671" s="187"/>
      <c r="AB671" s="187"/>
    </row>
    <row r="672" spans="1:28" ht="15.75" customHeight="1">
      <c r="A672" s="219"/>
      <c r="B672" s="83"/>
      <c r="C672" s="81"/>
      <c r="D672" s="82"/>
      <c r="E672" s="81"/>
      <c r="F672" s="82"/>
      <c r="G672" s="83"/>
      <c r="H672" s="221"/>
      <c r="I672" s="83"/>
      <c r="J672" s="83"/>
      <c r="K672" s="83"/>
      <c r="L672" s="84"/>
      <c r="M672" s="84"/>
      <c r="N672" s="83"/>
      <c r="O672" s="222"/>
      <c r="P672" s="222"/>
      <c r="Q672" s="187"/>
      <c r="R672" s="187"/>
      <c r="S672" s="187"/>
      <c r="T672" s="187"/>
      <c r="U672" s="187"/>
      <c r="V672" s="187"/>
      <c r="W672" s="187"/>
      <c r="X672" s="187"/>
      <c r="Y672" s="187"/>
      <c r="Z672" s="187"/>
      <c r="AA672" s="187"/>
      <c r="AB672" s="187"/>
    </row>
    <row r="673" spans="1:28" ht="15.75" customHeight="1">
      <c r="A673" s="219"/>
      <c r="B673" s="83"/>
      <c r="C673" s="81"/>
      <c r="D673" s="82"/>
      <c r="E673" s="81"/>
      <c r="F673" s="82"/>
      <c r="G673" s="83"/>
      <c r="H673" s="221"/>
      <c r="I673" s="83"/>
      <c r="J673" s="83"/>
      <c r="K673" s="83"/>
      <c r="L673" s="84"/>
      <c r="M673" s="84"/>
      <c r="N673" s="83"/>
      <c r="O673" s="222"/>
      <c r="P673" s="222"/>
      <c r="Q673" s="187"/>
      <c r="R673" s="187"/>
      <c r="S673" s="187"/>
      <c r="T673" s="187"/>
      <c r="U673" s="187"/>
      <c r="V673" s="187"/>
      <c r="W673" s="187"/>
      <c r="X673" s="187"/>
      <c r="Y673" s="187"/>
      <c r="Z673" s="187"/>
      <c r="AA673" s="187"/>
      <c r="AB673" s="187"/>
    </row>
    <row r="674" spans="1:28" ht="15.75" customHeight="1">
      <c r="A674" s="219"/>
      <c r="B674" s="83"/>
      <c r="C674" s="81"/>
      <c r="D674" s="82"/>
      <c r="E674" s="81"/>
      <c r="F674" s="82"/>
      <c r="G674" s="83"/>
      <c r="H674" s="221"/>
      <c r="I674" s="83"/>
      <c r="J674" s="83"/>
      <c r="K674" s="83"/>
      <c r="L674" s="84"/>
      <c r="M674" s="84"/>
      <c r="N674" s="83"/>
      <c r="O674" s="222"/>
      <c r="P674" s="222"/>
      <c r="Q674" s="187"/>
      <c r="R674" s="187"/>
      <c r="S674" s="187"/>
      <c r="T674" s="187"/>
      <c r="U674" s="187"/>
      <c r="V674" s="187"/>
      <c r="W674" s="187"/>
      <c r="X674" s="187"/>
      <c r="Y674" s="187"/>
      <c r="Z674" s="187"/>
      <c r="AA674" s="187"/>
      <c r="AB674" s="187"/>
    </row>
    <row r="675" spans="1:28" ht="15.75" customHeight="1">
      <c r="A675" s="219"/>
      <c r="B675" s="83"/>
      <c r="C675" s="81"/>
      <c r="D675" s="82"/>
      <c r="E675" s="81"/>
      <c r="F675" s="82"/>
      <c r="G675" s="83"/>
      <c r="H675" s="221"/>
      <c r="I675" s="83"/>
      <c r="J675" s="83"/>
      <c r="K675" s="83"/>
      <c r="L675" s="84"/>
      <c r="M675" s="84"/>
      <c r="N675" s="83"/>
      <c r="O675" s="222"/>
      <c r="P675" s="222"/>
      <c r="Q675" s="187"/>
      <c r="R675" s="187"/>
      <c r="S675" s="187"/>
      <c r="T675" s="187"/>
      <c r="U675" s="187"/>
      <c r="V675" s="187"/>
      <c r="W675" s="187"/>
      <c r="X675" s="187"/>
      <c r="Y675" s="187"/>
      <c r="Z675" s="187"/>
      <c r="AA675" s="187"/>
      <c r="AB675" s="187"/>
    </row>
    <row r="676" spans="1:28" ht="15.75" customHeight="1">
      <c r="A676" s="219"/>
      <c r="B676" s="83"/>
      <c r="C676" s="81"/>
      <c r="D676" s="82"/>
      <c r="E676" s="81"/>
      <c r="F676" s="82"/>
      <c r="G676" s="83"/>
      <c r="H676" s="221"/>
      <c r="I676" s="83"/>
      <c r="J676" s="83"/>
      <c r="K676" s="83"/>
      <c r="L676" s="84"/>
      <c r="M676" s="84"/>
      <c r="N676" s="83"/>
      <c r="O676" s="222"/>
      <c r="P676" s="222"/>
      <c r="Q676" s="187"/>
      <c r="R676" s="187"/>
      <c r="S676" s="187"/>
      <c r="T676" s="187"/>
      <c r="U676" s="187"/>
      <c r="V676" s="187"/>
      <c r="W676" s="187"/>
      <c r="X676" s="187"/>
      <c r="Y676" s="187"/>
      <c r="Z676" s="187"/>
      <c r="AA676" s="187"/>
      <c r="AB676" s="187"/>
    </row>
    <row r="677" spans="1:28" ht="15.75" customHeight="1">
      <c r="A677" s="219"/>
      <c r="B677" s="83"/>
      <c r="C677" s="81"/>
      <c r="D677" s="82"/>
      <c r="E677" s="81"/>
      <c r="F677" s="82"/>
      <c r="G677" s="83"/>
      <c r="H677" s="221"/>
      <c r="I677" s="83"/>
      <c r="J677" s="83"/>
      <c r="K677" s="83"/>
      <c r="L677" s="84"/>
      <c r="M677" s="84"/>
      <c r="N677" s="83"/>
      <c r="O677" s="222"/>
      <c r="P677" s="222"/>
      <c r="Q677" s="187"/>
      <c r="R677" s="187"/>
      <c r="S677" s="187"/>
      <c r="T677" s="187"/>
      <c r="U677" s="187"/>
      <c r="V677" s="187"/>
      <c r="W677" s="187"/>
      <c r="X677" s="187"/>
      <c r="Y677" s="187"/>
      <c r="Z677" s="187"/>
      <c r="AA677" s="187"/>
      <c r="AB677" s="187"/>
    </row>
    <row r="678" spans="1:28" ht="15.75" customHeight="1">
      <c r="A678" s="219"/>
      <c r="B678" s="83"/>
      <c r="C678" s="81"/>
      <c r="D678" s="82"/>
      <c r="E678" s="81"/>
      <c r="F678" s="82"/>
      <c r="G678" s="83"/>
      <c r="H678" s="221"/>
      <c r="I678" s="83"/>
      <c r="J678" s="83"/>
      <c r="K678" s="83"/>
      <c r="L678" s="84"/>
      <c r="M678" s="84"/>
      <c r="N678" s="83"/>
      <c r="O678" s="222"/>
      <c r="P678" s="222"/>
      <c r="Q678" s="187"/>
      <c r="R678" s="187"/>
      <c r="S678" s="187"/>
      <c r="T678" s="187"/>
      <c r="U678" s="187"/>
      <c r="V678" s="187"/>
      <c r="W678" s="187"/>
      <c r="X678" s="187"/>
      <c r="Y678" s="187"/>
      <c r="Z678" s="187"/>
      <c r="AA678" s="187"/>
      <c r="AB678" s="187"/>
    </row>
    <row r="679" spans="1:28" ht="15.75" customHeight="1">
      <c r="A679" s="219"/>
      <c r="B679" s="83"/>
      <c r="C679" s="81"/>
      <c r="D679" s="82"/>
      <c r="E679" s="81"/>
      <c r="F679" s="82"/>
      <c r="G679" s="83"/>
      <c r="H679" s="221"/>
      <c r="I679" s="83"/>
      <c r="J679" s="83"/>
      <c r="K679" s="83"/>
      <c r="L679" s="84"/>
      <c r="M679" s="84"/>
      <c r="N679" s="83"/>
      <c r="O679" s="222"/>
      <c r="P679" s="222"/>
      <c r="Q679" s="187"/>
      <c r="R679" s="187"/>
      <c r="S679" s="187"/>
      <c r="T679" s="187"/>
      <c r="U679" s="187"/>
      <c r="V679" s="187"/>
      <c r="W679" s="187"/>
      <c r="X679" s="187"/>
      <c r="Y679" s="187"/>
      <c r="Z679" s="187"/>
      <c r="AA679" s="187"/>
      <c r="AB679" s="187"/>
    </row>
    <row r="680" spans="1:28" ht="15.75" customHeight="1">
      <c r="A680" s="219"/>
      <c r="B680" s="83"/>
      <c r="C680" s="81"/>
      <c r="D680" s="82"/>
      <c r="E680" s="81"/>
      <c r="F680" s="82"/>
      <c r="G680" s="83"/>
      <c r="H680" s="221"/>
      <c r="I680" s="83"/>
      <c r="J680" s="83"/>
      <c r="K680" s="83"/>
      <c r="L680" s="84"/>
      <c r="M680" s="84"/>
      <c r="N680" s="83"/>
      <c r="O680" s="222"/>
      <c r="P680" s="222"/>
      <c r="Q680" s="187"/>
      <c r="R680" s="187"/>
      <c r="S680" s="187"/>
      <c r="T680" s="187"/>
      <c r="U680" s="187"/>
      <c r="V680" s="187"/>
      <c r="W680" s="187"/>
      <c r="X680" s="187"/>
      <c r="Y680" s="187"/>
      <c r="Z680" s="187"/>
      <c r="AA680" s="187"/>
      <c r="AB680" s="187"/>
    </row>
    <row r="681" spans="1:28" ht="15.75" customHeight="1">
      <c r="A681" s="219"/>
      <c r="B681" s="83"/>
      <c r="C681" s="81"/>
      <c r="D681" s="82"/>
      <c r="E681" s="81"/>
      <c r="F681" s="82"/>
      <c r="G681" s="83"/>
      <c r="H681" s="221"/>
      <c r="I681" s="83"/>
      <c r="J681" s="83"/>
      <c r="K681" s="83"/>
      <c r="L681" s="84"/>
      <c r="M681" s="84"/>
      <c r="N681" s="83"/>
      <c r="O681" s="222"/>
      <c r="P681" s="222"/>
      <c r="Q681" s="187"/>
      <c r="R681" s="187"/>
      <c r="S681" s="187"/>
      <c r="T681" s="187"/>
      <c r="U681" s="187"/>
      <c r="V681" s="187"/>
      <c r="W681" s="187"/>
      <c r="X681" s="187"/>
      <c r="Y681" s="187"/>
      <c r="Z681" s="187"/>
      <c r="AA681" s="187"/>
      <c r="AB681" s="187"/>
    </row>
    <row r="682" spans="1:28" ht="15.75" customHeight="1">
      <c r="A682" s="219"/>
      <c r="B682" s="83"/>
      <c r="C682" s="81"/>
      <c r="D682" s="82"/>
      <c r="E682" s="81"/>
      <c r="F682" s="82"/>
      <c r="G682" s="83"/>
      <c r="H682" s="221"/>
      <c r="I682" s="83"/>
      <c r="J682" s="83"/>
      <c r="K682" s="83"/>
      <c r="L682" s="84"/>
      <c r="M682" s="84"/>
      <c r="N682" s="83"/>
      <c r="O682" s="222"/>
      <c r="P682" s="222"/>
      <c r="Q682" s="187"/>
      <c r="R682" s="187"/>
      <c r="S682" s="187"/>
      <c r="T682" s="187"/>
      <c r="U682" s="187"/>
      <c r="V682" s="187"/>
      <c r="W682" s="187"/>
      <c r="X682" s="187"/>
      <c r="Y682" s="187"/>
      <c r="Z682" s="187"/>
      <c r="AA682" s="187"/>
      <c r="AB682" s="187"/>
    </row>
    <row r="683" spans="1:28" ht="15.75" customHeight="1">
      <c r="A683" s="219"/>
      <c r="B683" s="83"/>
      <c r="C683" s="81"/>
      <c r="D683" s="82"/>
      <c r="E683" s="81"/>
      <c r="F683" s="82"/>
      <c r="G683" s="83"/>
      <c r="H683" s="221"/>
      <c r="I683" s="83"/>
      <c r="J683" s="83"/>
      <c r="K683" s="83"/>
      <c r="L683" s="84"/>
      <c r="M683" s="84"/>
      <c r="N683" s="83"/>
      <c r="O683" s="222"/>
      <c r="P683" s="222"/>
      <c r="Q683" s="187"/>
      <c r="R683" s="187"/>
      <c r="S683" s="187"/>
      <c r="T683" s="187"/>
      <c r="U683" s="187"/>
      <c r="V683" s="187"/>
      <c r="W683" s="187"/>
      <c r="X683" s="187"/>
      <c r="Y683" s="187"/>
      <c r="Z683" s="187"/>
      <c r="AA683" s="187"/>
      <c r="AB683" s="187"/>
    </row>
    <row r="684" spans="1:28" ht="15.75" customHeight="1">
      <c r="A684" s="219"/>
      <c r="B684" s="83"/>
      <c r="C684" s="81"/>
      <c r="D684" s="82"/>
      <c r="E684" s="81"/>
      <c r="F684" s="82"/>
      <c r="G684" s="83"/>
      <c r="H684" s="221"/>
      <c r="I684" s="83"/>
      <c r="J684" s="83"/>
      <c r="K684" s="83"/>
      <c r="L684" s="84"/>
      <c r="M684" s="84"/>
      <c r="N684" s="83"/>
      <c r="O684" s="222"/>
      <c r="P684" s="222"/>
      <c r="Q684" s="187"/>
      <c r="R684" s="187"/>
      <c r="S684" s="187"/>
      <c r="T684" s="187"/>
      <c r="U684" s="187"/>
      <c r="V684" s="187"/>
      <c r="W684" s="187"/>
      <c r="X684" s="187"/>
      <c r="Y684" s="187"/>
      <c r="Z684" s="187"/>
      <c r="AA684" s="187"/>
      <c r="AB684" s="187"/>
    </row>
    <row r="685" spans="1:28" ht="15.75" customHeight="1">
      <c r="A685" s="219"/>
      <c r="B685" s="83"/>
      <c r="C685" s="81"/>
      <c r="D685" s="82"/>
      <c r="E685" s="81"/>
      <c r="F685" s="82"/>
      <c r="G685" s="83"/>
      <c r="H685" s="221"/>
      <c r="I685" s="83"/>
      <c r="J685" s="83"/>
      <c r="K685" s="83"/>
      <c r="L685" s="84"/>
      <c r="M685" s="84"/>
      <c r="N685" s="83"/>
      <c r="O685" s="222"/>
      <c r="P685" s="222"/>
      <c r="Q685" s="187"/>
      <c r="R685" s="187"/>
      <c r="S685" s="187"/>
      <c r="T685" s="187"/>
      <c r="U685" s="187"/>
      <c r="V685" s="187"/>
      <c r="W685" s="187"/>
      <c r="X685" s="187"/>
      <c r="Y685" s="187"/>
      <c r="Z685" s="187"/>
      <c r="AA685" s="187"/>
      <c r="AB685" s="187"/>
    </row>
    <row r="686" spans="1:28" ht="15.75" customHeight="1">
      <c r="A686" s="219"/>
      <c r="B686" s="83"/>
      <c r="C686" s="81"/>
      <c r="D686" s="82"/>
      <c r="E686" s="81"/>
      <c r="F686" s="82"/>
      <c r="G686" s="83"/>
      <c r="H686" s="221"/>
      <c r="I686" s="83"/>
      <c r="J686" s="83"/>
      <c r="K686" s="83"/>
      <c r="L686" s="84"/>
      <c r="M686" s="84"/>
      <c r="N686" s="83"/>
      <c r="O686" s="222"/>
      <c r="P686" s="222"/>
      <c r="Q686" s="187"/>
      <c r="R686" s="187"/>
      <c r="S686" s="187"/>
      <c r="T686" s="187"/>
      <c r="U686" s="187"/>
      <c r="V686" s="187"/>
      <c r="W686" s="187"/>
      <c r="X686" s="187"/>
      <c r="Y686" s="187"/>
      <c r="Z686" s="187"/>
      <c r="AA686" s="187"/>
      <c r="AB686" s="187"/>
    </row>
    <row r="687" spans="1:28" ht="15.75" customHeight="1">
      <c r="A687" s="219"/>
      <c r="B687" s="83"/>
      <c r="C687" s="81"/>
      <c r="D687" s="82"/>
      <c r="E687" s="81"/>
      <c r="F687" s="82"/>
      <c r="G687" s="83"/>
      <c r="H687" s="221"/>
      <c r="I687" s="83"/>
      <c r="J687" s="83"/>
      <c r="K687" s="83"/>
      <c r="L687" s="84"/>
      <c r="M687" s="84"/>
      <c r="N687" s="83"/>
      <c r="O687" s="222"/>
      <c r="P687" s="222"/>
      <c r="Q687" s="187"/>
      <c r="R687" s="187"/>
      <c r="S687" s="187"/>
      <c r="T687" s="187"/>
      <c r="U687" s="187"/>
      <c r="V687" s="187"/>
      <c r="W687" s="187"/>
      <c r="X687" s="187"/>
      <c r="Y687" s="187"/>
      <c r="Z687" s="187"/>
      <c r="AA687" s="187"/>
      <c r="AB687" s="187"/>
    </row>
    <row r="688" spans="1:28" ht="15.75" customHeight="1">
      <c r="A688" s="219"/>
      <c r="B688" s="83"/>
      <c r="C688" s="81"/>
      <c r="D688" s="82"/>
      <c r="E688" s="81"/>
      <c r="F688" s="82"/>
      <c r="G688" s="83"/>
      <c r="H688" s="221"/>
      <c r="I688" s="83"/>
      <c r="J688" s="83"/>
      <c r="K688" s="83"/>
      <c r="L688" s="84"/>
      <c r="M688" s="84"/>
      <c r="N688" s="83"/>
      <c r="O688" s="222"/>
      <c r="P688" s="222"/>
      <c r="Q688" s="187"/>
      <c r="R688" s="187"/>
      <c r="S688" s="187"/>
      <c r="T688" s="187"/>
      <c r="U688" s="187"/>
      <c r="V688" s="187"/>
      <c r="W688" s="187"/>
      <c r="X688" s="187"/>
      <c r="Y688" s="187"/>
      <c r="Z688" s="187"/>
      <c r="AA688" s="187"/>
      <c r="AB688" s="187"/>
    </row>
    <row r="689" spans="1:28" ht="15.75" customHeight="1">
      <c r="A689" s="219"/>
      <c r="B689" s="83"/>
      <c r="C689" s="81"/>
      <c r="D689" s="82"/>
      <c r="E689" s="81"/>
      <c r="F689" s="82"/>
      <c r="G689" s="83"/>
      <c r="H689" s="221"/>
      <c r="I689" s="83"/>
      <c r="J689" s="83"/>
      <c r="K689" s="83"/>
      <c r="L689" s="84"/>
      <c r="M689" s="84"/>
      <c r="N689" s="83"/>
      <c r="O689" s="222"/>
      <c r="P689" s="222"/>
      <c r="Q689" s="187"/>
      <c r="R689" s="187"/>
      <c r="S689" s="187"/>
      <c r="T689" s="187"/>
      <c r="U689" s="187"/>
      <c r="V689" s="187"/>
      <c r="W689" s="187"/>
      <c r="X689" s="187"/>
      <c r="Y689" s="187"/>
      <c r="Z689" s="187"/>
      <c r="AA689" s="187"/>
      <c r="AB689" s="187"/>
    </row>
    <row r="690" spans="1:28" ht="15.75" customHeight="1">
      <c r="A690" s="219"/>
      <c r="B690" s="83"/>
      <c r="C690" s="81"/>
      <c r="D690" s="82"/>
      <c r="E690" s="81"/>
      <c r="F690" s="82"/>
      <c r="G690" s="83"/>
      <c r="H690" s="221"/>
      <c r="I690" s="83"/>
      <c r="J690" s="83"/>
      <c r="K690" s="83"/>
      <c r="L690" s="84"/>
      <c r="M690" s="84"/>
      <c r="N690" s="83"/>
      <c r="O690" s="222"/>
      <c r="P690" s="222"/>
      <c r="Q690" s="187"/>
      <c r="R690" s="187"/>
      <c r="S690" s="187"/>
      <c r="T690" s="187"/>
      <c r="U690" s="187"/>
      <c r="V690" s="187"/>
      <c r="W690" s="187"/>
      <c r="X690" s="187"/>
      <c r="Y690" s="187"/>
      <c r="Z690" s="187"/>
      <c r="AA690" s="187"/>
      <c r="AB690" s="187"/>
    </row>
    <row r="691" spans="1:28" ht="15.75" customHeight="1">
      <c r="A691" s="219"/>
      <c r="B691" s="83"/>
      <c r="C691" s="81"/>
      <c r="D691" s="82"/>
      <c r="E691" s="81"/>
      <c r="F691" s="82"/>
      <c r="G691" s="83"/>
      <c r="H691" s="221"/>
      <c r="I691" s="83"/>
      <c r="J691" s="83"/>
      <c r="K691" s="83"/>
      <c r="L691" s="84"/>
      <c r="M691" s="84"/>
      <c r="N691" s="83"/>
      <c r="O691" s="222"/>
      <c r="P691" s="222"/>
      <c r="Q691" s="187"/>
      <c r="R691" s="187"/>
      <c r="S691" s="187"/>
      <c r="T691" s="187"/>
      <c r="U691" s="187"/>
      <c r="V691" s="187"/>
      <c r="W691" s="187"/>
      <c r="X691" s="187"/>
      <c r="Y691" s="187"/>
      <c r="Z691" s="187"/>
      <c r="AA691" s="187"/>
      <c r="AB691" s="187"/>
    </row>
    <row r="692" spans="1:28" ht="15.75" customHeight="1">
      <c r="A692" s="219"/>
      <c r="B692" s="83"/>
      <c r="C692" s="81"/>
      <c r="D692" s="82"/>
      <c r="E692" s="81"/>
      <c r="F692" s="82"/>
      <c r="G692" s="83"/>
      <c r="H692" s="221"/>
      <c r="I692" s="83"/>
      <c r="J692" s="83"/>
      <c r="K692" s="83"/>
      <c r="L692" s="84"/>
      <c r="M692" s="84"/>
      <c r="N692" s="83"/>
      <c r="O692" s="222"/>
      <c r="P692" s="222"/>
      <c r="Q692" s="187"/>
      <c r="R692" s="187"/>
      <c r="S692" s="187"/>
      <c r="T692" s="187"/>
      <c r="U692" s="187"/>
      <c r="V692" s="187"/>
      <c r="W692" s="187"/>
      <c r="X692" s="187"/>
      <c r="Y692" s="187"/>
      <c r="Z692" s="187"/>
      <c r="AA692" s="187"/>
      <c r="AB692" s="187"/>
    </row>
    <row r="693" spans="1:28" ht="15.75" customHeight="1">
      <c r="A693" s="219"/>
      <c r="B693" s="83"/>
      <c r="C693" s="81"/>
      <c r="D693" s="82"/>
      <c r="E693" s="81"/>
      <c r="F693" s="82"/>
      <c r="G693" s="83"/>
      <c r="H693" s="221"/>
      <c r="I693" s="83"/>
      <c r="J693" s="83"/>
      <c r="K693" s="83"/>
      <c r="L693" s="84"/>
      <c r="M693" s="84"/>
      <c r="N693" s="83"/>
      <c r="O693" s="222"/>
      <c r="P693" s="222"/>
      <c r="Q693" s="187"/>
      <c r="R693" s="187"/>
      <c r="S693" s="187"/>
      <c r="T693" s="187"/>
      <c r="U693" s="187"/>
      <c r="V693" s="187"/>
      <c r="W693" s="187"/>
      <c r="X693" s="187"/>
      <c r="Y693" s="187"/>
      <c r="Z693" s="187"/>
      <c r="AA693" s="187"/>
      <c r="AB693" s="187"/>
    </row>
    <row r="694" spans="1:28" ht="15.75" customHeight="1">
      <c r="A694" s="219"/>
      <c r="B694" s="83"/>
      <c r="C694" s="81"/>
      <c r="D694" s="82"/>
      <c r="E694" s="81"/>
      <c r="F694" s="82"/>
      <c r="G694" s="83"/>
      <c r="H694" s="221"/>
      <c r="I694" s="83"/>
      <c r="J694" s="83"/>
      <c r="K694" s="83"/>
      <c r="L694" s="84"/>
      <c r="M694" s="84"/>
      <c r="N694" s="83"/>
      <c r="O694" s="222"/>
      <c r="P694" s="222"/>
      <c r="Q694" s="187"/>
      <c r="R694" s="187"/>
      <c r="S694" s="187"/>
      <c r="T694" s="187"/>
      <c r="U694" s="187"/>
      <c r="V694" s="187"/>
      <c r="W694" s="187"/>
      <c r="X694" s="187"/>
      <c r="Y694" s="187"/>
      <c r="Z694" s="187"/>
      <c r="AA694" s="187"/>
      <c r="AB694" s="187"/>
    </row>
    <row r="695" spans="1:28" ht="15.75" customHeight="1">
      <c r="A695" s="219"/>
      <c r="B695" s="83"/>
      <c r="C695" s="81"/>
      <c r="D695" s="82"/>
      <c r="E695" s="81"/>
      <c r="F695" s="82"/>
      <c r="G695" s="83"/>
      <c r="H695" s="221"/>
      <c r="I695" s="83"/>
      <c r="J695" s="83"/>
      <c r="K695" s="83"/>
      <c r="L695" s="84"/>
      <c r="M695" s="84"/>
      <c r="N695" s="83"/>
      <c r="O695" s="222"/>
      <c r="P695" s="222"/>
      <c r="Q695" s="187"/>
      <c r="R695" s="187"/>
      <c r="S695" s="187"/>
      <c r="T695" s="187"/>
      <c r="U695" s="187"/>
      <c r="V695" s="187"/>
      <c r="W695" s="187"/>
      <c r="X695" s="187"/>
      <c r="Y695" s="187"/>
      <c r="Z695" s="187"/>
      <c r="AA695" s="187"/>
      <c r="AB695" s="187"/>
    </row>
    <row r="696" spans="1:28" ht="15.75" customHeight="1">
      <c r="A696" s="219"/>
      <c r="B696" s="83"/>
      <c r="C696" s="81"/>
      <c r="D696" s="82"/>
      <c r="E696" s="81"/>
      <c r="F696" s="82"/>
      <c r="G696" s="83"/>
      <c r="H696" s="221"/>
      <c r="I696" s="83"/>
      <c r="J696" s="83"/>
      <c r="K696" s="83"/>
      <c r="L696" s="84"/>
      <c r="M696" s="84"/>
      <c r="N696" s="83"/>
      <c r="O696" s="222"/>
      <c r="P696" s="222"/>
      <c r="Q696" s="187"/>
      <c r="R696" s="187"/>
      <c r="S696" s="187"/>
      <c r="T696" s="187"/>
      <c r="U696" s="187"/>
      <c r="V696" s="187"/>
      <c r="W696" s="187"/>
      <c r="X696" s="187"/>
      <c r="Y696" s="187"/>
      <c r="Z696" s="187"/>
      <c r="AA696" s="187"/>
      <c r="AB696" s="187"/>
    </row>
    <row r="697" spans="1:28" ht="15.75" customHeight="1">
      <c r="A697" s="219"/>
      <c r="B697" s="83"/>
      <c r="C697" s="81"/>
      <c r="D697" s="82"/>
      <c r="E697" s="81"/>
      <c r="F697" s="82"/>
      <c r="G697" s="83"/>
      <c r="H697" s="221"/>
      <c r="I697" s="83"/>
      <c r="J697" s="83"/>
      <c r="K697" s="83"/>
      <c r="L697" s="84"/>
      <c r="M697" s="84"/>
      <c r="N697" s="83"/>
      <c r="O697" s="222"/>
      <c r="P697" s="222"/>
      <c r="Q697" s="187"/>
      <c r="R697" s="187"/>
      <c r="S697" s="187"/>
      <c r="T697" s="187"/>
      <c r="U697" s="187"/>
      <c r="V697" s="187"/>
      <c r="W697" s="187"/>
      <c r="X697" s="187"/>
      <c r="Y697" s="187"/>
      <c r="Z697" s="187"/>
      <c r="AA697" s="187"/>
      <c r="AB697" s="187"/>
    </row>
    <row r="698" spans="1:28" ht="15.75" customHeight="1">
      <c r="A698" s="219"/>
      <c r="B698" s="83"/>
      <c r="C698" s="81"/>
      <c r="D698" s="82"/>
      <c r="E698" s="81"/>
      <c r="F698" s="82"/>
      <c r="G698" s="83"/>
      <c r="H698" s="221"/>
      <c r="I698" s="83"/>
      <c r="J698" s="83"/>
      <c r="K698" s="83"/>
      <c r="L698" s="84"/>
      <c r="M698" s="84"/>
      <c r="N698" s="83"/>
      <c r="O698" s="222"/>
      <c r="P698" s="222"/>
      <c r="Q698" s="187"/>
      <c r="R698" s="187"/>
      <c r="S698" s="187"/>
      <c r="T698" s="187"/>
      <c r="U698" s="187"/>
      <c r="V698" s="187"/>
      <c r="W698" s="187"/>
      <c r="X698" s="187"/>
      <c r="Y698" s="187"/>
      <c r="Z698" s="187"/>
      <c r="AA698" s="187"/>
      <c r="AB698" s="187"/>
    </row>
    <row r="699" spans="1:28" ht="15.75" customHeight="1">
      <c r="A699" s="219"/>
      <c r="B699" s="83"/>
      <c r="C699" s="81"/>
      <c r="D699" s="82"/>
      <c r="E699" s="81"/>
      <c r="F699" s="82"/>
      <c r="G699" s="83"/>
      <c r="H699" s="221"/>
      <c r="I699" s="83"/>
      <c r="J699" s="83"/>
      <c r="K699" s="83"/>
      <c r="L699" s="84"/>
      <c r="M699" s="84"/>
      <c r="N699" s="83"/>
      <c r="O699" s="222"/>
      <c r="P699" s="222"/>
      <c r="Q699" s="187"/>
      <c r="R699" s="187"/>
      <c r="S699" s="187"/>
      <c r="T699" s="187"/>
      <c r="U699" s="187"/>
      <c r="V699" s="187"/>
      <c r="W699" s="187"/>
      <c r="X699" s="187"/>
      <c r="Y699" s="187"/>
      <c r="Z699" s="187"/>
      <c r="AA699" s="187"/>
      <c r="AB699" s="187"/>
    </row>
    <row r="700" spans="1:28" ht="15.75" customHeight="1">
      <c r="A700" s="219"/>
      <c r="B700" s="83"/>
      <c r="C700" s="81"/>
      <c r="D700" s="82"/>
      <c r="E700" s="81"/>
      <c r="F700" s="82"/>
      <c r="G700" s="83"/>
      <c r="H700" s="221"/>
      <c r="I700" s="83"/>
      <c r="J700" s="83"/>
      <c r="K700" s="83"/>
      <c r="L700" s="84"/>
      <c r="M700" s="84"/>
      <c r="N700" s="83"/>
      <c r="O700" s="222"/>
      <c r="P700" s="222"/>
      <c r="Q700" s="187"/>
      <c r="R700" s="187"/>
      <c r="S700" s="187"/>
      <c r="T700" s="187"/>
      <c r="U700" s="187"/>
      <c r="V700" s="187"/>
      <c r="W700" s="187"/>
      <c r="X700" s="187"/>
      <c r="Y700" s="187"/>
      <c r="Z700" s="187"/>
      <c r="AA700" s="187"/>
      <c r="AB700" s="187"/>
    </row>
    <row r="701" spans="1:28" ht="15.75" customHeight="1">
      <c r="A701" s="219"/>
      <c r="B701" s="83"/>
      <c r="C701" s="81"/>
      <c r="D701" s="82"/>
      <c r="E701" s="81"/>
      <c r="F701" s="82"/>
      <c r="G701" s="83"/>
      <c r="H701" s="221"/>
      <c r="I701" s="83"/>
      <c r="J701" s="83"/>
      <c r="K701" s="83"/>
      <c r="L701" s="84"/>
      <c r="M701" s="84"/>
      <c r="N701" s="83"/>
      <c r="O701" s="222"/>
      <c r="P701" s="222"/>
      <c r="Q701" s="187"/>
      <c r="R701" s="187"/>
      <c r="S701" s="187"/>
      <c r="T701" s="187"/>
      <c r="U701" s="187"/>
      <c r="V701" s="187"/>
      <c r="W701" s="187"/>
      <c r="X701" s="187"/>
      <c r="Y701" s="187"/>
      <c r="Z701" s="187"/>
      <c r="AA701" s="187"/>
      <c r="AB701" s="187"/>
    </row>
    <row r="702" spans="1:28" ht="15.75" customHeight="1">
      <c r="A702" s="219"/>
      <c r="B702" s="83"/>
      <c r="C702" s="81"/>
      <c r="D702" s="82"/>
      <c r="E702" s="81"/>
      <c r="F702" s="82"/>
      <c r="G702" s="83"/>
      <c r="H702" s="221"/>
      <c r="I702" s="83"/>
      <c r="J702" s="83"/>
      <c r="K702" s="83"/>
      <c r="L702" s="84"/>
      <c r="M702" s="84"/>
      <c r="N702" s="83"/>
      <c r="O702" s="222"/>
      <c r="P702" s="222"/>
      <c r="Q702" s="187"/>
      <c r="R702" s="187"/>
      <c r="S702" s="187"/>
      <c r="T702" s="187"/>
      <c r="U702" s="187"/>
      <c r="V702" s="187"/>
      <c r="W702" s="187"/>
      <c r="X702" s="187"/>
      <c r="Y702" s="187"/>
      <c r="Z702" s="187"/>
      <c r="AA702" s="187"/>
      <c r="AB702" s="187"/>
    </row>
    <row r="703" spans="1:28" ht="15.75" customHeight="1">
      <c r="A703" s="219"/>
      <c r="B703" s="83"/>
      <c r="C703" s="81"/>
      <c r="D703" s="82"/>
      <c r="E703" s="81"/>
      <c r="F703" s="82"/>
      <c r="G703" s="83"/>
      <c r="H703" s="221"/>
      <c r="I703" s="83"/>
      <c r="J703" s="83"/>
      <c r="K703" s="83"/>
      <c r="L703" s="84"/>
      <c r="M703" s="84"/>
      <c r="N703" s="83"/>
      <c r="O703" s="222"/>
      <c r="P703" s="222"/>
      <c r="Q703" s="187"/>
      <c r="R703" s="187"/>
      <c r="S703" s="187"/>
      <c r="T703" s="187"/>
      <c r="U703" s="187"/>
      <c r="V703" s="187"/>
      <c r="W703" s="187"/>
      <c r="X703" s="187"/>
      <c r="Y703" s="187"/>
      <c r="Z703" s="187"/>
      <c r="AA703" s="187"/>
      <c r="AB703" s="187"/>
    </row>
    <row r="704" spans="1:28" ht="15.75" customHeight="1">
      <c r="A704" s="219"/>
      <c r="B704" s="83"/>
      <c r="C704" s="81"/>
      <c r="D704" s="82"/>
      <c r="E704" s="81"/>
      <c r="F704" s="82"/>
      <c r="G704" s="83"/>
      <c r="H704" s="221"/>
      <c r="I704" s="83"/>
      <c r="J704" s="83"/>
      <c r="K704" s="83"/>
      <c r="L704" s="84"/>
      <c r="M704" s="84"/>
      <c r="N704" s="83"/>
      <c r="O704" s="222"/>
      <c r="P704" s="222"/>
      <c r="Q704" s="187"/>
      <c r="R704" s="187"/>
      <c r="S704" s="187"/>
      <c r="T704" s="187"/>
      <c r="U704" s="187"/>
      <c r="V704" s="187"/>
      <c r="W704" s="187"/>
      <c r="X704" s="187"/>
      <c r="Y704" s="187"/>
      <c r="Z704" s="187"/>
      <c r="AA704" s="187"/>
      <c r="AB704" s="187"/>
    </row>
    <row r="705" spans="1:28" ht="15.75" customHeight="1">
      <c r="A705" s="219"/>
      <c r="B705" s="83"/>
      <c r="C705" s="81"/>
      <c r="D705" s="82"/>
      <c r="E705" s="81"/>
      <c r="F705" s="82"/>
      <c r="G705" s="83"/>
      <c r="H705" s="221"/>
      <c r="I705" s="83"/>
      <c r="J705" s="83"/>
      <c r="K705" s="83"/>
      <c r="L705" s="84"/>
      <c r="M705" s="84"/>
      <c r="N705" s="83"/>
      <c r="O705" s="222"/>
      <c r="P705" s="222"/>
      <c r="Q705" s="187"/>
      <c r="R705" s="187"/>
      <c r="S705" s="187"/>
      <c r="T705" s="187"/>
      <c r="U705" s="187"/>
      <c r="V705" s="187"/>
      <c r="W705" s="187"/>
      <c r="X705" s="187"/>
      <c r="Y705" s="187"/>
      <c r="Z705" s="187"/>
      <c r="AA705" s="187"/>
      <c r="AB705" s="187"/>
    </row>
    <row r="706" spans="1:28" ht="15.75" customHeight="1">
      <c r="A706" s="219"/>
      <c r="B706" s="83"/>
      <c r="C706" s="81"/>
      <c r="D706" s="82"/>
      <c r="E706" s="81"/>
      <c r="F706" s="82"/>
      <c r="G706" s="83"/>
      <c r="H706" s="221"/>
      <c r="I706" s="83"/>
      <c r="J706" s="83"/>
      <c r="K706" s="83"/>
      <c r="L706" s="84"/>
      <c r="M706" s="84"/>
      <c r="N706" s="83"/>
      <c r="O706" s="222"/>
      <c r="P706" s="222"/>
      <c r="Q706" s="187"/>
      <c r="R706" s="187"/>
      <c r="S706" s="187"/>
      <c r="T706" s="187"/>
      <c r="U706" s="187"/>
      <c r="V706" s="187"/>
      <c r="W706" s="187"/>
      <c r="X706" s="187"/>
      <c r="Y706" s="187"/>
      <c r="Z706" s="187"/>
      <c r="AA706" s="187"/>
      <c r="AB706" s="187"/>
    </row>
    <row r="707" spans="1:28" ht="15.75" customHeight="1">
      <c r="A707" s="219"/>
      <c r="B707" s="83"/>
      <c r="C707" s="81"/>
      <c r="D707" s="82"/>
      <c r="E707" s="81"/>
      <c r="F707" s="82"/>
      <c r="G707" s="83"/>
      <c r="H707" s="221"/>
      <c r="I707" s="83"/>
      <c r="J707" s="83"/>
      <c r="K707" s="83"/>
      <c r="L707" s="84"/>
      <c r="M707" s="84"/>
      <c r="N707" s="83"/>
      <c r="O707" s="222"/>
      <c r="P707" s="222"/>
      <c r="Q707" s="187"/>
      <c r="R707" s="187"/>
      <c r="S707" s="187"/>
      <c r="T707" s="187"/>
      <c r="U707" s="187"/>
      <c r="V707" s="187"/>
      <c r="W707" s="187"/>
      <c r="X707" s="187"/>
      <c r="Y707" s="187"/>
      <c r="Z707" s="187"/>
      <c r="AA707" s="187"/>
      <c r="AB707" s="187"/>
    </row>
    <row r="708" spans="1:28" ht="15.75" customHeight="1">
      <c r="A708" s="219"/>
      <c r="B708" s="83"/>
      <c r="C708" s="81"/>
      <c r="D708" s="82"/>
      <c r="E708" s="81"/>
      <c r="F708" s="82"/>
      <c r="G708" s="83"/>
      <c r="H708" s="221"/>
      <c r="I708" s="83"/>
      <c r="J708" s="83"/>
      <c r="K708" s="83"/>
      <c r="L708" s="84"/>
      <c r="M708" s="84"/>
      <c r="N708" s="83"/>
      <c r="O708" s="222"/>
      <c r="P708" s="222"/>
      <c r="Q708" s="187"/>
      <c r="R708" s="187"/>
      <c r="S708" s="187"/>
      <c r="T708" s="187"/>
      <c r="U708" s="187"/>
      <c r="V708" s="187"/>
      <c r="W708" s="187"/>
      <c r="X708" s="187"/>
      <c r="Y708" s="187"/>
      <c r="Z708" s="187"/>
      <c r="AA708" s="187"/>
      <c r="AB708" s="187"/>
    </row>
    <row r="709" spans="1:28" ht="15.75" customHeight="1">
      <c r="A709" s="219"/>
      <c r="B709" s="83"/>
      <c r="C709" s="81"/>
      <c r="D709" s="82"/>
      <c r="E709" s="81"/>
      <c r="F709" s="82"/>
      <c r="G709" s="83"/>
      <c r="H709" s="221"/>
      <c r="I709" s="83"/>
      <c r="J709" s="83"/>
      <c r="K709" s="83"/>
      <c r="L709" s="84"/>
      <c r="M709" s="84"/>
      <c r="N709" s="83"/>
      <c r="O709" s="222"/>
      <c r="P709" s="222"/>
      <c r="Q709" s="187"/>
      <c r="R709" s="187"/>
      <c r="S709" s="187"/>
      <c r="T709" s="187"/>
      <c r="U709" s="187"/>
      <c r="V709" s="187"/>
      <c r="W709" s="187"/>
      <c r="X709" s="187"/>
      <c r="Y709" s="187"/>
      <c r="Z709" s="187"/>
      <c r="AA709" s="187"/>
      <c r="AB709" s="187"/>
    </row>
    <row r="710" spans="1:28" ht="15.75" customHeight="1">
      <c r="A710" s="219"/>
      <c r="B710" s="83"/>
      <c r="C710" s="81"/>
      <c r="D710" s="82"/>
      <c r="E710" s="81"/>
      <c r="F710" s="82"/>
      <c r="G710" s="83"/>
      <c r="H710" s="221"/>
      <c r="I710" s="83"/>
      <c r="J710" s="83"/>
      <c r="K710" s="83"/>
      <c r="L710" s="84"/>
      <c r="M710" s="84"/>
      <c r="N710" s="83"/>
      <c r="O710" s="222"/>
      <c r="P710" s="222"/>
      <c r="Q710" s="187"/>
      <c r="R710" s="187"/>
      <c r="S710" s="187"/>
      <c r="T710" s="187"/>
      <c r="U710" s="187"/>
      <c r="V710" s="187"/>
      <c r="W710" s="187"/>
      <c r="X710" s="187"/>
      <c r="Y710" s="187"/>
      <c r="Z710" s="187"/>
      <c r="AA710" s="187"/>
      <c r="AB710" s="187"/>
    </row>
    <row r="711" spans="1:28" ht="15.75" customHeight="1">
      <c r="A711" s="219"/>
      <c r="B711" s="83"/>
      <c r="C711" s="81"/>
      <c r="D711" s="82"/>
      <c r="E711" s="81"/>
      <c r="F711" s="82"/>
      <c r="G711" s="83"/>
      <c r="H711" s="221"/>
      <c r="I711" s="83"/>
      <c r="J711" s="83"/>
      <c r="K711" s="83"/>
      <c r="L711" s="84"/>
      <c r="M711" s="84"/>
      <c r="N711" s="83"/>
      <c r="O711" s="222"/>
      <c r="P711" s="222"/>
      <c r="Q711" s="187"/>
      <c r="R711" s="187"/>
      <c r="S711" s="187"/>
      <c r="T711" s="187"/>
      <c r="U711" s="187"/>
      <c r="V711" s="187"/>
      <c r="W711" s="187"/>
      <c r="X711" s="187"/>
      <c r="Y711" s="187"/>
      <c r="Z711" s="187"/>
      <c r="AA711" s="187"/>
      <c r="AB711" s="187"/>
    </row>
    <row r="712" spans="1:28" ht="15.75" customHeight="1">
      <c r="A712" s="219"/>
      <c r="B712" s="83"/>
      <c r="C712" s="81"/>
      <c r="D712" s="82"/>
      <c r="E712" s="81"/>
      <c r="F712" s="82"/>
      <c r="G712" s="83"/>
      <c r="H712" s="221"/>
      <c r="I712" s="83"/>
      <c r="J712" s="83"/>
      <c r="K712" s="83"/>
      <c r="L712" s="84"/>
      <c r="M712" s="84"/>
      <c r="N712" s="83"/>
      <c r="O712" s="222"/>
      <c r="P712" s="222"/>
      <c r="Q712" s="187"/>
      <c r="R712" s="187"/>
      <c r="S712" s="187"/>
      <c r="T712" s="187"/>
      <c r="U712" s="187"/>
      <c r="V712" s="187"/>
      <c r="W712" s="187"/>
      <c r="X712" s="187"/>
      <c r="Y712" s="187"/>
      <c r="Z712" s="187"/>
      <c r="AA712" s="187"/>
      <c r="AB712" s="187"/>
    </row>
    <row r="713" spans="1:28" ht="15.75" customHeight="1">
      <c r="A713" s="219"/>
      <c r="B713" s="83"/>
      <c r="C713" s="81"/>
      <c r="D713" s="82"/>
      <c r="E713" s="81"/>
      <c r="F713" s="82"/>
      <c r="G713" s="83"/>
      <c r="H713" s="221"/>
      <c r="I713" s="83"/>
      <c r="J713" s="83"/>
      <c r="K713" s="83"/>
      <c r="L713" s="84"/>
      <c r="M713" s="84"/>
      <c r="N713" s="83"/>
      <c r="O713" s="222"/>
      <c r="P713" s="222"/>
      <c r="Q713" s="187"/>
      <c r="R713" s="187"/>
      <c r="S713" s="187"/>
      <c r="T713" s="187"/>
      <c r="U713" s="187"/>
      <c r="V713" s="187"/>
      <c r="W713" s="187"/>
      <c r="X713" s="187"/>
      <c r="Y713" s="187"/>
      <c r="Z713" s="187"/>
      <c r="AA713" s="187"/>
      <c r="AB713" s="187"/>
    </row>
    <row r="714" spans="1:28" ht="15.75" customHeight="1">
      <c r="A714" s="219"/>
      <c r="B714" s="83"/>
      <c r="C714" s="81"/>
      <c r="D714" s="82"/>
      <c r="E714" s="81"/>
      <c r="F714" s="82"/>
      <c r="G714" s="83"/>
      <c r="H714" s="221"/>
      <c r="I714" s="83"/>
      <c r="J714" s="83"/>
      <c r="K714" s="83"/>
      <c r="L714" s="84"/>
      <c r="M714" s="84"/>
      <c r="N714" s="83"/>
      <c r="O714" s="222"/>
      <c r="P714" s="222"/>
      <c r="Q714" s="187"/>
      <c r="R714" s="187"/>
      <c r="S714" s="187"/>
      <c r="T714" s="187"/>
      <c r="U714" s="187"/>
      <c r="V714" s="187"/>
      <c r="W714" s="187"/>
      <c r="X714" s="187"/>
      <c r="Y714" s="187"/>
      <c r="Z714" s="187"/>
      <c r="AA714" s="187"/>
      <c r="AB714" s="187"/>
    </row>
    <row r="715" spans="1:28" ht="15.75" customHeight="1">
      <c r="A715" s="219"/>
      <c r="B715" s="83"/>
      <c r="C715" s="81"/>
      <c r="D715" s="82"/>
      <c r="E715" s="81"/>
      <c r="F715" s="82"/>
      <c r="G715" s="83"/>
      <c r="H715" s="221"/>
      <c r="I715" s="83"/>
      <c r="J715" s="83"/>
      <c r="K715" s="83"/>
      <c r="L715" s="84"/>
      <c r="M715" s="84"/>
      <c r="N715" s="83"/>
      <c r="O715" s="222"/>
      <c r="P715" s="222"/>
      <c r="Q715" s="187"/>
      <c r="R715" s="187"/>
      <c r="S715" s="187"/>
      <c r="T715" s="187"/>
      <c r="U715" s="187"/>
      <c r="V715" s="187"/>
      <c r="W715" s="187"/>
      <c r="X715" s="187"/>
      <c r="Y715" s="187"/>
      <c r="Z715" s="187"/>
      <c r="AA715" s="187"/>
      <c r="AB715" s="187"/>
    </row>
    <row r="716" spans="1:28" ht="15.75" customHeight="1">
      <c r="A716" s="219"/>
      <c r="B716" s="83"/>
      <c r="C716" s="81"/>
      <c r="D716" s="82"/>
      <c r="E716" s="81"/>
      <c r="F716" s="82"/>
      <c r="G716" s="83"/>
      <c r="H716" s="221"/>
      <c r="I716" s="83"/>
      <c r="J716" s="83"/>
      <c r="K716" s="83"/>
      <c r="L716" s="84"/>
      <c r="M716" s="84"/>
      <c r="N716" s="83"/>
      <c r="O716" s="222"/>
      <c r="P716" s="222"/>
      <c r="Q716" s="187"/>
      <c r="R716" s="187"/>
      <c r="S716" s="187"/>
      <c r="T716" s="187"/>
      <c r="U716" s="187"/>
      <c r="V716" s="187"/>
      <c r="W716" s="187"/>
      <c r="X716" s="187"/>
      <c r="Y716" s="187"/>
      <c r="Z716" s="187"/>
      <c r="AA716" s="187"/>
      <c r="AB716" s="187"/>
    </row>
    <row r="717" spans="1:28" ht="15.75" customHeight="1">
      <c r="A717" s="219"/>
      <c r="B717" s="83"/>
      <c r="C717" s="81"/>
      <c r="D717" s="82"/>
      <c r="E717" s="81"/>
      <c r="F717" s="82"/>
      <c r="G717" s="83"/>
      <c r="H717" s="221"/>
      <c r="I717" s="83"/>
      <c r="J717" s="83"/>
      <c r="K717" s="83"/>
      <c r="L717" s="84"/>
      <c r="M717" s="84"/>
      <c r="N717" s="83"/>
      <c r="O717" s="222"/>
      <c r="P717" s="222"/>
      <c r="Q717" s="187"/>
      <c r="R717" s="187"/>
      <c r="S717" s="187"/>
      <c r="T717" s="187"/>
      <c r="U717" s="187"/>
      <c r="V717" s="187"/>
      <c r="W717" s="187"/>
      <c r="X717" s="187"/>
      <c r="Y717" s="187"/>
      <c r="Z717" s="187"/>
      <c r="AA717" s="187"/>
      <c r="AB717" s="187"/>
    </row>
    <row r="718" spans="1:28" ht="15.75" customHeight="1">
      <c r="A718" s="219"/>
      <c r="B718" s="83"/>
      <c r="C718" s="81"/>
      <c r="D718" s="82"/>
      <c r="E718" s="81"/>
      <c r="F718" s="82"/>
      <c r="G718" s="83"/>
      <c r="H718" s="221"/>
      <c r="I718" s="83"/>
      <c r="J718" s="83"/>
      <c r="K718" s="83"/>
      <c r="L718" s="84"/>
      <c r="M718" s="84"/>
      <c r="N718" s="83"/>
      <c r="O718" s="222"/>
      <c r="P718" s="222"/>
      <c r="Q718" s="187"/>
      <c r="R718" s="187"/>
      <c r="S718" s="187"/>
      <c r="T718" s="187"/>
      <c r="U718" s="187"/>
      <c r="V718" s="187"/>
      <c r="W718" s="187"/>
      <c r="X718" s="187"/>
      <c r="Y718" s="187"/>
      <c r="Z718" s="187"/>
      <c r="AA718" s="187"/>
      <c r="AB718" s="187"/>
    </row>
    <row r="719" spans="1:28" ht="15.75" customHeight="1">
      <c r="A719" s="219"/>
      <c r="B719" s="83"/>
      <c r="C719" s="81"/>
      <c r="D719" s="82"/>
      <c r="E719" s="81"/>
      <c r="F719" s="82"/>
      <c r="G719" s="83"/>
      <c r="H719" s="221"/>
      <c r="I719" s="83"/>
      <c r="J719" s="83"/>
      <c r="K719" s="83"/>
      <c r="L719" s="84"/>
      <c r="M719" s="84"/>
      <c r="N719" s="83"/>
      <c r="O719" s="222"/>
      <c r="P719" s="222"/>
      <c r="Q719" s="187"/>
      <c r="R719" s="187"/>
      <c r="S719" s="187"/>
      <c r="T719" s="187"/>
      <c r="U719" s="187"/>
      <c r="V719" s="187"/>
      <c r="W719" s="187"/>
      <c r="X719" s="187"/>
      <c r="Y719" s="187"/>
      <c r="Z719" s="187"/>
      <c r="AA719" s="187"/>
      <c r="AB719" s="187"/>
    </row>
    <row r="720" spans="1:28" ht="15.75" customHeight="1">
      <c r="A720" s="219"/>
      <c r="B720" s="83"/>
      <c r="C720" s="81"/>
      <c r="D720" s="82"/>
      <c r="E720" s="81"/>
      <c r="F720" s="82"/>
      <c r="G720" s="83"/>
      <c r="H720" s="221"/>
      <c r="I720" s="83"/>
      <c r="J720" s="83"/>
      <c r="K720" s="83"/>
      <c r="L720" s="84"/>
      <c r="M720" s="84"/>
      <c r="N720" s="83"/>
      <c r="O720" s="222"/>
      <c r="P720" s="222"/>
      <c r="Q720" s="187"/>
      <c r="R720" s="187"/>
      <c r="S720" s="187"/>
      <c r="T720" s="187"/>
      <c r="U720" s="187"/>
      <c r="V720" s="187"/>
      <c r="W720" s="187"/>
      <c r="X720" s="187"/>
      <c r="Y720" s="187"/>
      <c r="Z720" s="187"/>
      <c r="AA720" s="187"/>
      <c r="AB720" s="187"/>
    </row>
    <row r="721" spans="1:28" ht="15.75" customHeight="1">
      <c r="A721" s="219"/>
      <c r="B721" s="83"/>
      <c r="C721" s="81"/>
      <c r="D721" s="82"/>
      <c r="E721" s="81"/>
      <c r="F721" s="82"/>
      <c r="G721" s="83"/>
      <c r="H721" s="221"/>
      <c r="I721" s="83"/>
      <c r="J721" s="83"/>
      <c r="K721" s="83"/>
      <c r="L721" s="84"/>
      <c r="M721" s="84"/>
      <c r="N721" s="83"/>
      <c r="O721" s="222"/>
      <c r="P721" s="222"/>
      <c r="Q721" s="187"/>
      <c r="R721" s="187"/>
      <c r="S721" s="187"/>
      <c r="T721" s="187"/>
      <c r="U721" s="187"/>
      <c r="V721" s="187"/>
      <c r="W721" s="187"/>
      <c r="X721" s="187"/>
      <c r="Y721" s="187"/>
      <c r="Z721" s="187"/>
      <c r="AA721" s="187"/>
      <c r="AB721" s="187"/>
    </row>
    <row r="722" spans="1:28" ht="15.75" customHeight="1">
      <c r="A722" s="219"/>
      <c r="B722" s="83"/>
      <c r="C722" s="81"/>
      <c r="D722" s="82"/>
      <c r="E722" s="81"/>
      <c r="F722" s="82"/>
      <c r="G722" s="83"/>
      <c r="H722" s="221"/>
      <c r="I722" s="83"/>
      <c r="J722" s="83"/>
      <c r="K722" s="83"/>
      <c r="L722" s="84"/>
      <c r="M722" s="84"/>
      <c r="N722" s="83"/>
      <c r="O722" s="222"/>
      <c r="P722" s="222"/>
      <c r="Q722" s="187"/>
      <c r="R722" s="187"/>
      <c r="S722" s="187"/>
      <c r="T722" s="187"/>
      <c r="U722" s="187"/>
      <c r="V722" s="187"/>
      <c r="W722" s="187"/>
      <c r="X722" s="187"/>
      <c r="Y722" s="187"/>
      <c r="Z722" s="187"/>
      <c r="AA722" s="187"/>
      <c r="AB722" s="187"/>
    </row>
    <row r="723" spans="1:28" ht="15.75" customHeight="1">
      <c r="A723" s="219"/>
      <c r="B723" s="83"/>
      <c r="C723" s="81"/>
      <c r="D723" s="82"/>
      <c r="E723" s="81"/>
      <c r="F723" s="82"/>
      <c r="G723" s="83"/>
      <c r="H723" s="221"/>
      <c r="I723" s="83"/>
      <c r="J723" s="83"/>
      <c r="K723" s="83"/>
      <c r="L723" s="84"/>
      <c r="M723" s="84"/>
      <c r="N723" s="83"/>
      <c r="O723" s="222"/>
      <c r="P723" s="222"/>
      <c r="Q723" s="187"/>
      <c r="R723" s="187"/>
      <c r="S723" s="187"/>
      <c r="T723" s="187"/>
      <c r="U723" s="187"/>
      <c r="V723" s="187"/>
      <c r="W723" s="187"/>
      <c r="X723" s="187"/>
      <c r="Y723" s="187"/>
      <c r="Z723" s="187"/>
      <c r="AA723" s="187"/>
      <c r="AB723" s="187"/>
    </row>
    <row r="724" spans="1:28" ht="15.75" customHeight="1">
      <c r="A724" s="219"/>
      <c r="B724" s="83"/>
      <c r="C724" s="81"/>
      <c r="D724" s="82"/>
      <c r="E724" s="81"/>
      <c r="F724" s="82"/>
      <c r="G724" s="83"/>
      <c r="H724" s="221"/>
      <c r="I724" s="83"/>
      <c r="J724" s="83"/>
      <c r="K724" s="83"/>
      <c r="L724" s="84"/>
      <c r="M724" s="84"/>
      <c r="N724" s="83"/>
      <c r="O724" s="222"/>
      <c r="P724" s="222"/>
      <c r="Q724" s="187"/>
      <c r="R724" s="187"/>
      <c r="S724" s="187"/>
      <c r="T724" s="187"/>
      <c r="U724" s="187"/>
      <c r="V724" s="187"/>
      <c r="W724" s="187"/>
      <c r="X724" s="187"/>
      <c r="Y724" s="187"/>
      <c r="Z724" s="187"/>
      <c r="AA724" s="187"/>
      <c r="AB724" s="187"/>
    </row>
    <row r="725" spans="1:28" ht="15.75" customHeight="1">
      <c r="A725" s="219"/>
      <c r="B725" s="83"/>
      <c r="C725" s="81"/>
      <c r="D725" s="82"/>
      <c r="E725" s="81"/>
      <c r="F725" s="82"/>
      <c r="G725" s="83"/>
      <c r="H725" s="221"/>
      <c r="I725" s="83"/>
      <c r="J725" s="83"/>
      <c r="K725" s="83"/>
      <c r="L725" s="84"/>
      <c r="M725" s="84"/>
      <c r="N725" s="83"/>
      <c r="O725" s="222"/>
      <c r="P725" s="222"/>
      <c r="Q725" s="187"/>
      <c r="R725" s="187"/>
      <c r="S725" s="187"/>
      <c r="T725" s="187"/>
      <c r="U725" s="187"/>
      <c r="V725" s="187"/>
      <c r="W725" s="187"/>
      <c r="X725" s="187"/>
      <c r="Y725" s="187"/>
      <c r="Z725" s="187"/>
      <c r="AA725" s="187"/>
      <c r="AB725" s="187"/>
    </row>
    <row r="726" spans="1:28" ht="15.75" customHeight="1">
      <c r="A726" s="219"/>
      <c r="B726" s="83"/>
      <c r="C726" s="81"/>
      <c r="D726" s="82"/>
      <c r="E726" s="81"/>
      <c r="F726" s="82"/>
      <c r="G726" s="83"/>
      <c r="H726" s="221"/>
      <c r="I726" s="83"/>
      <c r="J726" s="83"/>
      <c r="K726" s="83"/>
      <c r="L726" s="84"/>
      <c r="M726" s="84"/>
      <c r="N726" s="83"/>
      <c r="O726" s="222"/>
      <c r="P726" s="222"/>
      <c r="Q726" s="187"/>
      <c r="R726" s="187"/>
      <c r="S726" s="187"/>
      <c r="T726" s="187"/>
      <c r="U726" s="187"/>
      <c r="V726" s="187"/>
      <c r="W726" s="187"/>
      <c r="X726" s="187"/>
      <c r="Y726" s="187"/>
      <c r="Z726" s="187"/>
      <c r="AA726" s="187"/>
      <c r="AB726" s="187"/>
    </row>
    <row r="727" spans="1:28" ht="15.75" customHeight="1">
      <c r="A727" s="219"/>
      <c r="B727" s="83"/>
      <c r="C727" s="81"/>
      <c r="D727" s="82"/>
      <c r="E727" s="81"/>
      <c r="F727" s="82"/>
      <c r="G727" s="83"/>
      <c r="H727" s="221"/>
      <c r="I727" s="83"/>
      <c r="J727" s="83"/>
      <c r="K727" s="83"/>
      <c r="L727" s="84"/>
      <c r="M727" s="84"/>
      <c r="N727" s="83"/>
      <c r="O727" s="222"/>
      <c r="P727" s="222"/>
      <c r="Q727" s="187"/>
      <c r="R727" s="187"/>
      <c r="S727" s="187"/>
      <c r="T727" s="187"/>
      <c r="U727" s="187"/>
      <c r="V727" s="187"/>
      <c r="W727" s="187"/>
      <c r="X727" s="187"/>
      <c r="Y727" s="187"/>
      <c r="Z727" s="187"/>
      <c r="AA727" s="187"/>
      <c r="AB727" s="187"/>
    </row>
    <row r="728" spans="1:28" ht="15.75" customHeight="1">
      <c r="A728" s="219"/>
      <c r="B728" s="83"/>
      <c r="C728" s="81"/>
      <c r="D728" s="82"/>
      <c r="E728" s="81"/>
      <c r="F728" s="82"/>
      <c r="G728" s="83"/>
      <c r="H728" s="221"/>
      <c r="I728" s="83"/>
      <c r="J728" s="83"/>
      <c r="K728" s="83"/>
      <c r="L728" s="84"/>
      <c r="M728" s="84"/>
      <c r="N728" s="83"/>
      <c r="O728" s="222"/>
      <c r="P728" s="222"/>
      <c r="Q728" s="187"/>
      <c r="R728" s="187"/>
      <c r="S728" s="187"/>
      <c r="T728" s="187"/>
      <c r="U728" s="187"/>
      <c r="V728" s="187"/>
      <c r="W728" s="187"/>
      <c r="X728" s="187"/>
      <c r="Y728" s="187"/>
      <c r="Z728" s="187"/>
      <c r="AA728" s="187"/>
      <c r="AB728" s="187"/>
    </row>
    <row r="729" spans="1:28" ht="15.75" customHeight="1">
      <c r="A729" s="219"/>
      <c r="B729" s="83"/>
      <c r="C729" s="81"/>
      <c r="D729" s="82"/>
      <c r="E729" s="81"/>
      <c r="F729" s="82"/>
      <c r="G729" s="83"/>
      <c r="H729" s="221"/>
      <c r="I729" s="83"/>
      <c r="J729" s="83"/>
      <c r="K729" s="83"/>
      <c r="L729" s="84"/>
      <c r="M729" s="84"/>
      <c r="N729" s="83"/>
      <c r="O729" s="222"/>
      <c r="P729" s="222"/>
      <c r="Q729" s="187"/>
      <c r="R729" s="187"/>
      <c r="S729" s="187"/>
      <c r="T729" s="187"/>
      <c r="U729" s="187"/>
      <c r="V729" s="187"/>
      <c r="W729" s="187"/>
      <c r="X729" s="187"/>
      <c r="Y729" s="187"/>
      <c r="Z729" s="187"/>
      <c r="AA729" s="187"/>
      <c r="AB729" s="187"/>
    </row>
    <row r="730" spans="1:28" ht="15.75" customHeight="1">
      <c r="A730" s="219"/>
      <c r="B730" s="83"/>
      <c r="C730" s="81"/>
      <c r="D730" s="82"/>
      <c r="E730" s="81"/>
      <c r="F730" s="82"/>
      <c r="G730" s="83"/>
      <c r="H730" s="221"/>
      <c r="I730" s="83"/>
      <c r="J730" s="83"/>
      <c r="K730" s="83"/>
      <c r="L730" s="84"/>
      <c r="M730" s="84"/>
      <c r="N730" s="83"/>
      <c r="O730" s="222"/>
      <c r="P730" s="222"/>
      <c r="Q730" s="187"/>
      <c r="R730" s="187"/>
      <c r="S730" s="187"/>
      <c r="T730" s="187"/>
      <c r="U730" s="187"/>
      <c r="V730" s="187"/>
      <c r="W730" s="187"/>
      <c r="X730" s="187"/>
      <c r="Y730" s="187"/>
      <c r="Z730" s="187"/>
      <c r="AA730" s="187"/>
      <c r="AB730" s="187"/>
    </row>
    <row r="731" spans="1:28" ht="15.75" customHeight="1">
      <c r="A731" s="219"/>
      <c r="B731" s="83"/>
      <c r="C731" s="81"/>
      <c r="D731" s="82"/>
      <c r="E731" s="81"/>
      <c r="F731" s="82"/>
      <c r="G731" s="83"/>
      <c r="H731" s="221"/>
      <c r="I731" s="83"/>
      <c r="J731" s="83"/>
      <c r="K731" s="83"/>
      <c r="L731" s="84"/>
      <c r="M731" s="84"/>
      <c r="N731" s="83"/>
      <c r="O731" s="222"/>
      <c r="P731" s="222"/>
      <c r="Q731" s="187"/>
      <c r="R731" s="187"/>
      <c r="S731" s="187"/>
      <c r="T731" s="187"/>
      <c r="U731" s="187"/>
      <c r="V731" s="187"/>
      <c r="W731" s="187"/>
      <c r="X731" s="187"/>
      <c r="Y731" s="187"/>
      <c r="Z731" s="187"/>
      <c r="AA731" s="187"/>
      <c r="AB731" s="187"/>
    </row>
    <row r="732" spans="1:28" ht="15.75" customHeight="1">
      <c r="A732" s="219"/>
      <c r="B732" s="83"/>
      <c r="C732" s="81"/>
      <c r="D732" s="82"/>
      <c r="E732" s="81"/>
      <c r="F732" s="82"/>
      <c r="G732" s="83"/>
      <c r="H732" s="221"/>
      <c r="I732" s="83"/>
      <c r="J732" s="83"/>
      <c r="K732" s="83"/>
      <c r="L732" s="84"/>
      <c r="M732" s="84"/>
      <c r="N732" s="83"/>
      <c r="O732" s="222"/>
      <c r="P732" s="222"/>
      <c r="Q732" s="187"/>
      <c r="R732" s="187"/>
      <c r="S732" s="187"/>
      <c r="T732" s="187"/>
      <c r="U732" s="187"/>
      <c r="V732" s="187"/>
      <c r="W732" s="187"/>
      <c r="X732" s="187"/>
      <c r="Y732" s="187"/>
      <c r="Z732" s="187"/>
      <c r="AA732" s="187"/>
      <c r="AB732" s="187"/>
    </row>
    <row r="733" spans="1:28" ht="15.75" customHeight="1">
      <c r="A733" s="219"/>
      <c r="B733" s="83"/>
      <c r="C733" s="81"/>
      <c r="D733" s="82"/>
      <c r="E733" s="81"/>
      <c r="F733" s="82"/>
      <c r="G733" s="83"/>
      <c r="H733" s="221"/>
      <c r="I733" s="83"/>
      <c r="J733" s="83"/>
      <c r="K733" s="83"/>
      <c r="L733" s="84"/>
      <c r="M733" s="84"/>
      <c r="N733" s="83"/>
      <c r="O733" s="222"/>
      <c r="P733" s="222"/>
      <c r="Q733" s="187"/>
      <c r="R733" s="187"/>
      <c r="S733" s="187"/>
      <c r="T733" s="187"/>
      <c r="U733" s="187"/>
      <c r="V733" s="187"/>
      <c r="W733" s="187"/>
      <c r="X733" s="187"/>
      <c r="Y733" s="187"/>
      <c r="Z733" s="187"/>
      <c r="AA733" s="187"/>
      <c r="AB733" s="187"/>
    </row>
    <row r="734" spans="1:28" ht="15.75" customHeight="1">
      <c r="A734" s="219"/>
      <c r="B734" s="83"/>
      <c r="C734" s="81"/>
      <c r="D734" s="82"/>
      <c r="E734" s="81"/>
      <c r="F734" s="82"/>
      <c r="G734" s="83"/>
      <c r="H734" s="221"/>
      <c r="I734" s="83"/>
      <c r="J734" s="83"/>
      <c r="K734" s="83"/>
      <c r="L734" s="84"/>
      <c r="M734" s="84"/>
      <c r="N734" s="83"/>
      <c r="O734" s="222"/>
      <c r="P734" s="222"/>
      <c r="Q734" s="187"/>
      <c r="R734" s="187"/>
      <c r="S734" s="187"/>
      <c r="T734" s="187"/>
      <c r="U734" s="187"/>
      <c r="V734" s="187"/>
      <c r="W734" s="187"/>
      <c r="X734" s="187"/>
      <c r="Y734" s="187"/>
      <c r="Z734" s="187"/>
      <c r="AA734" s="187"/>
      <c r="AB734" s="187"/>
    </row>
    <row r="735" spans="1:28" ht="15.75" customHeight="1">
      <c r="A735" s="219"/>
      <c r="B735" s="83"/>
      <c r="C735" s="81"/>
      <c r="D735" s="82"/>
      <c r="E735" s="81"/>
      <c r="F735" s="82"/>
      <c r="G735" s="83"/>
      <c r="H735" s="221"/>
      <c r="I735" s="83"/>
      <c r="J735" s="83"/>
      <c r="K735" s="83"/>
      <c r="L735" s="84"/>
      <c r="M735" s="84"/>
      <c r="N735" s="83"/>
      <c r="O735" s="222"/>
      <c r="P735" s="222"/>
      <c r="Q735" s="187"/>
      <c r="R735" s="187"/>
      <c r="S735" s="187"/>
      <c r="T735" s="187"/>
      <c r="U735" s="187"/>
      <c r="V735" s="187"/>
      <c r="W735" s="187"/>
      <c r="X735" s="187"/>
      <c r="Y735" s="187"/>
      <c r="Z735" s="187"/>
      <c r="AA735" s="187"/>
      <c r="AB735" s="187"/>
    </row>
    <row r="736" spans="1:28" ht="15.75" customHeight="1">
      <c r="A736" s="219"/>
      <c r="B736" s="83"/>
      <c r="C736" s="81"/>
      <c r="D736" s="82"/>
      <c r="E736" s="81"/>
      <c r="F736" s="82"/>
      <c r="G736" s="83"/>
      <c r="H736" s="221"/>
      <c r="I736" s="83"/>
      <c r="J736" s="83"/>
      <c r="K736" s="83"/>
      <c r="L736" s="84"/>
      <c r="M736" s="84"/>
      <c r="N736" s="83"/>
      <c r="O736" s="222"/>
      <c r="P736" s="222"/>
      <c r="Q736" s="187"/>
      <c r="R736" s="187"/>
      <c r="S736" s="187"/>
      <c r="T736" s="187"/>
      <c r="U736" s="187"/>
      <c r="V736" s="187"/>
      <c r="W736" s="187"/>
      <c r="X736" s="187"/>
      <c r="Y736" s="187"/>
      <c r="Z736" s="187"/>
      <c r="AA736" s="187"/>
      <c r="AB736" s="187"/>
    </row>
    <row r="737" spans="1:28" ht="15.75" customHeight="1">
      <c r="A737" s="219"/>
      <c r="B737" s="83"/>
      <c r="C737" s="81"/>
      <c r="D737" s="82"/>
      <c r="E737" s="81"/>
      <c r="F737" s="82"/>
      <c r="G737" s="83"/>
      <c r="H737" s="221"/>
      <c r="I737" s="83"/>
      <c r="J737" s="83"/>
      <c r="K737" s="83"/>
      <c r="L737" s="84"/>
      <c r="M737" s="84"/>
      <c r="N737" s="83"/>
      <c r="O737" s="222"/>
      <c r="P737" s="222"/>
      <c r="Q737" s="187"/>
      <c r="R737" s="187"/>
      <c r="S737" s="187"/>
      <c r="T737" s="187"/>
      <c r="U737" s="187"/>
      <c r="V737" s="187"/>
      <c r="W737" s="187"/>
      <c r="X737" s="187"/>
      <c r="Y737" s="187"/>
      <c r="Z737" s="187"/>
      <c r="AA737" s="187"/>
      <c r="AB737" s="187"/>
    </row>
    <row r="738" spans="1:28" ht="15.75" customHeight="1">
      <c r="A738" s="219"/>
      <c r="B738" s="83"/>
      <c r="C738" s="81"/>
      <c r="D738" s="82"/>
      <c r="E738" s="81"/>
      <c r="F738" s="82"/>
      <c r="G738" s="83"/>
      <c r="H738" s="221"/>
      <c r="I738" s="83"/>
      <c r="J738" s="83"/>
      <c r="K738" s="83"/>
      <c r="L738" s="84"/>
      <c r="M738" s="84"/>
      <c r="N738" s="83"/>
      <c r="O738" s="222"/>
      <c r="P738" s="222"/>
      <c r="Q738" s="187"/>
      <c r="R738" s="187"/>
      <c r="S738" s="187"/>
      <c r="T738" s="187"/>
      <c r="U738" s="187"/>
      <c r="V738" s="187"/>
      <c r="W738" s="187"/>
      <c r="X738" s="187"/>
      <c r="Y738" s="187"/>
      <c r="Z738" s="187"/>
      <c r="AA738" s="187"/>
      <c r="AB738" s="187"/>
    </row>
    <row r="739" spans="1:28" ht="15.75" customHeight="1">
      <c r="A739" s="219"/>
      <c r="B739" s="83"/>
      <c r="C739" s="81"/>
      <c r="D739" s="82"/>
      <c r="E739" s="81"/>
      <c r="F739" s="82"/>
      <c r="G739" s="83"/>
      <c r="H739" s="221"/>
      <c r="I739" s="83"/>
      <c r="J739" s="83"/>
      <c r="K739" s="83"/>
      <c r="L739" s="84"/>
      <c r="M739" s="84"/>
      <c r="N739" s="83"/>
      <c r="O739" s="222"/>
      <c r="P739" s="222"/>
      <c r="Q739" s="187"/>
      <c r="R739" s="187"/>
      <c r="S739" s="187"/>
      <c r="T739" s="187"/>
      <c r="U739" s="187"/>
      <c r="V739" s="187"/>
      <c r="W739" s="187"/>
      <c r="X739" s="187"/>
      <c r="Y739" s="187"/>
      <c r="Z739" s="187"/>
      <c r="AA739" s="187"/>
      <c r="AB739" s="187"/>
    </row>
    <row r="740" spans="1:28" ht="15.75" customHeight="1">
      <c r="A740" s="219"/>
      <c r="B740" s="83"/>
      <c r="C740" s="81"/>
      <c r="D740" s="82"/>
      <c r="E740" s="81"/>
      <c r="F740" s="82"/>
      <c r="G740" s="83"/>
      <c r="H740" s="221"/>
      <c r="I740" s="83"/>
      <c r="J740" s="83"/>
      <c r="K740" s="83"/>
      <c r="L740" s="84"/>
      <c r="M740" s="84"/>
      <c r="N740" s="83"/>
      <c r="O740" s="222"/>
      <c r="P740" s="222"/>
      <c r="Q740" s="187"/>
      <c r="R740" s="187"/>
      <c r="S740" s="187"/>
      <c r="T740" s="187"/>
      <c r="U740" s="187"/>
      <c r="V740" s="187"/>
      <c r="W740" s="187"/>
      <c r="X740" s="187"/>
      <c r="Y740" s="187"/>
      <c r="Z740" s="187"/>
      <c r="AA740" s="187"/>
      <c r="AB740" s="187"/>
    </row>
    <row r="741" spans="1:28" ht="15.75" customHeight="1">
      <c r="A741" s="219"/>
      <c r="B741" s="83"/>
      <c r="C741" s="81"/>
      <c r="D741" s="82"/>
      <c r="E741" s="81"/>
      <c r="F741" s="82"/>
      <c r="G741" s="83"/>
      <c r="H741" s="221"/>
      <c r="I741" s="83"/>
      <c r="J741" s="83"/>
      <c r="K741" s="83"/>
      <c r="L741" s="84"/>
      <c r="M741" s="84"/>
      <c r="N741" s="83"/>
      <c r="O741" s="222"/>
      <c r="P741" s="222"/>
      <c r="Q741" s="187"/>
      <c r="R741" s="187"/>
      <c r="S741" s="187"/>
      <c r="T741" s="187"/>
      <c r="U741" s="187"/>
      <c r="V741" s="187"/>
      <c r="W741" s="187"/>
      <c r="X741" s="187"/>
      <c r="Y741" s="187"/>
      <c r="Z741" s="187"/>
      <c r="AA741" s="187"/>
      <c r="AB741" s="187"/>
    </row>
    <row r="742" spans="1:28" ht="15.75" customHeight="1">
      <c r="A742" s="219"/>
      <c r="B742" s="83"/>
      <c r="C742" s="81"/>
      <c r="D742" s="82"/>
      <c r="E742" s="81"/>
      <c r="F742" s="82"/>
      <c r="G742" s="83"/>
      <c r="H742" s="221"/>
      <c r="I742" s="83"/>
      <c r="J742" s="83"/>
      <c r="K742" s="83"/>
      <c r="L742" s="84"/>
      <c r="M742" s="84"/>
      <c r="N742" s="83"/>
      <c r="O742" s="222"/>
      <c r="P742" s="222"/>
      <c r="Q742" s="187"/>
      <c r="R742" s="187"/>
      <c r="S742" s="187"/>
      <c r="T742" s="187"/>
      <c r="U742" s="187"/>
      <c r="V742" s="187"/>
      <c r="W742" s="187"/>
      <c r="X742" s="187"/>
      <c r="Y742" s="187"/>
      <c r="Z742" s="187"/>
      <c r="AA742" s="187"/>
      <c r="AB742" s="187"/>
    </row>
    <row r="743" spans="1:28" ht="15.75" customHeight="1">
      <c r="A743" s="219"/>
      <c r="B743" s="83"/>
      <c r="C743" s="81"/>
      <c r="D743" s="82"/>
      <c r="E743" s="81"/>
      <c r="F743" s="82"/>
      <c r="G743" s="83"/>
      <c r="H743" s="221"/>
      <c r="I743" s="83"/>
      <c r="J743" s="83"/>
      <c r="K743" s="83"/>
      <c r="L743" s="84"/>
      <c r="M743" s="84"/>
      <c r="N743" s="83"/>
      <c r="O743" s="222"/>
      <c r="P743" s="222"/>
      <c r="Q743" s="187"/>
      <c r="R743" s="187"/>
      <c r="S743" s="187"/>
      <c r="T743" s="187"/>
      <c r="U743" s="187"/>
      <c r="V743" s="187"/>
      <c r="W743" s="187"/>
      <c r="X743" s="187"/>
      <c r="Y743" s="187"/>
      <c r="Z743" s="187"/>
      <c r="AA743" s="187"/>
      <c r="AB743" s="187"/>
    </row>
    <row r="744" spans="1:28" ht="15.75" customHeight="1">
      <c r="A744" s="219"/>
      <c r="B744" s="83"/>
      <c r="C744" s="81"/>
      <c r="D744" s="82"/>
      <c r="E744" s="81"/>
      <c r="F744" s="82"/>
      <c r="G744" s="83"/>
      <c r="H744" s="221"/>
      <c r="I744" s="83"/>
      <c r="J744" s="83"/>
      <c r="K744" s="83"/>
      <c r="L744" s="84"/>
      <c r="M744" s="84"/>
      <c r="N744" s="83"/>
      <c r="O744" s="222"/>
      <c r="P744" s="222"/>
      <c r="Q744" s="187"/>
      <c r="R744" s="187"/>
      <c r="S744" s="187"/>
      <c r="T744" s="187"/>
      <c r="U744" s="187"/>
      <c r="V744" s="187"/>
      <c r="W744" s="187"/>
      <c r="X744" s="187"/>
      <c r="Y744" s="187"/>
      <c r="Z744" s="187"/>
      <c r="AA744" s="187"/>
      <c r="AB744" s="187"/>
    </row>
    <row r="745" spans="1:28" ht="15.75" customHeight="1">
      <c r="A745" s="219"/>
      <c r="B745" s="83"/>
      <c r="C745" s="81"/>
      <c r="D745" s="82"/>
      <c r="E745" s="81"/>
      <c r="F745" s="82"/>
      <c r="G745" s="83"/>
      <c r="H745" s="221"/>
      <c r="I745" s="83"/>
      <c r="J745" s="83"/>
      <c r="K745" s="83"/>
      <c r="L745" s="84"/>
      <c r="M745" s="84"/>
      <c r="N745" s="83"/>
      <c r="O745" s="222"/>
      <c r="P745" s="222"/>
      <c r="Q745" s="187"/>
      <c r="R745" s="187"/>
      <c r="S745" s="187"/>
      <c r="T745" s="187"/>
      <c r="U745" s="187"/>
      <c r="V745" s="187"/>
      <c r="W745" s="187"/>
      <c r="X745" s="187"/>
      <c r="Y745" s="187"/>
      <c r="Z745" s="187"/>
      <c r="AA745" s="187"/>
      <c r="AB745" s="187"/>
    </row>
    <row r="746" spans="1:28" ht="15.75" customHeight="1">
      <c r="A746" s="219"/>
      <c r="B746" s="83"/>
      <c r="C746" s="81"/>
      <c r="D746" s="82"/>
      <c r="E746" s="81"/>
      <c r="F746" s="82"/>
      <c r="G746" s="83"/>
      <c r="H746" s="221"/>
      <c r="I746" s="83"/>
      <c r="J746" s="83"/>
      <c r="K746" s="83"/>
      <c r="L746" s="84"/>
      <c r="M746" s="84"/>
      <c r="N746" s="83"/>
      <c r="O746" s="222"/>
      <c r="P746" s="222"/>
      <c r="Q746" s="187"/>
      <c r="R746" s="187"/>
      <c r="S746" s="187"/>
      <c r="T746" s="187"/>
      <c r="U746" s="187"/>
      <c r="V746" s="187"/>
      <c r="W746" s="187"/>
      <c r="X746" s="187"/>
      <c r="Y746" s="187"/>
      <c r="Z746" s="187"/>
      <c r="AA746" s="187"/>
      <c r="AB746" s="187"/>
    </row>
    <row r="747" spans="1:28" ht="15.75" customHeight="1">
      <c r="A747" s="219"/>
      <c r="B747" s="83"/>
      <c r="C747" s="81"/>
      <c r="D747" s="82"/>
      <c r="E747" s="81"/>
      <c r="F747" s="82"/>
      <c r="G747" s="83"/>
      <c r="H747" s="221"/>
      <c r="I747" s="83"/>
      <c r="J747" s="83"/>
      <c r="K747" s="83"/>
      <c r="L747" s="84"/>
      <c r="M747" s="84"/>
      <c r="N747" s="83"/>
      <c r="O747" s="222"/>
      <c r="P747" s="222"/>
      <c r="Q747" s="187"/>
      <c r="R747" s="187"/>
      <c r="S747" s="187"/>
      <c r="T747" s="187"/>
      <c r="U747" s="187"/>
      <c r="V747" s="187"/>
      <c r="W747" s="187"/>
      <c r="X747" s="187"/>
      <c r="Y747" s="187"/>
      <c r="Z747" s="187"/>
      <c r="AA747" s="187"/>
      <c r="AB747" s="187"/>
    </row>
    <row r="748" spans="1:28" ht="15.75" customHeight="1">
      <c r="A748" s="219"/>
      <c r="B748" s="83"/>
      <c r="C748" s="81"/>
      <c r="D748" s="82"/>
      <c r="E748" s="81"/>
      <c r="F748" s="82"/>
      <c r="G748" s="83"/>
      <c r="H748" s="221"/>
      <c r="I748" s="83"/>
      <c r="J748" s="83"/>
      <c r="K748" s="83"/>
      <c r="L748" s="84"/>
      <c r="M748" s="84"/>
      <c r="N748" s="83"/>
      <c r="O748" s="222"/>
      <c r="P748" s="222"/>
      <c r="Q748" s="187"/>
      <c r="R748" s="187"/>
      <c r="S748" s="187"/>
      <c r="T748" s="187"/>
      <c r="U748" s="187"/>
      <c r="V748" s="187"/>
      <c r="W748" s="187"/>
      <c r="X748" s="187"/>
      <c r="Y748" s="187"/>
      <c r="Z748" s="187"/>
      <c r="AA748" s="187"/>
      <c r="AB748" s="187"/>
    </row>
    <row r="749" spans="1:28" ht="15.75" customHeight="1">
      <c r="A749" s="219"/>
      <c r="B749" s="83"/>
      <c r="C749" s="81"/>
      <c r="D749" s="82"/>
      <c r="E749" s="81"/>
      <c r="F749" s="82"/>
      <c r="G749" s="83"/>
      <c r="H749" s="221"/>
      <c r="I749" s="83"/>
      <c r="J749" s="83"/>
      <c r="K749" s="83"/>
      <c r="L749" s="84"/>
      <c r="M749" s="84"/>
      <c r="N749" s="83"/>
      <c r="O749" s="222"/>
      <c r="P749" s="222"/>
      <c r="Q749" s="187"/>
      <c r="R749" s="187"/>
      <c r="S749" s="187"/>
      <c r="T749" s="187"/>
      <c r="U749" s="187"/>
      <c r="V749" s="187"/>
      <c r="W749" s="187"/>
      <c r="X749" s="187"/>
      <c r="Y749" s="187"/>
      <c r="Z749" s="187"/>
      <c r="AA749" s="187"/>
      <c r="AB749" s="187"/>
    </row>
    <row r="750" spans="1:28" ht="15.75" customHeight="1">
      <c r="A750" s="219"/>
      <c r="B750" s="83"/>
      <c r="C750" s="81"/>
      <c r="D750" s="82"/>
      <c r="E750" s="81"/>
      <c r="F750" s="82"/>
      <c r="G750" s="83"/>
      <c r="H750" s="221"/>
      <c r="I750" s="83"/>
      <c r="J750" s="83"/>
      <c r="K750" s="83"/>
      <c r="L750" s="84"/>
      <c r="M750" s="84"/>
      <c r="N750" s="83"/>
      <c r="O750" s="222"/>
      <c r="P750" s="222"/>
      <c r="Q750" s="187"/>
      <c r="R750" s="187"/>
      <c r="S750" s="187"/>
      <c r="T750" s="187"/>
      <c r="U750" s="187"/>
      <c r="V750" s="187"/>
      <c r="W750" s="187"/>
      <c r="X750" s="187"/>
      <c r="Y750" s="187"/>
      <c r="Z750" s="187"/>
      <c r="AA750" s="187"/>
      <c r="AB750" s="187"/>
    </row>
    <row r="751" spans="1:28" ht="15.75" customHeight="1">
      <c r="A751" s="219"/>
      <c r="B751" s="83"/>
      <c r="C751" s="81"/>
      <c r="D751" s="82"/>
      <c r="E751" s="81"/>
      <c r="F751" s="82"/>
      <c r="G751" s="83"/>
      <c r="H751" s="221"/>
      <c r="I751" s="83"/>
      <c r="J751" s="83"/>
      <c r="K751" s="83"/>
      <c r="L751" s="84"/>
      <c r="M751" s="84"/>
      <c r="N751" s="83"/>
      <c r="O751" s="222"/>
      <c r="P751" s="222"/>
      <c r="Q751" s="187"/>
      <c r="R751" s="187"/>
      <c r="S751" s="187"/>
      <c r="T751" s="187"/>
      <c r="U751" s="187"/>
      <c r="V751" s="187"/>
      <c r="W751" s="187"/>
      <c r="X751" s="187"/>
      <c r="Y751" s="187"/>
      <c r="Z751" s="187"/>
      <c r="AA751" s="187"/>
      <c r="AB751" s="187"/>
    </row>
    <row r="752" spans="1:28" ht="15.75" customHeight="1">
      <c r="A752" s="219"/>
      <c r="B752" s="83"/>
      <c r="C752" s="81"/>
      <c r="D752" s="82"/>
      <c r="E752" s="81"/>
      <c r="F752" s="82"/>
      <c r="G752" s="83"/>
      <c r="H752" s="221"/>
      <c r="I752" s="83"/>
      <c r="J752" s="83"/>
      <c r="K752" s="83"/>
      <c r="L752" s="84"/>
      <c r="M752" s="84"/>
      <c r="N752" s="83"/>
      <c r="O752" s="222"/>
      <c r="P752" s="222"/>
      <c r="Q752" s="187"/>
      <c r="R752" s="187"/>
      <c r="S752" s="187"/>
      <c r="T752" s="187"/>
      <c r="U752" s="187"/>
      <c r="V752" s="187"/>
      <c r="W752" s="187"/>
      <c r="X752" s="187"/>
      <c r="Y752" s="187"/>
      <c r="Z752" s="187"/>
      <c r="AA752" s="187"/>
      <c r="AB752" s="187"/>
    </row>
    <row r="753" spans="1:28" ht="15.75" customHeight="1">
      <c r="A753" s="219"/>
      <c r="B753" s="83"/>
      <c r="C753" s="81"/>
      <c r="D753" s="82"/>
      <c r="E753" s="81"/>
      <c r="F753" s="82"/>
      <c r="G753" s="83"/>
      <c r="H753" s="221"/>
      <c r="I753" s="83"/>
      <c r="J753" s="83"/>
      <c r="K753" s="83"/>
      <c r="L753" s="84"/>
      <c r="M753" s="84"/>
      <c r="N753" s="83"/>
      <c r="O753" s="222"/>
      <c r="P753" s="222"/>
      <c r="Q753" s="187"/>
      <c r="R753" s="187"/>
      <c r="S753" s="187"/>
      <c r="T753" s="187"/>
      <c r="U753" s="187"/>
      <c r="V753" s="187"/>
      <c r="W753" s="187"/>
      <c r="X753" s="187"/>
      <c r="Y753" s="187"/>
      <c r="Z753" s="187"/>
      <c r="AA753" s="187"/>
      <c r="AB753" s="187"/>
    </row>
    <row r="754" spans="1:28" ht="15.75" customHeight="1">
      <c r="A754" s="219"/>
      <c r="B754" s="83"/>
      <c r="C754" s="81"/>
      <c r="D754" s="82"/>
      <c r="E754" s="81"/>
      <c r="F754" s="82"/>
      <c r="G754" s="83"/>
      <c r="H754" s="221"/>
      <c r="I754" s="83"/>
      <c r="J754" s="83"/>
      <c r="K754" s="83"/>
      <c r="L754" s="84"/>
      <c r="M754" s="84"/>
      <c r="N754" s="83"/>
      <c r="O754" s="222"/>
      <c r="P754" s="222"/>
      <c r="Q754" s="187"/>
      <c r="R754" s="187"/>
      <c r="S754" s="187"/>
      <c r="T754" s="187"/>
      <c r="U754" s="187"/>
      <c r="V754" s="187"/>
      <c r="W754" s="187"/>
      <c r="X754" s="187"/>
      <c r="Y754" s="187"/>
      <c r="Z754" s="187"/>
      <c r="AA754" s="187"/>
      <c r="AB754" s="187"/>
    </row>
    <row r="755" spans="1:28" ht="15.75" customHeight="1">
      <c r="A755" s="219"/>
      <c r="B755" s="83"/>
      <c r="C755" s="81"/>
      <c r="D755" s="82"/>
      <c r="E755" s="81"/>
      <c r="F755" s="82"/>
      <c r="G755" s="83"/>
      <c r="H755" s="221"/>
      <c r="I755" s="83"/>
      <c r="J755" s="83"/>
      <c r="K755" s="83"/>
      <c r="L755" s="84"/>
      <c r="M755" s="84"/>
      <c r="N755" s="83"/>
      <c r="O755" s="222"/>
      <c r="P755" s="222"/>
      <c r="Q755" s="187"/>
      <c r="R755" s="187"/>
      <c r="S755" s="187"/>
      <c r="T755" s="187"/>
      <c r="U755" s="187"/>
      <c r="V755" s="187"/>
      <c r="W755" s="187"/>
      <c r="X755" s="187"/>
      <c r="Y755" s="187"/>
      <c r="Z755" s="187"/>
      <c r="AA755" s="187"/>
      <c r="AB755" s="187"/>
    </row>
    <row r="756" spans="1:28" ht="15.75" customHeight="1">
      <c r="A756" s="219"/>
      <c r="B756" s="83"/>
      <c r="C756" s="81"/>
      <c r="D756" s="82"/>
      <c r="E756" s="81"/>
      <c r="F756" s="82"/>
      <c r="G756" s="83"/>
      <c r="H756" s="221"/>
      <c r="I756" s="83"/>
      <c r="J756" s="83"/>
      <c r="K756" s="83"/>
      <c r="L756" s="84"/>
      <c r="M756" s="84"/>
      <c r="N756" s="83"/>
      <c r="O756" s="222"/>
      <c r="P756" s="222"/>
      <c r="Q756" s="187"/>
      <c r="R756" s="187"/>
      <c r="S756" s="187"/>
      <c r="T756" s="187"/>
      <c r="U756" s="187"/>
      <c r="V756" s="187"/>
      <c r="W756" s="187"/>
      <c r="X756" s="187"/>
      <c r="Y756" s="187"/>
      <c r="Z756" s="187"/>
      <c r="AA756" s="187"/>
      <c r="AB756" s="187"/>
    </row>
    <row r="757" spans="1:28" ht="15.75" customHeight="1">
      <c r="A757" s="219"/>
      <c r="B757" s="83"/>
      <c r="C757" s="81"/>
      <c r="D757" s="82"/>
      <c r="E757" s="81"/>
      <c r="F757" s="82"/>
      <c r="G757" s="83"/>
      <c r="H757" s="221"/>
      <c r="I757" s="83"/>
      <c r="J757" s="83"/>
      <c r="K757" s="83"/>
      <c r="L757" s="84"/>
      <c r="M757" s="84"/>
      <c r="N757" s="83"/>
      <c r="O757" s="222"/>
      <c r="P757" s="222"/>
      <c r="Q757" s="187"/>
      <c r="R757" s="187"/>
      <c r="S757" s="187"/>
      <c r="T757" s="187"/>
      <c r="U757" s="187"/>
      <c r="V757" s="187"/>
      <c r="W757" s="187"/>
      <c r="X757" s="187"/>
      <c r="Y757" s="187"/>
      <c r="Z757" s="187"/>
      <c r="AA757" s="187"/>
      <c r="AB757" s="187"/>
    </row>
    <row r="758" spans="1:28" ht="15.75" customHeight="1">
      <c r="A758" s="219"/>
      <c r="B758" s="83"/>
      <c r="C758" s="81"/>
      <c r="D758" s="82"/>
      <c r="E758" s="81"/>
      <c r="F758" s="82"/>
      <c r="G758" s="83"/>
      <c r="H758" s="221"/>
      <c r="I758" s="83"/>
      <c r="J758" s="83"/>
      <c r="K758" s="83"/>
      <c r="L758" s="84"/>
      <c r="M758" s="84"/>
      <c r="N758" s="83"/>
      <c r="O758" s="222"/>
      <c r="P758" s="222"/>
      <c r="Q758" s="187"/>
      <c r="R758" s="187"/>
      <c r="S758" s="187"/>
      <c r="T758" s="187"/>
      <c r="U758" s="187"/>
      <c r="V758" s="187"/>
      <c r="W758" s="187"/>
      <c r="X758" s="187"/>
      <c r="Y758" s="187"/>
      <c r="Z758" s="187"/>
      <c r="AA758" s="187"/>
      <c r="AB758" s="187"/>
    </row>
    <row r="759" spans="1:28" ht="15.75" customHeight="1">
      <c r="A759" s="219"/>
      <c r="B759" s="83"/>
      <c r="C759" s="81"/>
      <c r="D759" s="82"/>
      <c r="E759" s="81"/>
      <c r="F759" s="82"/>
      <c r="G759" s="83"/>
      <c r="H759" s="221"/>
      <c r="I759" s="83"/>
      <c r="J759" s="83"/>
      <c r="K759" s="83"/>
      <c r="L759" s="84"/>
      <c r="M759" s="84"/>
      <c r="N759" s="83"/>
      <c r="O759" s="222"/>
      <c r="P759" s="222"/>
      <c r="Q759" s="187"/>
      <c r="R759" s="187"/>
      <c r="S759" s="187"/>
      <c r="T759" s="187"/>
      <c r="U759" s="187"/>
      <c r="V759" s="187"/>
      <c r="W759" s="187"/>
      <c r="X759" s="187"/>
      <c r="Y759" s="187"/>
      <c r="Z759" s="187"/>
      <c r="AA759" s="187"/>
      <c r="AB759" s="187"/>
    </row>
    <row r="760" spans="1:28" ht="15.75" customHeight="1">
      <c r="A760" s="219"/>
      <c r="B760" s="83"/>
      <c r="C760" s="81"/>
      <c r="D760" s="82"/>
      <c r="E760" s="81"/>
      <c r="F760" s="82"/>
      <c r="G760" s="83"/>
      <c r="H760" s="221"/>
      <c r="I760" s="83"/>
      <c r="J760" s="83"/>
      <c r="K760" s="83"/>
      <c r="L760" s="84"/>
      <c r="M760" s="84"/>
      <c r="N760" s="83"/>
      <c r="O760" s="222"/>
      <c r="P760" s="222"/>
      <c r="Q760" s="187"/>
      <c r="R760" s="187"/>
      <c r="S760" s="187"/>
      <c r="T760" s="187"/>
      <c r="U760" s="187"/>
      <c r="V760" s="187"/>
      <c r="W760" s="187"/>
      <c r="X760" s="187"/>
      <c r="Y760" s="187"/>
      <c r="Z760" s="187"/>
      <c r="AA760" s="187"/>
      <c r="AB760" s="187"/>
    </row>
    <row r="761" spans="1:28" ht="15.75" customHeight="1">
      <c r="A761" s="219"/>
      <c r="B761" s="83"/>
      <c r="C761" s="81"/>
      <c r="D761" s="82"/>
      <c r="E761" s="81"/>
      <c r="F761" s="82"/>
      <c r="G761" s="83"/>
      <c r="H761" s="221"/>
      <c r="I761" s="83"/>
      <c r="J761" s="83"/>
      <c r="K761" s="83"/>
      <c r="L761" s="84"/>
      <c r="M761" s="84"/>
      <c r="N761" s="83"/>
      <c r="O761" s="222"/>
      <c r="P761" s="222"/>
      <c r="Q761" s="187"/>
      <c r="R761" s="187"/>
      <c r="S761" s="187"/>
      <c r="T761" s="187"/>
      <c r="U761" s="187"/>
      <c r="V761" s="187"/>
      <c r="W761" s="187"/>
      <c r="X761" s="187"/>
      <c r="Y761" s="187"/>
      <c r="Z761" s="187"/>
      <c r="AA761" s="187"/>
      <c r="AB761" s="187"/>
    </row>
    <row r="762" spans="1:28" ht="15.75" customHeight="1">
      <c r="A762" s="219"/>
      <c r="B762" s="83"/>
      <c r="C762" s="81"/>
      <c r="D762" s="82"/>
      <c r="E762" s="81"/>
      <c r="F762" s="82"/>
      <c r="G762" s="83"/>
      <c r="H762" s="221"/>
      <c r="I762" s="83"/>
      <c r="J762" s="83"/>
      <c r="K762" s="83"/>
      <c r="L762" s="84"/>
      <c r="M762" s="84"/>
      <c r="N762" s="83"/>
      <c r="O762" s="222"/>
      <c r="P762" s="222"/>
      <c r="Q762" s="187"/>
      <c r="R762" s="187"/>
      <c r="S762" s="187"/>
      <c r="T762" s="187"/>
      <c r="U762" s="187"/>
      <c r="V762" s="187"/>
      <c r="W762" s="187"/>
      <c r="X762" s="187"/>
      <c r="Y762" s="187"/>
      <c r="Z762" s="187"/>
      <c r="AA762" s="187"/>
      <c r="AB762" s="187"/>
    </row>
    <row r="763" spans="1:28" ht="15.75" customHeight="1">
      <c r="A763" s="219"/>
      <c r="B763" s="83"/>
      <c r="C763" s="81"/>
      <c r="D763" s="82"/>
      <c r="E763" s="81"/>
      <c r="F763" s="82"/>
      <c r="G763" s="83"/>
      <c r="H763" s="221"/>
      <c r="I763" s="83"/>
      <c r="J763" s="83"/>
      <c r="K763" s="83"/>
      <c r="L763" s="84"/>
      <c r="M763" s="84"/>
      <c r="N763" s="83"/>
      <c r="O763" s="222"/>
      <c r="P763" s="222"/>
      <c r="Q763" s="187"/>
      <c r="R763" s="187"/>
      <c r="S763" s="187"/>
      <c r="T763" s="187"/>
      <c r="U763" s="187"/>
      <c r="V763" s="187"/>
      <c r="W763" s="187"/>
      <c r="X763" s="187"/>
      <c r="Y763" s="187"/>
      <c r="Z763" s="187"/>
      <c r="AA763" s="187"/>
      <c r="AB763" s="187"/>
    </row>
    <row r="764" spans="1:28" ht="15.75" customHeight="1">
      <c r="A764" s="219"/>
      <c r="B764" s="83"/>
      <c r="C764" s="81"/>
      <c r="D764" s="82"/>
      <c r="E764" s="81"/>
      <c r="F764" s="82"/>
      <c r="G764" s="83"/>
      <c r="H764" s="221"/>
      <c r="I764" s="83"/>
      <c r="J764" s="83"/>
      <c r="K764" s="83"/>
      <c r="L764" s="84"/>
      <c r="M764" s="84"/>
      <c r="N764" s="83"/>
      <c r="O764" s="222"/>
      <c r="P764" s="222"/>
      <c r="Q764" s="187"/>
      <c r="R764" s="187"/>
      <c r="S764" s="187"/>
      <c r="T764" s="187"/>
      <c r="U764" s="187"/>
      <c r="V764" s="187"/>
      <c r="W764" s="187"/>
      <c r="X764" s="187"/>
      <c r="Y764" s="187"/>
      <c r="Z764" s="187"/>
      <c r="AA764" s="187"/>
      <c r="AB764" s="187"/>
    </row>
    <row r="765" spans="1:28" ht="15.75" customHeight="1">
      <c r="A765" s="219"/>
      <c r="B765" s="83"/>
      <c r="C765" s="81"/>
      <c r="D765" s="82"/>
      <c r="E765" s="81"/>
      <c r="F765" s="82"/>
      <c r="G765" s="83"/>
      <c r="H765" s="221"/>
      <c r="I765" s="83"/>
      <c r="J765" s="83"/>
      <c r="K765" s="83"/>
      <c r="L765" s="84"/>
      <c r="M765" s="84"/>
      <c r="N765" s="83"/>
      <c r="O765" s="222"/>
      <c r="P765" s="222"/>
      <c r="Q765" s="187"/>
      <c r="R765" s="187"/>
      <c r="S765" s="187"/>
      <c r="T765" s="187"/>
      <c r="U765" s="187"/>
      <c r="V765" s="187"/>
      <c r="W765" s="187"/>
      <c r="X765" s="187"/>
      <c r="Y765" s="187"/>
      <c r="Z765" s="187"/>
      <c r="AA765" s="187"/>
      <c r="AB765" s="187"/>
    </row>
    <row r="766" spans="1:28" ht="15.75" customHeight="1">
      <c r="A766" s="219"/>
      <c r="B766" s="83"/>
      <c r="C766" s="81"/>
      <c r="D766" s="82"/>
      <c r="E766" s="81"/>
      <c r="F766" s="82"/>
      <c r="G766" s="83"/>
      <c r="H766" s="221"/>
      <c r="I766" s="83"/>
      <c r="J766" s="83"/>
      <c r="K766" s="83"/>
      <c r="L766" s="84"/>
      <c r="M766" s="84"/>
      <c r="N766" s="83"/>
      <c r="O766" s="222"/>
      <c r="P766" s="222"/>
      <c r="Q766" s="187"/>
      <c r="R766" s="187"/>
      <c r="S766" s="187"/>
      <c r="T766" s="187"/>
      <c r="U766" s="187"/>
      <c r="V766" s="187"/>
      <c r="W766" s="187"/>
      <c r="X766" s="187"/>
      <c r="Y766" s="187"/>
      <c r="Z766" s="187"/>
      <c r="AA766" s="187"/>
      <c r="AB766" s="187"/>
    </row>
    <row r="767" spans="1:28" ht="15.75" customHeight="1">
      <c r="A767" s="219"/>
      <c r="B767" s="83"/>
      <c r="C767" s="81"/>
      <c r="D767" s="82"/>
      <c r="E767" s="81"/>
      <c r="F767" s="82"/>
      <c r="G767" s="83"/>
      <c r="H767" s="221"/>
      <c r="I767" s="83"/>
      <c r="J767" s="83"/>
      <c r="K767" s="83"/>
      <c r="L767" s="84"/>
      <c r="M767" s="84"/>
      <c r="N767" s="83"/>
      <c r="O767" s="222"/>
      <c r="P767" s="222"/>
      <c r="Q767" s="187"/>
      <c r="R767" s="187"/>
      <c r="S767" s="187"/>
      <c r="T767" s="187"/>
      <c r="U767" s="187"/>
      <c r="V767" s="187"/>
      <c r="W767" s="187"/>
      <c r="X767" s="187"/>
      <c r="Y767" s="187"/>
      <c r="Z767" s="187"/>
      <c r="AA767" s="187"/>
      <c r="AB767" s="187"/>
    </row>
    <row r="768" spans="1:28" ht="15.75" customHeight="1">
      <c r="A768" s="219"/>
      <c r="B768" s="83"/>
      <c r="C768" s="81"/>
      <c r="D768" s="82"/>
      <c r="E768" s="81"/>
      <c r="F768" s="82"/>
      <c r="G768" s="83"/>
      <c r="H768" s="221"/>
      <c r="I768" s="83"/>
      <c r="J768" s="83"/>
      <c r="K768" s="83"/>
      <c r="L768" s="84"/>
      <c r="M768" s="84"/>
      <c r="N768" s="83"/>
      <c r="O768" s="222"/>
      <c r="P768" s="222"/>
      <c r="Q768" s="187"/>
      <c r="R768" s="187"/>
      <c r="S768" s="187"/>
      <c r="T768" s="187"/>
      <c r="U768" s="187"/>
      <c r="V768" s="187"/>
      <c r="W768" s="187"/>
      <c r="X768" s="187"/>
      <c r="Y768" s="187"/>
      <c r="Z768" s="187"/>
      <c r="AA768" s="187"/>
      <c r="AB768" s="187"/>
    </row>
    <row r="769" spans="1:28" ht="15.75" customHeight="1">
      <c r="A769" s="219"/>
      <c r="B769" s="83"/>
      <c r="C769" s="81"/>
      <c r="D769" s="82"/>
      <c r="E769" s="81"/>
      <c r="F769" s="82"/>
      <c r="G769" s="83"/>
      <c r="H769" s="221"/>
      <c r="I769" s="83"/>
      <c r="J769" s="83"/>
      <c r="K769" s="83"/>
      <c r="L769" s="84"/>
      <c r="M769" s="84"/>
      <c r="N769" s="83"/>
      <c r="O769" s="222"/>
      <c r="P769" s="222"/>
      <c r="Q769" s="187"/>
      <c r="R769" s="187"/>
      <c r="S769" s="187"/>
      <c r="T769" s="187"/>
      <c r="U769" s="187"/>
      <c r="V769" s="187"/>
      <c r="W769" s="187"/>
      <c r="X769" s="187"/>
      <c r="Y769" s="187"/>
      <c r="Z769" s="187"/>
      <c r="AA769" s="187"/>
      <c r="AB769" s="187"/>
    </row>
    <row r="770" spans="1:28" ht="15.75" customHeight="1">
      <c r="A770" s="219"/>
      <c r="B770" s="83"/>
      <c r="C770" s="81"/>
      <c r="D770" s="82"/>
      <c r="E770" s="81"/>
      <c r="F770" s="82"/>
      <c r="G770" s="83"/>
      <c r="H770" s="221"/>
      <c r="I770" s="83"/>
      <c r="J770" s="83"/>
      <c r="K770" s="83"/>
      <c r="L770" s="84"/>
      <c r="M770" s="84"/>
      <c r="N770" s="83"/>
      <c r="O770" s="222"/>
      <c r="P770" s="222"/>
      <c r="Q770" s="187"/>
      <c r="R770" s="187"/>
      <c r="S770" s="187"/>
      <c r="T770" s="187"/>
      <c r="U770" s="187"/>
      <c r="V770" s="187"/>
      <c r="W770" s="187"/>
      <c r="X770" s="187"/>
      <c r="Y770" s="187"/>
      <c r="Z770" s="187"/>
      <c r="AA770" s="187"/>
      <c r="AB770" s="187"/>
    </row>
    <row r="771" spans="1:28" ht="15.75" customHeight="1">
      <c r="A771" s="219"/>
      <c r="B771" s="83"/>
      <c r="C771" s="81"/>
      <c r="D771" s="82"/>
      <c r="E771" s="81"/>
      <c r="F771" s="82"/>
      <c r="G771" s="83"/>
      <c r="H771" s="221"/>
      <c r="I771" s="83"/>
      <c r="J771" s="83"/>
      <c r="K771" s="83"/>
      <c r="L771" s="84"/>
      <c r="M771" s="84"/>
      <c r="N771" s="83"/>
      <c r="O771" s="222"/>
      <c r="P771" s="222"/>
      <c r="Q771" s="187"/>
      <c r="R771" s="187"/>
      <c r="S771" s="187"/>
      <c r="T771" s="187"/>
      <c r="U771" s="187"/>
      <c r="V771" s="187"/>
      <c r="W771" s="187"/>
      <c r="X771" s="187"/>
      <c r="Y771" s="187"/>
      <c r="Z771" s="187"/>
      <c r="AA771" s="187"/>
      <c r="AB771" s="187"/>
    </row>
    <row r="772" spans="1:28" ht="15.75" customHeight="1">
      <c r="A772" s="219"/>
      <c r="B772" s="83"/>
      <c r="C772" s="81"/>
      <c r="D772" s="82"/>
      <c r="E772" s="81"/>
      <c r="F772" s="82"/>
      <c r="G772" s="83"/>
      <c r="H772" s="221"/>
      <c r="I772" s="83"/>
      <c r="J772" s="83"/>
      <c r="K772" s="83"/>
      <c r="L772" s="84"/>
      <c r="M772" s="84"/>
      <c r="N772" s="83"/>
      <c r="O772" s="222"/>
      <c r="P772" s="222"/>
      <c r="Q772" s="187"/>
      <c r="R772" s="187"/>
      <c r="S772" s="187"/>
      <c r="T772" s="187"/>
      <c r="U772" s="187"/>
      <c r="V772" s="187"/>
      <c r="W772" s="187"/>
      <c r="X772" s="187"/>
      <c r="Y772" s="187"/>
      <c r="Z772" s="187"/>
      <c r="AA772" s="187"/>
      <c r="AB772" s="187"/>
    </row>
    <row r="773" spans="1:28" ht="15.75" customHeight="1">
      <c r="A773" s="219"/>
      <c r="B773" s="83"/>
      <c r="C773" s="81"/>
      <c r="D773" s="82"/>
      <c r="E773" s="81"/>
      <c r="F773" s="82"/>
      <c r="G773" s="83"/>
      <c r="H773" s="221"/>
      <c r="I773" s="83"/>
      <c r="J773" s="83"/>
      <c r="K773" s="83"/>
      <c r="L773" s="84"/>
      <c r="M773" s="84"/>
      <c r="N773" s="83"/>
      <c r="O773" s="222"/>
      <c r="P773" s="222"/>
      <c r="Q773" s="187"/>
      <c r="R773" s="187"/>
      <c r="S773" s="187"/>
      <c r="T773" s="187"/>
      <c r="U773" s="187"/>
      <c r="V773" s="187"/>
      <c r="W773" s="187"/>
      <c r="X773" s="187"/>
      <c r="Y773" s="187"/>
      <c r="Z773" s="187"/>
      <c r="AA773" s="187"/>
      <c r="AB773" s="187"/>
    </row>
    <row r="774" spans="1:28" ht="15.75" customHeight="1">
      <c r="A774" s="219"/>
      <c r="B774" s="83"/>
      <c r="C774" s="81"/>
      <c r="D774" s="82"/>
      <c r="E774" s="81"/>
      <c r="F774" s="82"/>
      <c r="G774" s="83"/>
      <c r="H774" s="221"/>
      <c r="I774" s="83"/>
      <c r="J774" s="83"/>
      <c r="K774" s="83"/>
      <c r="L774" s="84"/>
      <c r="M774" s="84"/>
      <c r="N774" s="83"/>
      <c r="O774" s="222"/>
      <c r="P774" s="222"/>
      <c r="Q774" s="187"/>
      <c r="R774" s="187"/>
      <c r="S774" s="187"/>
      <c r="T774" s="187"/>
      <c r="U774" s="187"/>
      <c r="V774" s="187"/>
      <c r="W774" s="187"/>
      <c r="X774" s="187"/>
      <c r="Y774" s="187"/>
      <c r="Z774" s="187"/>
      <c r="AA774" s="187"/>
      <c r="AB774" s="187"/>
    </row>
    <row r="775" spans="1:28" ht="15.75" customHeight="1">
      <c r="A775" s="219"/>
      <c r="B775" s="83"/>
      <c r="C775" s="81"/>
      <c r="D775" s="82"/>
      <c r="E775" s="81"/>
      <c r="F775" s="82"/>
      <c r="G775" s="83"/>
      <c r="H775" s="221"/>
      <c r="I775" s="83"/>
      <c r="J775" s="83"/>
      <c r="K775" s="83"/>
      <c r="L775" s="84"/>
      <c r="M775" s="84"/>
      <c r="N775" s="83"/>
      <c r="O775" s="222"/>
      <c r="P775" s="222"/>
      <c r="Q775" s="187"/>
      <c r="R775" s="187"/>
      <c r="S775" s="187"/>
      <c r="T775" s="187"/>
      <c r="U775" s="187"/>
      <c r="V775" s="187"/>
      <c r="W775" s="187"/>
      <c r="X775" s="187"/>
      <c r="Y775" s="187"/>
      <c r="Z775" s="187"/>
      <c r="AA775" s="187"/>
      <c r="AB775" s="187"/>
    </row>
    <row r="776" spans="1:28" ht="15.75" customHeight="1">
      <c r="A776" s="219"/>
      <c r="B776" s="83"/>
      <c r="C776" s="81"/>
      <c r="D776" s="82"/>
      <c r="E776" s="81"/>
      <c r="F776" s="82"/>
      <c r="G776" s="83"/>
      <c r="H776" s="221"/>
      <c r="I776" s="83"/>
      <c r="J776" s="83"/>
      <c r="K776" s="83"/>
      <c r="L776" s="84"/>
      <c r="M776" s="84"/>
      <c r="N776" s="83"/>
      <c r="O776" s="222"/>
      <c r="P776" s="222"/>
      <c r="Q776" s="187"/>
      <c r="R776" s="187"/>
      <c r="S776" s="187"/>
      <c r="T776" s="187"/>
      <c r="U776" s="187"/>
      <c r="V776" s="187"/>
      <c r="W776" s="187"/>
      <c r="X776" s="187"/>
      <c r="Y776" s="187"/>
      <c r="Z776" s="187"/>
      <c r="AA776" s="187"/>
      <c r="AB776" s="187"/>
    </row>
    <row r="777" spans="1:28" ht="15.75" customHeight="1">
      <c r="A777" s="219"/>
      <c r="B777" s="83"/>
      <c r="C777" s="81"/>
      <c r="D777" s="82"/>
      <c r="E777" s="81"/>
      <c r="F777" s="82"/>
      <c r="G777" s="83"/>
      <c r="H777" s="221"/>
      <c r="I777" s="83"/>
      <c r="J777" s="83"/>
      <c r="K777" s="83"/>
      <c r="L777" s="84"/>
      <c r="M777" s="84"/>
      <c r="N777" s="83"/>
      <c r="O777" s="222"/>
      <c r="P777" s="222"/>
      <c r="Q777" s="187"/>
      <c r="R777" s="187"/>
      <c r="S777" s="187"/>
      <c r="T777" s="187"/>
      <c r="U777" s="187"/>
      <c r="V777" s="187"/>
      <c r="W777" s="187"/>
      <c r="X777" s="187"/>
      <c r="Y777" s="187"/>
      <c r="Z777" s="187"/>
      <c r="AA777" s="187"/>
      <c r="AB777" s="187"/>
    </row>
    <row r="778" spans="1:28" ht="15.75" customHeight="1">
      <c r="A778" s="219"/>
      <c r="B778" s="83"/>
      <c r="C778" s="81"/>
      <c r="D778" s="82"/>
      <c r="E778" s="81"/>
      <c r="F778" s="82"/>
      <c r="G778" s="83"/>
      <c r="H778" s="221"/>
      <c r="I778" s="83"/>
      <c r="J778" s="83"/>
      <c r="K778" s="83"/>
      <c r="L778" s="84"/>
      <c r="M778" s="84"/>
      <c r="N778" s="83"/>
      <c r="O778" s="222"/>
      <c r="P778" s="222"/>
      <c r="Q778" s="187"/>
      <c r="R778" s="187"/>
      <c r="S778" s="187"/>
      <c r="T778" s="187"/>
      <c r="U778" s="187"/>
      <c r="V778" s="187"/>
      <c r="W778" s="187"/>
      <c r="X778" s="187"/>
      <c r="Y778" s="187"/>
      <c r="Z778" s="187"/>
      <c r="AA778" s="187"/>
      <c r="AB778" s="187"/>
    </row>
    <row r="779" spans="1:28" ht="15.75" customHeight="1">
      <c r="A779" s="219"/>
      <c r="B779" s="83"/>
      <c r="C779" s="81"/>
      <c r="D779" s="82"/>
      <c r="E779" s="81"/>
      <c r="F779" s="82"/>
      <c r="G779" s="83"/>
      <c r="H779" s="221"/>
      <c r="I779" s="83"/>
      <c r="J779" s="83"/>
      <c r="K779" s="83"/>
      <c r="L779" s="84"/>
      <c r="M779" s="84"/>
      <c r="N779" s="83"/>
      <c r="O779" s="222"/>
      <c r="P779" s="222"/>
      <c r="Q779" s="187"/>
      <c r="R779" s="187"/>
      <c r="S779" s="187"/>
      <c r="T779" s="187"/>
      <c r="U779" s="187"/>
      <c r="V779" s="187"/>
      <c r="W779" s="187"/>
      <c r="X779" s="187"/>
      <c r="Y779" s="187"/>
      <c r="Z779" s="187"/>
      <c r="AA779" s="187"/>
      <c r="AB779" s="187"/>
    </row>
    <row r="780" spans="1:28" ht="15.75" customHeight="1">
      <c r="A780" s="219"/>
      <c r="B780" s="83"/>
      <c r="C780" s="81"/>
      <c r="D780" s="82"/>
      <c r="E780" s="81"/>
      <c r="F780" s="82"/>
      <c r="G780" s="83"/>
      <c r="H780" s="221"/>
      <c r="I780" s="83"/>
      <c r="J780" s="83"/>
      <c r="K780" s="83"/>
      <c r="L780" s="84"/>
      <c r="M780" s="84"/>
      <c r="N780" s="83"/>
      <c r="O780" s="222"/>
      <c r="P780" s="222"/>
      <c r="Q780" s="187"/>
      <c r="R780" s="187"/>
      <c r="S780" s="187"/>
      <c r="T780" s="187"/>
      <c r="U780" s="187"/>
      <c r="V780" s="187"/>
      <c r="W780" s="187"/>
      <c r="X780" s="187"/>
      <c r="Y780" s="187"/>
      <c r="Z780" s="187"/>
      <c r="AA780" s="187"/>
      <c r="AB780" s="187"/>
    </row>
    <row r="781" spans="1:28" ht="15.75" customHeight="1">
      <c r="A781" s="219"/>
      <c r="B781" s="83"/>
      <c r="C781" s="81"/>
      <c r="D781" s="82"/>
      <c r="E781" s="81"/>
      <c r="F781" s="82"/>
      <c r="G781" s="83"/>
      <c r="H781" s="221"/>
      <c r="I781" s="83"/>
      <c r="J781" s="83"/>
      <c r="K781" s="83"/>
      <c r="L781" s="84"/>
      <c r="M781" s="84"/>
      <c r="N781" s="83"/>
      <c r="O781" s="222"/>
      <c r="P781" s="222"/>
      <c r="Q781" s="187"/>
      <c r="R781" s="187"/>
      <c r="S781" s="187"/>
      <c r="T781" s="187"/>
      <c r="U781" s="187"/>
      <c r="V781" s="187"/>
      <c r="W781" s="187"/>
      <c r="X781" s="187"/>
      <c r="Y781" s="187"/>
      <c r="Z781" s="187"/>
      <c r="AA781" s="187"/>
      <c r="AB781" s="187"/>
    </row>
    <row r="782" spans="1:28" ht="15.75" customHeight="1">
      <c r="A782" s="219"/>
      <c r="B782" s="83"/>
      <c r="C782" s="81"/>
      <c r="D782" s="82"/>
      <c r="E782" s="81"/>
      <c r="F782" s="82"/>
      <c r="G782" s="83"/>
      <c r="H782" s="221"/>
      <c r="I782" s="83"/>
      <c r="J782" s="83"/>
      <c r="K782" s="83"/>
      <c r="L782" s="84"/>
      <c r="M782" s="84"/>
      <c r="N782" s="83"/>
      <c r="O782" s="222"/>
      <c r="P782" s="222"/>
      <c r="Q782" s="187"/>
      <c r="R782" s="187"/>
      <c r="S782" s="187"/>
      <c r="T782" s="187"/>
      <c r="U782" s="187"/>
      <c r="V782" s="187"/>
      <c r="W782" s="187"/>
      <c r="X782" s="187"/>
      <c r="Y782" s="187"/>
      <c r="Z782" s="187"/>
      <c r="AA782" s="187"/>
      <c r="AB782" s="187"/>
    </row>
    <row r="783" spans="1:28" ht="15.75" customHeight="1">
      <c r="A783" s="219"/>
      <c r="B783" s="83"/>
      <c r="C783" s="81"/>
      <c r="D783" s="82"/>
      <c r="E783" s="81"/>
      <c r="F783" s="82"/>
      <c r="G783" s="83"/>
      <c r="H783" s="221"/>
      <c r="I783" s="83"/>
      <c r="J783" s="83"/>
      <c r="K783" s="83"/>
      <c r="L783" s="84"/>
      <c r="M783" s="84"/>
      <c r="N783" s="83"/>
      <c r="O783" s="222"/>
      <c r="P783" s="222"/>
      <c r="Q783" s="187"/>
      <c r="R783" s="187"/>
      <c r="S783" s="187"/>
      <c r="T783" s="187"/>
      <c r="U783" s="187"/>
      <c r="V783" s="187"/>
      <c r="W783" s="187"/>
      <c r="X783" s="187"/>
      <c r="Y783" s="187"/>
      <c r="Z783" s="187"/>
      <c r="AA783" s="187"/>
      <c r="AB783" s="187"/>
    </row>
    <row r="784" spans="1:28" ht="15.75" customHeight="1">
      <c r="A784" s="219"/>
      <c r="B784" s="83"/>
      <c r="C784" s="81"/>
      <c r="D784" s="82"/>
      <c r="E784" s="81"/>
      <c r="F784" s="82"/>
      <c r="G784" s="83"/>
      <c r="H784" s="221"/>
      <c r="I784" s="83"/>
      <c r="J784" s="83"/>
      <c r="K784" s="83"/>
      <c r="L784" s="84"/>
      <c r="M784" s="84"/>
      <c r="N784" s="83"/>
      <c r="O784" s="222"/>
      <c r="P784" s="222"/>
      <c r="Q784" s="187"/>
      <c r="R784" s="187"/>
      <c r="S784" s="187"/>
      <c r="T784" s="187"/>
      <c r="U784" s="187"/>
      <c r="V784" s="187"/>
      <c r="W784" s="187"/>
      <c r="X784" s="187"/>
      <c r="Y784" s="187"/>
      <c r="Z784" s="187"/>
      <c r="AA784" s="187"/>
      <c r="AB784" s="187"/>
    </row>
    <row r="785" spans="1:28" ht="15.75" customHeight="1">
      <c r="A785" s="219"/>
      <c r="B785" s="83"/>
      <c r="C785" s="81"/>
      <c r="D785" s="82"/>
      <c r="E785" s="81"/>
      <c r="F785" s="82"/>
      <c r="G785" s="83"/>
      <c r="H785" s="221"/>
      <c r="I785" s="83"/>
      <c r="J785" s="83"/>
      <c r="K785" s="83"/>
      <c r="L785" s="84"/>
      <c r="M785" s="84"/>
      <c r="N785" s="83"/>
      <c r="O785" s="222"/>
      <c r="P785" s="222"/>
      <c r="Q785" s="187"/>
      <c r="R785" s="187"/>
      <c r="S785" s="187"/>
      <c r="T785" s="187"/>
      <c r="U785" s="187"/>
      <c r="V785" s="187"/>
      <c r="W785" s="187"/>
      <c r="X785" s="187"/>
      <c r="Y785" s="187"/>
      <c r="Z785" s="187"/>
      <c r="AA785" s="187"/>
      <c r="AB785" s="187"/>
    </row>
    <row r="786" spans="1:28" ht="15.75" customHeight="1">
      <c r="A786" s="219"/>
      <c r="B786" s="83"/>
      <c r="C786" s="81"/>
      <c r="D786" s="82"/>
      <c r="E786" s="81"/>
      <c r="F786" s="82"/>
      <c r="G786" s="83"/>
      <c r="H786" s="221"/>
      <c r="I786" s="83"/>
      <c r="J786" s="83"/>
      <c r="K786" s="83"/>
      <c r="L786" s="84"/>
      <c r="M786" s="84"/>
      <c r="N786" s="83"/>
      <c r="O786" s="222"/>
      <c r="P786" s="222"/>
      <c r="Q786" s="187"/>
      <c r="R786" s="187"/>
      <c r="S786" s="187"/>
      <c r="T786" s="187"/>
      <c r="U786" s="187"/>
      <c r="V786" s="187"/>
      <c r="W786" s="187"/>
      <c r="X786" s="187"/>
      <c r="Y786" s="187"/>
      <c r="Z786" s="187"/>
      <c r="AA786" s="187"/>
      <c r="AB786" s="187"/>
    </row>
    <row r="787" spans="1:28" ht="15.75" customHeight="1">
      <c r="A787" s="219"/>
      <c r="B787" s="83"/>
      <c r="C787" s="81"/>
      <c r="D787" s="82"/>
      <c r="E787" s="81"/>
      <c r="F787" s="82"/>
      <c r="G787" s="83"/>
      <c r="H787" s="221"/>
      <c r="I787" s="83"/>
      <c r="J787" s="83"/>
      <c r="K787" s="83"/>
      <c r="L787" s="84"/>
      <c r="M787" s="84"/>
      <c r="N787" s="83"/>
      <c r="O787" s="222"/>
      <c r="P787" s="222"/>
      <c r="Q787" s="187"/>
      <c r="R787" s="187"/>
      <c r="S787" s="187"/>
      <c r="T787" s="187"/>
      <c r="U787" s="187"/>
      <c r="V787" s="187"/>
      <c r="W787" s="187"/>
      <c r="X787" s="187"/>
      <c r="Y787" s="187"/>
      <c r="Z787" s="187"/>
      <c r="AA787" s="187"/>
      <c r="AB787" s="187"/>
    </row>
    <row r="788" spans="1:28" ht="15.75" customHeight="1">
      <c r="A788" s="219"/>
      <c r="B788" s="83"/>
      <c r="C788" s="81"/>
      <c r="D788" s="82"/>
      <c r="E788" s="81"/>
      <c r="F788" s="82"/>
      <c r="G788" s="83"/>
      <c r="H788" s="221"/>
      <c r="I788" s="83"/>
      <c r="J788" s="83"/>
      <c r="K788" s="83"/>
      <c r="L788" s="84"/>
      <c r="M788" s="84"/>
      <c r="N788" s="83"/>
      <c r="O788" s="222"/>
      <c r="P788" s="222"/>
      <c r="Q788" s="187"/>
      <c r="R788" s="187"/>
      <c r="S788" s="187"/>
      <c r="T788" s="187"/>
      <c r="U788" s="187"/>
      <c r="V788" s="187"/>
      <c r="W788" s="187"/>
      <c r="X788" s="187"/>
      <c r="Y788" s="187"/>
      <c r="Z788" s="187"/>
      <c r="AA788" s="187"/>
      <c r="AB788" s="187"/>
    </row>
    <row r="789" spans="1:28" ht="15.75" customHeight="1">
      <c r="A789" s="219"/>
      <c r="B789" s="83"/>
      <c r="C789" s="81"/>
      <c r="D789" s="82"/>
      <c r="E789" s="81"/>
      <c r="F789" s="82"/>
      <c r="G789" s="83"/>
      <c r="H789" s="221"/>
      <c r="I789" s="83"/>
      <c r="J789" s="83"/>
      <c r="K789" s="83"/>
      <c r="L789" s="84"/>
      <c r="M789" s="84"/>
      <c r="N789" s="83"/>
      <c r="O789" s="222"/>
      <c r="P789" s="222"/>
      <c r="Q789" s="187"/>
      <c r="R789" s="187"/>
      <c r="S789" s="187"/>
      <c r="T789" s="187"/>
      <c r="U789" s="187"/>
      <c r="V789" s="187"/>
      <c r="W789" s="187"/>
      <c r="X789" s="187"/>
      <c r="Y789" s="187"/>
      <c r="Z789" s="187"/>
      <c r="AA789" s="187"/>
      <c r="AB789" s="187"/>
    </row>
    <row r="790" spans="1:28" ht="15.75" customHeight="1">
      <c r="A790" s="219"/>
      <c r="B790" s="83"/>
      <c r="C790" s="81"/>
      <c r="D790" s="82"/>
      <c r="E790" s="81"/>
      <c r="F790" s="82"/>
      <c r="G790" s="83"/>
      <c r="H790" s="221"/>
      <c r="I790" s="83"/>
      <c r="J790" s="83"/>
      <c r="K790" s="83"/>
      <c r="L790" s="84"/>
      <c r="M790" s="84"/>
      <c r="N790" s="83"/>
      <c r="O790" s="222"/>
      <c r="P790" s="222"/>
      <c r="Q790" s="187"/>
      <c r="R790" s="187"/>
      <c r="S790" s="187"/>
      <c r="T790" s="187"/>
      <c r="U790" s="187"/>
      <c r="V790" s="187"/>
      <c r="W790" s="187"/>
      <c r="X790" s="187"/>
      <c r="Y790" s="187"/>
      <c r="Z790" s="187"/>
      <c r="AA790" s="187"/>
      <c r="AB790" s="187"/>
    </row>
    <row r="791" spans="1:28" ht="15.75" customHeight="1">
      <c r="A791" s="219"/>
      <c r="B791" s="83"/>
      <c r="C791" s="81"/>
      <c r="D791" s="82"/>
      <c r="E791" s="81"/>
      <c r="F791" s="82"/>
      <c r="G791" s="83"/>
      <c r="H791" s="221"/>
      <c r="I791" s="83"/>
      <c r="J791" s="83"/>
      <c r="K791" s="83"/>
      <c r="L791" s="84"/>
      <c r="M791" s="84"/>
      <c r="N791" s="83"/>
      <c r="O791" s="222"/>
      <c r="P791" s="222"/>
      <c r="Q791" s="187"/>
      <c r="R791" s="187"/>
      <c r="S791" s="187"/>
      <c r="T791" s="187"/>
      <c r="U791" s="187"/>
      <c r="V791" s="187"/>
      <c r="W791" s="187"/>
      <c r="X791" s="187"/>
      <c r="Y791" s="187"/>
      <c r="Z791" s="187"/>
      <c r="AA791" s="187"/>
      <c r="AB791" s="187"/>
    </row>
    <row r="792" spans="1:28" ht="15.75" customHeight="1">
      <c r="A792" s="219"/>
      <c r="B792" s="83"/>
      <c r="C792" s="81"/>
      <c r="D792" s="82"/>
      <c r="E792" s="81"/>
      <c r="F792" s="82"/>
      <c r="G792" s="83"/>
      <c r="H792" s="221"/>
      <c r="I792" s="83"/>
      <c r="J792" s="83"/>
      <c r="K792" s="83"/>
      <c r="L792" s="84"/>
      <c r="M792" s="84"/>
      <c r="N792" s="83"/>
      <c r="O792" s="222"/>
      <c r="P792" s="222"/>
      <c r="Q792" s="187"/>
      <c r="R792" s="187"/>
      <c r="S792" s="187"/>
      <c r="T792" s="187"/>
      <c r="U792" s="187"/>
      <c r="V792" s="187"/>
      <c r="W792" s="187"/>
      <c r="X792" s="187"/>
      <c r="Y792" s="187"/>
      <c r="Z792" s="187"/>
      <c r="AA792" s="187"/>
      <c r="AB792" s="187"/>
    </row>
    <row r="793" spans="1:28" ht="15.75" customHeight="1">
      <c r="A793" s="219"/>
      <c r="B793" s="83"/>
      <c r="C793" s="81"/>
      <c r="D793" s="82"/>
      <c r="E793" s="81"/>
      <c r="F793" s="82"/>
      <c r="G793" s="83"/>
      <c r="H793" s="221"/>
      <c r="I793" s="83"/>
      <c r="J793" s="83"/>
      <c r="K793" s="83"/>
      <c r="L793" s="84"/>
      <c r="M793" s="84"/>
      <c r="N793" s="83"/>
      <c r="O793" s="222"/>
      <c r="P793" s="222"/>
      <c r="Q793" s="187"/>
      <c r="R793" s="187"/>
      <c r="S793" s="187"/>
      <c r="T793" s="187"/>
      <c r="U793" s="187"/>
      <c r="V793" s="187"/>
      <c r="W793" s="187"/>
      <c r="X793" s="187"/>
      <c r="Y793" s="187"/>
      <c r="Z793" s="187"/>
      <c r="AA793" s="187"/>
      <c r="AB793" s="187"/>
    </row>
    <row r="794" spans="1:28" ht="15.75" customHeight="1">
      <c r="A794" s="219"/>
      <c r="B794" s="83"/>
      <c r="C794" s="81"/>
      <c r="D794" s="82"/>
      <c r="E794" s="81"/>
      <c r="F794" s="82"/>
      <c r="G794" s="83"/>
      <c r="H794" s="221"/>
      <c r="I794" s="83"/>
      <c r="J794" s="83"/>
      <c r="K794" s="83"/>
      <c r="L794" s="84"/>
      <c r="M794" s="84"/>
      <c r="N794" s="83"/>
      <c r="O794" s="222"/>
      <c r="P794" s="222"/>
      <c r="Q794" s="187"/>
      <c r="R794" s="187"/>
      <c r="S794" s="187"/>
      <c r="T794" s="187"/>
      <c r="U794" s="187"/>
      <c r="V794" s="187"/>
      <c r="W794" s="187"/>
      <c r="X794" s="187"/>
      <c r="Y794" s="187"/>
      <c r="Z794" s="187"/>
      <c r="AA794" s="187"/>
      <c r="AB794" s="187"/>
    </row>
    <row r="795" spans="1:28" ht="15.75" customHeight="1">
      <c r="A795" s="219"/>
      <c r="B795" s="83"/>
      <c r="C795" s="81"/>
      <c r="D795" s="82"/>
      <c r="E795" s="81"/>
      <c r="F795" s="82"/>
      <c r="G795" s="83"/>
      <c r="H795" s="221"/>
      <c r="I795" s="83"/>
      <c r="J795" s="83"/>
      <c r="K795" s="83"/>
      <c r="L795" s="84"/>
      <c r="M795" s="84"/>
      <c r="N795" s="83"/>
      <c r="O795" s="222"/>
      <c r="P795" s="222"/>
      <c r="Q795" s="187"/>
      <c r="R795" s="187"/>
      <c r="S795" s="187"/>
      <c r="T795" s="187"/>
      <c r="U795" s="187"/>
      <c r="V795" s="187"/>
      <c r="W795" s="187"/>
      <c r="X795" s="187"/>
      <c r="Y795" s="187"/>
      <c r="Z795" s="187"/>
      <c r="AA795" s="187"/>
      <c r="AB795" s="187"/>
    </row>
    <row r="796" spans="1:28" ht="15.75" customHeight="1">
      <c r="A796" s="219"/>
      <c r="B796" s="83"/>
      <c r="C796" s="81"/>
      <c r="D796" s="82"/>
      <c r="E796" s="81"/>
      <c r="F796" s="82"/>
      <c r="G796" s="83"/>
      <c r="H796" s="221"/>
      <c r="I796" s="83"/>
      <c r="J796" s="83"/>
      <c r="K796" s="83"/>
      <c r="L796" s="84"/>
      <c r="M796" s="84"/>
      <c r="N796" s="83"/>
      <c r="O796" s="222"/>
      <c r="P796" s="222"/>
      <c r="Q796" s="187"/>
      <c r="R796" s="187"/>
      <c r="S796" s="187"/>
      <c r="T796" s="187"/>
      <c r="U796" s="187"/>
      <c r="V796" s="187"/>
      <c r="W796" s="187"/>
      <c r="X796" s="187"/>
      <c r="Y796" s="187"/>
      <c r="Z796" s="187"/>
      <c r="AA796" s="187"/>
      <c r="AB796" s="187"/>
    </row>
    <row r="797" spans="1:28" ht="15.75" customHeight="1">
      <c r="A797" s="219"/>
      <c r="B797" s="83"/>
      <c r="C797" s="81"/>
      <c r="D797" s="82"/>
      <c r="E797" s="81"/>
      <c r="F797" s="82"/>
      <c r="G797" s="83"/>
      <c r="H797" s="221"/>
      <c r="I797" s="83"/>
      <c r="J797" s="83"/>
      <c r="K797" s="83"/>
      <c r="L797" s="84"/>
      <c r="M797" s="84"/>
      <c r="N797" s="83"/>
      <c r="O797" s="222"/>
      <c r="P797" s="222"/>
      <c r="Q797" s="187"/>
      <c r="R797" s="187"/>
      <c r="S797" s="187"/>
      <c r="T797" s="187"/>
      <c r="U797" s="187"/>
      <c r="V797" s="187"/>
      <c r="W797" s="187"/>
      <c r="X797" s="187"/>
      <c r="Y797" s="187"/>
      <c r="Z797" s="187"/>
      <c r="AA797" s="187"/>
      <c r="AB797" s="187"/>
    </row>
    <row r="798" spans="1:28" ht="15.75" customHeight="1">
      <c r="A798" s="219"/>
      <c r="B798" s="83"/>
      <c r="C798" s="81"/>
      <c r="D798" s="82"/>
      <c r="E798" s="81"/>
      <c r="F798" s="82"/>
      <c r="G798" s="83"/>
      <c r="H798" s="221"/>
      <c r="I798" s="83"/>
      <c r="J798" s="83"/>
      <c r="K798" s="83"/>
      <c r="L798" s="84"/>
      <c r="M798" s="84"/>
      <c r="N798" s="83"/>
      <c r="O798" s="222"/>
      <c r="P798" s="222"/>
      <c r="Q798" s="187"/>
      <c r="R798" s="187"/>
      <c r="S798" s="187"/>
      <c r="T798" s="187"/>
      <c r="U798" s="187"/>
      <c r="V798" s="187"/>
      <c r="W798" s="187"/>
      <c r="X798" s="187"/>
      <c r="Y798" s="187"/>
      <c r="Z798" s="187"/>
      <c r="AA798" s="187"/>
      <c r="AB798" s="187"/>
    </row>
    <row r="799" spans="1:28" ht="15.75" customHeight="1">
      <c r="A799" s="219"/>
      <c r="B799" s="83"/>
      <c r="C799" s="81"/>
      <c r="D799" s="82"/>
      <c r="E799" s="81"/>
      <c r="F799" s="82"/>
      <c r="G799" s="83"/>
      <c r="H799" s="221"/>
      <c r="I799" s="83"/>
      <c r="J799" s="83"/>
      <c r="K799" s="83"/>
      <c r="L799" s="84"/>
      <c r="M799" s="84"/>
      <c r="N799" s="83"/>
      <c r="O799" s="222"/>
      <c r="P799" s="222"/>
      <c r="Q799" s="187"/>
      <c r="R799" s="187"/>
      <c r="S799" s="187"/>
      <c r="T799" s="187"/>
      <c r="U799" s="187"/>
      <c r="V799" s="187"/>
      <c r="W799" s="187"/>
      <c r="X799" s="187"/>
      <c r="Y799" s="187"/>
      <c r="Z799" s="187"/>
      <c r="AA799" s="187"/>
      <c r="AB799" s="187"/>
    </row>
    <row r="800" spans="1:28" ht="15.75" customHeight="1">
      <c r="A800" s="219"/>
      <c r="B800" s="83"/>
      <c r="C800" s="81"/>
      <c r="D800" s="82"/>
      <c r="E800" s="81"/>
      <c r="F800" s="82"/>
      <c r="G800" s="83"/>
      <c r="H800" s="221"/>
      <c r="I800" s="83"/>
      <c r="J800" s="83"/>
      <c r="K800" s="83"/>
      <c r="L800" s="84"/>
      <c r="M800" s="84"/>
      <c r="N800" s="83"/>
      <c r="O800" s="222"/>
      <c r="P800" s="222"/>
      <c r="Q800" s="187"/>
      <c r="R800" s="187"/>
      <c r="S800" s="187"/>
      <c r="T800" s="187"/>
      <c r="U800" s="187"/>
      <c r="V800" s="187"/>
      <c r="W800" s="187"/>
      <c r="X800" s="187"/>
      <c r="Y800" s="187"/>
      <c r="Z800" s="187"/>
      <c r="AA800" s="187"/>
      <c r="AB800" s="187"/>
    </row>
    <row r="801" spans="1:28" ht="15.75" customHeight="1">
      <c r="A801" s="219"/>
      <c r="B801" s="83"/>
      <c r="C801" s="81"/>
      <c r="D801" s="82"/>
      <c r="E801" s="81"/>
      <c r="F801" s="82"/>
      <c r="G801" s="83"/>
      <c r="H801" s="221"/>
      <c r="I801" s="83"/>
      <c r="J801" s="83"/>
      <c r="K801" s="83"/>
      <c r="L801" s="84"/>
      <c r="M801" s="84"/>
      <c r="N801" s="83"/>
      <c r="O801" s="222"/>
      <c r="P801" s="222"/>
      <c r="Q801" s="187"/>
      <c r="R801" s="187"/>
      <c r="S801" s="187"/>
      <c r="T801" s="187"/>
      <c r="U801" s="187"/>
      <c r="V801" s="187"/>
      <c r="W801" s="187"/>
      <c r="X801" s="187"/>
      <c r="Y801" s="187"/>
      <c r="Z801" s="187"/>
      <c r="AA801" s="187"/>
      <c r="AB801" s="187"/>
    </row>
    <row r="802" spans="1:28" ht="15.75" customHeight="1">
      <c r="A802" s="219"/>
      <c r="B802" s="83"/>
      <c r="C802" s="81"/>
      <c r="D802" s="82"/>
      <c r="E802" s="81"/>
      <c r="F802" s="82"/>
      <c r="G802" s="83"/>
      <c r="H802" s="221"/>
      <c r="I802" s="83"/>
      <c r="J802" s="83"/>
      <c r="K802" s="83"/>
      <c r="L802" s="84"/>
      <c r="M802" s="84"/>
      <c r="N802" s="83"/>
      <c r="O802" s="222"/>
      <c r="P802" s="222"/>
      <c r="Q802" s="187"/>
      <c r="R802" s="187"/>
      <c r="S802" s="187"/>
      <c r="T802" s="187"/>
      <c r="U802" s="187"/>
      <c r="V802" s="187"/>
      <c r="W802" s="187"/>
      <c r="X802" s="187"/>
      <c r="Y802" s="187"/>
      <c r="Z802" s="187"/>
      <c r="AA802" s="187"/>
      <c r="AB802" s="187"/>
    </row>
    <row r="803" spans="1:28" ht="15.75" customHeight="1">
      <c r="A803" s="219"/>
      <c r="B803" s="83"/>
      <c r="C803" s="81"/>
      <c r="D803" s="82"/>
      <c r="E803" s="81"/>
      <c r="F803" s="82"/>
      <c r="G803" s="83"/>
      <c r="H803" s="221"/>
      <c r="I803" s="83"/>
      <c r="J803" s="83"/>
      <c r="K803" s="83"/>
      <c r="L803" s="84"/>
      <c r="M803" s="84"/>
      <c r="N803" s="83"/>
      <c r="O803" s="222"/>
      <c r="P803" s="222"/>
      <c r="Q803" s="187"/>
      <c r="R803" s="187"/>
      <c r="S803" s="187"/>
      <c r="T803" s="187"/>
      <c r="U803" s="187"/>
      <c r="V803" s="187"/>
      <c r="W803" s="187"/>
      <c r="X803" s="187"/>
      <c r="Y803" s="187"/>
      <c r="Z803" s="187"/>
      <c r="AA803" s="187"/>
      <c r="AB803" s="187"/>
    </row>
    <row r="804" spans="1:28" ht="15.75" customHeight="1">
      <c r="A804" s="219"/>
      <c r="B804" s="83"/>
      <c r="C804" s="81"/>
      <c r="D804" s="82"/>
      <c r="E804" s="81"/>
      <c r="F804" s="82"/>
      <c r="G804" s="83"/>
      <c r="H804" s="221"/>
      <c r="I804" s="83"/>
      <c r="J804" s="83"/>
      <c r="K804" s="83"/>
      <c r="L804" s="84"/>
      <c r="M804" s="84"/>
      <c r="N804" s="83"/>
      <c r="O804" s="222"/>
      <c r="P804" s="222"/>
      <c r="Q804" s="187"/>
      <c r="R804" s="187"/>
      <c r="S804" s="187"/>
      <c r="T804" s="187"/>
      <c r="U804" s="187"/>
      <c r="V804" s="187"/>
      <c r="W804" s="187"/>
      <c r="X804" s="187"/>
      <c r="Y804" s="187"/>
      <c r="Z804" s="187"/>
      <c r="AA804" s="187"/>
      <c r="AB804" s="187"/>
    </row>
    <row r="805" spans="1:28" ht="15.75" customHeight="1">
      <c r="A805" s="219"/>
      <c r="B805" s="83"/>
      <c r="C805" s="81"/>
      <c r="D805" s="82"/>
      <c r="E805" s="81"/>
      <c r="F805" s="82"/>
      <c r="G805" s="83"/>
      <c r="H805" s="221"/>
      <c r="I805" s="83"/>
      <c r="J805" s="83"/>
      <c r="K805" s="83"/>
      <c r="L805" s="84"/>
      <c r="M805" s="84"/>
      <c r="N805" s="83"/>
      <c r="O805" s="222"/>
      <c r="P805" s="222"/>
      <c r="Q805" s="187"/>
      <c r="R805" s="187"/>
      <c r="S805" s="187"/>
      <c r="T805" s="187"/>
      <c r="U805" s="187"/>
      <c r="V805" s="187"/>
      <c r="W805" s="187"/>
      <c r="X805" s="187"/>
      <c r="Y805" s="187"/>
      <c r="Z805" s="187"/>
      <c r="AA805" s="187"/>
      <c r="AB805" s="187"/>
    </row>
    <row r="806" spans="1:28" ht="15.75" customHeight="1">
      <c r="A806" s="219"/>
      <c r="B806" s="83"/>
      <c r="C806" s="81"/>
      <c r="D806" s="82"/>
      <c r="E806" s="81"/>
      <c r="F806" s="82"/>
      <c r="G806" s="83"/>
      <c r="H806" s="221"/>
      <c r="I806" s="83"/>
      <c r="J806" s="83"/>
      <c r="K806" s="83"/>
      <c r="L806" s="84"/>
      <c r="M806" s="84"/>
      <c r="N806" s="83"/>
      <c r="O806" s="222"/>
      <c r="P806" s="222"/>
      <c r="Q806" s="187"/>
      <c r="R806" s="187"/>
      <c r="S806" s="187"/>
      <c r="T806" s="187"/>
      <c r="U806" s="187"/>
      <c r="V806" s="187"/>
      <c r="W806" s="187"/>
      <c r="X806" s="187"/>
      <c r="Y806" s="187"/>
      <c r="Z806" s="187"/>
      <c r="AA806" s="187"/>
      <c r="AB806" s="187"/>
    </row>
    <row r="807" spans="1:28" ht="15.75" customHeight="1">
      <c r="A807" s="219"/>
      <c r="B807" s="83"/>
      <c r="C807" s="81"/>
      <c r="D807" s="82"/>
      <c r="E807" s="81"/>
      <c r="F807" s="82"/>
      <c r="G807" s="83"/>
      <c r="H807" s="221"/>
      <c r="I807" s="83"/>
      <c r="J807" s="83"/>
      <c r="K807" s="83"/>
      <c r="L807" s="84"/>
      <c r="M807" s="84"/>
      <c r="N807" s="83"/>
      <c r="O807" s="222"/>
      <c r="P807" s="222"/>
      <c r="Q807" s="187"/>
      <c r="R807" s="187"/>
      <c r="S807" s="187"/>
      <c r="T807" s="187"/>
      <c r="U807" s="187"/>
      <c r="V807" s="187"/>
      <c r="W807" s="187"/>
      <c r="X807" s="187"/>
      <c r="Y807" s="187"/>
      <c r="Z807" s="187"/>
      <c r="AA807" s="187"/>
      <c r="AB807" s="187"/>
    </row>
    <row r="808" spans="1:28" ht="15.75" customHeight="1">
      <c r="A808" s="219"/>
      <c r="B808" s="83"/>
      <c r="C808" s="81"/>
      <c r="D808" s="82"/>
      <c r="E808" s="81"/>
      <c r="F808" s="82"/>
      <c r="G808" s="83"/>
      <c r="H808" s="221"/>
      <c r="I808" s="83"/>
      <c r="J808" s="83"/>
      <c r="K808" s="83"/>
      <c r="L808" s="84"/>
      <c r="M808" s="84"/>
      <c r="N808" s="83"/>
      <c r="O808" s="222"/>
      <c r="P808" s="222"/>
      <c r="Q808" s="187"/>
      <c r="R808" s="187"/>
      <c r="S808" s="187"/>
      <c r="T808" s="187"/>
      <c r="U808" s="187"/>
      <c r="V808" s="187"/>
      <c r="W808" s="187"/>
      <c r="X808" s="187"/>
      <c r="Y808" s="187"/>
      <c r="Z808" s="187"/>
      <c r="AA808" s="187"/>
      <c r="AB808" s="187"/>
    </row>
    <row r="809" spans="1:28" ht="15.75" customHeight="1">
      <c r="A809" s="219"/>
      <c r="B809" s="83"/>
      <c r="C809" s="81"/>
      <c r="D809" s="82"/>
      <c r="E809" s="81"/>
      <c r="F809" s="82"/>
      <c r="G809" s="83"/>
      <c r="H809" s="221"/>
      <c r="I809" s="83"/>
      <c r="J809" s="83"/>
      <c r="K809" s="83"/>
      <c r="L809" s="84"/>
      <c r="M809" s="84"/>
      <c r="N809" s="83"/>
      <c r="O809" s="222"/>
      <c r="P809" s="222"/>
      <c r="Q809" s="187"/>
      <c r="R809" s="187"/>
      <c r="S809" s="187"/>
      <c r="T809" s="187"/>
      <c r="U809" s="187"/>
      <c r="V809" s="187"/>
      <c r="W809" s="187"/>
      <c r="X809" s="187"/>
      <c r="Y809" s="187"/>
      <c r="Z809" s="187"/>
      <c r="AA809" s="187"/>
      <c r="AB809" s="187"/>
    </row>
    <row r="810" spans="1:28" ht="15.75" customHeight="1">
      <c r="A810" s="219"/>
      <c r="B810" s="83"/>
      <c r="C810" s="81"/>
      <c r="D810" s="82"/>
      <c r="E810" s="81"/>
      <c r="F810" s="82"/>
      <c r="G810" s="83"/>
      <c r="H810" s="221"/>
      <c r="I810" s="83"/>
      <c r="J810" s="83"/>
      <c r="K810" s="83"/>
      <c r="L810" s="84"/>
      <c r="M810" s="84"/>
      <c r="N810" s="83"/>
      <c r="O810" s="222"/>
      <c r="P810" s="222"/>
      <c r="Q810" s="187"/>
      <c r="R810" s="187"/>
      <c r="S810" s="187"/>
      <c r="T810" s="187"/>
      <c r="U810" s="187"/>
      <c r="V810" s="187"/>
      <c r="W810" s="187"/>
      <c r="X810" s="187"/>
      <c r="Y810" s="187"/>
      <c r="Z810" s="187"/>
      <c r="AA810" s="187"/>
      <c r="AB810" s="187"/>
    </row>
    <row r="811" spans="1:28" ht="15.75" customHeight="1">
      <c r="A811" s="219"/>
      <c r="B811" s="83"/>
      <c r="C811" s="81"/>
      <c r="D811" s="82"/>
      <c r="E811" s="81"/>
      <c r="F811" s="82"/>
      <c r="G811" s="83"/>
      <c r="H811" s="221"/>
      <c r="I811" s="83"/>
      <c r="J811" s="83"/>
      <c r="K811" s="83"/>
      <c r="L811" s="84"/>
      <c r="M811" s="84"/>
      <c r="N811" s="83"/>
      <c r="O811" s="222"/>
      <c r="P811" s="222"/>
      <c r="Q811" s="187"/>
      <c r="R811" s="187"/>
      <c r="S811" s="187"/>
      <c r="T811" s="187"/>
      <c r="U811" s="187"/>
      <c r="V811" s="187"/>
      <c r="W811" s="187"/>
      <c r="X811" s="187"/>
      <c r="Y811" s="187"/>
      <c r="Z811" s="187"/>
      <c r="AA811" s="187"/>
      <c r="AB811" s="187"/>
    </row>
    <row r="812" spans="1:28" ht="15.75" customHeight="1">
      <c r="A812" s="219"/>
      <c r="B812" s="83"/>
      <c r="C812" s="81"/>
      <c r="D812" s="82"/>
      <c r="E812" s="81"/>
      <c r="F812" s="82"/>
      <c r="G812" s="83"/>
      <c r="H812" s="221"/>
      <c r="I812" s="83"/>
      <c r="J812" s="83"/>
      <c r="K812" s="83"/>
      <c r="L812" s="84"/>
      <c r="M812" s="84"/>
      <c r="N812" s="83"/>
      <c r="O812" s="222"/>
      <c r="P812" s="222"/>
      <c r="Q812" s="187"/>
      <c r="R812" s="187"/>
      <c r="S812" s="187"/>
      <c r="T812" s="187"/>
      <c r="U812" s="187"/>
      <c r="V812" s="187"/>
      <c r="W812" s="187"/>
      <c r="X812" s="187"/>
      <c r="Y812" s="187"/>
      <c r="Z812" s="187"/>
      <c r="AA812" s="187"/>
      <c r="AB812" s="187"/>
    </row>
    <row r="813" spans="1:28" ht="15.75" customHeight="1">
      <c r="A813" s="219"/>
      <c r="B813" s="83"/>
      <c r="C813" s="81"/>
      <c r="D813" s="82"/>
      <c r="E813" s="81"/>
      <c r="F813" s="82"/>
      <c r="G813" s="83"/>
      <c r="H813" s="221"/>
      <c r="I813" s="83"/>
      <c r="J813" s="83"/>
      <c r="K813" s="83"/>
      <c r="L813" s="84"/>
      <c r="M813" s="84"/>
      <c r="N813" s="83"/>
      <c r="O813" s="222"/>
      <c r="P813" s="222"/>
      <c r="Q813" s="187"/>
      <c r="R813" s="187"/>
      <c r="S813" s="187"/>
      <c r="T813" s="187"/>
      <c r="U813" s="187"/>
      <c r="V813" s="187"/>
      <c r="W813" s="187"/>
      <c r="X813" s="187"/>
      <c r="Y813" s="187"/>
      <c r="Z813" s="187"/>
      <c r="AA813" s="187"/>
      <c r="AB813" s="187"/>
    </row>
    <row r="814" spans="1:28" ht="15.75" customHeight="1">
      <c r="A814" s="219"/>
      <c r="B814" s="83"/>
      <c r="C814" s="81"/>
      <c r="D814" s="82"/>
      <c r="E814" s="81"/>
      <c r="F814" s="82"/>
      <c r="G814" s="83"/>
      <c r="H814" s="221"/>
      <c r="I814" s="83"/>
      <c r="J814" s="83"/>
      <c r="K814" s="83"/>
      <c r="L814" s="84"/>
      <c r="M814" s="84"/>
      <c r="N814" s="83"/>
      <c r="O814" s="222"/>
      <c r="P814" s="222"/>
      <c r="Q814" s="187"/>
      <c r="R814" s="187"/>
      <c r="S814" s="187"/>
      <c r="T814" s="187"/>
      <c r="U814" s="187"/>
      <c r="V814" s="187"/>
      <c r="W814" s="187"/>
      <c r="X814" s="187"/>
      <c r="Y814" s="187"/>
      <c r="Z814" s="187"/>
      <c r="AA814" s="187"/>
      <c r="AB814" s="187"/>
    </row>
    <row r="815" spans="1:28" ht="15.75" customHeight="1">
      <c r="A815" s="219"/>
      <c r="B815" s="83"/>
      <c r="C815" s="81"/>
      <c r="D815" s="82"/>
      <c r="E815" s="81"/>
      <c r="F815" s="82"/>
      <c r="G815" s="83"/>
      <c r="H815" s="221"/>
      <c r="I815" s="83"/>
      <c r="J815" s="83"/>
      <c r="K815" s="83"/>
      <c r="L815" s="84"/>
      <c r="M815" s="84"/>
      <c r="N815" s="83"/>
      <c r="O815" s="222"/>
      <c r="P815" s="222"/>
      <c r="Q815" s="187"/>
      <c r="R815" s="187"/>
      <c r="S815" s="187"/>
      <c r="T815" s="187"/>
      <c r="U815" s="187"/>
      <c r="V815" s="187"/>
      <c r="W815" s="187"/>
      <c r="X815" s="187"/>
      <c r="Y815" s="187"/>
      <c r="Z815" s="187"/>
      <c r="AA815" s="187"/>
      <c r="AB815" s="187"/>
    </row>
    <row r="816" spans="1:28" ht="15.75" customHeight="1">
      <c r="A816" s="219"/>
      <c r="B816" s="83"/>
      <c r="C816" s="81"/>
      <c r="D816" s="82"/>
      <c r="E816" s="81"/>
      <c r="F816" s="82"/>
      <c r="G816" s="83"/>
      <c r="H816" s="221"/>
      <c r="I816" s="83"/>
      <c r="J816" s="83"/>
      <c r="K816" s="83"/>
      <c r="L816" s="84"/>
      <c r="M816" s="84"/>
      <c r="N816" s="83"/>
      <c r="O816" s="222"/>
      <c r="P816" s="222"/>
      <c r="Q816" s="187"/>
      <c r="R816" s="187"/>
      <c r="S816" s="187"/>
      <c r="T816" s="187"/>
      <c r="U816" s="187"/>
      <c r="V816" s="187"/>
      <c r="W816" s="187"/>
      <c r="X816" s="187"/>
      <c r="Y816" s="187"/>
      <c r="Z816" s="187"/>
      <c r="AA816" s="187"/>
      <c r="AB816" s="187"/>
    </row>
    <row r="817" spans="1:28" ht="15.75" customHeight="1">
      <c r="A817" s="219"/>
      <c r="B817" s="83"/>
      <c r="C817" s="81"/>
      <c r="D817" s="82"/>
      <c r="E817" s="81"/>
      <c r="F817" s="82"/>
      <c r="G817" s="83"/>
      <c r="H817" s="221"/>
      <c r="I817" s="83"/>
      <c r="J817" s="83"/>
      <c r="K817" s="83"/>
      <c r="L817" s="84"/>
      <c r="M817" s="84"/>
      <c r="N817" s="83"/>
      <c r="O817" s="222"/>
      <c r="P817" s="222"/>
      <c r="Q817" s="187"/>
      <c r="R817" s="187"/>
      <c r="S817" s="187"/>
      <c r="T817" s="187"/>
      <c r="U817" s="187"/>
      <c r="V817" s="187"/>
      <c r="W817" s="187"/>
      <c r="X817" s="187"/>
      <c r="Y817" s="187"/>
      <c r="Z817" s="187"/>
      <c r="AA817" s="187"/>
      <c r="AB817" s="187"/>
    </row>
    <row r="818" spans="1:28" ht="15.75" customHeight="1">
      <c r="A818" s="219"/>
      <c r="B818" s="83"/>
      <c r="C818" s="81"/>
      <c r="D818" s="82"/>
      <c r="E818" s="81"/>
      <c r="F818" s="82"/>
      <c r="G818" s="83"/>
      <c r="H818" s="221"/>
      <c r="I818" s="83"/>
      <c r="J818" s="83"/>
      <c r="K818" s="83"/>
      <c r="L818" s="84"/>
      <c r="M818" s="84"/>
      <c r="N818" s="83"/>
      <c r="O818" s="222"/>
      <c r="P818" s="222"/>
      <c r="Q818" s="187"/>
      <c r="R818" s="187"/>
      <c r="S818" s="187"/>
      <c r="T818" s="187"/>
      <c r="U818" s="187"/>
      <c r="V818" s="187"/>
      <c r="W818" s="187"/>
      <c r="X818" s="187"/>
      <c r="Y818" s="187"/>
      <c r="Z818" s="187"/>
      <c r="AA818" s="187"/>
      <c r="AB818" s="187"/>
    </row>
    <row r="819" spans="1:28" ht="15.75" customHeight="1">
      <c r="A819" s="219"/>
      <c r="B819" s="83"/>
      <c r="C819" s="81"/>
      <c r="D819" s="82"/>
      <c r="E819" s="81"/>
      <c r="F819" s="82"/>
      <c r="G819" s="83"/>
      <c r="H819" s="221"/>
      <c r="I819" s="83"/>
      <c r="J819" s="83"/>
      <c r="K819" s="83"/>
      <c r="L819" s="84"/>
      <c r="M819" s="84"/>
      <c r="N819" s="83"/>
      <c r="O819" s="222"/>
      <c r="P819" s="222"/>
      <c r="Q819" s="187"/>
      <c r="R819" s="187"/>
      <c r="S819" s="187"/>
      <c r="T819" s="187"/>
      <c r="U819" s="187"/>
      <c r="V819" s="187"/>
      <c r="W819" s="187"/>
      <c r="X819" s="187"/>
      <c r="Y819" s="187"/>
      <c r="Z819" s="187"/>
      <c r="AA819" s="187"/>
      <c r="AB819" s="187"/>
    </row>
    <row r="820" spans="1:28" ht="15.75" customHeight="1">
      <c r="A820" s="219"/>
      <c r="B820" s="83"/>
      <c r="C820" s="81"/>
      <c r="D820" s="82"/>
      <c r="E820" s="81"/>
      <c r="F820" s="82"/>
      <c r="G820" s="83"/>
      <c r="H820" s="221"/>
      <c r="I820" s="83"/>
      <c r="J820" s="83"/>
      <c r="K820" s="83"/>
      <c r="L820" s="84"/>
      <c r="M820" s="84"/>
      <c r="N820" s="83"/>
      <c r="O820" s="222"/>
      <c r="P820" s="222"/>
      <c r="Q820" s="187"/>
      <c r="R820" s="187"/>
      <c r="S820" s="187"/>
      <c r="T820" s="187"/>
      <c r="U820" s="187"/>
      <c r="V820" s="187"/>
      <c r="W820" s="187"/>
      <c r="X820" s="187"/>
      <c r="Y820" s="187"/>
      <c r="Z820" s="187"/>
      <c r="AA820" s="187"/>
      <c r="AB820" s="187"/>
    </row>
    <row r="821" spans="1:28" ht="15.75" customHeight="1">
      <c r="A821" s="219"/>
      <c r="B821" s="83"/>
      <c r="C821" s="81"/>
      <c r="D821" s="82"/>
      <c r="E821" s="81"/>
      <c r="F821" s="82"/>
      <c r="G821" s="83"/>
      <c r="H821" s="221"/>
      <c r="I821" s="83"/>
      <c r="J821" s="83"/>
      <c r="K821" s="83"/>
      <c r="L821" s="84"/>
      <c r="M821" s="84"/>
      <c r="N821" s="83"/>
      <c r="O821" s="222"/>
      <c r="P821" s="222"/>
      <c r="Q821" s="187"/>
      <c r="R821" s="187"/>
      <c r="S821" s="187"/>
      <c r="T821" s="187"/>
      <c r="U821" s="187"/>
      <c r="V821" s="187"/>
      <c r="W821" s="187"/>
      <c r="X821" s="187"/>
      <c r="Y821" s="187"/>
      <c r="Z821" s="187"/>
      <c r="AA821" s="187"/>
      <c r="AB821" s="187"/>
    </row>
    <row r="822" spans="1:28" ht="15.75" customHeight="1">
      <c r="A822" s="219"/>
      <c r="B822" s="83"/>
      <c r="C822" s="81"/>
      <c r="D822" s="82"/>
      <c r="E822" s="81"/>
      <c r="F822" s="82"/>
      <c r="G822" s="83"/>
      <c r="H822" s="221"/>
      <c r="I822" s="83"/>
      <c r="J822" s="83"/>
      <c r="K822" s="83"/>
      <c r="L822" s="84"/>
      <c r="M822" s="84"/>
      <c r="N822" s="83"/>
      <c r="O822" s="222"/>
      <c r="P822" s="222"/>
      <c r="Q822" s="187"/>
      <c r="R822" s="187"/>
      <c r="S822" s="187"/>
      <c r="T822" s="187"/>
      <c r="U822" s="187"/>
      <c r="V822" s="187"/>
      <c r="W822" s="187"/>
      <c r="X822" s="187"/>
      <c r="Y822" s="187"/>
      <c r="Z822" s="187"/>
      <c r="AA822" s="187"/>
      <c r="AB822" s="187"/>
    </row>
    <row r="823" spans="1:28" ht="15.75" customHeight="1">
      <c r="A823" s="219"/>
      <c r="B823" s="83"/>
      <c r="C823" s="81"/>
      <c r="D823" s="82"/>
      <c r="E823" s="81"/>
      <c r="F823" s="82"/>
      <c r="G823" s="83"/>
      <c r="H823" s="221"/>
      <c r="I823" s="83"/>
      <c r="J823" s="83"/>
      <c r="K823" s="83"/>
      <c r="L823" s="84"/>
      <c r="M823" s="84"/>
      <c r="N823" s="83"/>
      <c r="O823" s="222"/>
      <c r="P823" s="222"/>
      <c r="Q823" s="187"/>
      <c r="R823" s="187"/>
      <c r="S823" s="187"/>
      <c r="T823" s="187"/>
      <c r="U823" s="187"/>
      <c r="V823" s="187"/>
      <c r="W823" s="187"/>
      <c r="X823" s="187"/>
      <c r="Y823" s="187"/>
      <c r="Z823" s="187"/>
      <c r="AA823" s="187"/>
      <c r="AB823" s="187"/>
    </row>
    <row r="824" spans="1:28" ht="15.75" customHeight="1">
      <c r="A824" s="219"/>
      <c r="B824" s="83"/>
      <c r="C824" s="81"/>
      <c r="D824" s="82"/>
      <c r="E824" s="81"/>
      <c r="F824" s="82"/>
      <c r="G824" s="83"/>
      <c r="H824" s="221"/>
      <c r="I824" s="83"/>
      <c r="J824" s="83"/>
      <c r="K824" s="83"/>
      <c r="L824" s="84"/>
      <c r="M824" s="84"/>
      <c r="N824" s="83"/>
      <c r="O824" s="222"/>
      <c r="P824" s="222"/>
      <c r="Q824" s="187"/>
      <c r="R824" s="187"/>
      <c r="S824" s="187"/>
      <c r="T824" s="187"/>
      <c r="U824" s="187"/>
      <c r="V824" s="187"/>
      <c r="W824" s="187"/>
      <c r="X824" s="187"/>
      <c r="Y824" s="187"/>
      <c r="Z824" s="187"/>
      <c r="AA824" s="187"/>
      <c r="AB824" s="187"/>
    </row>
    <row r="825" spans="1:28" ht="15.75" customHeight="1">
      <c r="A825" s="219"/>
      <c r="B825" s="83"/>
      <c r="C825" s="81"/>
      <c r="D825" s="82"/>
      <c r="E825" s="81"/>
      <c r="F825" s="82"/>
      <c r="G825" s="83"/>
      <c r="H825" s="221"/>
      <c r="I825" s="83"/>
      <c r="J825" s="83"/>
      <c r="K825" s="83"/>
      <c r="L825" s="84"/>
      <c r="M825" s="84"/>
      <c r="N825" s="83"/>
      <c r="O825" s="222"/>
      <c r="P825" s="222"/>
      <c r="Q825" s="187"/>
      <c r="R825" s="187"/>
      <c r="S825" s="187"/>
      <c r="T825" s="187"/>
      <c r="U825" s="187"/>
      <c r="V825" s="187"/>
      <c r="W825" s="187"/>
      <c r="X825" s="187"/>
      <c r="Y825" s="187"/>
      <c r="Z825" s="187"/>
      <c r="AA825" s="187"/>
      <c r="AB825" s="187"/>
    </row>
    <row r="826" spans="1:28" ht="15.75" customHeight="1">
      <c r="A826" s="219"/>
      <c r="B826" s="83"/>
      <c r="C826" s="81"/>
      <c r="D826" s="82"/>
      <c r="E826" s="81"/>
      <c r="F826" s="82"/>
      <c r="G826" s="83"/>
      <c r="H826" s="221"/>
      <c r="I826" s="83"/>
      <c r="J826" s="83"/>
      <c r="K826" s="83"/>
      <c r="L826" s="84"/>
      <c r="M826" s="84"/>
      <c r="N826" s="83"/>
      <c r="O826" s="222"/>
      <c r="P826" s="222"/>
      <c r="Q826" s="187"/>
      <c r="R826" s="187"/>
      <c r="S826" s="187"/>
      <c r="T826" s="187"/>
      <c r="U826" s="187"/>
      <c r="V826" s="187"/>
      <c r="W826" s="187"/>
      <c r="X826" s="187"/>
      <c r="Y826" s="187"/>
      <c r="Z826" s="187"/>
      <c r="AA826" s="187"/>
      <c r="AB826" s="187"/>
    </row>
    <row r="827" spans="1:28" ht="15.75" customHeight="1">
      <c r="A827" s="219"/>
      <c r="B827" s="83"/>
      <c r="C827" s="81"/>
      <c r="D827" s="82"/>
      <c r="E827" s="81"/>
      <c r="F827" s="82"/>
      <c r="G827" s="83"/>
      <c r="H827" s="221"/>
      <c r="I827" s="83"/>
      <c r="J827" s="83"/>
      <c r="K827" s="83"/>
      <c r="L827" s="84"/>
      <c r="M827" s="84"/>
      <c r="N827" s="83"/>
      <c r="O827" s="222"/>
      <c r="P827" s="222"/>
      <c r="Q827" s="187"/>
      <c r="R827" s="187"/>
      <c r="S827" s="187"/>
      <c r="T827" s="187"/>
      <c r="U827" s="187"/>
      <c r="V827" s="187"/>
      <c r="W827" s="187"/>
      <c r="X827" s="187"/>
      <c r="Y827" s="187"/>
      <c r="Z827" s="187"/>
      <c r="AA827" s="187"/>
      <c r="AB827" s="187"/>
    </row>
    <row r="828" spans="1:28" ht="15.75" customHeight="1">
      <c r="A828" s="219"/>
      <c r="B828" s="83"/>
      <c r="C828" s="81"/>
      <c r="D828" s="82"/>
      <c r="E828" s="81"/>
      <c r="F828" s="82"/>
      <c r="G828" s="83"/>
      <c r="H828" s="221"/>
      <c r="I828" s="83"/>
      <c r="J828" s="83"/>
      <c r="K828" s="83"/>
      <c r="L828" s="84"/>
      <c r="M828" s="84"/>
      <c r="N828" s="83"/>
      <c r="O828" s="222"/>
      <c r="P828" s="222"/>
      <c r="Q828" s="187"/>
      <c r="R828" s="187"/>
      <c r="S828" s="187"/>
      <c r="T828" s="187"/>
      <c r="U828" s="187"/>
      <c r="V828" s="187"/>
      <c r="W828" s="187"/>
      <c r="X828" s="187"/>
      <c r="Y828" s="187"/>
      <c r="Z828" s="187"/>
      <c r="AA828" s="187"/>
      <c r="AB828" s="187"/>
    </row>
    <row r="829" spans="1:28" ht="15.75" customHeight="1">
      <c r="A829" s="219"/>
      <c r="B829" s="83"/>
      <c r="C829" s="81"/>
      <c r="D829" s="82"/>
      <c r="E829" s="81"/>
      <c r="F829" s="82"/>
      <c r="G829" s="83"/>
      <c r="H829" s="221"/>
      <c r="I829" s="83"/>
      <c r="J829" s="83"/>
      <c r="K829" s="83"/>
      <c r="L829" s="84"/>
      <c r="M829" s="84"/>
      <c r="N829" s="83"/>
      <c r="O829" s="222"/>
      <c r="P829" s="222"/>
      <c r="Q829" s="187"/>
      <c r="R829" s="187"/>
      <c r="S829" s="187"/>
      <c r="T829" s="187"/>
      <c r="U829" s="187"/>
      <c r="V829" s="187"/>
      <c r="W829" s="187"/>
      <c r="X829" s="187"/>
      <c r="Y829" s="187"/>
      <c r="Z829" s="187"/>
      <c r="AA829" s="187"/>
      <c r="AB829" s="187"/>
    </row>
    <row r="830" spans="1:28" ht="15.75" customHeight="1">
      <c r="A830" s="219"/>
      <c r="B830" s="83"/>
      <c r="C830" s="81"/>
      <c r="D830" s="82"/>
      <c r="E830" s="81"/>
      <c r="F830" s="82"/>
      <c r="G830" s="83"/>
      <c r="H830" s="221"/>
      <c r="I830" s="83"/>
      <c r="J830" s="83"/>
      <c r="K830" s="83"/>
      <c r="L830" s="84"/>
      <c r="M830" s="84"/>
      <c r="N830" s="83"/>
      <c r="O830" s="222"/>
      <c r="P830" s="222"/>
      <c r="Q830" s="187"/>
      <c r="R830" s="187"/>
      <c r="S830" s="187"/>
      <c r="T830" s="187"/>
      <c r="U830" s="187"/>
      <c r="V830" s="187"/>
      <c r="W830" s="187"/>
      <c r="X830" s="187"/>
      <c r="Y830" s="187"/>
      <c r="Z830" s="187"/>
      <c r="AA830" s="187"/>
      <c r="AB830" s="187"/>
    </row>
    <row r="831" spans="1:28" ht="15.75" customHeight="1">
      <c r="A831" s="219"/>
      <c r="B831" s="83"/>
      <c r="C831" s="81"/>
      <c r="D831" s="82"/>
      <c r="E831" s="81"/>
      <c r="F831" s="82"/>
      <c r="G831" s="83"/>
      <c r="H831" s="221"/>
      <c r="I831" s="83"/>
      <c r="J831" s="83"/>
      <c r="K831" s="83"/>
      <c r="L831" s="84"/>
      <c r="M831" s="84"/>
      <c r="N831" s="83"/>
      <c r="O831" s="222"/>
      <c r="P831" s="222"/>
      <c r="Q831" s="187"/>
      <c r="R831" s="187"/>
      <c r="S831" s="187"/>
      <c r="T831" s="187"/>
      <c r="U831" s="187"/>
      <c r="V831" s="187"/>
      <c r="W831" s="187"/>
      <c r="X831" s="187"/>
      <c r="Y831" s="187"/>
      <c r="Z831" s="187"/>
      <c r="AA831" s="187"/>
      <c r="AB831" s="187"/>
    </row>
    <row r="832" spans="1:28" ht="15.75" customHeight="1">
      <c r="A832" s="219"/>
      <c r="B832" s="83"/>
      <c r="C832" s="81"/>
      <c r="D832" s="82"/>
      <c r="E832" s="81"/>
      <c r="F832" s="82"/>
      <c r="G832" s="83"/>
      <c r="H832" s="221"/>
      <c r="I832" s="83"/>
      <c r="J832" s="83"/>
      <c r="K832" s="83"/>
      <c r="L832" s="84"/>
      <c r="M832" s="84"/>
      <c r="N832" s="83"/>
      <c r="O832" s="222"/>
      <c r="P832" s="222"/>
      <c r="Q832" s="187"/>
      <c r="R832" s="187"/>
      <c r="S832" s="187"/>
      <c r="T832" s="187"/>
      <c r="U832" s="187"/>
      <c r="V832" s="187"/>
      <c r="W832" s="187"/>
      <c r="X832" s="187"/>
      <c r="Y832" s="187"/>
      <c r="Z832" s="187"/>
      <c r="AA832" s="187"/>
      <c r="AB832" s="187"/>
    </row>
    <row r="833" spans="1:28" ht="15.75" customHeight="1">
      <c r="A833" s="219"/>
      <c r="B833" s="83"/>
      <c r="C833" s="81"/>
      <c r="D833" s="82"/>
      <c r="E833" s="81"/>
      <c r="F833" s="82"/>
      <c r="G833" s="83"/>
      <c r="H833" s="221"/>
      <c r="I833" s="83"/>
      <c r="J833" s="83"/>
      <c r="K833" s="83"/>
      <c r="L833" s="84"/>
      <c r="M833" s="84"/>
      <c r="N833" s="83"/>
      <c r="O833" s="222"/>
      <c r="P833" s="222"/>
      <c r="Q833" s="187"/>
      <c r="R833" s="187"/>
      <c r="S833" s="187"/>
      <c r="T833" s="187"/>
      <c r="U833" s="187"/>
      <c r="V833" s="187"/>
      <c r="W833" s="187"/>
      <c r="X833" s="187"/>
      <c r="Y833" s="187"/>
      <c r="Z833" s="187"/>
      <c r="AA833" s="187"/>
      <c r="AB833" s="187"/>
    </row>
    <row r="834" spans="1:28" ht="15.75" customHeight="1">
      <c r="A834" s="219"/>
      <c r="B834" s="83"/>
      <c r="C834" s="81"/>
      <c r="D834" s="82"/>
      <c r="E834" s="81"/>
      <c r="F834" s="82"/>
      <c r="G834" s="83"/>
      <c r="H834" s="221"/>
      <c r="I834" s="83"/>
      <c r="J834" s="83"/>
      <c r="K834" s="83"/>
      <c r="L834" s="84"/>
      <c r="M834" s="84"/>
      <c r="N834" s="83"/>
      <c r="O834" s="222"/>
      <c r="P834" s="222"/>
      <c r="Q834" s="187"/>
      <c r="R834" s="187"/>
      <c r="S834" s="187"/>
      <c r="T834" s="187"/>
      <c r="U834" s="187"/>
      <c r="V834" s="187"/>
      <c r="W834" s="187"/>
      <c r="X834" s="187"/>
      <c r="Y834" s="187"/>
      <c r="Z834" s="187"/>
      <c r="AA834" s="187"/>
      <c r="AB834" s="187"/>
    </row>
    <row r="835" spans="1:28" ht="15.75" customHeight="1">
      <c r="A835" s="219"/>
      <c r="B835" s="83"/>
      <c r="C835" s="81"/>
      <c r="D835" s="82"/>
      <c r="E835" s="81"/>
      <c r="F835" s="82"/>
      <c r="G835" s="83"/>
      <c r="H835" s="221"/>
      <c r="I835" s="83"/>
      <c r="J835" s="83"/>
      <c r="K835" s="83"/>
      <c r="L835" s="84"/>
      <c r="M835" s="84"/>
      <c r="N835" s="83"/>
      <c r="O835" s="222"/>
      <c r="P835" s="222"/>
      <c r="Q835" s="187"/>
      <c r="R835" s="187"/>
      <c r="S835" s="187"/>
      <c r="T835" s="187"/>
      <c r="U835" s="187"/>
      <c r="V835" s="187"/>
      <c r="W835" s="187"/>
      <c r="X835" s="187"/>
      <c r="Y835" s="187"/>
      <c r="Z835" s="187"/>
      <c r="AA835" s="187"/>
      <c r="AB835" s="187"/>
    </row>
    <row r="836" spans="1:28" ht="15.75" customHeight="1">
      <c r="A836" s="219"/>
      <c r="B836" s="83"/>
      <c r="C836" s="81"/>
      <c r="D836" s="82"/>
      <c r="E836" s="81"/>
      <c r="F836" s="82"/>
      <c r="G836" s="83"/>
      <c r="H836" s="221"/>
      <c r="I836" s="83"/>
      <c r="J836" s="83"/>
      <c r="K836" s="83"/>
      <c r="L836" s="84"/>
      <c r="M836" s="84"/>
      <c r="N836" s="83"/>
      <c r="O836" s="222"/>
      <c r="P836" s="222"/>
      <c r="Q836" s="187"/>
      <c r="R836" s="187"/>
      <c r="S836" s="187"/>
      <c r="T836" s="187"/>
      <c r="U836" s="187"/>
      <c r="V836" s="187"/>
      <c r="W836" s="187"/>
      <c r="X836" s="187"/>
      <c r="Y836" s="187"/>
      <c r="Z836" s="187"/>
      <c r="AA836" s="187"/>
      <c r="AB836" s="187"/>
    </row>
    <row r="837" spans="1:28" ht="15.75" customHeight="1">
      <c r="A837" s="219"/>
      <c r="B837" s="83"/>
      <c r="C837" s="81"/>
      <c r="D837" s="82"/>
      <c r="E837" s="81"/>
      <c r="F837" s="82"/>
      <c r="G837" s="83"/>
      <c r="H837" s="221"/>
      <c r="I837" s="83"/>
      <c r="J837" s="83"/>
      <c r="K837" s="83"/>
      <c r="L837" s="84"/>
      <c r="M837" s="84"/>
      <c r="N837" s="83"/>
      <c r="O837" s="222"/>
      <c r="P837" s="222"/>
      <c r="Q837" s="187"/>
      <c r="R837" s="187"/>
      <c r="S837" s="187"/>
      <c r="T837" s="187"/>
      <c r="U837" s="187"/>
      <c r="V837" s="187"/>
      <c r="W837" s="187"/>
      <c r="X837" s="187"/>
      <c r="Y837" s="187"/>
      <c r="Z837" s="187"/>
      <c r="AA837" s="187"/>
      <c r="AB837" s="187"/>
    </row>
    <row r="838" spans="1:28" ht="15.75" customHeight="1">
      <c r="A838" s="219"/>
      <c r="B838" s="83"/>
      <c r="C838" s="81"/>
      <c r="D838" s="82"/>
      <c r="E838" s="81"/>
      <c r="F838" s="82"/>
      <c r="G838" s="83"/>
      <c r="H838" s="221"/>
      <c r="I838" s="83"/>
      <c r="J838" s="83"/>
      <c r="K838" s="83"/>
      <c r="L838" s="84"/>
      <c r="M838" s="84"/>
      <c r="N838" s="83"/>
      <c r="O838" s="222"/>
      <c r="P838" s="222"/>
      <c r="Q838" s="187"/>
      <c r="R838" s="187"/>
      <c r="S838" s="187"/>
      <c r="T838" s="187"/>
      <c r="U838" s="187"/>
      <c r="V838" s="187"/>
      <c r="W838" s="187"/>
      <c r="X838" s="187"/>
      <c r="Y838" s="187"/>
      <c r="Z838" s="187"/>
      <c r="AA838" s="187"/>
      <c r="AB838" s="187"/>
    </row>
    <row r="839" spans="1:28" ht="15.75" customHeight="1">
      <c r="A839" s="219"/>
      <c r="B839" s="83"/>
      <c r="C839" s="81"/>
      <c r="D839" s="82"/>
      <c r="E839" s="81"/>
      <c r="F839" s="82"/>
      <c r="G839" s="83"/>
      <c r="H839" s="221"/>
      <c r="I839" s="83"/>
      <c r="J839" s="83"/>
      <c r="K839" s="83"/>
      <c r="L839" s="84"/>
      <c r="M839" s="84"/>
      <c r="N839" s="83"/>
      <c r="O839" s="222"/>
      <c r="P839" s="222"/>
      <c r="Q839" s="187"/>
      <c r="R839" s="187"/>
      <c r="S839" s="187"/>
      <c r="T839" s="187"/>
      <c r="U839" s="187"/>
      <c r="V839" s="187"/>
      <c r="W839" s="187"/>
      <c r="X839" s="187"/>
      <c r="Y839" s="187"/>
      <c r="Z839" s="187"/>
      <c r="AA839" s="187"/>
      <c r="AB839" s="187"/>
    </row>
    <row r="840" spans="1:28" ht="15.75" customHeight="1">
      <c r="A840" s="219"/>
      <c r="B840" s="83"/>
      <c r="C840" s="81"/>
      <c r="D840" s="82"/>
      <c r="E840" s="81"/>
      <c r="F840" s="82"/>
      <c r="G840" s="83"/>
      <c r="H840" s="221"/>
      <c r="I840" s="83"/>
      <c r="J840" s="83"/>
      <c r="K840" s="83"/>
      <c r="L840" s="84"/>
      <c r="M840" s="84"/>
      <c r="N840" s="83"/>
      <c r="O840" s="222"/>
      <c r="P840" s="222"/>
      <c r="Q840" s="187"/>
      <c r="R840" s="187"/>
      <c r="S840" s="187"/>
      <c r="T840" s="187"/>
      <c r="U840" s="187"/>
      <c r="V840" s="187"/>
      <c r="W840" s="187"/>
      <c r="X840" s="187"/>
      <c r="Y840" s="187"/>
      <c r="Z840" s="187"/>
      <c r="AA840" s="187"/>
      <c r="AB840" s="187"/>
    </row>
    <row r="841" spans="1:28" ht="15.75" customHeight="1">
      <c r="A841" s="219"/>
      <c r="B841" s="83"/>
      <c r="C841" s="81"/>
      <c r="D841" s="82"/>
      <c r="E841" s="81"/>
      <c r="F841" s="82"/>
      <c r="G841" s="83"/>
      <c r="H841" s="221"/>
      <c r="I841" s="83"/>
      <c r="J841" s="83"/>
      <c r="K841" s="83"/>
      <c r="L841" s="84"/>
      <c r="M841" s="84"/>
      <c r="N841" s="83"/>
      <c r="O841" s="222"/>
      <c r="P841" s="222"/>
      <c r="Q841" s="187"/>
      <c r="R841" s="187"/>
      <c r="S841" s="187"/>
      <c r="T841" s="187"/>
      <c r="U841" s="187"/>
      <c r="V841" s="187"/>
      <c r="W841" s="187"/>
      <c r="X841" s="187"/>
      <c r="Y841" s="187"/>
      <c r="Z841" s="187"/>
      <c r="AA841" s="187"/>
      <c r="AB841" s="187"/>
    </row>
    <row r="842" spans="1:28" ht="15.75" customHeight="1">
      <c r="A842" s="219"/>
      <c r="B842" s="83"/>
      <c r="C842" s="81"/>
      <c r="D842" s="82"/>
      <c r="E842" s="81"/>
      <c r="F842" s="82"/>
      <c r="G842" s="83"/>
      <c r="H842" s="221"/>
      <c r="I842" s="83"/>
      <c r="J842" s="83"/>
      <c r="K842" s="83"/>
      <c r="L842" s="84"/>
      <c r="M842" s="84"/>
      <c r="N842" s="83"/>
      <c r="O842" s="222"/>
      <c r="P842" s="222"/>
      <c r="Q842" s="187"/>
      <c r="R842" s="187"/>
      <c r="S842" s="187"/>
      <c r="T842" s="187"/>
      <c r="U842" s="187"/>
      <c r="V842" s="187"/>
      <c r="W842" s="187"/>
      <c r="X842" s="187"/>
      <c r="Y842" s="187"/>
      <c r="Z842" s="187"/>
      <c r="AA842" s="187"/>
      <c r="AB842" s="187"/>
    </row>
    <row r="843" spans="1:28" ht="15.75" customHeight="1">
      <c r="A843" s="219"/>
      <c r="B843" s="83"/>
      <c r="C843" s="81"/>
      <c r="D843" s="82"/>
      <c r="E843" s="81"/>
      <c r="F843" s="82"/>
      <c r="G843" s="83"/>
      <c r="H843" s="221"/>
      <c r="I843" s="83"/>
      <c r="J843" s="83"/>
      <c r="K843" s="83"/>
      <c r="L843" s="84"/>
      <c r="M843" s="84"/>
      <c r="N843" s="83"/>
      <c r="O843" s="222"/>
      <c r="P843" s="222"/>
      <c r="Q843" s="187"/>
      <c r="R843" s="187"/>
      <c r="S843" s="187"/>
      <c r="T843" s="187"/>
      <c r="U843" s="187"/>
      <c r="V843" s="187"/>
      <c r="W843" s="187"/>
      <c r="X843" s="187"/>
      <c r="Y843" s="187"/>
      <c r="Z843" s="187"/>
      <c r="AA843" s="187"/>
      <c r="AB843" s="187"/>
    </row>
    <row r="844" spans="1:28" ht="15.75" customHeight="1">
      <c r="A844" s="219"/>
      <c r="B844" s="83"/>
      <c r="C844" s="81"/>
      <c r="D844" s="82"/>
      <c r="E844" s="81"/>
      <c r="F844" s="82"/>
      <c r="G844" s="83"/>
      <c r="H844" s="221"/>
      <c r="I844" s="83"/>
      <c r="J844" s="83"/>
      <c r="K844" s="83"/>
      <c r="L844" s="84"/>
      <c r="M844" s="84"/>
      <c r="N844" s="83"/>
      <c r="O844" s="222"/>
      <c r="P844" s="222"/>
      <c r="Q844" s="187"/>
      <c r="R844" s="187"/>
      <c r="S844" s="187"/>
      <c r="T844" s="187"/>
      <c r="U844" s="187"/>
      <c r="V844" s="187"/>
      <c r="W844" s="187"/>
      <c r="X844" s="187"/>
      <c r="Y844" s="187"/>
      <c r="Z844" s="187"/>
      <c r="AA844" s="187"/>
      <c r="AB844" s="187"/>
    </row>
    <row r="845" spans="1:28" ht="15.75" customHeight="1">
      <c r="A845" s="219"/>
      <c r="B845" s="83"/>
      <c r="C845" s="81"/>
      <c r="D845" s="82"/>
      <c r="E845" s="81"/>
      <c r="F845" s="82"/>
      <c r="G845" s="83"/>
      <c r="H845" s="221"/>
      <c r="I845" s="83"/>
      <c r="J845" s="83"/>
      <c r="K845" s="83"/>
      <c r="L845" s="84"/>
      <c r="M845" s="84"/>
      <c r="N845" s="83"/>
      <c r="O845" s="222"/>
      <c r="P845" s="222"/>
      <c r="Q845" s="187"/>
      <c r="R845" s="187"/>
      <c r="S845" s="187"/>
      <c r="T845" s="187"/>
      <c r="U845" s="187"/>
      <c r="V845" s="187"/>
      <c r="W845" s="187"/>
      <c r="X845" s="187"/>
      <c r="Y845" s="187"/>
      <c r="Z845" s="187"/>
      <c r="AA845" s="187"/>
      <c r="AB845" s="187"/>
    </row>
    <row r="846" spans="1:28" ht="15.75" customHeight="1">
      <c r="A846" s="219"/>
      <c r="B846" s="83"/>
      <c r="C846" s="81"/>
      <c r="D846" s="82"/>
      <c r="E846" s="81"/>
      <c r="F846" s="82"/>
      <c r="G846" s="83"/>
      <c r="H846" s="221"/>
      <c r="I846" s="83"/>
      <c r="J846" s="83"/>
      <c r="K846" s="83"/>
      <c r="L846" s="84"/>
      <c r="M846" s="84"/>
      <c r="N846" s="83"/>
      <c r="O846" s="222"/>
      <c r="P846" s="222"/>
      <c r="Q846" s="187"/>
      <c r="R846" s="187"/>
      <c r="S846" s="187"/>
      <c r="T846" s="187"/>
      <c r="U846" s="187"/>
      <c r="V846" s="187"/>
      <c r="W846" s="187"/>
      <c r="X846" s="187"/>
      <c r="Y846" s="187"/>
      <c r="Z846" s="187"/>
      <c r="AA846" s="187"/>
      <c r="AB846" s="187"/>
    </row>
    <row r="847" spans="1:28" ht="15.75" customHeight="1">
      <c r="A847" s="219"/>
      <c r="B847" s="83"/>
      <c r="C847" s="81"/>
      <c r="D847" s="82"/>
      <c r="E847" s="81"/>
      <c r="F847" s="82"/>
      <c r="G847" s="83"/>
      <c r="H847" s="221"/>
      <c r="I847" s="83"/>
      <c r="J847" s="83"/>
      <c r="K847" s="83"/>
      <c r="L847" s="84"/>
      <c r="M847" s="84"/>
      <c r="N847" s="83"/>
      <c r="O847" s="222"/>
      <c r="P847" s="222"/>
      <c r="Q847" s="187"/>
      <c r="R847" s="187"/>
      <c r="S847" s="187"/>
      <c r="T847" s="187"/>
      <c r="U847" s="187"/>
      <c r="V847" s="187"/>
      <c r="W847" s="187"/>
      <c r="X847" s="187"/>
      <c r="Y847" s="187"/>
      <c r="Z847" s="187"/>
      <c r="AA847" s="187"/>
      <c r="AB847" s="187"/>
    </row>
    <row r="848" spans="1:28" ht="15.75" customHeight="1">
      <c r="A848" s="219"/>
      <c r="B848" s="83"/>
      <c r="C848" s="81"/>
      <c r="D848" s="82"/>
      <c r="E848" s="81"/>
      <c r="F848" s="82"/>
      <c r="G848" s="83"/>
      <c r="H848" s="221"/>
      <c r="I848" s="83"/>
      <c r="J848" s="83"/>
      <c r="K848" s="83"/>
      <c r="L848" s="84"/>
      <c r="M848" s="84"/>
      <c r="N848" s="83"/>
      <c r="O848" s="222"/>
      <c r="P848" s="222"/>
      <c r="Q848" s="187"/>
      <c r="R848" s="187"/>
      <c r="S848" s="187"/>
      <c r="T848" s="187"/>
      <c r="U848" s="187"/>
      <c r="V848" s="187"/>
      <c r="W848" s="187"/>
      <c r="X848" s="187"/>
      <c r="Y848" s="187"/>
      <c r="Z848" s="187"/>
      <c r="AA848" s="187"/>
      <c r="AB848" s="187"/>
    </row>
    <row r="849" spans="1:28" ht="15.75" customHeight="1">
      <c r="A849" s="219"/>
      <c r="B849" s="83"/>
      <c r="C849" s="81"/>
      <c r="D849" s="82"/>
      <c r="E849" s="81"/>
      <c r="F849" s="82"/>
      <c r="G849" s="83"/>
      <c r="H849" s="221"/>
      <c r="I849" s="83"/>
      <c r="J849" s="83"/>
      <c r="K849" s="83"/>
      <c r="L849" s="84"/>
      <c r="M849" s="84"/>
      <c r="N849" s="83"/>
      <c r="O849" s="222"/>
      <c r="P849" s="222"/>
      <c r="Q849" s="187"/>
      <c r="R849" s="187"/>
      <c r="S849" s="187"/>
      <c r="T849" s="187"/>
      <c r="U849" s="187"/>
      <c r="V849" s="187"/>
      <c r="W849" s="187"/>
      <c r="X849" s="187"/>
      <c r="Y849" s="187"/>
      <c r="Z849" s="187"/>
      <c r="AA849" s="187"/>
      <c r="AB849" s="187"/>
    </row>
    <row r="850" spans="1:28" ht="15.75" customHeight="1">
      <c r="A850" s="219"/>
      <c r="B850" s="83"/>
      <c r="C850" s="81"/>
      <c r="D850" s="82"/>
      <c r="E850" s="81"/>
      <c r="F850" s="82"/>
      <c r="G850" s="83"/>
      <c r="H850" s="221"/>
      <c r="I850" s="83"/>
      <c r="J850" s="83"/>
      <c r="K850" s="83"/>
      <c r="L850" s="84"/>
      <c r="M850" s="84"/>
      <c r="N850" s="83"/>
      <c r="O850" s="222"/>
      <c r="P850" s="222"/>
      <c r="Q850" s="187"/>
      <c r="R850" s="187"/>
      <c r="S850" s="187"/>
      <c r="T850" s="187"/>
      <c r="U850" s="187"/>
      <c r="V850" s="187"/>
      <c r="W850" s="187"/>
      <c r="X850" s="187"/>
      <c r="Y850" s="187"/>
      <c r="Z850" s="187"/>
      <c r="AA850" s="187"/>
      <c r="AB850" s="187"/>
    </row>
    <row r="851" spans="1:28" ht="15.75" customHeight="1">
      <c r="A851" s="219"/>
      <c r="B851" s="83"/>
      <c r="C851" s="81"/>
      <c r="D851" s="82"/>
      <c r="E851" s="81"/>
      <c r="F851" s="82"/>
      <c r="G851" s="83"/>
      <c r="H851" s="221"/>
      <c r="I851" s="83"/>
      <c r="J851" s="83"/>
      <c r="K851" s="83"/>
      <c r="L851" s="84"/>
      <c r="M851" s="84"/>
      <c r="N851" s="83"/>
      <c r="O851" s="222"/>
      <c r="P851" s="222"/>
      <c r="Q851" s="187"/>
      <c r="R851" s="187"/>
      <c r="S851" s="187"/>
      <c r="T851" s="187"/>
      <c r="U851" s="187"/>
      <c r="V851" s="187"/>
      <c r="W851" s="187"/>
      <c r="X851" s="187"/>
      <c r="Y851" s="187"/>
      <c r="Z851" s="187"/>
      <c r="AA851" s="187"/>
      <c r="AB851" s="187"/>
    </row>
    <row r="852" spans="1:28" ht="15.75" customHeight="1">
      <c r="A852" s="219"/>
      <c r="B852" s="83"/>
      <c r="C852" s="81"/>
      <c r="D852" s="82"/>
      <c r="E852" s="81"/>
      <c r="F852" s="82"/>
      <c r="G852" s="83"/>
      <c r="H852" s="221"/>
      <c r="I852" s="83"/>
      <c r="J852" s="83"/>
      <c r="K852" s="83"/>
      <c r="L852" s="84"/>
      <c r="M852" s="84"/>
      <c r="N852" s="83"/>
      <c r="O852" s="222"/>
      <c r="P852" s="222"/>
      <c r="Q852" s="187"/>
      <c r="R852" s="187"/>
      <c r="S852" s="187"/>
      <c r="T852" s="187"/>
      <c r="U852" s="187"/>
      <c r="V852" s="187"/>
      <c r="W852" s="187"/>
      <c r="X852" s="187"/>
      <c r="Y852" s="187"/>
      <c r="Z852" s="187"/>
      <c r="AA852" s="187"/>
      <c r="AB852" s="187"/>
    </row>
    <row r="853" spans="1:28" ht="15.75" customHeight="1">
      <c r="A853" s="219"/>
      <c r="B853" s="83"/>
      <c r="C853" s="81"/>
      <c r="D853" s="82"/>
      <c r="E853" s="81"/>
      <c r="F853" s="82"/>
      <c r="G853" s="83"/>
      <c r="H853" s="221"/>
      <c r="I853" s="83"/>
      <c r="J853" s="83"/>
      <c r="K853" s="83"/>
      <c r="L853" s="84"/>
      <c r="M853" s="84"/>
      <c r="N853" s="83"/>
      <c r="O853" s="222"/>
      <c r="P853" s="222"/>
      <c r="Q853" s="187"/>
      <c r="R853" s="187"/>
      <c r="S853" s="187"/>
      <c r="T853" s="187"/>
      <c r="U853" s="187"/>
      <c r="V853" s="187"/>
      <c r="W853" s="187"/>
      <c r="X853" s="187"/>
      <c r="Y853" s="187"/>
      <c r="Z853" s="187"/>
      <c r="AA853" s="187"/>
      <c r="AB853" s="187"/>
    </row>
    <row r="854" spans="1:28" ht="15.75" customHeight="1">
      <c r="A854" s="219"/>
      <c r="B854" s="83"/>
      <c r="C854" s="81"/>
      <c r="D854" s="82"/>
      <c r="E854" s="81"/>
      <c r="F854" s="82"/>
      <c r="G854" s="83"/>
      <c r="H854" s="221"/>
      <c r="I854" s="83"/>
      <c r="J854" s="83"/>
      <c r="K854" s="83"/>
      <c r="L854" s="84"/>
      <c r="M854" s="84"/>
      <c r="N854" s="83"/>
      <c r="O854" s="222"/>
      <c r="P854" s="222"/>
      <c r="Q854" s="187"/>
      <c r="R854" s="187"/>
      <c r="S854" s="187"/>
      <c r="T854" s="187"/>
      <c r="U854" s="187"/>
      <c r="V854" s="187"/>
      <c r="W854" s="187"/>
      <c r="X854" s="187"/>
      <c r="Y854" s="187"/>
      <c r="Z854" s="187"/>
      <c r="AA854" s="187"/>
      <c r="AB854" s="187"/>
    </row>
    <row r="855" spans="1:28" ht="15.75" customHeight="1">
      <c r="A855" s="219"/>
      <c r="B855" s="83"/>
      <c r="C855" s="81"/>
      <c r="D855" s="82"/>
      <c r="E855" s="81"/>
      <c r="F855" s="82"/>
      <c r="G855" s="83"/>
      <c r="H855" s="221"/>
      <c r="I855" s="83"/>
      <c r="J855" s="83"/>
      <c r="K855" s="83"/>
      <c r="L855" s="84"/>
      <c r="M855" s="84"/>
      <c r="N855" s="83"/>
      <c r="O855" s="222"/>
      <c r="P855" s="222"/>
      <c r="Q855" s="187"/>
      <c r="R855" s="187"/>
      <c r="S855" s="187"/>
      <c r="T855" s="187"/>
      <c r="U855" s="187"/>
      <c r="V855" s="187"/>
      <c r="W855" s="187"/>
      <c r="X855" s="187"/>
      <c r="Y855" s="187"/>
      <c r="Z855" s="187"/>
      <c r="AA855" s="187"/>
      <c r="AB855" s="187"/>
    </row>
    <row r="856" spans="1:28" ht="15.75" customHeight="1">
      <c r="A856" s="219"/>
      <c r="B856" s="83"/>
      <c r="C856" s="81"/>
      <c r="D856" s="82"/>
      <c r="E856" s="81"/>
      <c r="F856" s="82"/>
      <c r="G856" s="83"/>
      <c r="H856" s="221"/>
      <c r="I856" s="83"/>
      <c r="J856" s="83"/>
      <c r="K856" s="83"/>
      <c r="L856" s="84"/>
      <c r="M856" s="84"/>
      <c r="N856" s="83"/>
      <c r="O856" s="222"/>
      <c r="P856" s="222"/>
      <c r="Q856" s="187"/>
      <c r="R856" s="187"/>
      <c r="S856" s="187"/>
      <c r="T856" s="187"/>
      <c r="U856" s="187"/>
      <c r="V856" s="187"/>
      <c r="W856" s="187"/>
      <c r="X856" s="187"/>
      <c r="Y856" s="187"/>
      <c r="Z856" s="187"/>
      <c r="AA856" s="187"/>
      <c r="AB856" s="187"/>
    </row>
    <row r="857" spans="1:28" ht="15.75" customHeight="1">
      <c r="A857" s="219"/>
      <c r="B857" s="83"/>
      <c r="C857" s="81"/>
      <c r="D857" s="82"/>
      <c r="E857" s="81"/>
      <c r="F857" s="82"/>
      <c r="G857" s="83"/>
      <c r="H857" s="221"/>
      <c r="I857" s="83"/>
      <c r="J857" s="83"/>
      <c r="K857" s="83"/>
      <c r="L857" s="84"/>
      <c r="M857" s="84"/>
      <c r="N857" s="83"/>
      <c r="O857" s="222"/>
      <c r="P857" s="222"/>
      <c r="Q857" s="187"/>
      <c r="R857" s="187"/>
      <c r="S857" s="187"/>
      <c r="T857" s="187"/>
      <c r="U857" s="187"/>
      <c r="V857" s="187"/>
      <c r="W857" s="187"/>
      <c r="X857" s="187"/>
      <c r="Y857" s="187"/>
      <c r="Z857" s="187"/>
      <c r="AA857" s="187"/>
      <c r="AB857" s="187"/>
    </row>
    <row r="858" spans="1:28" ht="15.75" customHeight="1">
      <c r="A858" s="219"/>
      <c r="B858" s="83"/>
      <c r="C858" s="81"/>
      <c r="D858" s="82"/>
      <c r="E858" s="81"/>
      <c r="F858" s="82"/>
      <c r="G858" s="83"/>
      <c r="H858" s="221"/>
      <c r="I858" s="83"/>
      <c r="J858" s="83"/>
      <c r="K858" s="83"/>
      <c r="L858" s="84"/>
      <c r="M858" s="84"/>
      <c r="N858" s="83"/>
      <c r="O858" s="222"/>
      <c r="P858" s="222"/>
      <c r="Q858" s="187"/>
      <c r="R858" s="187"/>
      <c r="S858" s="187"/>
      <c r="T858" s="187"/>
      <c r="U858" s="187"/>
      <c r="V858" s="187"/>
      <c r="W858" s="187"/>
      <c r="X858" s="187"/>
      <c r="Y858" s="187"/>
      <c r="Z858" s="187"/>
      <c r="AA858" s="187"/>
      <c r="AB858" s="187"/>
    </row>
    <row r="859" spans="1:28" ht="15.75" customHeight="1">
      <c r="A859" s="219"/>
      <c r="B859" s="83"/>
      <c r="C859" s="81"/>
      <c r="D859" s="82"/>
      <c r="E859" s="81"/>
      <c r="F859" s="82"/>
      <c r="G859" s="83"/>
      <c r="H859" s="221"/>
      <c r="I859" s="83"/>
      <c r="J859" s="83"/>
      <c r="K859" s="83"/>
      <c r="L859" s="84"/>
      <c r="M859" s="84"/>
      <c r="N859" s="83"/>
      <c r="O859" s="222"/>
      <c r="P859" s="222"/>
      <c r="Q859" s="187"/>
      <c r="R859" s="187"/>
      <c r="S859" s="187"/>
      <c r="T859" s="187"/>
      <c r="U859" s="187"/>
      <c r="V859" s="187"/>
      <c r="W859" s="187"/>
      <c r="X859" s="187"/>
      <c r="Y859" s="187"/>
      <c r="Z859" s="187"/>
      <c r="AA859" s="187"/>
      <c r="AB859" s="187"/>
    </row>
    <row r="860" spans="1:28" ht="15.75" customHeight="1">
      <c r="A860" s="219"/>
      <c r="B860" s="83"/>
      <c r="C860" s="81"/>
      <c r="D860" s="82"/>
      <c r="E860" s="81"/>
      <c r="F860" s="82"/>
      <c r="G860" s="83"/>
      <c r="H860" s="221"/>
      <c r="I860" s="83"/>
      <c r="J860" s="83"/>
      <c r="K860" s="83"/>
      <c r="L860" s="84"/>
      <c r="M860" s="84"/>
      <c r="N860" s="83"/>
      <c r="O860" s="222"/>
      <c r="P860" s="222"/>
      <c r="Q860" s="187"/>
      <c r="R860" s="187"/>
      <c r="S860" s="187"/>
      <c r="T860" s="187"/>
      <c r="U860" s="187"/>
      <c r="V860" s="187"/>
      <c r="W860" s="187"/>
      <c r="X860" s="187"/>
      <c r="Y860" s="187"/>
      <c r="Z860" s="187"/>
      <c r="AA860" s="187"/>
      <c r="AB860" s="187"/>
    </row>
    <row r="861" spans="1:28" ht="15.75" customHeight="1">
      <c r="A861" s="219"/>
      <c r="B861" s="83"/>
      <c r="C861" s="81"/>
      <c r="D861" s="82"/>
      <c r="E861" s="81"/>
      <c r="F861" s="82"/>
      <c r="G861" s="83"/>
      <c r="H861" s="221"/>
      <c r="I861" s="83"/>
      <c r="J861" s="83"/>
      <c r="K861" s="83"/>
      <c r="L861" s="84"/>
      <c r="M861" s="84"/>
      <c r="N861" s="83"/>
      <c r="O861" s="222"/>
      <c r="P861" s="222"/>
      <c r="Q861" s="187"/>
      <c r="R861" s="187"/>
      <c r="S861" s="187"/>
      <c r="T861" s="187"/>
      <c r="U861" s="187"/>
      <c r="V861" s="187"/>
      <c r="W861" s="187"/>
      <c r="X861" s="187"/>
      <c r="Y861" s="187"/>
      <c r="Z861" s="187"/>
      <c r="AA861" s="187"/>
      <c r="AB861" s="187"/>
    </row>
    <row r="862" spans="1:28" ht="15.75" customHeight="1">
      <c r="A862" s="219"/>
      <c r="B862" s="83"/>
      <c r="C862" s="81"/>
      <c r="D862" s="82"/>
      <c r="E862" s="81"/>
      <c r="F862" s="82"/>
      <c r="G862" s="83"/>
      <c r="H862" s="221"/>
      <c r="I862" s="83"/>
      <c r="J862" s="83"/>
      <c r="K862" s="83"/>
      <c r="L862" s="84"/>
      <c r="M862" s="84"/>
      <c r="N862" s="83"/>
      <c r="O862" s="222"/>
      <c r="P862" s="222"/>
      <c r="Q862" s="187"/>
      <c r="R862" s="187"/>
      <c r="S862" s="187"/>
      <c r="T862" s="187"/>
      <c r="U862" s="187"/>
      <c r="V862" s="187"/>
      <c r="W862" s="187"/>
      <c r="X862" s="187"/>
      <c r="Y862" s="187"/>
      <c r="Z862" s="187"/>
      <c r="AA862" s="187"/>
      <c r="AB862" s="187"/>
    </row>
    <row r="863" spans="1:28" ht="15.75" customHeight="1">
      <c r="A863" s="219"/>
      <c r="B863" s="83"/>
      <c r="C863" s="81"/>
      <c r="D863" s="82"/>
      <c r="E863" s="81"/>
      <c r="F863" s="82"/>
      <c r="G863" s="83"/>
      <c r="H863" s="221"/>
      <c r="I863" s="83"/>
      <c r="J863" s="83"/>
      <c r="K863" s="83"/>
      <c r="L863" s="84"/>
      <c r="M863" s="84"/>
      <c r="N863" s="83"/>
      <c r="O863" s="222"/>
      <c r="P863" s="222"/>
      <c r="Q863" s="187"/>
      <c r="R863" s="187"/>
      <c r="S863" s="187"/>
      <c r="T863" s="187"/>
      <c r="U863" s="187"/>
      <c r="V863" s="187"/>
      <c r="W863" s="187"/>
      <c r="X863" s="187"/>
      <c r="Y863" s="187"/>
      <c r="Z863" s="187"/>
      <c r="AA863" s="187"/>
      <c r="AB863" s="187"/>
    </row>
    <row r="864" spans="1:28" ht="15.75" customHeight="1">
      <c r="A864" s="219"/>
      <c r="B864" s="83"/>
      <c r="C864" s="81"/>
      <c r="D864" s="82"/>
      <c r="E864" s="81"/>
      <c r="F864" s="82"/>
      <c r="G864" s="83"/>
      <c r="H864" s="221"/>
      <c r="I864" s="83"/>
      <c r="J864" s="83"/>
      <c r="K864" s="83"/>
      <c r="L864" s="84"/>
      <c r="M864" s="84"/>
      <c r="N864" s="83"/>
      <c r="O864" s="222"/>
      <c r="P864" s="222"/>
      <c r="Q864" s="187"/>
      <c r="R864" s="187"/>
      <c r="S864" s="187"/>
      <c r="T864" s="187"/>
      <c r="U864" s="187"/>
      <c r="V864" s="187"/>
      <c r="W864" s="187"/>
      <c r="X864" s="187"/>
      <c r="Y864" s="187"/>
      <c r="Z864" s="187"/>
      <c r="AA864" s="187"/>
      <c r="AB864" s="187"/>
    </row>
    <row r="865" spans="1:28" ht="15.75" customHeight="1">
      <c r="A865" s="219"/>
      <c r="B865" s="83"/>
      <c r="C865" s="81"/>
      <c r="D865" s="82"/>
      <c r="E865" s="81"/>
      <c r="F865" s="82"/>
      <c r="G865" s="83"/>
      <c r="H865" s="221"/>
      <c r="I865" s="83"/>
      <c r="J865" s="83"/>
      <c r="K865" s="83"/>
      <c r="L865" s="84"/>
      <c r="M865" s="84"/>
      <c r="N865" s="83"/>
      <c r="O865" s="222"/>
      <c r="P865" s="222"/>
      <c r="Q865" s="187"/>
      <c r="R865" s="187"/>
      <c r="S865" s="187"/>
      <c r="T865" s="187"/>
      <c r="U865" s="187"/>
      <c r="V865" s="187"/>
      <c r="W865" s="187"/>
      <c r="X865" s="187"/>
      <c r="Y865" s="187"/>
      <c r="Z865" s="187"/>
      <c r="AA865" s="187"/>
      <c r="AB865" s="187"/>
    </row>
    <row r="866" spans="1:28" ht="15.75" customHeight="1">
      <c r="A866" s="219"/>
      <c r="B866" s="83"/>
      <c r="C866" s="81"/>
      <c r="D866" s="82"/>
      <c r="E866" s="81"/>
      <c r="F866" s="82"/>
      <c r="G866" s="83"/>
      <c r="H866" s="221"/>
      <c r="I866" s="83"/>
      <c r="J866" s="83"/>
      <c r="K866" s="83"/>
      <c r="L866" s="84"/>
      <c r="M866" s="84"/>
      <c r="N866" s="83"/>
      <c r="O866" s="222"/>
      <c r="P866" s="222"/>
      <c r="Q866" s="187"/>
      <c r="R866" s="187"/>
      <c r="S866" s="187"/>
      <c r="T866" s="187"/>
      <c r="U866" s="187"/>
      <c r="V866" s="187"/>
      <c r="W866" s="187"/>
      <c r="X866" s="187"/>
      <c r="Y866" s="187"/>
      <c r="Z866" s="187"/>
      <c r="AA866" s="187"/>
      <c r="AB866" s="187"/>
    </row>
    <row r="867" spans="1:28" ht="15.75" customHeight="1">
      <c r="A867" s="219"/>
      <c r="B867" s="83"/>
      <c r="C867" s="81"/>
      <c r="D867" s="82"/>
      <c r="E867" s="81"/>
      <c r="F867" s="82"/>
      <c r="G867" s="83"/>
      <c r="H867" s="221"/>
      <c r="I867" s="83"/>
      <c r="J867" s="83"/>
      <c r="K867" s="83"/>
      <c r="L867" s="84"/>
      <c r="M867" s="84"/>
      <c r="N867" s="83"/>
      <c r="O867" s="222"/>
      <c r="P867" s="222"/>
      <c r="Q867" s="187"/>
      <c r="R867" s="187"/>
      <c r="S867" s="187"/>
      <c r="T867" s="187"/>
      <c r="U867" s="187"/>
      <c r="V867" s="187"/>
      <c r="W867" s="187"/>
      <c r="X867" s="187"/>
      <c r="Y867" s="187"/>
      <c r="Z867" s="187"/>
      <c r="AA867" s="187"/>
      <c r="AB867" s="187"/>
    </row>
    <row r="868" spans="1:28" ht="15.75" customHeight="1">
      <c r="A868" s="219"/>
      <c r="B868" s="83"/>
      <c r="C868" s="81"/>
      <c r="D868" s="82"/>
      <c r="E868" s="81"/>
      <c r="F868" s="82"/>
      <c r="G868" s="83"/>
      <c r="H868" s="221"/>
      <c r="I868" s="83"/>
      <c r="J868" s="83"/>
      <c r="K868" s="83"/>
      <c r="L868" s="84"/>
      <c r="M868" s="84"/>
      <c r="N868" s="83"/>
      <c r="O868" s="222"/>
      <c r="P868" s="222"/>
      <c r="Q868" s="187"/>
      <c r="R868" s="187"/>
      <c r="S868" s="187"/>
      <c r="T868" s="187"/>
      <c r="U868" s="187"/>
      <c r="V868" s="187"/>
      <c r="W868" s="187"/>
      <c r="X868" s="187"/>
      <c r="Y868" s="187"/>
      <c r="Z868" s="187"/>
      <c r="AA868" s="187"/>
      <c r="AB868" s="187"/>
    </row>
    <row r="869" spans="1:28" ht="15.75" customHeight="1">
      <c r="A869" s="219"/>
      <c r="B869" s="83"/>
      <c r="C869" s="81"/>
      <c r="D869" s="82"/>
      <c r="E869" s="81"/>
      <c r="F869" s="82"/>
      <c r="G869" s="83"/>
      <c r="H869" s="221"/>
      <c r="I869" s="83"/>
      <c r="J869" s="83"/>
      <c r="K869" s="83"/>
      <c r="L869" s="84"/>
      <c r="M869" s="84"/>
      <c r="N869" s="83"/>
      <c r="O869" s="222"/>
      <c r="P869" s="222"/>
      <c r="Q869" s="187"/>
      <c r="R869" s="187"/>
      <c r="S869" s="187"/>
      <c r="T869" s="187"/>
      <c r="U869" s="187"/>
      <c r="V869" s="187"/>
      <c r="W869" s="187"/>
      <c r="X869" s="187"/>
      <c r="Y869" s="187"/>
      <c r="Z869" s="187"/>
      <c r="AA869" s="187"/>
      <c r="AB869" s="187"/>
    </row>
    <row r="870" spans="1:28" ht="15.75" customHeight="1">
      <c r="A870" s="219"/>
      <c r="B870" s="83"/>
      <c r="C870" s="81"/>
      <c r="D870" s="82"/>
      <c r="E870" s="81"/>
      <c r="F870" s="82"/>
      <c r="G870" s="83"/>
      <c r="H870" s="221"/>
      <c r="I870" s="83"/>
      <c r="J870" s="83"/>
      <c r="K870" s="83"/>
      <c r="L870" s="84"/>
      <c r="M870" s="84"/>
      <c r="N870" s="83"/>
      <c r="O870" s="222"/>
      <c r="P870" s="222"/>
      <c r="Q870" s="187"/>
      <c r="R870" s="187"/>
      <c r="S870" s="187"/>
      <c r="T870" s="187"/>
      <c r="U870" s="187"/>
      <c r="V870" s="187"/>
      <c r="W870" s="187"/>
      <c r="X870" s="187"/>
      <c r="Y870" s="187"/>
      <c r="Z870" s="187"/>
      <c r="AA870" s="187"/>
      <c r="AB870" s="187"/>
    </row>
    <row r="871" spans="1:28" ht="15.75" customHeight="1">
      <c r="A871" s="219"/>
      <c r="B871" s="83"/>
      <c r="C871" s="81"/>
      <c r="D871" s="82"/>
      <c r="E871" s="81"/>
      <c r="F871" s="82"/>
      <c r="G871" s="83"/>
      <c r="H871" s="221"/>
      <c r="I871" s="83"/>
      <c r="J871" s="83"/>
      <c r="K871" s="83"/>
      <c r="L871" s="84"/>
      <c r="M871" s="84"/>
      <c r="N871" s="83"/>
      <c r="O871" s="222"/>
      <c r="P871" s="222"/>
      <c r="Q871" s="187"/>
      <c r="R871" s="187"/>
      <c r="S871" s="187"/>
      <c r="T871" s="187"/>
      <c r="U871" s="187"/>
      <c r="V871" s="187"/>
      <c r="W871" s="187"/>
      <c r="X871" s="187"/>
      <c r="Y871" s="187"/>
      <c r="Z871" s="187"/>
      <c r="AA871" s="187"/>
      <c r="AB871" s="187"/>
    </row>
    <row r="872" spans="1:28" ht="15.75" customHeight="1">
      <c r="A872" s="219"/>
      <c r="B872" s="83"/>
      <c r="C872" s="81"/>
      <c r="D872" s="82"/>
      <c r="E872" s="81"/>
      <c r="F872" s="82"/>
      <c r="G872" s="83"/>
      <c r="H872" s="221"/>
      <c r="I872" s="83"/>
      <c r="J872" s="83"/>
      <c r="K872" s="83"/>
      <c r="L872" s="84"/>
      <c r="M872" s="84"/>
      <c r="N872" s="83"/>
      <c r="O872" s="222"/>
      <c r="P872" s="222"/>
      <c r="Q872" s="187"/>
      <c r="R872" s="187"/>
      <c r="S872" s="187"/>
      <c r="T872" s="187"/>
      <c r="U872" s="187"/>
      <c r="V872" s="187"/>
      <c r="W872" s="187"/>
      <c r="X872" s="187"/>
      <c r="Y872" s="187"/>
      <c r="Z872" s="187"/>
      <c r="AA872" s="187"/>
      <c r="AB872" s="187"/>
    </row>
    <row r="873" spans="1:28" ht="15.75" customHeight="1">
      <c r="A873" s="219"/>
      <c r="B873" s="83"/>
      <c r="C873" s="81"/>
      <c r="D873" s="82"/>
      <c r="E873" s="81"/>
      <c r="F873" s="82"/>
      <c r="G873" s="83"/>
      <c r="H873" s="221"/>
      <c r="I873" s="83"/>
      <c r="J873" s="83"/>
      <c r="K873" s="83"/>
      <c r="L873" s="84"/>
      <c r="M873" s="84"/>
      <c r="N873" s="83"/>
      <c r="O873" s="222"/>
      <c r="P873" s="222"/>
      <c r="Q873" s="187"/>
      <c r="R873" s="187"/>
      <c r="S873" s="187"/>
      <c r="T873" s="187"/>
      <c r="U873" s="187"/>
      <c r="V873" s="187"/>
      <c r="W873" s="187"/>
      <c r="X873" s="187"/>
      <c r="Y873" s="187"/>
      <c r="Z873" s="187"/>
      <c r="AA873" s="187"/>
      <c r="AB873" s="187"/>
    </row>
    <row r="874" spans="1:28" ht="15.75" customHeight="1">
      <c r="A874" s="219"/>
      <c r="B874" s="83"/>
      <c r="C874" s="81"/>
      <c r="D874" s="82"/>
      <c r="E874" s="81"/>
      <c r="F874" s="82"/>
      <c r="G874" s="83"/>
      <c r="H874" s="221"/>
      <c r="I874" s="83"/>
      <c r="J874" s="83"/>
      <c r="K874" s="83"/>
      <c r="L874" s="84"/>
      <c r="M874" s="84"/>
      <c r="N874" s="83"/>
      <c r="O874" s="222"/>
      <c r="P874" s="222"/>
      <c r="Q874" s="187"/>
      <c r="R874" s="187"/>
      <c r="S874" s="187"/>
      <c r="T874" s="187"/>
      <c r="U874" s="187"/>
      <c r="V874" s="187"/>
      <c r="W874" s="187"/>
      <c r="X874" s="187"/>
      <c r="Y874" s="187"/>
      <c r="Z874" s="187"/>
      <c r="AA874" s="187"/>
      <c r="AB874" s="187"/>
    </row>
    <row r="875" spans="1:28" ht="15.75" customHeight="1">
      <c r="A875" s="219"/>
      <c r="B875" s="83"/>
      <c r="C875" s="81"/>
      <c r="D875" s="82"/>
      <c r="E875" s="81"/>
      <c r="F875" s="82"/>
      <c r="G875" s="83"/>
      <c r="H875" s="221"/>
      <c r="I875" s="83"/>
      <c r="J875" s="83"/>
      <c r="K875" s="83"/>
      <c r="L875" s="84"/>
      <c r="M875" s="84"/>
      <c r="N875" s="83"/>
      <c r="O875" s="222"/>
      <c r="P875" s="222"/>
      <c r="Q875" s="187"/>
      <c r="R875" s="187"/>
      <c r="S875" s="187"/>
      <c r="T875" s="187"/>
      <c r="U875" s="187"/>
      <c r="V875" s="187"/>
      <c r="W875" s="187"/>
      <c r="X875" s="187"/>
      <c r="Y875" s="187"/>
      <c r="Z875" s="187"/>
      <c r="AA875" s="187"/>
      <c r="AB875" s="187"/>
    </row>
    <row r="876" spans="1:28" ht="15.75" customHeight="1">
      <c r="A876" s="219"/>
      <c r="B876" s="83"/>
      <c r="C876" s="81"/>
      <c r="D876" s="82"/>
      <c r="E876" s="81"/>
      <c r="F876" s="82"/>
      <c r="G876" s="83"/>
      <c r="H876" s="221"/>
      <c r="I876" s="83"/>
      <c r="J876" s="83"/>
      <c r="K876" s="83"/>
      <c r="L876" s="84"/>
      <c r="M876" s="84"/>
      <c r="N876" s="83"/>
      <c r="O876" s="222"/>
      <c r="P876" s="222"/>
      <c r="Q876" s="187"/>
      <c r="R876" s="187"/>
      <c r="S876" s="187"/>
      <c r="T876" s="187"/>
      <c r="U876" s="187"/>
      <c r="V876" s="187"/>
      <c r="W876" s="187"/>
      <c r="X876" s="187"/>
      <c r="Y876" s="187"/>
      <c r="Z876" s="187"/>
      <c r="AA876" s="187"/>
      <c r="AB876" s="187"/>
    </row>
    <row r="877" spans="1:28" ht="15.75" customHeight="1">
      <c r="A877" s="219"/>
      <c r="B877" s="83"/>
      <c r="C877" s="81"/>
      <c r="D877" s="82"/>
      <c r="E877" s="81"/>
      <c r="F877" s="82"/>
      <c r="G877" s="83"/>
      <c r="H877" s="221"/>
      <c r="I877" s="83"/>
      <c r="J877" s="83"/>
      <c r="K877" s="83"/>
      <c r="L877" s="84"/>
      <c r="M877" s="84"/>
      <c r="N877" s="83"/>
      <c r="O877" s="222"/>
      <c r="P877" s="222"/>
      <c r="Q877" s="187"/>
      <c r="R877" s="187"/>
      <c r="S877" s="187"/>
      <c r="T877" s="187"/>
      <c r="U877" s="187"/>
      <c r="V877" s="187"/>
      <c r="W877" s="187"/>
      <c r="X877" s="187"/>
      <c r="Y877" s="187"/>
      <c r="Z877" s="187"/>
      <c r="AA877" s="187"/>
      <c r="AB877" s="187"/>
    </row>
    <row r="878" spans="1:28" ht="15.75" customHeight="1">
      <c r="A878" s="219"/>
      <c r="B878" s="83"/>
      <c r="C878" s="81"/>
      <c r="D878" s="82"/>
      <c r="E878" s="81"/>
      <c r="F878" s="82"/>
      <c r="G878" s="83"/>
      <c r="H878" s="221"/>
      <c r="I878" s="83"/>
      <c r="J878" s="83"/>
      <c r="K878" s="83"/>
      <c r="L878" s="84"/>
      <c r="M878" s="84"/>
      <c r="N878" s="83"/>
      <c r="O878" s="222"/>
      <c r="P878" s="222"/>
      <c r="Q878" s="187"/>
      <c r="R878" s="187"/>
      <c r="S878" s="187"/>
      <c r="T878" s="187"/>
      <c r="U878" s="187"/>
      <c r="V878" s="187"/>
      <c r="W878" s="187"/>
      <c r="X878" s="187"/>
      <c r="Y878" s="187"/>
      <c r="Z878" s="187"/>
      <c r="AA878" s="187"/>
      <c r="AB878" s="187"/>
    </row>
    <row r="879" spans="1:28" ht="15.75" customHeight="1">
      <c r="A879" s="219"/>
      <c r="B879" s="83"/>
      <c r="C879" s="81"/>
      <c r="D879" s="82"/>
      <c r="E879" s="81"/>
      <c r="F879" s="82"/>
      <c r="G879" s="83"/>
      <c r="H879" s="221"/>
      <c r="I879" s="83"/>
      <c r="J879" s="83"/>
      <c r="K879" s="83"/>
      <c r="L879" s="84"/>
      <c r="M879" s="84"/>
      <c r="N879" s="83"/>
      <c r="O879" s="222"/>
      <c r="P879" s="222"/>
      <c r="Q879" s="187"/>
      <c r="R879" s="187"/>
      <c r="S879" s="187"/>
      <c r="T879" s="187"/>
      <c r="U879" s="187"/>
      <c r="V879" s="187"/>
      <c r="W879" s="187"/>
      <c r="X879" s="187"/>
      <c r="Y879" s="187"/>
      <c r="Z879" s="187"/>
      <c r="AA879" s="187"/>
      <c r="AB879" s="187"/>
    </row>
    <row r="880" spans="1:28" ht="15.75" customHeight="1">
      <c r="A880" s="219"/>
      <c r="B880" s="83"/>
      <c r="C880" s="81"/>
      <c r="D880" s="82"/>
      <c r="E880" s="81"/>
      <c r="F880" s="82"/>
      <c r="G880" s="83"/>
      <c r="H880" s="221"/>
      <c r="I880" s="83"/>
      <c r="J880" s="83"/>
      <c r="K880" s="83"/>
      <c r="L880" s="84"/>
      <c r="M880" s="84"/>
      <c r="N880" s="83"/>
      <c r="O880" s="222"/>
      <c r="P880" s="222"/>
      <c r="Q880" s="187"/>
      <c r="R880" s="187"/>
      <c r="S880" s="187"/>
      <c r="T880" s="187"/>
      <c r="U880" s="187"/>
      <c r="V880" s="187"/>
      <c r="W880" s="187"/>
      <c r="X880" s="187"/>
      <c r="Y880" s="187"/>
      <c r="Z880" s="187"/>
      <c r="AA880" s="187"/>
      <c r="AB880" s="187"/>
    </row>
    <row r="881" spans="1:28" ht="15.75" customHeight="1">
      <c r="A881" s="219"/>
      <c r="B881" s="83"/>
      <c r="C881" s="81"/>
      <c r="D881" s="82"/>
      <c r="E881" s="81"/>
      <c r="F881" s="82"/>
      <c r="G881" s="83"/>
      <c r="H881" s="221"/>
      <c r="I881" s="83"/>
      <c r="J881" s="83"/>
      <c r="K881" s="83"/>
      <c r="L881" s="84"/>
      <c r="M881" s="84"/>
      <c r="N881" s="83"/>
      <c r="O881" s="222"/>
      <c r="P881" s="222"/>
      <c r="Q881" s="187"/>
      <c r="R881" s="187"/>
      <c r="S881" s="187"/>
      <c r="T881" s="187"/>
      <c r="U881" s="187"/>
      <c r="V881" s="187"/>
      <c r="W881" s="187"/>
      <c r="X881" s="187"/>
      <c r="Y881" s="187"/>
      <c r="Z881" s="187"/>
      <c r="AA881" s="187"/>
      <c r="AB881" s="187"/>
    </row>
    <row r="882" spans="1:28" ht="15.75" customHeight="1">
      <c r="A882" s="219"/>
      <c r="B882" s="83"/>
      <c r="C882" s="81"/>
      <c r="D882" s="82"/>
      <c r="E882" s="81"/>
      <c r="F882" s="82"/>
      <c r="G882" s="83"/>
      <c r="H882" s="221"/>
      <c r="I882" s="83"/>
      <c r="J882" s="83"/>
      <c r="K882" s="83"/>
      <c r="L882" s="84"/>
      <c r="M882" s="84"/>
      <c r="N882" s="83"/>
      <c r="O882" s="222"/>
      <c r="P882" s="222"/>
      <c r="Q882" s="187"/>
      <c r="R882" s="187"/>
      <c r="S882" s="187"/>
      <c r="T882" s="187"/>
      <c r="U882" s="187"/>
      <c r="V882" s="187"/>
      <c r="W882" s="187"/>
      <c r="X882" s="187"/>
      <c r="Y882" s="187"/>
      <c r="Z882" s="187"/>
      <c r="AA882" s="187"/>
      <c r="AB882" s="187"/>
    </row>
    <row r="883" spans="1:28" ht="15.75" customHeight="1">
      <c r="A883" s="219"/>
      <c r="B883" s="83"/>
      <c r="C883" s="81"/>
      <c r="D883" s="82"/>
      <c r="E883" s="81"/>
      <c r="F883" s="82"/>
      <c r="G883" s="83"/>
      <c r="H883" s="221"/>
      <c r="I883" s="83"/>
      <c r="J883" s="83"/>
      <c r="K883" s="83"/>
      <c r="L883" s="84"/>
      <c r="M883" s="84"/>
      <c r="N883" s="83"/>
      <c r="O883" s="222"/>
      <c r="P883" s="222"/>
      <c r="Q883" s="187"/>
      <c r="R883" s="187"/>
      <c r="S883" s="187"/>
      <c r="T883" s="187"/>
      <c r="U883" s="187"/>
      <c r="V883" s="187"/>
      <c r="W883" s="187"/>
      <c r="X883" s="187"/>
      <c r="Y883" s="187"/>
      <c r="Z883" s="187"/>
      <c r="AA883" s="187"/>
      <c r="AB883" s="187"/>
    </row>
    <row r="884" spans="1:28" ht="15.75" customHeight="1">
      <c r="A884" s="219"/>
      <c r="B884" s="83"/>
      <c r="C884" s="81"/>
      <c r="D884" s="82"/>
      <c r="E884" s="81"/>
      <c r="F884" s="82"/>
      <c r="G884" s="83"/>
      <c r="H884" s="221"/>
      <c r="I884" s="83"/>
      <c r="J884" s="83"/>
      <c r="K884" s="83"/>
      <c r="L884" s="84"/>
      <c r="M884" s="84"/>
      <c r="N884" s="83"/>
      <c r="O884" s="222"/>
      <c r="P884" s="222"/>
      <c r="Q884" s="187"/>
      <c r="R884" s="187"/>
      <c r="S884" s="187"/>
      <c r="T884" s="187"/>
      <c r="U884" s="187"/>
      <c r="V884" s="187"/>
      <c r="W884" s="187"/>
      <c r="X884" s="187"/>
      <c r="Y884" s="187"/>
      <c r="Z884" s="187"/>
      <c r="AA884" s="187"/>
      <c r="AB884" s="187"/>
    </row>
    <row r="885" spans="1:28" ht="15.75" customHeight="1">
      <c r="A885" s="219"/>
      <c r="B885" s="83"/>
      <c r="C885" s="81"/>
      <c r="D885" s="82"/>
      <c r="E885" s="81"/>
      <c r="F885" s="82"/>
      <c r="G885" s="83"/>
      <c r="H885" s="221"/>
      <c r="I885" s="83"/>
      <c r="J885" s="83"/>
      <c r="K885" s="83"/>
      <c r="L885" s="84"/>
      <c r="M885" s="84"/>
      <c r="N885" s="83"/>
      <c r="O885" s="222"/>
      <c r="P885" s="222"/>
      <c r="Q885" s="187"/>
      <c r="R885" s="187"/>
      <c r="S885" s="187"/>
      <c r="T885" s="187"/>
      <c r="U885" s="187"/>
      <c r="V885" s="187"/>
      <c r="W885" s="187"/>
      <c r="X885" s="187"/>
      <c r="Y885" s="187"/>
      <c r="Z885" s="187"/>
      <c r="AA885" s="187"/>
      <c r="AB885" s="187"/>
    </row>
    <row r="886" spans="1:28" ht="15.75" customHeight="1">
      <c r="A886" s="219"/>
      <c r="B886" s="83"/>
      <c r="C886" s="81"/>
      <c r="D886" s="82"/>
      <c r="E886" s="81"/>
      <c r="F886" s="82"/>
      <c r="G886" s="83"/>
      <c r="H886" s="221"/>
      <c r="I886" s="83"/>
      <c r="J886" s="83"/>
      <c r="K886" s="83"/>
      <c r="L886" s="84"/>
      <c r="M886" s="84"/>
      <c r="N886" s="83"/>
      <c r="O886" s="222"/>
      <c r="P886" s="222"/>
      <c r="Q886" s="187"/>
      <c r="R886" s="187"/>
      <c r="S886" s="187"/>
      <c r="T886" s="187"/>
      <c r="U886" s="187"/>
      <c r="V886" s="187"/>
      <c r="W886" s="187"/>
      <c r="X886" s="187"/>
      <c r="Y886" s="187"/>
      <c r="Z886" s="187"/>
      <c r="AA886" s="187"/>
      <c r="AB886" s="187"/>
    </row>
    <row r="887" spans="1:28" ht="15.75" customHeight="1">
      <c r="A887" s="219"/>
      <c r="B887" s="83"/>
      <c r="C887" s="81"/>
      <c r="D887" s="82"/>
      <c r="E887" s="81"/>
      <c r="F887" s="82"/>
      <c r="G887" s="83"/>
      <c r="H887" s="221"/>
      <c r="I887" s="83"/>
      <c r="J887" s="83"/>
      <c r="K887" s="83"/>
      <c r="L887" s="84"/>
      <c r="M887" s="84"/>
      <c r="N887" s="83"/>
      <c r="O887" s="222"/>
      <c r="P887" s="222"/>
      <c r="Q887" s="187"/>
      <c r="R887" s="187"/>
      <c r="S887" s="187"/>
      <c r="T887" s="187"/>
      <c r="U887" s="187"/>
      <c r="V887" s="187"/>
      <c r="W887" s="187"/>
      <c r="X887" s="187"/>
      <c r="Y887" s="187"/>
      <c r="Z887" s="187"/>
      <c r="AA887" s="187"/>
      <c r="AB887" s="187"/>
    </row>
    <row r="888" spans="1:28" ht="15.75" customHeight="1">
      <c r="A888" s="219"/>
      <c r="B888" s="83"/>
      <c r="C888" s="81"/>
      <c r="D888" s="82"/>
      <c r="E888" s="81"/>
      <c r="F888" s="82"/>
      <c r="G888" s="83"/>
      <c r="H888" s="221"/>
      <c r="I888" s="83"/>
      <c r="J888" s="83"/>
      <c r="K888" s="83"/>
      <c r="L888" s="84"/>
      <c r="M888" s="84"/>
      <c r="N888" s="83"/>
      <c r="O888" s="222"/>
      <c r="P888" s="222"/>
      <c r="Q888" s="187"/>
      <c r="R888" s="187"/>
      <c r="S888" s="187"/>
      <c r="T888" s="187"/>
      <c r="U888" s="187"/>
      <c r="V888" s="187"/>
      <c r="W888" s="187"/>
      <c r="X888" s="187"/>
      <c r="Y888" s="187"/>
      <c r="Z888" s="187"/>
      <c r="AA888" s="187"/>
      <c r="AB888" s="187"/>
    </row>
    <row r="889" spans="1:28" ht="15.75" customHeight="1">
      <c r="A889" s="219"/>
      <c r="B889" s="83"/>
      <c r="C889" s="81"/>
      <c r="D889" s="82"/>
      <c r="E889" s="81"/>
      <c r="F889" s="82"/>
      <c r="G889" s="83"/>
      <c r="H889" s="221"/>
      <c r="I889" s="83"/>
      <c r="J889" s="83"/>
      <c r="K889" s="83"/>
      <c r="L889" s="84"/>
      <c r="M889" s="84"/>
      <c r="N889" s="83"/>
      <c r="O889" s="222"/>
      <c r="P889" s="222"/>
      <c r="Q889" s="187"/>
      <c r="R889" s="187"/>
      <c r="S889" s="187"/>
      <c r="T889" s="187"/>
      <c r="U889" s="187"/>
      <c r="V889" s="187"/>
      <c r="W889" s="187"/>
      <c r="X889" s="187"/>
      <c r="Y889" s="187"/>
      <c r="Z889" s="187"/>
      <c r="AA889" s="187"/>
      <c r="AB889" s="187"/>
    </row>
    <row r="890" spans="1:28" ht="15.75" customHeight="1">
      <c r="A890" s="219"/>
      <c r="B890" s="83"/>
      <c r="C890" s="81"/>
      <c r="D890" s="82"/>
      <c r="E890" s="81"/>
      <c r="F890" s="82"/>
      <c r="G890" s="83"/>
      <c r="H890" s="221"/>
      <c r="I890" s="83"/>
      <c r="J890" s="83"/>
      <c r="K890" s="83"/>
      <c r="L890" s="84"/>
      <c r="M890" s="84"/>
      <c r="N890" s="83"/>
      <c r="O890" s="222"/>
      <c r="P890" s="222"/>
      <c r="Q890" s="187"/>
      <c r="R890" s="187"/>
      <c r="S890" s="187"/>
      <c r="T890" s="187"/>
      <c r="U890" s="187"/>
      <c r="V890" s="187"/>
      <c r="W890" s="187"/>
      <c r="X890" s="187"/>
      <c r="Y890" s="187"/>
      <c r="Z890" s="187"/>
      <c r="AA890" s="187"/>
      <c r="AB890" s="187"/>
    </row>
    <row r="891" spans="1:28" ht="15.75" customHeight="1">
      <c r="A891" s="219"/>
      <c r="B891" s="83"/>
      <c r="C891" s="81"/>
      <c r="D891" s="82"/>
      <c r="E891" s="81"/>
      <c r="F891" s="82"/>
      <c r="G891" s="83"/>
      <c r="H891" s="221"/>
      <c r="I891" s="83"/>
      <c r="J891" s="83"/>
      <c r="K891" s="83"/>
      <c r="L891" s="84"/>
      <c r="M891" s="84"/>
      <c r="N891" s="83"/>
      <c r="O891" s="222"/>
      <c r="P891" s="222"/>
      <c r="Q891" s="187"/>
      <c r="R891" s="187"/>
      <c r="S891" s="187"/>
      <c r="T891" s="187"/>
      <c r="U891" s="187"/>
      <c r="V891" s="187"/>
      <c r="W891" s="187"/>
      <c r="X891" s="187"/>
      <c r="Y891" s="187"/>
      <c r="Z891" s="187"/>
      <c r="AA891" s="187"/>
      <c r="AB891" s="187"/>
    </row>
    <row r="892" spans="1:28" ht="15.75" customHeight="1">
      <c r="A892" s="219"/>
      <c r="B892" s="83"/>
      <c r="C892" s="81"/>
      <c r="D892" s="82"/>
      <c r="E892" s="81"/>
      <c r="F892" s="82"/>
      <c r="G892" s="83"/>
      <c r="H892" s="221"/>
      <c r="I892" s="83"/>
      <c r="J892" s="83"/>
      <c r="K892" s="83"/>
      <c r="L892" s="84"/>
      <c r="M892" s="84"/>
      <c r="N892" s="83"/>
      <c r="O892" s="222"/>
      <c r="P892" s="222"/>
      <c r="Q892" s="187"/>
      <c r="R892" s="187"/>
      <c r="S892" s="187"/>
      <c r="T892" s="187"/>
      <c r="U892" s="187"/>
      <c r="V892" s="187"/>
      <c r="W892" s="187"/>
      <c r="X892" s="187"/>
      <c r="Y892" s="187"/>
      <c r="Z892" s="187"/>
      <c r="AA892" s="187"/>
      <c r="AB892" s="187"/>
    </row>
    <row r="893" spans="1:28" ht="15.75" customHeight="1">
      <c r="A893" s="219"/>
      <c r="B893" s="83"/>
      <c r="C893" s="81"/>
      <c r="D893" s="82"/>
      <c r="E893" s="81"/>
      <c r="F893" s="82"/>
      <c r="G893" s="83"/>
      <c r="H893" s="221"/>
      <c r="I893" s="83"/>
      <c r="J893" s="83"/>
      <c r="K893" s="83"/>
      <c r="L893" s="84"/>
      <c r="M893" s="84"/>
      <c r="N893" s="83"/>
      <c r="O893" s="222"/>
      <c r="P893" s="222"/>
      <c r="Q893" s="187"/>
      <c r="R893" s="187"/>
      <c r="S893" s="187"/>
      <c r="T893" s="187"/>
      <c r="U893" s="187"/>
      <c r="V893" s="187"/>
      <c r="W893" s="187"/>
      <c r="X893" s="187"/>
      <c r="Y893" s="187"/>
      <c r="Z893" s="187"/>
      <c r="AA893" s="187"/>
      <c r="AB893" s="187"/>
    </row>
    <row r="894" spans="1:28" ht="15.75" customHeight="1">
      <c r="A894" s="219"/>
      <c r="B894" s="83"/>
      <c r="C894" s="81"/>
      <c r="D894" s="82"/>
      <c r="E894" s="81"/>
      <c r="F894" s="82"/>
      <c r="G894" s="83"/>
      <c r="H894" s="221"/>
      <c r="I894" s="83"/>
      <c r="J894" s="83"/>
      <c r="K894" s="83"/>
      <c r="L894" s="84"/>
      <c r="M894" s="84"/>
      <c r="N894" s="83"/>
      <c r="O894" s="222"/>
      <c r="P894" s="222"/>
      <c r="Q894" s="187"/>
      <c r="R894" s="187"/>
      <c r="S894" s="187"/>
      <c r="T894" s="187"/>
      <c r="U894" s="187"/>
      <c r="V894" s="187"/>
      <c r="W894" s="187"/>
      <c r="X894" s="187"/>
      <c r="Y894" s="187"/>
      <c r="Z894" s="187"/>
      <c r="AA894" s="187"/>
      <c r="AB894" s="187"/>
    </row>
    <row r="895" spans="1:28" ht="15.75" customHeight="1">
      <c r="A895" s="219"/>
      <c r="B895" s="83"/>
      <c r="C895" s="81"/>
      <c r="D895" s="82"/>
      <c r="E895" s="81"/>
      <c r="F895" s="82"/>
      <c r="G895" s="83"/>
      <c r="H895" s="221"/>
      <c r="I895" s="83"/>
      <c r="J895" s="83"/>
      <c r="K895" s="83"/>
      <c r="L895" s="84"/>
      <c r="M895" s="84"/>
      <c r="N895" s="83"/>
      <c r="O895" s="222"/>
      <c r="P895" s="222"/>
      <c r="Q895" s="187"/>
      <c r="R895" s="187"/>
      <c r="S895" s="187"/>
      <c r="T895" s="187"/>
      <c r="U895" s="187"/>
      <c r="V895" s="187"/>
      <c r="W895" s="187"/>
      <c r="X895" s="187"/>
      <c r="Y895" s="187"/>
      <c r="Z895" s="187"/>
      <c r="AA895" s="187"/>
      <c r="AB895" s="187"/>
    </row>
    <row r="896" spans="1:28" ht="15.75" customHeight="1">
      <c r="A896" s="219"/>
      <c r="B896" s="83"/>
      <c r="C896" s="81"/>
      <c r="D896" s="82"/>
      <c r="E896" s="81"/>
      <c r="F896" s="82"/>
      <c r="G896" s="83"/>
      <c r="H896" s="221"/>
      <c r="I896" s="83"/>
      <c r="J896" s="83"/>
      <c r="K896" s="83"/>
      <c r="L896" s="84"/>
      <c r="M896" s="84"/>
      <c r="N896" s="83"/>
      <c r="O896" s="222"/>
      <c r="P896" s="222"/>
      <c r="Q896" s="187"/>
      <c r="R896" s="187"/>
      <c r="S896" s="187"/>
      <c r="T896" s="187"/>
      <c r="U896" s="187"/>
      <c r="V896" s="187"/>
      <c r="W896" s="187"/>
      <c r="X896" s="187"/>
      <c r="Y896" s="187"/>
      <c r="Z896" s="187"/>
      <c r="AA896" s="187"/>
      <c r="AB896" s="187"/>
    </row>
    <row r="897" spans="1:28" ht="15.75" customHeight="1">
      <c r="A897" s="219"/>
      <c r="B897" s="83"/>
      <c r="C897" s="81"/>
      <c r="D897" s="82"/>
      <c r="E897" s="81"/>
      <c r="F897" s="82"/>
      <c r="G897" s="83"/>
      <c r="H897" s="221"/>
      <c r="I897" s="83"/>
      <c r="J897" s="83"/>
      <c r="K897" s="83"/>
      <c r="L897" s="84"/>
      <c r="M897" s="84"/>
      <c r="N897" s="83"/>
      <c r="O897" s="222"/>
      <c r="P897" s="222"/>
      <c r="Q897" s="187"/>
      <c r="R897" s="187"/>
      <c r="S897" s="187"/>
      <c r="T897" s="187"/>
      <c r="U897" s="187"/>
      <c r="V897" s="187"/>
      <c r="W897" s="187"/>
      <c r="X897" s="187"/>
      <c r="Y897" s="187"/>
      <c r="Z897" s="187"/>
      <c r="AA897" s="187"/>
      <c r="AB897" s="187"/>
    </row>
    <row r="898" spans="1:28" ht="15.75" customHeight="1">
      <c r="A898" s="219"/>
      <c r="B898" s="83"/>
      <c r="C898" s="81"/>
      <c r="D898" s="82"/>
      <c r="E898" s="81"/>
      <c r="F898" s="82"/>
      <c r="G898" s="83"/>
      <c r="H898" s="221"/>
      <c r="I898" s="83"/>
      <c r="J898" s="83"/>
      <c r="K898" s="83"/>
      <c r="L898" s="84"/>
      <c r="M898" s="84"/>
      <c r="N898" s="83"/>
      <c r="O898" s="222"/>
      <c r="P898" s="222"/>
      <c r="Q898" s="187"/>
      <c r="R898" s="187"/>
      <c r="S898" s="187"/>
      <c r="T898" s="187"/>
      <c r="U898" s="187"/>
      <c r="V898" s="187"/>
      <c r="W898" s="187"/>
      <c r="X898" s="187"/>
      <c r="Y898" s="187"/>
      <c r="Z898" s="187"/>
      <c r="AA898" s="187"/>
      <c r="AB898" s="187"/>
    </row>
    <row r="899" spans="1:28" ht="15.75" customHeight="1">
      <c r="A899" s="219"/>
      <c r="B899" s="83"/>
      <c r="C899" s="81"/>
      <c r="D899" s="82"/>
      <c r="E899" s="81"/>
      <c r="F899" s="82"/>
      <c r="G899" s="83"/>
      <c r="H899" s="221"/>
      <c r="I899" s="83"/>
      <c r="J899" s="83"/>
      <c r="K899" s="83"/>
      <c r="L899" s="84"/>
      <c r="M899" s="84"/>
      <c r="N899" s="83"/>
      <c r="O899" s="222"/>
      <c r="P899" s="222"/>
      <c r="Q899" s="187"/>
      <c r="R899" s="187"/>
      <c r="S899" s="187"/>
      <c r="T899" s="187"/>
      <c r="U899" s="187"/>
      <c r="V899" s="187"/>
      <c r="W899" s="187"/>
      <c r="X899" s="187"/>
      <c r="Y899" s="187"/>
      <c r="Z899" s="187"/>
      <c r="AA899" s="187"/>
      <c r="AB899" s="187"/>
    </row>
    <row r="900" spans="1:28" ht="15.75" customHeight="1">
      <c r="A900" s="219"/>
      <c r="B900" s="83"/>
      <c r="C900" s="81"/>
      <c r="D900" s="82"/>
      <c r="E900" s="81"/>
      <c r="F900" s="82"/>
      <c r="G900" s="83"/>
      <c r="H900" s="221"/>
      <c r="I900" s="83"/>
      <c r="J900" s="83"/>
      <c r="K900" s="83"/>
      <c r="L900" s="84"/>
      <c r="M900" s="84"/>
      <c r="N900" s="83"/>
      <c r="O900" s="222"/>
      <c r="P900" s="222"/>
      <c r="Q900" s="187"/>
      <c r="R900" s="187"/>
      <c r="S900" s="187"/>
      <c r="T900" s="187"/>
      <c r="U900" s="187"/>
      <c r="V900" s="187"/>
      <c r="W900" s="187"/>
      <c r="X900" s="187"/>
      <c r="Y900" s="187"/>
      <c r="Z900" s="187"/>
      <c r="AA900" s="187"/>
      <c r="AB900" s="187"/>
    </row>
    <row r="901" spans="1:28" ht="15.75" customHeight="1">
      <c r="A901" s="219"/>
      <c r="B901" s="83"/>
      <c r="C901" s="81"/>
      <c r="D901" s="82"/>
      <c r="E901" s="81"/>
      <c r="F901" s="82"/>
      <c r="G901" s="83"/>
      <c r="H901" s="221"/>
      <c r="I901" s="83"/>
      <c r="J901" s="83"/>
      <c r="K901" s="83"/>
      <c r="L901" s="84"/>
      <c r="M901" s="84"/>
      <c r="N901" s="83"/>
      <c r="O901" s="222"/>
      <c r="P901" s="222"/>
      <c r="Q901" s="187"/>
      <c r="R901" s="187"/>
      <c r="S901" s="187"/>
      <c r="T901" s="187"/>
      <c r="U901" s="187"/>
      <c r="V901" s="187"/>
      <c r="W901" s="187"/>
      <c r="X901" s="187"/>
      <c r="Y901" s="187"/>
      <c r="Z901" s="187"/>
      <c r="AA901" s="187"/>
      <c r="AB901" s="187"/>
    </row>
    <row r="902" spans="1:28" ht="15.75" customHeight="1">
      <c r="A902" s="219"/>
      <c r="B902" s="83"/>
      <c r="C902" s="81"/>
      <c r="D902" s="82"/>
      <c r="E902" s="81"/>
      <c r="F902" s="82"/>
      <c r="G902" s="83"/>
      <c r="H902" s="221"/>
      <c r="I902" s="83"/>
      <c r="J902" s="83"/>
      <c r="K902" s="83"/>
      <c r="L902" s="84"/>
      <c r="M902" s="84"/>
      <c r="N902" s="83"/>
      <c r="O902" s="222"/>
      <c r="P902" s="222"/>
      <c r="Q902" s="187"/>
      <c r="R902" s="187"/>
      <c r="S902" s="187"/>
      <c r="T902" s="187"/>
      <c r="U902" s="187"/>
      <c r="V902" s="187"/>
      <c r="W902" s="187"/>
      <c r="X902" s="187"/>
      <c r="Y902" s="187"/>
      <c r="Z902" s="187"/>
      <c r="AA902" s="187"/>
      <c r="AB902" s="187"/>
    </row>
    <row r="903" spans="1:28" ht="15.75" customHeight="1">
      <c r="A903" s="219"/>
      <c r="B903" s="83"/>
      <c r="C903" s="81"/>
      <c r="D903" s="82"/>
      <c r="E903" s="81"/>
      <c r="F903" s="82"/>
      <c r="G903" s="83"/>
      <c r="H903" s="221"/>
      <c r="I903" s="83"/>
      <c r="J903" s="83"/>
      <c r="K903" s="83"/>
      <c r="L903" s="84"/>
      <c r="M903" s="84"/>
      <c r="N903" s="83"/>
      <c r="O903" s="222"/>
      <c r="P903" s="222"/>
      <c r="Q903" s="187"/>
      <c r="R903" s="187"/>
      <c r="S903" s="187"/>
      <c r="T903" s="187"/>
      <c r="U903" s="187"/>
      <c r="V903" s="187"/>
      <c r="W903" s="187"/>
      <c r="X903" s="187"/>
      <c r="Y903" s="187"/>
      <c r="Z903" s="187"/>
      <c r="AA903" s="187"/>
      <c r="AB903" s="187"/>
    </row>
    <row r="904" spans="1:28" ht="15.75" customHeight="1">
      <c r="A904" s="219"/>
      <c r="B904" s="83"/>
      <c r="C904" s="81"/>
      <c r="D904" s="82"/>
      <c r="E904" s="81"/>
      <c r="F904" s="82"/>
      <c r="G904" s="83"/>
      <c r="H904" s="221"/>
      <c r="I904" s="83"/>
      <c r="J904" s="83"/>
      <c r="K904" s="83"/>
      <c r="L904" s="84"/>
      <c r="M904" s="84"/>
      <c r="N904" s="83"/>
      <c r="O904" s="222"/>
      <c r="P904" s="222"/>
      <c r="Q904" s="187"/>
      <c r="R904" s="187"/>
      <c r="S904" s="187"/>
      <c r="T904" s="187"/>
      <c r="U904" s="187"/>
      <c r="V904" s="187"/>
      <c r="W904" s="187"/>
      <c r="X904" s="187"/>
      <c r="Y904" s="187"/>
      <c r="Z904" s="187"/>
      <c r="AA904" s="187"/>
      <c r="AB904" s="187"/>
    </row>
    <row r="905" spans="1:28" ht="15.75" customHeight="1">
      <c r="A905" s="219"/>
      <c r="B905" s="83"/>
      <c r="C905" s="81"/>
      <c r="D905" s="82"/>
      <c r="E905" s="81"/>
      <c r="F905" s="82"/>
      <c r="G905" s="83"/>
      <c r="H905" s="221"/>
      <c r="I905" s="83"/>
      <c r="J905" s="83"/>
      <c r="K905" s="83"/>
      <c r="L905" s="84"/>
      <c r="M905" s="84"/>
      <c r="N905" s="83"/>
      <c r="O905" s="222"/>
      <c r="P905" s="222"/>
      <c r="Q905" s="187"/>
      <c r="R905" s="187"/>
      <c r="S905" s="187"/>
      <c r="T905" s="187"/>
      <c r="U905" s="187"/>
      <c r="V905" s="187"/>
      <c r="W905" s="187"/>
      <c r="X905" s="187"/>
      <c r="Y905" s="187"/>
      <c r="Z905" s="187"/>
      <c r="AA905" s="187"/>
      <c r="AB905" s="187"/>
    </row>
    <row r="906" spans="1:28" ht="15.75" customHeight="1">
      <c r="A906" s="219"/>
      <c r="B906" s="83"/>
      <c r="C906" s="81"/>
      <c r="D906" s="82"/>
      <c r="E906" s="81"/>
      <c r="F906" s="82"/>
      <c r="G906" s="83"/>
      <c r="H906" s="221"/>
      <c r="I906" s="83"/>
      <c r="J906" s="83"/>
      <c r="K906" s="83"/>
      <c r="L906" s="84"/>
      <c r="M906" s="84"/>
      <c r="N906" s="83"/>
      <c r="O906" s="222"/>
      <c r="P906" s="222"/>
      <c r="Q906" s="187"/>
      <c r="R906" s="187"/>
      <c r="S906" s="187"/>
      <c r="T906" s="187"/>
      <c r="U906" s="187"/>
      <c r="V906" s="187"/>
      <c r="W906" s="187"/>
      <c r="X906" s="187"/>
      <c r="Y906" s="187"/>
      <c r="Z906" s="187"/>
      <c r="AA906" s="187"/>
      <c r="AB906" s="187"/>
    </row>
    <row r="907" spans="1:28" ht="15.75" customHeight="1">
      <c r="A907" s="219"/>
      <c r="B907" s="83"/>
      <c r="C907" s="81"/>
      <c r="D907" s="82"/>
      <c r="E907" s="81"/>
      <c r="F907" s="82"/>
      <c r="G907" s="83"/>
      <c r="H907" s="221"/>
      <c r="I907" s="83"/>
      <c r="J907" s="83"/>
      <c r="K907" s="83"/>
      <c r="L907" s="84"/>
      <c r="M907" s="84"/>
      <c r="N907" s="83"/>
      <c r="O907" s="222"/>
      <c r="P907" s="222"/>
      <c r="Q907" s="187"/>
      <c r="R907" s="187"/>
      <c r="S907" s="187"/>
      <c r="T907" s="187"/>
      <c r="U907" s="187"/>
      <c r="V907" s="187"/>
      <c r="W907" s="187"/>
      <c r="X907" s="187"/>
      <c r="Y907" s="187"/>
      <c r="Z907" s="187"/>
      <c r="AA907" s="187"/>
      <c r="AB907" s="187"/>
    </row>
    <row r="908" spans="1:28" ht="15.75" customHeight="1">
      <c r="A908" s="219"/>
      <c r="B908" s="83"/>
      <c r="C908" s="81"/>
      <c r="D908" s="82"/>
      <c r="E908" s="81"/>
      <c r="F908" s="82"/>
      <c r="G908" s="83"/>
      <c r="H908" s="221"/>
      <c r="I908" s="83"/>
      <c r="J908" s="83"/>
      <c r="K908" s="83"/>
      <c r="L908" s="84"/>
      <c r="M908" s="84"/>
      <c r="N908" s="83"/>
      <c r="O908" s="222"/>
      <c r="P908" s="222"/>
      <c r="Q908" s="187"/>
      <c r="R908" s="187"/>
      <c r="S908" s="187"/>
      <c r="T908" s="187"/>
      <c r="U908" s="187"/>
      <c r="V908" s="187"/>
      <c r="W908" s="187"/>
      <c r="X908" s="187"/>
      <c r="Y908" s="187"/>
      <c r="Z908" s="187"/>
      <c r="AA908" s="187"/>
      <c r="AB908" s="187"/>
    </row>
    <row r="909" spans="1:28" ht="15.75" customHeight="1">
      <c r="A909" s="219"/>
      <c r="B909" s="83"/>
      <c r="C909" s="81"/>
      <c r="D909" s="82"/>
      <c r="E909" s="81"/>
      <c r="F909" s="82"/>
      <c r="G909" s="83"/>
      <c r="H909" s="221"/>
      <c r="I909" s="83"/>
      <c r="J909" s="83"/>
      <c r="K909" s="83"/>
      <c r="L909" s="84"/>
      <c r="M909" s="84"/>
      <c r="N909" s="83"/>
      <c r="O909" s="222"/>
      <c r="P909" s="222"/>
      <c r="Q909" s="187"/>
      <c r="R909" s="187"/>
      <c r="S909" s="187"/>
      <c r="T909" s="187"/>
      <c r="U909" s="187"/>
      <c r="V909" s="187"/>
      <c r="W909" s="187"/>
      <c r="X909" s="187"/>
      <c r="Y909" s="187"/>
      <c r="Z909" s="187"/>
      <c r="AA909" s="187"/>
      <c r="AB909" s="187"/>
    </row>
    <row r="910" spans="1:28" ht="15.75" customHeight="1">
      <c r="A910" s="219"/>
      <c r="B910" s="83"/>
      <c r="C910" s="81"/>
      <c r="D910" s="82"/>
      <c r="E910" s="81"/>
      <c r="F910" s="82"/>
      <c r="G910" s="83"/>
      <c r="H910" s="221"/>
      <c r="I910" s="83"/>
      <c r="J910" s="83"/>
      <c r="K910" s="83"/>
      <c r="L910" s="84"/>
      <c r="M910" s="84"/>
      <c r="N910" s="83"/>
      <c r="O910" s="222"/>
      <c r="P910" s="222"/>
      <c r="Q910" s="187"/>
      <c r="R910" s="187"/>
      <c r="S910" s="187"/>
      <c r="T910" s="187"/>
      <c r="U910" s="187"/>
      <c r="V910" s="187"/>
      <c r="W910" s="187"/>
      <c r="X910" s="187"/>
      <c r="Y910" s="187"/>
      <c r="Z910" s="187"/>
      <c r="AA910" s="187"/>
      <c r="AB910" s="187"/>
    </row>
    <row r="911" spans="1:28" ht="15.75" customHeight="1">
      <c r="A911" s="219"/>
      <c r="B911" s="83"/>
      <c r="C911" s="81"/>
      <c r="D911" s="82"/>
      <c r="E911" s="81"/>
      <c r="F911" s="82"/>
      <c r="G911" s="83"/>
      <c r="H911" s="221"/>
      <c r="I911" s="83"/>
      <c r="J911" s="83"/>
      <c r="K911" s="83"/>
      <c r="L911" s="84"/>
      <c r="M911" s="84"/>
      <c r="N911" s="83"/>
      <c r="O911" s="222"/>
      <c r="P911" s="222"/>
      <c r="Q911" s="187"/>
      <c r="R911" s="187"/>
      <c r="S911" s="187"/>
      <c r="T911" s="187"/>
      <c r="U911" s="187"/>
      <c r="V911" s="187"/>
      <c r="W911" s="187"/>
      <c r="X911" s="187"/>
      <c r="Y911" s="187"/>
      <c r="Z911" s="187"/>
      <c r="AA911" s="187"/>
      <c r="AB911" s="187"/>
    </row>
    <row r="912" spans="1:28" ht="15.75" customHeight="1">
      <c r="A912" s="219"/>
      <c r="B912" s="83"/>
      <c r="C912" s="81"/>
      <c r="D912" s="82"/>
      <c r="E912" s="81"/>
      <c r="F912" s="82"/>
      <c r="G912" s="83"/>
      <c r="H912" s="221"/>
      <c r="I912" s="83"/>
      <c r="J912" s="83"/>
      <c r="K912" s="83"/>
      <c r="L912" s="84"/>
      <c r="M912" s="84"/>
      <c r="N912" s="83"/>
      <c r="O912" s="222"/>
      <c r="P912" s="222"/>
      <c r="Q912" s="187"/>
      <c r="R912" s="187"/>
      <c r="S912" s="187"/>
      <c r="T912" s="187"/>
      <c r="U912" s="187"/>
      <c r="V912" s="187"/>
      <c r="W912" s="187"/>
      <c r="X912" s="187"/>
      <c r="Y912" s="187"/>
      <c r="Z912" s="187"/>
      <c r="AA912" s="187"/>
      <c r="AB912" s="187"/>
    </row>
    <row r="913" spans="1:28" ht="15.75" customHeight="1">
      <c r="A913" s="219"/>
      <c r="B913" s="83"/>
      <c r="C913" s="81"/>
      <c r="D913" s="82"/>
      <c r="E913" s="81"/>
      <c r="F913" s="82"/>
      <c r="G913" s="83"/>
      <c r="H913" s="221"/>
      <c r="I913" s="83"/>
      <c r="J913" s="83"/>
      <c r="K913" s="83"/>
      <c r="L913" s="84"/>
      <c r="M913" s="84"/>
      <c r="N913" s="83"/>
      <c r="O913" s="222"/>
      <c r="P913" s="222"/>
      <c r="Q913" s="187"/>
      <c r="R913" s="187"/>
      <c r="S913" s="187"/>
      <c r="T913" s="187"/>
      <c r="U913" s="187"/>
      <c r="V913" s="187"/>
      <c r="W913" s="187"/>
      <c r="X913" s="187"/>
      <c r="Y913" s="187"/>
      <c r="Z913" s="187"/>
      <c r="AA913" s="187"/>
      <c r="AB913" s="187"/>
    </row>
    <row r="914" spans="1:28" ht="15.75" customHeight="1">
      <c r="A914" s="219"/>
      <c r="B914" s="83"/>
      <c r="C914" s="81"/>
      <c r="D914" s="82"/>
      <c r="E914" s="81"/>
      <c r="F914" s="82"/>
      <c r="G914" s="83"/>
      <c r="H914" s="221"/>
      <c r="I914" s="83"/>
      <c r="J914" s="83"/>
      <c r="K914" s="83"/>
      <c r="L914" s="84"/>
      <c r="M914" s="84"/>
      <c r="N914" s="83"/>
      <c r="O914" s="222"/>
      <c r="P914" s="222"/>
      <c r="Q914" s="187"/>
      <c r="R914" s="187"/>
      <c r="S914" s="187"/>
      <c r="T914" s="187"/>
      <c r="U914" s="187"/>
      <c r="V914" s="187"/>
      <c r="W914" s="187"/>
      <c r="X914" s="187"/>
      <c r="Y914" s="187"/>
      <c r="Z914" s="187"/>
      <c r="AA914" s="187"/>
      <c r="AB914" s="187"/>
    </row>
    <row r="915" spans="1:28" ht="15.75" customHeight="1">
      <c r="A915" s="219"/>
      <c r="B915" s="83"/>
      <c r="C915" s="81"/>
      <c r="D915" s="82"/>
      <c r="E915" s="81"/>
      <c r="F915" s="82"/>
      <c r="G915" s="83"/>
      <c r="H915" s="221"/>
      <c r="I915" s="83"/>
      <c r="J915" s="83"/>
      <c r="K915" s="83"/>
      <c r="L915" s="84"/>
      <c r="M915" s="84"/>
      <c r="N915" s="83"/>
      <c r="O915" s="222"/>
      <c r="P915" s="222"/>
      <c r="Q915" s="187"/>
      <c r="R915" s="187"/>
      <c r="S915" s="187"/>
      <c r="T915" s="187"/>
      <c r="U915" s="187"/>
      <c r="V915" s="187"/>
      <c r="W915" s="187"/>
      <c r="X915" s="187"/>
      <c r="Y915" s="187"/>
      <c r="Z915" s="187"/>
      <c r="AA915" s="187"/>
      <c r="AB915" s="187"/>
    </row>
    <row r="916" spans="1:28" ht="15.75" customHeight="1">
      <c r="A916" s="219"/>
      <c r="B916" s="83"/>
      <c r="C916" s="81"/>
      <c r="D916" s="82"/>
      <c r="E916" s="81"/>
      <c r="F916" s="82"/>
      <c r="G916" s="83"/>
      <c r="H916" s="221"/>
      <c r="I916" s="83"/>
      <c r="J916" s="83"/>
      <c r="K916" s="83"/>
      <c r="L916" s="84"/>
      <c r="M916" s="84"/>
      <c r="N916" s="83"/>
      <c r="O916" s="222"/>
      <c r="P916" s="222"/>
      <c r="Q916" s="187"/>
      <c r="R916" s="187"/>
      <c r="S916" s="187"/>
      <c r="T916" s="187"/>
      <c r="U916" s="187"/>
      <c r="V916" s="187"/>
      <c r="W916" s="187"/>
      <c r="X916" s="187"/>
      <c r="Y916" s="187"/>
      <c r="Z916" s="187"/>
      <c r="AA916" s="187"/>
      <c r="AB916" s="187"/>
    </row>
    <row r="917" spans="1:28" ht="15.75" customHeight="1">
      <c r="A917" s="219"/>
      <c r="B917" s="83"/>
      <c r="C917" s="81"/>
      <c r="D917" s="82"/>
      <c r="E917" s="81"/>
      <c r="F917" s="82"/>
      <c r="G917" s="83"/>
      <c r="H917" s="221"/>
      <c r="I917" s="83"/>
      <c r="J917" s="83"/>
      <c r="K917" s="83"/>
      <c r="L917" s="84"/>
      <c r="M917" s="84"/>
      <c r="N917" s="83"/>
      <c r="O917" s="222"/>
      <c r="P917" s="222"/>
      <c r="Q917" s="187"/>
      <c r="R917" s="187"/>
      <c r="S917" s="187"/>
      <c r="T917" s="187"/>
      <c r="U917" s="187"/>
      <c r="V917" s="187"/>
      <c r="W917" s="187"/>
      <c r="X917" s="187"/>
      <c r="Y917" s="187"/>
      <c r="Z917" s="187"/>
      <c r="AA917" s="187"/>
      <c r="AB917" s="187"/>
    </row>
    <row r="918" spans="1:28" ht="15.75" customHeight="1">
      <c r="A918" s="219"/>
      <c r="B918" s="83"/>
      <c r="C918" s="81"/>
      <c r="D918" s="82"/>
      <c r="E918" s="81"/>
      <c r="F918" s="82"/>
      <c r="G918" s="83"/>
      <c r="H918" s="221"/>
      <c r="I918" s="83"/>
      <c r="J918" s="83"/>
      <c r="K918" s="83"/>
      <c r="L918" s="84"/>
      <c r="M918" s="84"/>
      <c r="N918" s="83"/>
      <c r="O918" s="222"/>
      <c r="P918" s="222"/>
      <c r="Q918" s="187"/>
      <c r="R918" s="187"/>
      <c r="S918" s="187"/>
      <c r="T918" s="187"/>
      <c r="U918" s="187"/>
      <c r="V918" s="187"/>
      <c r="W918" s="187"/>
      <c r="X918" s="187"/>
      <c r="Y918" s="187"/>
      <c r="Z918" s="187"/>
      <c r="AA918" s="187"/>
      <c r="AB918" s="187"/>
    </row>
    <row r="919" spans="1:28" ht="15.75" customHeight="1">
      <c r="A919" s="219"/>
      <c r="B919" s="83"/>
      <c r="C919" s="81"/>
      <c r="D919" s="82"/>
      <c r="E919" s="81"/>
      <c r="F919" s="82"/>
      <c r="G919" s="83"/>
      <c r="H919" s="221"/>
      <c r="I919" s="83"/>
      <c r="J919" s="83"/>
      <c r="K919" s="83"/>
      <c r="L919" s="84"/>
      <c r="M919" s="84"/>
      <c r="N919" s="83"/>
      <c r="O919" s="222"/>
      <c r="P919" s="222"/>
      <c r="Q919" s="187"/>
      <c r="R919" s="187"/>
      <c r="S919" s="187"/>
      <c r="T919" s="187"/>
      <c r="U919" s="187"/>
      <c r="V919" s="187"/>
      <c r="W919" s="187"/>
      <c r="X919" s="187"/>
      <c r="Y919" s="187"/>
      <c r="Z919" s="187"/>
      <c r="AA919" s="187"/>
      <c r="AB919" s="187"/>
    </row>
    <row r="920" spans="1:28" ht="15.75" customHeight="1">
      <c r="A920" s="219"/>
      <c r="B920" s="83"/>
      <c r="C920" s="81"/>
      <c r="D920" s="82"/>
      <c r="E920" s="81"/>
      <c r="F920" s="82"/>
      <c r="G920" s="83"/>
      <c r="H920" s="221"/>
      <c r="I920" s="83"/>
      <c r="J920" s="83"/>
      <c r="K920" s="83"/>
      <c r="L920" s="84"/>
      <c r="M920" s="84"/>
      <c r="N920" s="83"/>
      <c r="O920" s="222"/>
      <c r="P920" s="222"/>
      <c r="Q920" s="187"/>
      <c r="R920" s="187"/>
      <c r="S920" s="187"/>
      <c r="T920" s="187"/>
      <c r="U920" s="187"/>
      <c r="V920" s="187"/>
      <c r="W920" s="187"/>
      <c r="X920" s="187"/>
      <c r="Y920" s="187"/>
      <c r="Z920" s="187"/>
      <c r="AA920" s="187"/>
      <c r="AB920" s="187"/>
    </row>
    <row r="921" spans="1:28" ht="15.75" customHeight="1">
      <c r="A921" s="219"/>
      <c r="B921" s="83"/>
      <c r="C921" s="81"/>
      <c r="D921" s="82"/>
      <c r="E921" s="81"/>
      <c r="F921" s="82"/>
      <c r="G921" s="83"/>
      <c r="H921" s="221"/>
      <c r="I921" s="83"/>
      <c r="J921" s="83"/>
      <c r="K921" s="83"/>
      <c r="L921" s="84"/>
      <c r="M921" s="84"/>
      <c r="N921" s="83"/>
      <c r="O921" s="222"/>
      <c r="P921" s="222"/>
      <c r="Q921" s="187"/>
      <c r="R921" s="187"/>
      <c r="S921" s="187"/>
      <c r="T921" s="187"/>
      <c r="U921" s="187"/>
      <c r="V921" s="187"/>
      <c r="W921" s="187"/>
      <c r="X921" s="187"/>
      <c r="Y921" s="187"/>
      <c r="Z921" s="187"/>
      <c r="AA921" s="187"/>
      <c r="AB921" s="187"/>
    </row>
    <row r="922" spans="1:28" ht="15.75" customHeight="1">
      <c r="A922" s="219"/>
      <c r="B922" s="83"/>
      <c r="C922" s="81"/>
      <c r="D922" s="82"/>
      <c r="E922" s="81"/>
      <c r="F922" s="82"/>
      <c r="G922" s="83"/>
      <c r="H922" s="221"/>
      <c r="I922" s="83"/>
      <c r="J922" s="83"/>
      <c r="K922" s="83"/>
      <c r="L922" s="84"/>
      <c r="M922" s="84"/>
      <c r="N922" s="83"/>
      <c r="O922" s="222"/>
      <c r="P922" s="222"/>
      <c r="Q922" s="187"/>
      <c r="R922" s="187"/>
      <c r="S922" s="187"/>
      <c r="T922" s="187"/>
      <c r="U922" s="187"/>
      <c r="V922" s="187"/>
      <c r="W922" s="187"/>
      <c r="X922" s="187"/>
      <c r="Y922" s="187"/>
      <c r="Z922" s="187"/>
      <c r="AA922" s="187"/>
      <c r="AB922" s="187"/>
    </row>
    <row r="923" spans="1:28" ht="15.75" customHeight="1">
      <c r="A923" s="219"/>
      <c r="B923" s="83"/>
      <c r="C923" s="81"/>
      <c r="D923" s="82"/>
      <c r="E923" s="81"/>
      <c r="F923" s="82"/>
      <c r="G923" s="83"/>
      <c r="H923" s="221"/>
      <c r="I923" s="83"/>
      <c r="J923" s="83"/>
      <c r="K923" s="83"/>
      <c r="L923" s="84"/>
      <c r="M923" s="84"/>
      <c r="N923" s="83"/>
      <c r="O923" s="222"/>
      <c r="P923" s="222"/>
      <c r="Q923" s="187"/>
      <c r="R923" s="187"/>
      <c r="S923" s="187"/>
      <c r="T923" s="187"/>
      <c r="U923" s="187"/>
      <c r="V923" s="187"/>
      <c r="W923" s="187"/>
      <c r="X923" s="187"/>
      <c r="Y923" s="187"/>
      <c r="Z923" s="187"/>
      <c r="AA923" s="187"/>
      <c r="AB923" s="187"/>
    </row>
    <row r="924" spans="1:28" ht="15.75" customHeight="1">
      <c r="A924" s="219"/>
      <c r="B924" s="83"/>
      <c r="C924" s="81"/>
      <c r="D924" s="82"/>
      <c r="E924" s="81"/>
      <c r="F924" s="82"/>
      <c r="G924" s="83"/>
      <c r="H924" s="221"/>
      <c r="I924" s="83"/>
      <c r="J924" s="83"/>
      <c r="K924" s="83"/>
      <c r="L924" s="84"/>
      <c r="M924" s="84"/>
      <c r="N924" s="83"/>
      <c r="O924" s="222"/>
      <c r="P924" s="222"/>
      <c r="Q924" s="187"/>
      <c r="R924" s="187"/>
      <c r="S924" s="187"/>
      <c r="T924" s="187"/>
      <c r="U924" s="187"/>
      <c r="V924" s="187"/>
      <c r="W924" s="187"/>
      <c r="X924" s="187"/>
      <c r="Y924" s="187"/>
      <c r="Z924" s="187"/>
      <c r="AA924" s="187"/>
      <c r="AB924" s="187"/>
    </row>
    <row r="925" spans="1:28" ht="15.75" customHeight="1">
      <c r="A925" s="219"/>
      <c r="B925" s="83"/>
      <c r="C925" s="81"/>
      <c r="D925" s="82"/>
      <c r="E925" s="81"/>
      <c r="F925" s="82"/>
      <c r="G925" s="83"/>
      <c r="H925" s="221"/>
      <c r="I925" s="83"/>
      <c r="J925" s="83"/>
      <c r="K925" s="83"/>
      <c r="L925" s="84"/>
      <c r="M925" s="84"/>
      <c r="N925" s="83"/>
      <c r="O925" s="222"/>
      <c r="P925" s="222"/>
      <c r="Q925" s="187"/>
      <c r="R925" s="187"/>
      <c r="S925" s="187"/>
      <c r="T925" s="187"/>
      <c r="U925" s="187"/>
      <c r="V925" s="187"/>
      <c r="W925" s="187"/>
      <c r="X925" s="187"/>
      <c r="Y925" s="187"/>
      <c r="Z925" s="187"/>
      <c r="AA925" s="187"/>
      <c r="AB925" s="187"/>
    </row>
    <row r="926" spans="1:28" ht="15.75" customHeight="1">
      <c r="A926" s="219"/>
      <c r="B926" s="83"/>
      <c r="C926" s="81"/>
      <c r="D926" s="82"/>
      <c r="E926" s="81"/>
      <c r="F926" s="82"/>
      <c r="G926" s="83"/>
      <c r="H926" s="221"/>
      <c r="I926" s="83"/>
      <c r="J926" s="83"/>
      <c r="K926" s="83"/>
      <c r="L926" s="84"/>
      <c r="M926" s="84"/>
      <c r="N926" s="83"/>
      <c r="O926" s="222"/>
      <c r="P926" s="222"/>
      <c r="Q926" s="187"/>
      <c r="R926" s="187"/>
      <c r="S926" s="187"/>
      <c r="T926" s="187"/>
      <c r="U926" s="187"/>
      <c r="V926" s="187"/>
      <c r="W926" s="187"/>
      <c r="X926" s="187"/>
      <c r="Y926" s="187"/>
      <c r="Z926" s="187"/>
      <c r="AA926" s="187"/>
      <c r="AB926" s="187"/>
    </row>
    <row r="927" spans="1:28" ht="15.75" customHeight="1">
      <c r="A927" s="219"/>
      <c r="B927" s="83"/>
      <c r="C927" s="81"/>
      <c r="D927" s="82"/>
      <c r="E927" s="81"/>
      <c r="F927" s="82"/>
      <c r="G927" s="83"/>
      <c r="H927" s="221"/>
      <c r="I927" s="83"/>
      <c r="J927" s="83"/>
      <c r="K927" s="83"/>
      <c r="L927" s="84"/>
      <c r="M927" s="84"/>
      <c r="N927" s="83"/>
      <c r="O927" s="222"/>
      <c r="P927" s="222"/>
      <c r="Q927" s="187"/>
      <c r="R927" s="187"/>
      <c r="S927" s="187"/>
      <c r="T927" s="187"/>
      <c r="U927" s="187"/>
      <c r="V927" s="187"/>
      <c r="W927" s="187"/>
      <c r="X927" s="187"/>
      <c r="Y927" s="187"/>
      <c r="Z927" s="187"/>
      <c r="AA927" s="187"/>
      <c r="AB927" s="187"/>
    </row>
    <row r="928" spans="1:28" ht="15.75" customHeight="1">
      <c r="A928" s="219"/>
      <c r="B928" s="83"/>
      <c r="C928" s="81"/>
      <c r="D928" s="82"/>
      <c r="E928" s="81"/>
      <c r="F928" s="82"/>
      <c r="G928" s="83"/>
      <c r="H928" s="221"/>
      <c r="I928" s="83"/>
      <c r="J928" s="83"/>
      <c r="K928" s="83"/>
      <c r="L928" s="84"/>
      <c r="M928" s="84"/>
      <c r="N928" s="83"/>
      <c r="O928" s="222"/>
      <c r="P928" s="222"/>
      <c r="Q928" s="187"/>
      <c r="R928" s="187"/>
      <c r="S928" s="187"/>
      <c r="T928" s="187"/>
      <c r="U928" s="187"/>
      <c r="V928" s="187"/>
      <c r="W928" s="187"/>
      <c r="X928" s="187"/>
      <c r="Y928" s="187"/>
      <c r="Z928" s="187"/>
      <c r="AA928" s="187"/>
      <c r="AB928" s="187"/>
    </row>
    <row r="929" spans="1:28" ht="15.75" customHeight="1">
      <c r="A929" s="219"/>
      <c r="B929" s="83"/>
      <c r="C929" s="81"/>
      <c r="D929" s="82"/>
      <c r="E929" s="81"/>
      <c r="F929" s="82"/>
      <c r="G929" s="83"/>
      <c r="H929" s="221"/>
      <c r="I929" s="83"/>
      <c r="J929" s="83"/>
      <c r="K929" s="83"/>
      <c r="L929" s="84"/>
      <c r="M929" s="84"/>
      <c r="N929" s="83"/>
      <c r="O929" s="222"/>
      <c r="P929" s="222"/>
      <c r="Q929" s="187"/>
      <c r="R929" s="187"/>
      <c r="S929" s="187"/>
      <c r="T929" s="187"/>
      <c r="U929" s="187"/>
      <c r="V929" s="187"/>
      <c r="W929" s="187"/>
      <c r="X929" s="187"/>
      <c r="Y929" s="187"/>
      <c r="Z929" s="187"/>
      <c r="AA929" s="187"/>
      <c r="AB929" s="187"/>
    </row>
    <row r="930" spans="1:28" ht="15.75" customHeight="1">
      <c r="A930" s="219"/>
      <c r="B930" s="83"/>
      <c r="C930" s="81"/>
      <c r="D930" s="82"/>
      <c r="E930" s="81"/>
      <c r="F930" s="82"/>
      <c r="G930" s="83"/>
      <c r="H930" s="221"/>
      <c r="I930" s="83"/>
      <c r="J930" s="83"/>
      <c r="K930" s="83"/>
      <c r="L930" s="84"/>
      <c r="M930" s="84"/>
      <c r="N930" s="83"/>
      <c r="O930" s="222"/>
      <c r="P930" s="222"/>
      <c r="Q930" s="187"/>
      <c r="R930" s="187"/>
      <c r="S930" s="187"/>
      <c r="T930" s="187"/>
      <c r="U930" s="187"/>
      <c r="V930" s="187"/>
      <c r="W930" s="187"/>
      <c r="X930" s="187"/>
      <c r="Y930" s="187"/>
      <c r="Z930" s="187"/>
      <c r="AA930" s="187"/>
      <c r="AB930" s="187"/>
    </row>
    <row r="931" spans="1:28" ht="15.75" customHeight="1">
      <c r="A931" s="219"/>
      <c r="B931" s="83"/>
      <c r="C931" s="81"/>
      <c r="D931" s="82"/>
      <c r="E931" s="81"/>
      <c r="F931" s="82"/>
      <c r="G931" s="83"/>
      <c r="H931" s="221"/>
      <c r="I931" s="83"/>
      <c r="J931" s="83"/>
      <c r="K931" s="83"/>
      <c r="L931" s="84"/>
      <c r="M931" s="84"/>
      <c r="N931" s="83"/>
      <c r="O931" s="222"/>
      <c r="P931" s="222"/>
      <c r="Q931" s="187"/>
      <c r="R931" s="187"/>
      <c r="S931" s="187"/>
      <c r="T931" s="187"/>
      <c r="U931" s="187"/>
      <c r="V931" s="187"/>
      <c r="W931" s="187"/>
      <c r="X931" s="187"/>
      <c r="Y931" s="187"/>
      <c r="Z931" s="187"/>
      <c r="AA931" s="187"/>
      <c r="AB931" s="187"/>
    </row>
    <row r="932" spans="1:28" ht="15.75" customHeight="1">
      <c r="A932" s="219"/>
      <c r="B932" s="83"/>
      <c r="C932" s="81"/>
      <c r="D932" s="82"/>
      <c r="E932" s="81"/>
      <c r="F932" s="82"/>
      <c r="G932" s="83"/>
      <c r="H932" s="221"/>
      <c r="I932" s="83"/>
      <c r="J932" s="83"/>
      <c r="K932" s="83"/>
      <c r="L932" s="84"/>
      <c r="M932" s="84"/>
      <c r="N932" s="83"/>
      <c r="O932" s="222"/>
      <c r="P932" s="222"/>
      <c r="Q932" s="187"/>
      <c r="R932" s="187"/>
      <c r="S932" s="187"/>
      <c r="T932" s="187"/>
      <c r="U932" s="187"/>
      <c r="V932" s="187"/>
      <c r="W932" s="187"/>
      <c r="X932" s="187"/>
      <c r="Y932" s="187"/>
      <c r="Z932" s="187"/>
      <c r="AA932" s="187"/>
      <c r="AB932" s="187"/>
    </row>
    <row r="933" spans="1:28" ht="15.75" customHeight="1">
      <c r="A933" s="219"/>
      <c r="B933" s="83"/>
      <c r="C933" s="81"/>
      <c r="D933" s="82"/>
      <c r="E933" s="81"/>
      <c r="F933" s="82"/>
      <c r="G933" s="83"/>
      <c r="H933" s="221"/>
      <c r="I933" s="83"/>
      <c r="J933" s="83"/>
      <c r="K933" s="83"/>
      <c r="L933" s="84"/>
      <c r="M933" s="84"/>
      <c r="N933" s="83"/>
      <c r="O933" s="222"/>
      <c r="P933" s="222"/>
      <c r="Q933" s="187"/>
      <c r="R933" s="187"/>
      <c r="S933" s="187"/>
      <c r="T933" s="187"/>
      <c r="U933" s="187"/>
      <c r="V933" s="187"/>
      <c r="W933" s="187"/>
      <c r="X933" s="187"/>
      <c r="Y933" s="187"/>
      <c r="Z933" s="187"/>
      <c r="AA933" s="187"/>
      <c r="AB933" s="187"/>
    </row>
    <row r="934" spans="1:28" ht="15.75" customHeight="1">
      <c r="A934" s="219"/>
      <c r="B934" s="83"/>
      <c r="C934" s="81"/>
      <c r="D934" s="82"/>
      <c r="E934" s="81"/>
      <c r="F934" s="82"/>
      <c r="G934" s="83"/>
      <c r="H934" s="221"/>
      <c r="I934" s="83"/>
      <c r="J934" s="83"/>
      <c r="K934" s="83"/>
      <c r="L934" s="84"/>
      <c r="M934" s="84"/>
      <c r="N934" s="83"/>
      <c r="O934" s="222"/>
      <c r="P934" s="222"/>
      <c r="Q934" s="187"/>
      <c r="R934" s="187"/>
      <c r="S934" s="187"/>
      <c r="T934" s="187"/>
      <c r="U934" s="187"/>
      <c r="V934" s="187"/>
      <c r="W934" s="187"/>
      <c r="X934" s="187"/>
      <c r="Y934" s="187"/>
      <c r="Z934" s="187"/>
      <c r="AA934" s="187"/>
      <c r="AB934" s="187"/>
    </row>
    <row r="935" spans="1:28" ht="15.75" customHeight="1">
      <c r="A935" s="219"/>
      <c r="B935" s="83"/>
      <c r="C935" s="81"/>
      <c r="D935" s="82"/>
      <c r="E935" s="81"/>
      <c r="F935" s="82"/>
      <c r="G935" s="83"/>
      <c r="H935" s="221"/>
      <c r="I935" s="83"/>
      <c r="J935" s="83"/>
      <c r="K935" s="83"/>
      <c r="L935" s="84"/>
      <c r="M935" s="84"/>
      <c r="N935" s="83"/>
      <c r="O935" s="222"/>
      <c r="P935" s="222"/>
      <c r="Q935" s="187"/>
      <c r="R935" s="187"/>
      <c r="S935" s="187"/>
      <c r="T935" s="187"/>
      <c r="U935" s="187"/>
      <c r="V935" s="187"/>
      <c r="W935" s="187"/>
      <c r="X935" s="187"/>
      <c r="Y935" s="187"/>
      <c r="Z935" s="187"/>
      <c r="AA935" s="187"/>
      <c r="AB935" s="187"/>
    </row>
    <row r="936" spans="1:28" ht="15.75" customHeight="1">
      <c r="A936" s="219"/>
      <c r="B936" s="83"/>
      <c r="C936" s="81"/>
      <c r="D936" s="82"/>
      <c r="E936" s="81"/>
      <c r="F936" s="82"/>
      <c r="G936" s="83"/>
      <c r="H936" s="221"/>
      <c r="I936" s="83"/>
      <c r="J936" s="83"/>
      <c r="K936" s="83"/>
      <c r="L936" s="84"/>
      <c r="M936" s="84"/>
      <c r="N936" s="83"/>
      <c r="O936" s="222"/>
      <c r="P936" s="222"/>
      <c r="Q936" s="187"/>
      <c r="R936" s="187"/>
      <c r="S936" s="187"/>
      <c r="T936" s="187"/>
      <c r="U936" s="187"/>
      <c r="V936" s="187"/>
      <c r="W936" s="187"/>
      <c r="X936" s="187"/>
      <c r="Y936" s="187"/>
      <c r="Z936" s="187"/>
      <c r="AA936" s="187"/>
      <c r="AB936" s="187"/>
    </row>
    <row r="937" spans="1:28" ht="15.75" customHeight="1">
      <c r="A937" s="219"/>
      <c r="B937" s="83"/>
      <c r="C937" s="81"/>
      <c r="D937" s="82"/>
      <c r="E937" s="81"/>
      <c r="F937" s="82"/>
      <c r="G937" s="83"/>
      <c r="H937" s="221"/>
      <c r="I937" s="83"/>
      <c r="J937" s="83"/>
      <c r="K937" s="83"/>
      <c r="L937" s="84"/>
      <c r="M937" s="84"/>
      <c r="N937" s="83"/>
      <c r="O937" s="222"/>
      <c r="P937" s="222"/>
      <c r="Q937" s="187"/>
      <c r="R937" s="187"/>
      <c r="S937" s="187"/>
      <c r="T937" s="187"/>
      <c r="U937" s="187"/>
      <c r="V937" s="187"/>
      <c r="W937" s="187"/>
      <c r="X937" s="187"/>
      <c r="Y937" s="187"/>
      <c r="Z937" s="187"/>
      <c r="AA937" s="187"/>
      <c r="AB937" s="187"/>
    </row>
    <row r="938" spans="1:28" ht="15.75" customHeight="1">
      <c r="A938" s="219"/>
      <c r="B938" s="83"/>
      <c r="C938" s="81"/>
      <c r="D938" s="82"/>
      <c r="E938" s="81"/>
      <c r="F938" s="82"/>
      <c r="G938" s="83"/>
      <c r="H938" s="221"/>
      <c r="I938" s="83"/>
      <c r="J938" s="83"/>
      <c r="K938" s="83"/>
      <c r="L938" s="84"/>
      <c r="M938" s="84"/>
      <c r="N938" s="83"/>
      <c r="O938" s="222"/>
      <c r="P938" s="222"/>
      <c r="Q938" s="187"/>
      <c r="R938" s="187"/>
      <c r="S938" s="187"/>
      <c r="T938" s="187"/>
      <c r="U938" s="187"/>
      <c r="V938" s="187"/>
      <c r="W938" s="187"/>
      <c r="X938" s="187"/>
      <c r="Y938" s="187"/>
      <c r="Z938" s="187"/>
      <c r="AA938" s="187"/>
      <c r="AB938" s="187"/>
    </row>
    <row r="939" spans="1:28" ht="15.75" customHeight="1">
      <c r="A939" s="219"/>
      <c r="B939" s="83"/>
      <c r="C939" s="81"/>
      <c r="D939" s="82"/>
      <c r="E939" s="81"/>
      <c r="F939" s="82"/>
      <c r="G939" s="83"/>
      <c r="H939" s="221"/>
      <c r="I939" s="83"/>
      <c r="J939" s="83"/>
      <c r="K939" s="83"/>
      <c r="L939" s="84"/>
      <c r="M939" s="84"/>
      <c r="N939" s="83"/>
      <c r="O939" s="222"/>
      <c r="P939" s="222"/>
      <c r="Q939" s="187"/>
      <c r="R939" s="187"/>
      <c r="S939" s="187"/>
      <c r="T939" s="187"/>
      <c r="U939" s="187"/>
      <c r="V939" s="187"/>
      <c r="W939" s="187"/>
      <c r="X939" s="187"/>
      <c r="Y939" s="187"/>
      <c r="Z939" s="187"/>
      <c r="AA939" s="187"/>
      <c r="AB939" s="187"/>
    </row>
    <row r="940" spans="1:28" ht="15.75" customHeight="1">
      <c r="A940" s="219"/>
      <c r="B940" s="83"/>
      <c r="C940" s="81"/>
      <c r="D940" s="82"/>
      <c r="E940" s="81"/>
      <c r="F940" s="82"/>
      <c r="G940" s="83"/>
      <c r="H940" s="221"/>
      <c r="I940" s="83"/>
      <c r="J940" s="83"/>
      <c r="K940" s="83"/>
      <c r="L940" s="84"/>
      <c r="M940" s="84"/>
      <c r="N940" s="83"/>
      <c r="O940" s="222"/>
      <c r="P940" s="222"/>
      <c r="Q940" s="187"/>
      <c r="R940" s="187"/>
      <c r="S940" s="187"/>
      <c r="T940" s="187"/>
      <c r="U940" s="187"/>
      <c r="V940" s="187"/>
      <c r="W940" s="187"/>
      <c r="X940" s="187"/>
      <c r="Y940" s="187"/>
      <c r="Z940" s="187"/>
      <c r="AA940" s="187"/>
      <c r="AB940" s="187"/>
    </row>
    <row r="941" spans="1:28" ht="15.75" customHeight="1">
      <c r="A941" s="219"/>
      <c r="B941" s="83"/>
      <c r="C941" s="81"/>
      <c r="D941" s="82"/>
      <c r="E941" s="81"/>
      <c r="F941" s="82"/>
      <c r="G941" s="83"/>
      <c r="H941" s="221"/>
      <c r="I941" s="83"/>
      <c r="J941" s="83"/>
      <c r="K941" s="83"/>
      <c r="L941" s="84"/>
      <c r="M941" s="84"/>
      <c r="N941" s="83"/>
      <c r="O941" s="222"/>
      <c r="P941" s="222"/>
      <c r="Q941" s="187"/>
      <c r="R941" s="187"/>
      <c r="S941" s="187"/>
      <c r="T941" s="187"/>
      <c r="U941" s="187"/>
      <c r="V941" s="187"/>
      <c r="W941" s="187"/>
      <c r="X941" s="187"/>
      <c r="Y941" s="187"/>
      <c r="Z941" s="187"/>
      <c r="AA941" s="187"/>
      <c r="AB941" s="187"/>
    </row>
    <row r="942" spans="1:28" ht="15.75" customHeight="1">
      <c r="A942" s="219"/>
      <c r="B942" s="83"/>
      <c r="C942" s="81"/>
      <c r="D942" s="82"/>
      <c r="E942" s="81"/>
      <c r="F942" s="82"/>
      <c r="G942" s="83"/>
      <c r="H942" s="221"/>
      <c r="I942" s="83"/>
      <c r="J942" s="83"/>
      <c r="K942" s="83"/>
      <c r="L942" s="84"/>
      <c r="M942" s="84"/>
      <c r="N942" s="83"/>
      <c r="O942" s="222"/>
      <c r="P942" s="222"/>
      <c r="Q942" s="187"/>
      <c r="R942" s="187"/>
      <c r="S942" s="187"/>
      <c r="T942" s="187"/>
      <c r="U942" s="187"/>
      <c r="V942" s="187"/>
      <c r="W942" s="187"/>
      <c r="X942" s="187"/>
      <c r="Y942" s="187"/>
      <c r="Z942" s="187"/>
      <c r="AA942" s="187"/>
      <c r="AB942" s="187"/>
    </row>
    <row r="943" spans="1:28" ht="15.75" customHeight="1">
      <c r="A943" s="219"/>
      <c r="B943" s="83"/>
      <c r="C943" s="81"/>
      <c r="D943" s="82"/>
      <c r="E943" s="81"/>
      <c r="F943" s="82"/>
      <c r="G943" s="83"/>
      <c r="H943" s="221"/>
      <c r="I943" s="83"/>
      <c r="J943" s="83"/>
      <c r="K943" s="83"/>
      <c r="L943" s="84"/>
      <c r="M943" s="84"/>
      <c r="N943" s="83"/>
      <c r="O943" s="222"/>
      <c r="P943" s="222"/>
      <c r="Q943" s="187"/>
      <c r="R943" s="187"/>
      <c r="S943" s="187"/>
      <c r="T943" s="187"/>
      <c r="U943" s="187"/>
      <c r="V943" s="187"/>
      <c r="W943" s="187"/>
      <c r="X943" s="187"/>
      <c r="Y943" s="187"/>
      <c r="Z943" s="187"/>
      <c r="AA943" s="187"/>
      <c r="AB943" s="187"/>
    </row>
    <row r="944" spans="1:28" ht="15.75" customHeight="1">
      <c r="A944" s="219"/>
      <c r="B944" s="83"/>
      <c r="C944" s="81"/>
      <c r="D944" s="82"/>
      <c r="E944" s="81"/>
      <c r="F944" s="82"/>
      <c r="G944" s="83"/>
      <c r="H944" s="221"/>
      <c r="I944" s="83"/>
      <c r="J944" s="83"/>
      <c r="K944" s="83"/>
      <c r="L944" s="84"/>
      <c r="M944" s="84"/>
      <c r="N944" s="83"/>
      <c r="O944" s="222"/>
      <c r="P944" s="222"/>
      <c r="Q944" s="187"/>
      <c r="R944" s="187"/>
      <c r="S944" s="187"/>
      <c r="T944" s="187"/>
      <c r="U944" s="187"/>
      <c r="V944" s="187"/>
      <c r="W944" s="187"/>
      <c r="X944" s="187"/>
      <c r="Y944" s="187"/>
      <c r="Z944" s="187"/>
      <c r="AA944" s="187"/>
      <c r="AB944" s="187"/>
    </row>
    <row r="945" spans="1:28" ht="15.75" customHeight="1">
      <c r="A945" s="219"/>
      <c r="B945" s="83"/>
      <c r="C945" s="81"/>
      <c r="D945" s="82"/>
      <c r="E945" s="81"/>
      <c r="F945" s="82"/>
      <c r="G945" s="83"/>
      <c r="H945" s="221"/>
      <c r="I945" s="83"/>
      <c r="J945" s="83"/>
      <c r="K945" s="83"/>
      <c r="L945" s="84"/>
      <c r="M945" s="84"/>
      <c r="N945" s="83"/>
      <c r="O945" s="222"/>
      <c r="P945" s="222"/>
      <c r="Q945" s="187"/>
      <c r="R945" s="187"/>
      <c r="S945" s="187"/>
      <c r="T945" s="187"/>
      <c r="U945" s="187"/>
      <c r="V945" s="187"/>
      <c r="W945" s="187"/>
      <c r="X945" s="187"/>
      <c r="Y945" s="187"/>
      <c r="Z945" s="187"/>
      <c r="AA945" s="187"/>
      <c r="AB945" s="187"/>
    </row>
    <row r="946" spans="1:28" ht="15.75" customHeight="1">
      <c r="A946" s="219"/>
      <c r="B946" s="83"/>
      <c r="C946" s="81"/>
      <c r="D946" s="82"/>
      <c r="E946" s="81"/>
      <c r="F946" s="82"/>
      <c r="G946" s="83"/>
      <c r="H946" s="221"/>
      <c r="I946" s="83"/>
      <c r="J946" s="83"/>
      <c r="K946" s="83"/>
      <c r="L946" s="84"/>
      <c r="M946" s="84"/>
      <c r="N946" s="83"/>
      <c r="O946" s="222"/>
      <c r="P946" s="222"/>
      <c r="Q946" s="187"/>
      <c r="R946" s="187"/>
      <c r="S946" s="187"/>
      <c r="T946" s="187"/>
      <c r="U946" s="187"/>
      <c r="V946" s="187"/>
      <c r="W946" s="187"/>
      <c r="X946" s="187"/>
      <c r="Y946" s="187"/>
      <c r="Z946" s="187"/>
      <c r="AA946" s="187"/>
      <c r="AB946" s="187"/>
    </row>
    <row r="947" spans="1:28" ht="15.75" customHeight="1">
      <c r="A947" s="219"/>
      <c r="B947" s="83"/>
      <c r="C947" s="81"/>
      <c r="D947" s="82"/>
      <c r="E947" s="81"/>
      <c r="F947" s="82"/>
      <c r="G947" s="83"/>
      <c r="H947" s="221"/>
      <c r="I947" s="83"/>
      <c r="J947" s="83"/>
      <c r="K947" s="83"/>
      <c r="L947" s="84"/>
      <c r="M947" s="84"/>
      <c r="N947" s="83"/>
      <c r="O947" s="222"/>
      <c r="P947" s="222"/>
      <c r="Q947" s="187"/>
      <c r="R947" s="187"/>
      <c r="S947" s="187"/>
      <c r="T947" s="187"/>
      <c r="U947" s="187"/>
      <c r="V947" s="187"/>
      <c r="W947" s="187"/>
      <c r="X947" s="187"/>
      <c r="Y947" s="187"/>
      <c r="Z947" s="187"/>
      <c r="AA947" s="187"/>
      <c r="AB947" s="187"/>
    </row>
    <row r="948" spans="1:28" ht="15.75" customHeight="1">
      <c r="A948" s="219"/>
      <c r="B948" s="83"/>
      <c r="C948" s="81"/>
      <c r="D948" s="82"/>
      <c r="E948" s="81"/>
      <c r="F948" s="82"/>
      <c r="G948" s="83"/>
      <c r="H948" s="221"/>
      <c r="I948" s="83"/>
      <c r="J948" s="83"/>
      <c r="K948" s="83"/>
      <c r="L948" s="84"/>
      <c r="M948" s="84"/>
      <c r="N948" s="83"/>
      <c r="O948" s="222"/>
      <c r="P948" s="222"/>
      <c r="Q948" s="187"/>
      <c r="R948" s="187"/>
      <c r="S948" s="187"/>
      <c r="T948" s="187"/>
      <c r="U948" s="187"/>
      <c r="V948" s="187"/>
      <c r="W948" s="187"/>
      <c r="X948" s="187"/>
      <c r="Y948" s="187"/>
      <c r="Z948" s="187"/>
      <c r="AA948" s="187"/>
      <c r="AB948" s="187"/>
    </row>
    <row r="949" spans="1:28" ht="15.75" customHeight="1">
      <c r="A949" s="219"/>
      <c r="B949" s="83"/>
      <c r="C949" s="81"/>
      <c r="D949" s="82"/>
      <c r="E949" s="81"/>
      <c r="F949" s="82"/>
      <c r="G949" s="83"/>
      <c r="H949" s="221"/>
      <c r="I949" s="83"/>
      <c r="J949" s="83"/>
      <c r="K949" s="83"/>
      <c r="L949" s="84"/>
      <c r="M949" s="84"/>
      <c r="N949" s="83"/>
      <c r="O949" s="222"/>
      <c r="P949" s="222"/>
      <c r="Q949" s="187"/>
      <c r="R949" s="187"/>
      <c r="S949" s="187"/>
      <c r="T949" s="187"/>
      <c r="U949" s="187"/>
      <c r="V949" s="187"/>
      <c r="W949" s="187"/>
      <c r="X949" s="187"/>
      <c r="Y949" s="187"/>
      <c r="Z949" s="187"/>
      <c r="AA949" s="187"/>
      <c r="AB949" s="187"/>
    </row>
    <row r="950" spans="1:28" ht="15.75" customHeight="1">
      <c r="A950" s="219"/>
      <c r="B950" s="83"/>
      <c r="C950" s="81"/>
      <c r="D950" s="82"/>
      <c r="E950" s="81"/>
      <c r="F950" s="82"/>
      <c r="G950" s="83"/>
      <c r="H950" s="221"/>
      <c r="I950" s="83"/>
      <c r="J950" s="83"/>
      <c r="K950" s="83"/>
      <c r="L950" s="84"/>
      <c r="M950" s="84"/>
      <c r="N950" s="83"/>
      <c r="O950" s="222"/>
      <c r="P950" s="222"/>
      <c r="Q950" s="187"/>
      <c r="R950" s="187"/>
      <c r="S950" s="187"/>
      <c r="T950" s="187"/>
      <c r="U950" s="187"/>
      <c r="V950" s="187"/>
      <c r="W950" s="187"/>
      <c r="X950" s="187"/>
      <c r="Y950" s="187"/>
      <c r="Z950" s="187"/>
      <c r="AA950" s="187"/>
      <c r="AB950" s="187"/>
    </row>
    <row r="951" spans="1:28" ht="15.75" customHeight="1">
      <c r="A951" s="219"/>
      <c r="B951" s="83"/>
      <c r="C951" s="81"/>
      <c r="D951" s="82"/>
      <c r="E951" s="81"/>
      <c r="F951" s="82"/>
      <c r="G951" s="83"/>
      <c r="H951" s="221"/>
      <c r="I951" s="83"/>
      <c r="J951" s="83"/>
      <c r="K951" s="83"/>
      <c r="L951" s="84"/>
      <c r="M951" s="84"/>
      <c r="N951" s="83"/>
      <c r="O951" s="222"/>
      <c r="P951" s="222"/>
      <c r="Q951" s="187"/>
      <c r="R951" s="187"/>
      <c r="S951" s="187"/>
      <c r="T951" s="187"/>
      <c r="U951" s="187"/>
      <c r="V951" s="187"/>
      <c r="W951" s="187"/>
      <c r="X951" s="187"/>
      <c r="Y951" s="187"/>
      <c r="Z951" s="187"/>
      <c r="AA951" s="187"/>
      <c r="AB951" s="187"/>
    </row>
    <row r="952" spans="1:28" ht="15.75" customHeight="1">
      <c r="A952" s="219"/>
      <c r="B952" s="83"/>
      <c r="C952" s="81"/>
      <c r="D952" s="82"/>
      <c r="E952" s="81"/>
      <c r="F952" s="82"/>
      <c r="G952" s="83"/>
      <c r="H952" s="221"/>
      <c r="I952" s="83"/>
      <c r="J952" s="83"/>
      <c r="K952" s="83"/>
      <c r="L952" s="84"/>
      <c r="M952" s="84"/>
      <c r="N952" s="83"/>
      <c r="O952" s="222"/>
      <c r="P952" s="222"/>
      <c r="Q952" s="187"/>
      <c r="R952" s="187"/>
      <c r="S952" s="187"/>
      <c r="T952" s="187"/>
      <c r="U952" s="187"/>
      <c r="V952" s="187"/>
      <c r="W952" s="187"/>
      <c r="X952" s="187"/>
      <c r="Y952" s="187"/>
      <c r="Z952" s="187"/>
      <c r="AA952" s="187"/>
      <c r="AB952" s="187"/>
    </row>
    <row r="953" spans="1:28" ht="15.75" customHeight="1">
      <c r="A953" s="219"/>
      <c r="B953" s="83"/>
      <c r="C953" s="81"/>
      <c r="D953" s="82"/>
      <c r="E953" s="81"/>
      <c r="F953" s="82"/>
      <c r="G953" s="83"/>
      <c r="H953" s="221"/>
      <c r="I953" s="83"/>
      <c r="J953" s="83"/>
      <c r="K953" s="83"/>
      <c r="L953" s="84"/>
      <c r="M953" s="84"/>
      <c r="N953" s="83"/>
      <c r="O953" s="222"/>
      <c r="P953" s="222"/>
      <c r="Q953" s="187"/>
      <c r="R953" s="187"/>
      <c r="S953" s="187"/>
      <c r="T953" s="187"/>
      <c r="U953" s="187"/>
      <c r="V953" s="187"/>
      <c r="W953" s="187"/>
      <c r="X953" s="187"/>
      <c r="Y953" s="187"/>
      <c r="Z953" s="187"/>
      <c r="AA953" s="187"/>
      <c r="AB953" s="187"/>
    </row>
    <row r="954" spans="1:28" ht="15.75" customHeight="1">
      <c r="A954" s="219"/>
      <c r="B954" s="83"/>
      <c r="C954" s="81"/>
      <c r="D954" s="82"/>
      <c r="E954" s="81"/>
      <c r="F954" s="82"/>
      <c r="G954" s="83"/>
      <c r="H954" s="221"/>
      <c r="I954" s="83"/>
      <c r="J954" s="83"/>
      <c r="K954" s="83"/>
      <c r="L954" s="84"/>
      <c r="M954" s="84"/>
      <c r="N954" s="83"/>
      <c r="O954" s="222"/>
      <c r="P954" s="222"/>
      <c r="Q954" s="187"/>
      <c r="R954" s="187"/>
      <c r="S954" s="187"/>
      <c r="T954" s="187"/>
      <c r="U954" s="187"/>
      <c r="V954" s="187"/>
      <c r="W954" s="187"/>
      <c r="X954" s="187"/>
      <c r="Y954" s="187"/>
      <c r="Z954" s="187"/>
      <c r="AA954" s="187"/>
      <c r="AB954" s="187"/>
    </row>
    <row r="955" spans="1:28" ht="15.75" customHeight="1">
      <c r="A955" s="219"/>
      <c r="B955" s="83"/>
      <c r="C955" s="81"/>
      <c r="D955" s="82"/>
      <c r="E955" s="81"/>
      <c r="F955" s="82"/>
      <c r="G955" s="83"/>
      <c r="H955" s="221"/>
      <c r="I955" s="83"/>
      <c r="J955" s="83"/>
      <c r="K955" s="83"/>
      <c r="L955" s="84"/>
      <c r="M955" s="84"/>
      <c r="N955" s="83"/>
      <c r="O955" s="222"/>
      <c r="P955" s="222"/>
      <c r="Q955" s="187"/>
      <c r="R955" s="187"/>
      <c r="S955" s="187"/>
      <c r="T955" s="187"/>
      <c r="U955" s="187"/>
      <c r="V955" s="187"/>
      <c r="W955" s="187"/>
      <c r="X955" s="187"/>
      <c r="Y955" s="187"/>
      <c r="Z955" s="187"/>
      <c r="AA955" s="187"/>
      <c r="AB955" s="187"/>
    </row>
    <row r="956" spans="1:28" ht="15.75" customHeight="1">
      <c r="A956" s="219"/>
      <c r="B956" s="83"/>
      <c r="C956" s="81"/>
      <c r="D956" s="82"/>
      <c r="E956" s="81"/>
      <c r="F956" s="82"/>
      <c r="G956" s="83"/>
      <c r="H956" s="221"/>
      <c r="I956" s="83"/>
      <c r="J956" s="83"/>
      <c r="K956" s="83"/>
      <c r="L956" s="84"/>
      <c r="M956" s="84"/>
      <c r="N956" s="83"/>
      <c r="O956" s="222"/>
      <c r="P956" s="222"/>
      <c r="Q956" s="187"/>
      <c r="R956" s="187"/>
      <c r="S956" s="187"/>
      <c r="T956" s="187"/>
      <c r="U956" s="187"/>
      <c r="V956" s="187"/>
      <c r="W956" s="187"/>
      <c r="X956" s="187"/>
      <c r="Y956" s="187"/>
      <c r="Z956" s="187"/>
      <c r="AA956" s="187"/>
      <c r="AB956" s="187"/>
    </row>
    <row r="957" spans="1:28" ht="15.75" customHeight="1">
      <c r="A957" s="219"/>
      <c r="B957" s="83"/>
      <c r="C957" s="81"/>
      <c r="D957" s="82"/>
      <c r="E957" s="81"/>
      <c r="F957" s="82"/>
      <c r="G957" s="83"/>
      <c r="H957" s="221"/>
      <c r="I957" s="83"/>
      <c r="J957" s="83"/>
      <c r="K957" s="83"/>
      <c r="L957" s="84"/>
      <c r="M957" s="84"/>
      <c r="N957" s="83"/>
      <c r="O957" s="222"/>
      <c r="P957" s="222"/>
      <c r="Q957" s="187"/>
      <c r="R957" s="187"/>
      <c r="S957" s="187"/>
      <c r="T957" s="187"/>
      <c r="U957" s="187"/>
      <c r="V957" s="187"/>
      <c r="W957" s="187"/>
      <c r="X957" s="187"/>
      <c r="Y957" s="187"/>
      <c r="Z957" s="187"/>
      <c r="AA957" s="187"/>
      <c r="AB957" s="187"/>
    </row>
    <row r="958" spans="1:28" ht="15.75" customHeight="1">
      <c r="A958" s="219"/>
      <c r="B958" s="83"/>
      <c r="C958" s="81"/>
      <c r="D958" s="82"/>
      <c r="E958" s="81"/>
      <c r="F958" s="82"/>
      <c r="G958" s="83"/>
      <c r="H958" s="221"/>
      <c r="I958" s="83"/>
      <c r="J958" s="83"/>
      <c r="K958" s="83"/>
      <c r="L958" s="84"/>
      <c r="M958" s="84"/>
      <c r="N958" s="83"/>
      <c r="O958" s="222"/>
      <c r="P958" s="222"/>
      <c r="Q958" s="187"/>
      <c r="R958" s="187"/>
      <c r="S958" s="187"/>
      <c r="T958" s="187"/>
      <c r="U958" s="187"/>
      <c r="V958" s="187"/>
      <c r="W958" s="187"/>
      <c r="X958" s="187"/>
      <c r="Y958" s="187"/>
      <c r="Z958" s="187"/>
      <c r="AA958" s="187"/>
      <c r="AB958" s="187"/>
    </row>
    <row r="959" spans="1:28" ht="15.75" customHeight="1">
      <c r="A959" s="219"/>
      <c r="B959" s="83"/>
      <c r="C959" s="81"/>
      <c r="D959" s="82"/>
      <c r="E959" s="81"/>
      <c r="F959" s="82"/>
      <c r="G959" s="83"/>
      <c r="H959" s="221"/>
      <c r="I959" s="83"/>
      <c r="J959" s="83"/>
      <c r="K959" s="83"/>
      <c r="L959" s="84"/>
      <c r="M959" s="84"/>
      <c r="N959" s="83"/>
      <c r="O959" s="222"/>
      <c r="P959" s="222"/>
      <c r="Q959" s="187"/>
      <c r="R959" s="187"/>
      <c r="S959" s="187"/>
      <c r="T959" s="187"/>
      <c r="U959" s="187"/>
      <c r="V959" s="187"/>
      <c r="W959" s="187"/>
      <c r="X959" s="187"/>
      <c r="Y959" s="187"/>
      <c r="Z959" s="187"/>
      <c r="AA959" s="187"/>
      <c r="AB959" s="187"/>
    </row>
    <row r="960" spans="1:28" ht="15.75" customHeight="1">
      <c r="A960" s="219"/>
      <c r="B960" s="83"/>
      <c r="C960" s="81"/>
      <c r="D960" s="82"/>
      <c r="E960" s="81"/>
      <c r="F960" s="82"/>
      <c r="G960" s="83"/>
      <c r="H960" s="221"/>
      <c r="I960" s="83"/>
      <c r="J960" s="83"/>
      <c r="K960" s="83"/>
      <c r="L960" s="84"/>
      <c r="M960" s="84"/>
      <c r="N960" s="83"/>
      <c r="O960" s="222"/>
      <c r="P960" s="222"/>
      <c r="Q960" s="187"/>
      <c r="R960" s="187"/>
      <c r="S960" s="187"/>
      <c r="T960" s="187"/>
      <c r="U960" s="187"/>
      <c r="V960" s="187"/>
      <c r="W960" s="187"/>
      <c r="X960" s="187"/>
      <c r="Y960" s="187"/>
      <c r="Z960" s="187"/>
      <c r="AA960" s="187"/>
      <c r="AB960" s="187"/>
    </row>
    <row r="961" spans="1:28" ht="15.75" customHeight="1">
      <c r="A961" s="219"/>
      <c r="B961" s="83"/>
      <c r="C961" s="81"/>
      <c r="D961" s="82"/>
      <c r="E961" s="81"/>
      <c r="F961" s="82"/>
      <c r="G961" s="83"/>
      <c r="H961" s="221"/>
      <c r="I961" s="83"/>
      <c r="J961" s="83"/>
      <c r="K961" s="83"/>
      <c r="L961" s="84"/>
      <c r="M961" s="84"/>
      <c r="N961" s="83"/>
      <c r="O961" s="222"/>
      <c r="P961" s="222"/>
      <c r="Q961" s="187"/>
      <c r="R961" s="187"/>
      <c r="S961" s="187"/>
      <c r="T961" s="187"/>
      <c r="U961" s="187"/>
      <c r="V961" s="187"/>
      <c r="W961" s="187"/>
      <c r="X961" s="187"/>
      <c r="Y961" s="187"/>
      <c r="Z961" s="187"/>
      <c r="AA961" s="187"/>
      <c r="AB961" s="187"/>
    </row>
    <row r="962" spans="1:28" ht="15.75" customHeight="1">
      <c r="A962" s="219"/>
      <c r="B962" s="83"/>
      <c r="C962" s="81"/>
      <c r="D962" s="82"/>
      <c r="E962" s="81"/>
      <c r="F962" s="82"/>
      <c r="G962" s="83"/>
      <c r="H962" s="221"/>
      <c r="I962" s="83"/>
      <c r="J962" s="83"/>
      <c r="K962" s="83"/>
      <c r="L962" s="84"/>
      <c r="M962" s="84"/>
      <c r="N962" s="83"/>
      <c r="O962" s="222"/>
      <c r="P962" s="222"/>
      <c r="Q962" s="187"/>
      <c r="R962" s="187"/>
      <c r="S962" s="187"/>
      <c r="T962" s="187"/>
      <c r="U962" s="187"/>
      <c r="V962" s="187"/>
      <c r="W962" s="187"/>
      <c r="X962" s="187"/>
      <c r="Y962" s="187"/>
      <c r="Z962" s="187"/>
      <c r="AA962" s="187"/>
      <c r="AB962" s="187"/>
    </row>
    <row r="963" spans="1:28" ht="15.75" customHeight="1">
      <c r="A963" s="219"/>
      <c r="B963" s="83"/>
      <c r="C963" s="81"/>
      <c r="D963" s="82"/>
      <c r="E963" s="81"/>
      <c r="F963" s="82"/>
      <c r="G963" s="83"/>
      <c r="H963" s="221"/>
      <c r="I963" s="83"/>
      <c r="J963" s="83"/>
      <c r="K963" s="83"/>
      <c r="L963" s="84"/>
      <c r="M963" s="84"/>
      <c r="N963" s="83"/>
      <c r="O963" s="222"/>
      <c r="P963" s="222"/>
      <c r="Q963" s="187"/>
      <c r="R963" s="187"/>
      <c r="S963" s="187"/>
      <c r="T963" s="187"/>
      <c r="U963" s="187"/>
      <c r="V963" s="187"/>
      <c r="W963" s="187"/>
      <c r="X963" s="187"/>
      <c r="Y963" s="187"/>
      <c r="Z963" s="187"/>
      <c r="AA963" s="187"/>
      <c r="AB963" s="187"/>
    </row>
    <row r="964" spans="1:28" ht="15.75" customHeight="1">
      <c r="A964" s="219"/>
      <c r="B964" s="83"/>
      <c r="C964" s="81"/>
      <c r="D964" s="82"/>
      <c r="E964" s="81"/>
      <c r="F964" s="82"/>
      <c r="G964" s="83"/>
      <c r="H964" s="221"/>
      <c r="I964" s="83"/>
      <c r="J964" s="83"/>
      <c r="K964" s="83"/>
      <c r="L964" s="84"/>
      <c r="M964" s="84"/>
      <c r="N964" s="83"/>
      <c r="O964" s="222"/>
      <c r="P964" s="222"/>
      <c r="Q964" s="187"/>
      <c r="R964" s="187"/>
      <c r="S964" s="187"/>
      <c r="T964" s="187"/>
      <c r="U964" s="187"/>
      <c r="V964" s="187"/>
      <c r="W964" s="187"/>
      <c r="X964" s="187"/>
      <c r="Y964" s="187"/>
      <c r="Z964" s="187"/>
      <c r="AA964" s="187"/>
      <c r="AB964" s="187"/>
    </row>
    <row r="965" spans="1:28" ht="15.75" customHeight="1">
      <c r="A965" s="219"/>
      <c r="B965" s="83"/>
      <c r="C965" s="81"/>
      <c r="D965" s="82"/>
      <c r="E965" s="81"/>
      <c r="F965" s="82"/>
      <c r="G965" s="83"/>
      <c r="H965" s="221"/>
      <c r="I965" s="83"/>
      <c r="J965" s="83"/>
      <c r="K965" s="83"/>
      <c r="L965" s="84"/>
      <c r="M965" s="84"/>
      <c r="N965" s="83"/>
      <c r="O965" s="222"/>
      <c r="P965" s="222"/>
      <c r="Q965" s="187"/>
      <c r="R965" s="187"/>
      <c r="S965" s="187"/>
      <c r="T965" s="187"/>
      <c r="U965" s="187"/>
      <c r="V965" s="187"/>
      <c r="W965" s="187"/>
      <c r="X965" s="187"/>
      <c r="Y965" s="187"/>
      <c r="Z965" s="187"/>
      <c r="AA965" s="187"/>
      <c r="AB965" s="187"/>
    </row>
    <row r="966" spans="1:28" ht="15.75" customHeight="1">
      <c r="A966" s="219"/>
      <c r="B966" s="83"/>
      <c r="C966" s="81"/>
      <c r="D966" s="82"/>
      <c r="E966" s="81"/>
      <c r="F966" s="82"/>
      <c r="G966" s="83"/>
      <c r="H966" s="221"/>
      <c r="I966" s="83"/>
      <c r="J966" s="83"/>
      <c r="K966" s="83"/>
      <c r="L966" s="84"/>
      <c r="M966" s="84"/>
      <c r="N966" s="83"/>
      <c r="O966" s="222"/>
      <c r="P966" s="222"/>
      <c r="Q966" s="187"/>
      <c r="R966" s="187"/>
      <c r="S966" s="187"/>
      <c r="T966" s="187"/>
      <c r="U966" s="187"/>
      <c r="V966" s="187"/>
      <c r="W966" s="187"/>
      <c r="X966" s="187"/>
      <c r="Y966" s="187"/>
      <c r="Z966" s="187"/>
      <c r="AA966" s="187"/>
      <c r="AB966" s="187"/>
    </row>
    <row r="967" spans="1:28" ht="15.75" customHeight="1">
      <c r="A967" s="219"/>
      <c r="B967" s="83"/>
      <c r="C967" s="81"/>
      <c r="D967" s="82"/>
      <c r="E967" s="81"/>
      <c r="F967" s="82"/>
      <c r="G967" s="83"/>
      <c r="H967" s="221"/>
      <c r="I967" s="83"/>
      <c r="J967" s="83"/>
      <c r="K967" s="83"/>
      <c r="L967" s="84"/>
      <c r="M967" s="84"/>
      <c r="N967" s="83"/>
      <c r="O967" s="222"/>
      <c r="P967" s="222"/>
      <c r="Q967" s="187"/>
      <c r="R967" s="187"/>
      <c r="S967" s="187"/>
      <c r="T967" s="187"/>
      <c r="U967" s="187"/>
      <c r="V967" s="187"/>
      <c r="W967" s="187"/>
      <c r="X967" s="187"/>
      <c r="Y967" s="187"/>
      <c r="Z967" s="187"/>
      <c r="AA967" s="187"/>
      <c r="AB967" s="187"/>
    </row>
    <row r="968" spans="1:28" ht="15.75" customHeight="1">
      <c r="A968" s="219"/>
      <c r="B968" s="83"/>
      <c r="C968" s="81"/>
      <c r="D968" s="82"/>
      <c r="E968" s="81"/>
      <c r="F968" s="82"/>
      <c r="G968" s="83"/>
      <c r="H968" s="221"/>
      <c r="I968" s="83"/>
      <c r="J968" s="83"/>
      <c r="K968" s="83"/>
      <c r="L968" s="84"/>
      <c r="M968" s="84"/>
      <c r="N968" s="83"/>
      <c r="O968" s="222"/>
      <c r="P968" s="222"/>
      <c r="Q968" s="187"/>
      <c r="R968" s="187"/>
      <c r="S968" s="187"/>
      <c r="T968" s="187"/>
      <c r="U968" s="187"/>
      <c r="V968" s="187"/>
      <c r="W968" s="187"/>
      <c r="X968" s="187"/>
      <c r="Y968" s="187"/>
      <c r="Z968" s="187"/>
      <c r="AA968" s="187"/>
      <c r="AB968" s="187"/>
    </row>
    <row r="969" spans="1:28" ht="15.75" customHeight="1">
      <c r="A969" s="219"/>
      <c r="B969" s="83"/>
      <c r="C969" s="81"/>
      <c r="D969" s="82"/>
      <c r="E969" s="81"/>
      <c r="F969" s="82"/>
      <c r="G969" s="83"/>
      <c r="H969" s="221"/>
      <c r="I969" s="83"/>
      <c r="J969" s="83"/>
      <c r="K969" s="83"/>
      <c r="L969" s="84"/>
      <c r="M969" s="84"/>
      <c r="N969" s="83"/>
      <c r="O969" s="222"/>
      <c r="P969" s="222"/>
      <c r="Q969" s="187"/>
      <c r="R969" s="187"/>
      <c r="S969" s="187"/>
      <c r="T969" s="187"/>
      <c r="U969" s="187"/>
      <c r="V969" s="187"/>
      <c r="W969" s="187"/>
      <c r="X969" s="187"/>
      <c r="Y969" s="187"/>
      <c r="Z969" s="187"/>
      <c r="AA969" s="187"/>
      <c r="AB969" s="187"/>
    </row>
    <row r="970" spans="1:28" ht="15.75" customHeight="1">
      <c r="A970" s="219"/>
      <c r="B970" s="83"/>
      <c r="C970" s="81"/>
      <c r="D970" s="82"/>
      <c r="E970" s="81"/>
      <c r="F970" s="82"/>
      <c r="G970" s="83"/>
      <c r="H970" s="221"/>
      <c r="I970" s="83"/>
      <c r="J970" s="83"/>
      <c r="K970" s="83"/>
      <c r="L970" s="84"/>
      <c r="M970" s="84"/>
      <c r="N970" s="83"/>
      <c r="O970" s="222"/>
      <c r="P970" s="222"/>
      <c r="Q970" s="187"/>
      <c r="R970" s="187"/>
      <c r="S970" s="187"/>
      <c r="T970" s="187"/>
      <c r="U970" s="187"/>
      <c r="V970" s="187"/>
      <c r="W970" s="187"/>
      <c r="X970" s="187"/>
      <c r="Y970" s="187"/>
      <c r="Z970" s="187"/>
      <c r="AA970" s="187"/>
      <c r="AB970" s="187"/>
    </row>
    <row r="971" spans="1:28" ht="15.75" customHeight="1">
      <c r="A971" s="219"/>
      <c r="B971" s="83"/>
      <c r="C971" s="81"/>
      <c r="D971" s="82"/>
      <c r="E971" s="81"/>
      <c r="F971" s="82"/>
      <c r="G971" s="83"/>
      <c r="H971" s="221"/>
      <c r="I971" s="83"/>
      <c r="J971" s="83"/>
      <c r="K971" s="83"/>
      <c r="L971" s="84"/>
      <c r="M971" s="84"/>
      <c r="N971" s="83"/>
      <c r="O971" s="222"/>
      <c r="P971" s="222"/>
      <c r="Q971" s="187"/>
      <c r="R971" s="187"/>
      <c r="S971" s="187"/>
      <c r="T971" s="187"/>
      <c r="U971" s="187"/>
      <c r="V971" s="187"/>
      <c r="W971" s="187"/>
      <c r="X971" s="187"/>
      <c r="Y971" s="187"/>
      <c r="Z971" s="187"/>
      <c r="AA971" s="187"/>
      <c r="AB971" s="187"/>
    </row>
    <row r="972" spans="1:28" ht="15.75" customHeight="1">
      <c r="A972" s="219"/>
      <c r="B972" s="83"/>
      <c r="C972" s="81"/>
      <c r="D972" s="82"/>
      <c r="E972" s="81"/>
      <c r="F972" s="82"/>
      <c r="G972" s="83"/>
      <c r="H972" s="221"/>
      <c r="I972" s="83"/>
      <c r="J972" s="83"/>
      <c r="K972" s="83"/>
      <c r="L972" s="84"/>
      <c r="M972" s="84"/>
      <c r="N972" s="83"/>
      <c r="O972" s="222"/>
      <c r="P972" s="222"/>
      <c r="Q972" s="187"/>
      <c r="R972" s="187"/>
      <c r="S972" s="187"/>
      <c r="T972" s="187"/>
      <c r="U972" s="187"/>
      <c r="V972" s="187"/>
      <c r="W972" s="187"/>
      <c r="X972" s="187"/>
      <c r="Y972" s="187"/>
      <c r="Z972" s="187"/>
      <c r="AA972" s="187"/>
      <c r="AB972" s="187"/>
    </row>
    <row r="973" spans="1:28" ht="15.75" customHeight="1">
      <c r="A973" s="219"/>
      <c r="B973" s="83"/>
      <c r="C973" s="81"/>
      <c r="D973" s="82"/>
      <c r="E973" s="81"/>
      <c r="F973" s="82"/>
      <c r="G973" s="83"/>
      <c r="H973" s="221"/>
      <c r="I973" s="83"/>
      <c r="J973" s="83"/>
      <c r="K973" s="83"/>
      <c r="L973" s="84"/>
      <c r="M973" s="84"/>
      <c r="N973" s="83"/>
      <c r="O973" s="222"/>
      <c r="P973" s="222"/>
      <c r="Q973" s="187"/>
      <c r="R973" s="187"/>
      <c r="S973" s="187"/>
      <c r="T973" s="187"/>
      <c r="U973" s="187"/>
      <c r="V973" s="187"/>
      <c r="W973" s="187"/>
      <c r="X973" s="187"/>
      <c r="Y973" s="187"/>
      <c r="Z973" s="187"/>
      <c r="AA973" s="187"/>
      <c r="AB973" s="187"/>
    </row>
    <row r="974" spans="1:28" ht="15.75" customHeight="1">
      <c r="A974" s="219"/>
      <c r="B974" s="83"/>
      <c r="C974" s="81"/>
      <c r="D974" s="82"/>
      <c r="E974" s="81"/>
      <c r="F974" s="82"/>
      <c r="G974" s="83"/>
      <c r="H974" s="221"/>
      <c r="I974" s="83"/>
      <c r="J974" s="83"/>
      <c r="K974" s="83"/>
      <c r="L974" s="84"/>
      <c r="M974" s="84"/>
      <c r="N974" s="83"/>
      <c r="O974" s="222"/>
      <c r="P974" s="222"/>
      <c r="Q974" s="187"/>
      <c r="R974" s="187"/>
      <c r="S974" s="187"/>
      <c r="T974" s="187"/>
      <c r="U974" s="187"/>
      <c r="V974" s="187"/>
      <c r="W974" s="187"/>
      <c r="X974" s="187"/>
      <c r="Y974" s="187"/>
      <c r="Z974" s="187"/>
      <c r="AA974" s="187"/>
      <c r="AB974" s="187"/>
    </row>
    <row r="975" spans="1:28" ht="15.75" customHeight="1">
      <c r="A975" s="219"/>
      <c r="B975" s="83"/>
      <c r="C975" s="81"/>
      <c r="D975" s="82"/>
      <c r="E975" s="81"/>
      <c r="F975" s="82"/>
      <c r="G975" s="83"/>
      <c r="H975" s="221"/>
      <c r="I975" s="83"/>
      <c r="J975" s="83"/>
      <c r="K975" s="83"/>
      <c r="L975" s="84"/>
      <c r="M975" s="84"/>
      <c r="N975" s="83"/>
      <c r="O975" s="222"/>
      <c r="P975" s="222"/>
      <c r="Q975" s="187"/>
      <c r="R975" s="187"/>
      <c r="S975" s="187"/>
      <c r="T975" s="187"/>
      <c r="U975" s="187"/>
      <c r="V975" s="187"/>
      <c r="W975" s="187"/>
      <c r="X975" s="187"/>
      <c r="Y975" s="187"/>
      <c r="Z975" s="187"/>
      <c r="AA975" s="187"/>
      <c r="AB975" s="187"/>
    </row>
    <row r="976" spans="1:28" ht="15.75" customHeight="1">
      <c r="A976" s="219"/>
      <c r="B976" s="83"/>
      <c r="C976" s="81"/>
      <c r="D976" s="82"/>
      <c r="E976" s="81"/>
      <c r="F976" s="82"/>
      <c r="G976" s="83"/>
      <c r="H976" s="221"/>
      <c r="I976" s="83"/>
      <c r="J976" s="83"/>
      <c r="K976" s="83"/>
      <c r="L976" s="84"/>
      <c r="M976" s="84"/>
      <c r="N976" s="83"/>
      <c r="O976" s="222"/>
      <c r="P976" s="222"/>
      <c r="Q976" s="187"/>
      <c r="R976" s="187"/>
      <c r="S976" s="187"/>
      <c r="T976" s="187"/>
      <c r="U976" s="187"/>
      <c r="V976" s="187"/>
      <c r="W976" s="187"/>
      <c r="X976" s="187"/>
      <c r="Y976" s="187"/>
      <c r="Z976" s="187"/>
      <c r="AA976" s="187"/>
      <c r="AB976" s="187"/>
    </row>
    <row r="977" spans="1:28" ht="15.75" customHeight="1">
      <c r="A977" s="219"/>
      <c r="B977" s="83"/>
      <c r="C977" s="81"/>
      <c r="D977" s="82"/>
      <c r="E977" s="81"/>
      <c r="F977" s="82"/>
      <c r="G977" s="83"/>
      <c r="H977" s="221"/>
      <c r="I977" s="83"/>
      <c r="J977" s="83"/>
      <c r="K977" s="83"/>
      <c r="L977" s="84"/>
      <c r="M977" s="84"/>
      <c r="N977" s="83"/>
      <c r="O977" s="222"/>
      <c r="P977" s="222"/>
      <c r="Q977" s="187"/>
      <c r="R977" s="187"/>
      <c r="S977" s="187"/>
      <c r="T977" s="187"/>
      <c r="U977" s="187"/>
      <c r="V977" s="187"/>
      <c r="W977" s="187"/>
      <c r="X977" s="187"/>
      <c r="Y977" s="187"/>
      <c r="Z977" s="187"/>
      <c r="AA977" s="187"/>
      <c r="AB977" s="187"/>
    </row>
    <row r="978" spans="1:28" ht="15.75" customHeight="1">
      <c r="A978" s="219"/>
      <c r="B978" s="83"/>
      <c r="C978" s="81"/>
      <c r="D978" s="82"/>
      <c r="E978" s="81"/>
      <c r="F978" s="82"/>
      <c r="G978" s="83"/>
      <c r="H978" s="221"/>
      <c r="I978" s="83"/>
      <c r="J978" s="83"/>
      <c r="K978" s="83"/>
      <c r="L978" s="84"/>
      <c r="M978" s="84"/>
      <c r="N978" s="83"/>
      <c r="O978" s="222"/>
      <c r="P978" s="222"/>
      <c r="Q978" s="187"/>
      <c r="R978" s="187"/>
      <c r="S978" s="187"/>
      <c r="T978" s="187"/>
      <c r="U978" s="187"/>
      <c r="V978" s="187"/>
      <c r="W978" s="187"/>
      <c r="X978" s="187"/>
      <c r="Y978" s="187"/>
      <c r="Z978" s="187"/>
      <c r="AA978" s="187"/>
      <c r="AB978" s="187"/>
    </row>
    <row r="979" spans="1:28" ht="15.75" customHeight="1">
      <c r="A979" s="219"/>
      <c r="B979" s="83"/>
      <c r="C979" s="81"/>
      <c r="D979" s="82"/>
      <c r="E979" s="81"/>
      <c r="F979" s="82"/>
      <c r="G979" s="83"/>
      <c r="H979" s="221"/>
      <c r="I979" s="83"/>
      <c r="J979" s="83"/>
      <c r="K979" s="83"/>
      <c r="L979" s="84"/>
      <c r="M979" s="84"/>
      <c r="N979" s="83"/>
      <c r="O979" s="222"/>
      <c r="P979" s="222"/>
      <c r="Q979" s="187"/>
      <c r="R979" s="187"/>
      <c r="S979" s="187"/>
      <c r="T979" s="187"/>
      <c r="U979" s="187"/>
      <c r="V979" s="187"/>
      <c r="W979" s="187"/>
      <c r="X979" s="187"/>
      <c r="Y979" s="187"/>
      <c r="Z979" s="187"/>
      <c r="AA979" s="187"/>
      <c r="AB979" s="187"/>
    </row>
    <row r="980" spans="1:28" ht="15.75" customHeight="1">
      <c r="A980" s="219"/>
      <c r="B980" s="83"/>
      <c r="C980" s="81"/>
      <c r="D980" s="82"/>
      <c r="E980" s="81"/>
      <c r="F980" s="82"/>
      <c r="G980" s="83"/>
      <c r="H980" s="221"/>
      <c r="I980" s="83"/>
      <c r="J980" s="83"/>
      <c r="K980" s="83"/>
      <c r="L980" s="84"/>
      <c r="M980" s="84"/>
      <c r="N980" s="83"/>
      <c r="O980" s="222"/>
      <c r="P980" s="222"/>
      <c r="Q980" s="187"/>
      <c r="R980" s="187"/>
      <c r="S980" s="187"/>
      <c r="T980" s="187"/>
      <c r="U980" s="187"/>
      <c r="V980" s="187"/>
      <c r="W980" s="187"/>
      <c r="X980" s="187"/>
      <c r="Y980" s="187"/>
      <c r="Z980" s="187"/>
      <c r="AA980" s="187"/>
      <c r="AB980" s="187"/>
    </row>
    <row r="981" spans="1:28" ht="15.75" customHeight="1">
      <c r="A981" s="219"/>
      <c r="B981" s="83"/>
      <c r="C981" s="81"/>
      <c r="D981" s="82"/>
      <c r="E981" s="81"/>
      <c r="F981" s="82"/>
      <c r="G981" s="83"/>
      <c r="H981" s="221"/>
      <c r="I981" s="83"/>
      <c r="J981" s="83"/>
      <c r="K981" s="83"/>
      <c r="L981" s="84"/>
      <c r="M981" s="84"/>
      <c r="N981" s="83"/>
      <c r="O981" s="222"/>
      <c r="P981" s="222"/>
      <c r="Q981" s="187"/>
      <c r="R981" s="187"/>
      <c r="S981" s="187"/>
      <c r="T981" s="187"/>
      <c r="U981" s="187"/>
      <c r="V981" s="187"/>
      <c r="W981" s="187"/>
      <c r="X981" s="187"/>
      <c r="Y981" s="187"/>
      <c r="Z981" s="187"/>
      <c r="AA981" s="187"/>
      <c r="AB981" s="187"/>
    </row>
    <row r="982" spans="1:28" ht="15.75" customHeight="1">
      <c r="A982" s="219"/>
      <c r="B982" s="83"/>
      <c r="C982" s="81"/>
      <c r="D982" s="82"/>
      <c r="E982" s="81"/>
      <c r="F982" s="82"/>
      <c r="G982" s="83"/>
      <c r="H982" s="221"/>
      <c r="I982" s="83"/>
      <c r="J982" s="83"/>
      <c r="K982" s="83"/>
      <c r="L982" s="84"/>
      <c r="M982" s="84"/>
      <c r="N982" s="83"/>
      <c r="O982" s="222"/>
      <c r="P982" s="222"/>
      <c r="Q982" s="187"/>
      <c r="R982" s="187"/>
      <c r="S982" s="187"/>
      <c r="T982" s="187"/>
      <c r="U982" s="187"/>
      <c r="V982" s="187"/>
      <c r="W982" s="187"/>
      <c r="X982" s="187"/>
      <c r="Y982" s="187"/>
      <c r="Z982" s="187"/>
      <c r="AA982" s="187"/>
      <c r="AB982" s="187"/>
    </row>
    <row r="983" spans="1:28" ht="15.75" customHeight="1">
      <c r="A983" s="219"/>
      <c r="B983" s="83"/>
      <c r="C983" s="81"/>
      <c r="D983" s="82"/>
      <c r="E983" s="81"/>
      <c r="F983" s="82"/>
      <c r="G983" s="83"/>
      <c r="H983" s="221"/>
      <c r="I983" s="83"/>
      <c r="J983" s="83"/>
      <c r="K983" s="83"/>
      <c r="L983" s="84"/>
      <c r="M983" s="84"/>
      <c r="N983" s="83"/>
      <c r="O983" s="222"/>
      <c r="P983" s="222"/>
      <c r="Q983" s="187"/>
      <c r="R983" s="187"/>
      <c r="S983" s="187"/>
      <c r="T983" s="187"/>
      <c r="U983" s="187"/>
      <c r="V983" s="187"/>
      <c r="W983" s="187"/>
      <c r="X983" s="187"/>
      <c r="Y983" s="187"/>
      <c r="Z983" s="187"/>
      <c r="AA983" s="187"/>
      <c r="AB983" s="187"/>
    </row>
  </sheetData>
  <autoFilter ref="A1:Q60" xr:uid="{00000000-0009-0000-0000-000003000000}"/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A986"/>
  <sheetViews>
    <sheetView workbookViewId="0">
      <pane ySplit="1" topLeftCell="A2" activePane="bottomLeft" state="frozen"/>
      <selection pane="bottomLeft" activeCell="B3" sqref="B3"/>
    </sheetView>
  </sheetViews>
  <sheetFormatPr defaultColWidth="11.25" defaultRowHeight="15" customHeight="1"/>
  <cols>
    <col min="1" max="1" width="11.625" customWidth="1"/>
    <col min="2" max="2" width="9.5" customWidth="1"/>
    <col min="3" max="3" width="9.875" customWidth="1"/>
    <col min="4" max="4" width="8.625" customWidth="1"/>
    <col min="5" max="5" width="10.125" customWidth="1"/>
    <col min="6" max="6" width="8.75" customWidth="1"/>
    <col min="7" max="7" width="8" customWidth="1"/>
    <col min="8" max="8" width="10.5" customWidth="1"/>
    <col min="9" max="10" width="7.125" customWidth="1"/>
    <col min="11" max="11" width="7.75" customWidth="1"/>
    <col min="12" max="12" width="8.75" customWidth="1"/>
    <col min="13" max="16" width="7.75" customWidth="1"/>
    <col min="17" max="17" width="7.125" customWidth="1"/>
    <col min="18" max="18" width="0.375" customWidth="1"/>
    <col min="19" max="19" width="6.375" customWidth="1"/>
    <col min="20" max="20" width="51" customWidth="1"/>
    <col min="21" max="27" width="10.5" customWidth="1"/>
  </cols>
  <sheetData>
    <row r="1" spans="1:27" ht="30.75" customHeight="1">
      <c r="A1" s="227" t="s">
        <v>0</v>
      </c>
      <c r="B1" s="228" t="s">
        <v>385</v>
      </c>
      <c r="C1" s="229" t="s">
        <v>386</v>
      </c>
      <c r="D1" s="227" t="s">
        <v>387</v>
      </c>
      <c r="E1" s="229" t="s">
        <v>388</v>
      </c>
      <c r="F1" s="230" t="s">
        <v>389</v>
      </c>
      <c r="G1" s="228" t="s">
        <v>390</v>
      </c>
      <c r="H1" s="229" t="s">
        <v>391</v>
      </c>
      <c r="I1" s="230" t="s">
        <v>392</v>
      </c>
      <c r="J1" s="227" t="s">
        <v>393</v>
      </c>
      <c r="K1" s="231" t="s">
        <v>394</v>
      </c>
      <c r="L1" s="231" t="s">
        <v>395</v>
      </c>
      <c r="M1" s="231" t="s">
        <v>396</v>
      </c>
      <c r="N1" s="231" t="s">
        <v>397</v>
      </c>
      <c r="O1" s="231" t="s">
        <v>398</v>
      </c>
      <c r="P1" s="231" t="s">
        <v>399</v>
      </c>
      <c r="Q1" s="230" t="s">
        <v>400</v>
      </c>
      <c r="R1" s="232" t="s">
        <v>7</v>
      </c>
      <c r="S1" s="227" t="s">
        <v>8</v>
      </c>
      <c r="T1" s="227" t="s">
        <v>9</v>
      </c>
      <c r="U1" s="233"/>
      <c r="V1" s="233"/>
      <c r="W1" s="233"/>
      <c r="X1" s="233"/>
      <c r="Y1" s="233"/>
      <c r="Z1" s="233"/>
      <c r="AA1" s="233"/>
    </row>
    <row r="2" spans="1:27" ht="31.5" customHeight="1">
      <c r="A2" s="53" t="s">
        <v>401</v>
      </c>
      <c r="B2" s="234" t="s">
        <v>74</v>
      </c>
      <c r="C2" s="235" t="s">
        <v>74</v>
      </c>
      <c r="D2" s="234" t="s">
        <v>74</v>
      </c>
      <c r="E2" s="235" t="s">
        <v>74</v>
      </c>
      <c r="F2" s="234" t="s">
        <v>74</v>
      </c>
      <c r="G2" s="236">
        <v>45471</v>
      </c>
      <c r="H2" s="235" t="s">
        <v>74</v>
      </c>
      <c r="I2" s="234" t="s">
        <v>74</v>
      </c>
      <c r="J2" s="237">
        <v>1</v>
      </c>
      <c r="K2" s="238">
        <v>2.1000000000000001E-2</v>
      </c>
      <c r="L2" s="238">
        <v>2.1000000000000001E-2</v>
      </c>
      <c r="M2" s="238">
        <v>2E-3</v>
      </c>
      <c r="N2" s="238">
        <v>1.2E-2</v>
      </c>
      <c r="O2" s="238">
        <v>1.2E-2</v>
      </c>
      <c r="P2" s="238">
        <v>2E-3</v>
      </c>
      <c r="Q2" s="46">
        <f>((26.7*((K2-M2)-(O2-P2))*1000))</f>
        <v>240.30000000000007</v>
      </c>
      <c r="R2" s="239" t="s">
        <v>12</v>
      </c>
      <c r="S2" s="240" t="s">
        <v>13</v>
      </c>
      <c r="T2" s="237"/>
      <c r="U2" s="241"/>
      <c r="V2" s="241"/>
      <c r="W2" s="241"/>
      <c r="X2" s="241"/>
      <c r="Y2" s="241"/>
      <c r="Z2" s="241"/>
      <c r="AA2" s="241"/>
    </row>
    <row r="3" spans="1:27" ht="15.75" customHeight="1">
      <c r="A3" s="242" t="s">
        <v>402</v>
      </c>
      <c r="B3" s="57">
        <v>45461</v>
      </c>
      <c r="C3" s="58">
        <v>0.32291666666666669</v>
      </c>
      <c r="D3" s="57">
        <v>45461</v>
      </c>
      <c r="E3" s="243" t="s">
        <v>403</v>
      </c>
      <c r="F3" s="244">
        <v>1058</v>
      </c>
      <c r="G3" s="236">
        <v>45471</v>
      </c>
      <c r="H3" s="243">
        <v>0.43958333333333333</v>
      </c>
      <c r="I3" s="244">
        <v>7</v>
      </c>
      <c r="J3" s="237">
        <v>1</v>
      </c>
      <c r="K3" s="245">
        <v>8.9999999999999993E-3</v>
      </c>
      <c r="L3" s="245">
        <v>8.0000000000000002E-3</v>
      </c>
      <c r="M3" s="245">
        <v>6.0000000000000001E-3</v>
      </c>
      <c r="N3" s="245">
        <v>5.0000000000000001E-3</v>
      </c>
      <c r="O3" s="245">
        <v>5.0000000000000001E-3</v>
      </c>
      <c r="P3" s="245">
        <v>4.0000000000000001E-3</v>
      </c>
      <c r="Q3" s="246">
        <f t="shared" ref="Q3:Q28" si="0">((26.7*((K3-M3)-(O3-P3))*I3)/(F3*J3))*1000</f>
        <v>0.35330812854442323</v>
      </c>
      <c r="R3" s="232"/>
      <c r="S3" s="247" t="s">
        <v>13</v>
      </c>
      <c r="T3" s="248"/>
      <c r="U3" s="80"/>
      <c r="V3" s="80"/>
      <c r="W3" s="80"/>
      <c r="X3" s="80"/>
      <c r="Y3" s="80"/>
      <c r="Z3" s="80"/>
      <c r="AA3" s="80"/>
    </row>
    <row r="4" spans="1:27" ht="15.75" customHeight="1">
      <c r="A4" s="55" t="s">
        <v>404</v>
      </c>
      <c r="B4" s="57">
        <v>45461</v>
      </c>
      <c r="C4" s="58">
        <v>0.34027777777777779</v>
      </c>
      <c r="D4" s="57">
        <v>45461</v>
      </c>
      <c r="E4" s="243">
        <v>0.67500000000000004</v>
      </c>
      <c r="F4" s="244">
        <v>1045</v>
      </c>
      <c r="G4" s="236">
        <v>45471</v>
      </c>
      <c r="H4" s="243">
        <v>0.43541666666666667</v>
      </c>
      <c r="I4" s="244">
        <v>6.2</v>
      </c>
      <c r="J4" s="237">
        <v>1</v>
      </c>
      <c r="K4" s="245">
        <v>1.7999999999999999E-2</v>
      </c>
      <c r="L4" s="245">
        <v>1.7999999999999999E-2</v>
      </c>
      <c r="M4" s="245">
        <v>1.6E-2</v>
      </c>
      <c r="N4" s="245">
        <v>1.4999999999999999E-2</v>
      </c>
      <c r="O4" s="245">
        <v>1.4999999999999999E-2</v>
      </c>
      <c r="P4" s="245">
        <v>1.4E-2</v>
      </c>
      <c r="Q4" s="246">
        <f t="shared" si="0"/>
        <v>0.15841148325358839</v>
      </c>
      <c r="R4" s="232"/>
      <c r="S4" s="247"/>
      <c r="T4" s="248"/>
      <c r="U4" s="80"/>
      <c r="V4" s="80"/>
      <c r="W4" s="80"/>
      <c r="X4" s="80"/>
      <c r="Y4" s="80"/>
      <c r="Z4" s="80"/>
      <c r="AA4" s="80"/>
    </row>
    <row r="5" spans="1:27" ht="15.75" customHeight="1">
      <c r="A5" s="55" t="s">
        <v>405</v>
      </c>
      <c r="B5" s="57">
        <v>45461</v>
      </c>
      <c r="C5" s="58">
        <v>0.36805555555555558</v>
      </c>
      <c r="D5" s="57">
        <v>45461</v>
      </c>
      <c r="E5" s="243">
        <v>0.68194444444444446</v>
      </c>
      <c r="F5" s="244">
        <v>1054</v>
      </c>
      <c r="G5" s="236">
        <v>45471</v>
      </c>
      <c r="H5" s="243">
        <v>0.4152777777777778</v>
      </c>
      <c r="I5" s="244">
        <v>7.5</v>
      </c>
      <c r="J5" s="237">
        <v>1</v>
      </c>
      <c r="K5" s="249">
        <v>8.0000000000000002E-3</v>
      </c>
      <c r="L5" s="249">
        <v>8.0000000000000002E-3</v>
      </c>
      <c r="M5" s="249">
        <v>6.0000000000000001E-3</v>
      </c>
      <c r="N5" s="245">
        <v>7.0000000000000001E-3</v>
      </c>
      <c r="O5" s="245">
        <v>7.0000000000000001E-3</v>
      </c>
      <c r="P5" s="245">
        <v>6.0000000000000001E-3</v>
      </c>
      <c r="Q5" s="246">
        <f t="shared" si="0"/>
        <v>0.18999051233396586</v>
      </c>
      <c r="R5" s="232"/>
      <c r="S5" s="247"/>
      <c r="T5" s="248"/>
      <c r="U5" s="80"/>
      <c r="V5" s="80"/>
      <c r="W5" s="80"/>
      <c r="X5" s="80"/>
      <c r="Y5" s="80"/>
      <c r="Z5" s="80"/>
      <c r="AA5" s="80"/>
    </row>
    <row r="6" spans="1:27" ht="15.75" customHeight="1">
      <c r="A6" s="55" t="s">
        <v>406</v>
      </c>
      <c r="B6" s="57">
        <v>45461</v>
      </c>
      <c r="C6" s="58">
        <v>0.40902777777777777</v>
      </c>
      <c r="D6" s="57">
        <v>45461</v>
      </c>
      <c r="E6" s="243">
        <v>0.6430555555555556</v>
      </c>
      <c r="F6" s="244">
        <v>1052</v>
      </c>
      <c r="G6" s="236">
        <v>45471</v>
      </c>
      <c r="H6" s="243">
        <v>0.44861111111111113</v>
      </c>
      <c r="I6" s="244">
        <v>7.5</v>
      </c>
      <c r="J6" s="237">
        <v>1</v>
      </c>
      <c r="K6" s="245">
        <v>0.02</v>
      </c>
      <c r="L6" s="245">
        <v>1.9E-2</v>
      </c>
      <c r="M6" s="245">
        <v>6.0000000000000001E-3</v>
      </c>
      <c r="N6" s="245">
        <v>1.2E-2</v>
      </c>
      <c r="O6" s="245">
        <v>1.2E-2</v>
      </c>
      <c r="P6" s="245">
        <v>4.0000000000000001E-3</v>
      </c>
      <c r="Q6" s="246">
        <f t="shared" si="0"/>
        <v>1.1421102661596958</v>
      </c>
      <c r="R6" s="232"/>
      <c r="S6" s="247"/>
      <c r="T6" s="248"/>
      <c r="U6" s="249"/>
      <c r="V6" s="80"/>
      <c r="W6" s="80"/>
      <c r="X6" s="80"/>
      <c r="Y6" s="80"/>
      <c r="Z6" s="80"/>
      <c r="AA6" s="80"/>
    </row>
    <row r="7" spans="1:27" ht="15.75" customHeight="1">
      <c r="A7" s="55" t="s">
        <v>407</v>
      </c>
      <c r="B7" s="57">
        <v>45461</v>
      </c>
      <c r="C7" s="58">
        <v>0.42708333333333331</v>
      </c>
      <c r="D7" s="57">
        <v>45461</v>
      </c>
      <c r="E7" s="243">
        <v>0.69236111111111109</v>
      </c>
      <c r="F7" s="244">
        <v>1066</v>
      </c>
      <c r="G7" s="236">
        <v>45471</v>
      </c>
      <c r="H7" s="243">
        <v>0.41944444444444445</v>
      </c>
      <c r="I7" s="244">
        <v>7.5</v>
      </c>
      <c r="J7" s="237">
        <v>1</v>
      </c>
      <c r="K7" s="245">
        <v>8.9999999999999993E-3</v>
      </c>
      <c r="L7" s="249">
        <v>8.0000000000000002E-3</v>
      </c>
      <c r="M7" s="245">
        <v>3.0000000000000001E-3</v>
      </c>
      <c r="N7" s="249">
        <v>5.0000000000000001E-3</v>
      </c>
      <c r="O7" s="249">
        <v>6.0000000000000001E-3</v>
      </c>
      <c r="P7" s="245">
        <v>2E-3</v>
      </c>
      <c r="Q7" s="246">
        <f t="shared" si="0"/>
        <v>0.3757035647279548</v>
      </c>
      <c r="R7" s="232"/>
      <c r="S7" s="247"/>
      <c r="T7" s="250"/>
      <c r="U7" s="249"/>
      <c r="V7" s="249"/>
      <c r="W7" s="249"/>
      <c r="X7" s="249"/>
      <c r="Y7" s="249"/>
      <c r="Z7" s="249"/>
      <c r="AA7" s="249"/>
    </row>
    <row r="8" spans="1:27" ht="15.75" customHeight="1">
      <c r="A8" s="55" t="s">
        <v>408</v>
      </c>
      <c r="B8" s="57">
        <v>45461</v>
      </c>
      <c r="C8" s="58">
        <v>0.44305555555555554</v>
      </c>
      <c r="D8" s="57">
        <v>45461</v>
      </c>
      <c r="E8" s="243">
        <v>0.66666666666666663</v>
      </c>
      <c r="F8" s="244">
        <v>1062</v>
      </c>
      <c r="G8" s="236">
        <v>45471</v>
      </c>
      <c r="H8" s="243">
        <v>0.42986111111111114</v>
      </c>
      <c r="I8" s="244">
        <v>6.5</v>
      </c>
      <c r="J8" s="237">
        <v>1</v>
      </c>
      <c r="K8" s="249">
        <v>6.0000000000000001E-3</v>
      </c>
      <c r="L8" s="249">
        <v>6.0000000000000001E-3</v>
      </c>
      <c r="M8" s="245">
        <v>1E-3</v>
      </c>
      <c r="N8" s="249">
        <v>4.0000000000000001E-3</v>
      </c>
      <c r="O8" s="249">
        <v>4.0000000000000001E-3</v>
      </c>
      <c r="P8" s="245">
        <v>1E-3</v>
      </c>
      <c r="Q8" s="246">
        <f t="shared" si="0"/>
        <v>0.32683615819209039</v>
      </c>
      <c r="R8" s="232"/>
      <c r="S8" s="247"/>
      <c r="T8" s="251"/>
      <c r="U8" s="252"/>
      <c r="V8" s="80"/>
      <c r="W8" s="80"/>
      <c r="X8" s="80"/>
      <c r="Y8" s="80"/>
      <c r="Z8" s="80"/>
      <c r="AA8" s="80"/>
    </row>
    <row r="9" spans="1:27" ht="15.75" customHeight="1">
      <c r="A9" s="55" t="s">
        <v>409</v>
      </c>
      <c r="B9" s="57">
        <v>45461</v>
      </c>
      <c r="C9" s="58">
        <v>0.47222222222222221</v>
      </c>
      <c r="D9" s="57">
        <v>45461</v>
      </c>
      <c r="E9" s="243">
        <v>0.64930555555555558</v>
      </c>
      <c r="F9" s="244">
        <v>1048</v>
      </c>
      <c r="G9" s="236">
        <v>45471</v>
      </c>
      <c r="H9" s="243">
        <v>0.42569444444444443</v>
      </c>
      <c r="I9" s="244">
        <v>6.8</v>
      </c>
      <c r="J9" s="237">
        <v>1</v>
      </c>
      <c r="K9" s="245">
        <v>1.7999999999999999E-2</v>
      </c>
      <c r="L9" s="245">
        <v>1.7999999999999999E-2</v>
      </c>
      <c r="M9" s="245">
        <v>1.0999999999999999E-2</v>
      </c>
      <c r="N9" s="245">
        <v>0.01</v>
      </c>
      <c r="O9" s="245">
        <v>0.01</v>
      </c>
      <c r="P9" s="245">
        <v>6.0000000000000001E-3</v>
      </c>
      <c r="Q9" s="246">
        <f t="shared" si="0"/>
        <v>0.51973282442748081</v>
      </c>
      <c r="R9" s="232"/>
      <c r="S9" s="247"/>
      <c r="T9" s="251"/>
      <c r="U9" s="252"/>
      <c r="V9" s="80"/>
      <c r="W9" s="80"/>
      <c r="X9" s="80"/>
      <c r="Y9" s="80"/>
      <c r="Z9" s="80"/>
      <c r="AA9" s="80"/>
    </row>
    <row r="10" spans="1:27" ht="18.75" customHeight="1">
      <c r="A10" s="55" t="s">
        <v>410</v>
      </c>
      <c r="B10" s="57">
        <v>45461</v>
      </c>
      <c r="C10" s="58">
        <v>0.48819444444444443</v>
      </c>
      <c r="D10" s="57">
        <v>45461</v>
      </c>
      <c r="E10" s="243">
        <v>0.65694444444444444</v>
      </c>
      <c r="F10" s="253">
        <v>1063</v>
      </c>
      <c r="G10" s="236">
        <v>45471</v>
      </c>
      <c r="H10" s="243">
        <v>0.44374999999999998</v>
      </c>
      <c r="I10" s="253">
        <v>6.5</v>
      </c>
      <c r="J10" s="237">
        <v>1</v>
      </c>
      <c r="K10" s="245">
        <v>1.0999999999999999E-2</v>
      </c>
      <c r="L10" s="245">
        <v>0.01</v>
      </c>
      <c r="M10" s="245">
        <v>5.0000000000000001E-3</v>
      </c>
      <c r="N10" s="245">
        <v>7.0000000000000001E-3</v>
      </c>
      <c r="O10" s="245">
        <v>6.0000000000000001E-3</v>
      </c>
      <c r="P10" s="245">
        <v>3.0000000000000001E-3</v>
      </c>
      <c r="Q10" s="246">
        <f t="shared" si="0"/>
        <v>0.48979303857008449</v>
      </c>
      <c r="R10" s="237"/>
      <c r="S10" s="247"/>
      <c r="T10" s="250"/>
      <c r="U10" s="250"/>
      <c r="V10" s="187"/>
      <c r="W10" s="187"/>
      <c r="X10" s="187"/>
      <c r="Y10" s="187"/>
      <c r="Z10" s="187"/>
      <c r="AA10" s="187"/>
    </row>
    <row r="11" spans="1:27" ht="15.75" customHeight="1">
      <c r="A11" s="55" t="s">
        <v>411</v>
      </c>
      <c r="B11" s="57">
        <v>45464</v>
      </c>
      <c r="C11" s="254">
        <v>0.41944444444444445</v>
      </c>
      <c r="D11" s="57">
        <v>45464</v>
      </c>
      <c r="E11" s="243">
        <v>0.56458333333333333</v>
      </c>
      <c r="F11" s="244">
        <v>1050</v>
      </c>
      <c r="G11" s="236">
        <v>45471</v>
      </c>
      <c r="H11" s="243">
        <v>0.45347222222222222</v>
      </c>
      <c r="I11" s="244">
        <v>8</v>
      </c>
      <c r="J11" s="237">
        <v>1</v>
      </c>
      <c r="K11" s="249">
        <v>7.0000000000000001E-3</v>
      </c>
      <c r="L11" s="249">
        <v>7.0000000000000001E-3</v>
      </c>
      <c r="M11" s="249">
        <v>2E-3</v>
      </c>
      <c r="N11" s="245">
        <v>5.0000000000000001E-3</v>
      </c>
      <c r="O11" s="245">
        <v>5.0000000000000001E-3</v>
      </c>
      <c r="P11" s="245">
        <v>2E-3</v>
      </c>
      <c r="Q11" s="246">
        <f t="shared" si="0"/>
        <v>0.40685714285714286</v>
      </c>
      <c r="R11" s="232"/>
      <c r="S11" s="247"/>
      <c r="T11" s="248"/>
      <c r="U11" s="80"/>
      <c r="V11" s="80"/>
      <c r="W11" s="80"/>
      <c r="X11" s="80"/>
      <c r="Y11" s="80"/>
      <c r="Z11" s="80"/>
      <c r="AA11" s="80"/>
    </row>
    <row r="12" spans="1:27" ht="15.75" customHeight="1">
      <c r="A12" s="55" t="s">
        <v>412</v>
      </c>
      <c r="B12" s="57">
        <v>45464</v>
      </c>
      <c r="C12" s="58">
        <v>0.34652777777777777</v>
      </c>
      <c r="D12" s="57">
        <v>45464</v>
      </c>
      <c r="E12" s="243">
        <v>0.55763888888888891</v>
      </c>
      <c r="F12" s="244">
        <v>1040</v>
      </c>
      <c r="G12" s="236">
        <v>45471</v>
      </c>
      <c r="H12" s="243">
        <v>0.45624999999999999</v>
      </c>
      <c r="I12" s="244">
        <v>8</v>
      </c>
      <c r="J12" s="237">
        <v>1</v>
      </c>
      <c r="K12" s="245">
        <v>4.0000000000000001E-3</v>
      </c>
      <c r="L12" s="245">
        <v>4.0000000000000001E-3</v>
      </c>
      <c r="M12" s="245">
        <v>1E-3</v>
      </c>
      <c r="N12" s="245">
        <v>2E-3</v>
      </c>
      <c r="O12" s="245">
        <v>2E-3</v>
      </c>
      <c r="P12" s="245">
        <v>1E-3</v>
      </c>
      <c r="Q12" s="246">
        <f t="shared" si="0"/>
        <v>0.41076923076923078</v>
      </c>
      <c r="R12" s="232"/>
      <c r="S12" s="247"/>
      <c r="T12" s="248"/>
      <c r="U12" s="80"/>
      <c r="V12" s="80"/>
      <c r="W12" s="80"/>
      <c r="X12" s="80"/>
      <c r="Y12" s="80"/>
      <c r="Z12" s="80"/>
      <c r="AA12" s="80"/>
    </row>
    <row r="13" spans="1:27" ht="15.75" customHeight="1">
      <c r="A13" s="55" t="s">
        <v>413</v>
      </c>
      <c r="B13" s="57">
        <v>45464</v>
      </c>
      <c r="C13" s="58">
        <v>0.36388888888888887</v>
      </c>
      <c r="D13" s="57">
        <v>45464</v>
      </c>
      <c r="E13" s="243">
        <v>0.56111111111111112</v>
      </c>
      <c r="F13" s="244">
        <v>1052</v>
      </c>
      <c r="G13" s="236">
        <v>45471</v>
      </c>
      <c r="H13" s="243">
        <v>0.45902777777777776</v>
      </c>
      <c r="I13" s="244">
        <v>7</v>
      </c>
      <c r="J13" s="237">
        <v>1</v>
      </c>
      <c r="K13" s="245">
        <v>4.0000000000000001E-3</v>
      </c>
      <c r="L13" s="245">
        <v>3.0000000000000001E-3</v>
      </c>
      <c r="M13" s="245">
        <v>1E-3</v>
      </c>
      <c r="N13" s="245">
        <v>2E-3</v>
      </c>
      <c r="O13" s="245">
        <v>2E-3</v>
      </c>
      <c r="P13" s="245">
        <v>1E-3</v>
      </c>
      <c r="Q13" s="246">
        <f t="shared" si="0"/>
        <v>0.35532319391634981</v>
      </c>
      <c r="R13" s="232"/>
      <c r="S13" s="247"/>
      <c r="T13" s="248"/>
      <c r="U13" s="80"/>
      <c r="V13" s="80"/>
      <c r="W13" s="80"/>
      <c r="X13" s="80"/>
      <c r="Y13" s="80"/>
      <c r="Z13" s="80"/>
      <c r="AA13" s="80"/>
    </row>
    <row r="14" spans="1:27" ht="15.75" customHeight="1">
      <c r="A14" s="55" t="s">
        <v>414</v>
      </c>
      <c r="B14" s="57">
        <v>45464</v>
      </c>
      <c r="C14" s="58">
        <v>0.43611111111111112</v>
      </c>
      <c r="D14" s="57">
        <v>45464</v>
      </c>
      <c r="E14" s="243">
        <v>0.56736111111111109</v>
      </c>
      <c r="F14" s="244">
        <v>1050</v>
      </c>
      <c r="G14" s="236">
        <v>45471</v>
      </c>
      <c r="H14" s="243">
        <v>0.46180555555555558</v>
      </c>
      <c r="I14" s="244">
        <v>7.2</v>
      </c>
      <c r="J14" s="237">
        <v>1</v>
      </c>
      <c r="K14" s="245">
        <v>4.0000000000000001E-3</v>
      </c>
      <c r="L14" s="245">
        <v>4.0000000000000001E-3</v>
      </c>
      <c r="M14" s="245">
        <v>2E-3</v>
      </c>
      <c r="N14" s="245">
        <v>3.0000000000000001E-3</v>
      </c>
      <c r="O14" s="245">
        <v>2E-3</v>
      </c>
      <c r="P14" s="245">
        <v>2E-3</v>
      </c>
      <c r="Q14" s="246">
        <f t="shared" si="0"/>
        <v>0.36617142857142859</v>
      </c>
      <c r="R14" s="232"/>
      <c r="S14" s="247"/>
      <c r="T14" s="248"/>
      <c r="U14" s="80"/>
      <c r="V14" s="80"/>
      <c r="W14" s="80"/>
      <c r="X14" s="80"/>
      <c r="Y14" s="80"/>
      <c r="Z14" s="80"/>
      <c r="AA14" s="80"/>
    </row>
    <row r="15" spans="1:27" ht="15.75" customHeight="1">
      <c r="A15" s="55" t="s">
        <v>415</v>
      </c>
      <c r="B15" s="57">
        <v>45464</v>
      </c>
      <c r="C15" s="58">
        <v>0.30555555555555558</v>
      </c>
      <c r="D15" s="57">
        <v>45464</v>
      </c>
      <c r="E15" s="243">
        <v>0.55277777777777781</v>
      </c>
      <c r="F15" s="244">
        <v>1060</v>
      </c>
      <c r="G15" s="236">
        <v>45471</v>
      </c>
      <c r="H15" s="243">
        <v>0.46388888888888891</v>
      </c>
      <c r="I15" s="244">
        <v>6.5</v>
      </c>
      <c r="J15" s="237">
        <v>1</v>
      </c>
      <c r="K15" s="245">
        <v>6.0000000000000001E-3</v>
      </c>
      <c r="L15" s="245">
        <v>5.0000000000000001E-3</v>
      </c>
      <c r="M15" s="245">
        <v>3.0000000000000001E-3</v>
      </c>
      <c r="N15" s="245">
        <v>4.0000000000000001E-3</v>
      </c>
      <c r="O15" s="245">
        <v>4.0000000000000001E-3</v>
      </c>
      <c r="P15" s="245">
        <v>3.0000000000000001E-3</v>
      </c>
      <c r="Q15" s="246">
        <f t="shared" si="0"/>
        <v>0.32745283018867927</v>
      </c>
      <c r="R15" s="232"/>
      <c r="S15" s="247"/>
      <c r="T15" s="248" t="s">
        <v>416</v>
      </c>
      <c r="U15" s="80"/>
      <c r="V15" s="80"/>
      <c r="W15" s="80"/>
      <c r="X15" s="80"/>
      <c r="Y15" s="80"/>
      <c r="Z15" s="80"/>
      <c r="AA15" s="80"/>
    </row>
    <row r="16" spans="1:27" ht="15.75" customHeight="1">
      <c r="A16" s="55" t="s">
        <v>417</v>
      </c>
      <c r="B16" s="57">
        <v>45468</v>
      </c>
      <c r="C16" s="254">
        <v>0.28333333333333333</v>
      </c>
      <c r="D16" s="8">
        <v>45468</v>
      </c>
      <c r="E16" s="243">
        <v>0.5625</v>
      </c>
      <c r="F16" s="244">
        <v>1060</v>
      </c>
      <c r="G16" s="236">
        <v>45471</v>
      </c>
      <c r="H16" s="243">
        <v>0.49375000000000002</v>
      </c>
      <c r="I16" s="244">
        <v>6.2</v>
      </c>
      <c r="J16" s="237">
        <v>1</v>
      </c>
      <c r="K16" s="245">
        <v>6.0000000000000001E-3</v>
      </c>
      <c r="L16" s="245">
        <v>5.0000000000000001E-3</v>
      </c>
      <c r="M16" s="245">
        <v>2E-3</v>
      </c>
      <c r="N16" s="245">
        <v>4.0000000000000001E-3</v>
      </c>
      <c r="O16" s="245">
        <v>4.0000000000000001E-3</v>
      </c>
      <c r="P16" s="245">
        <v>2E-3</v>
      </c>
      <c r="Q16" s="246">
        <f t="shared" si="0"/>
        <v>0.3123396226415095</v>
      </c>
      <c r="R16" s="232"/>
      <c r="S16" s="247"/>
      <c r="T16" s="248"/>
      <c r="U16" s="80"/>
      <c r="V16" s="80"/>
      <c r="W16" s="80"/>
      <c r="X16" s="80"/>
      <c r="Y16" s="80"/>
      <c r="Z16" s="80"/>
      <c r="AA16" s="80"/>
    </row>
    <row r="17" spans="1:27" ht="15.75" customHeight="1">
      <c r="A17" s="55" t="s">
        <v>418</v>
      </c>
      <c r="B17" s="57">
        <v>45468</v>
      </c>
      <c r="C17" s="58">
        <v>0.30833333333333335</v>
      </c>
      <c r="D17" s="8">
        <v>45468</v>
      </c>
      <c r="E17" s="243">
        <v>9.166666666666666E-2</v>
      </c>
      <c r="F17" s="244">
        <v>1050</v>
      </c>
      <c r="G17" s="236">
        <v>45471</v>
      </c>
      <c r="H17" s="243">
        <v>0.48194444444444445</v>
      </c>
      <c r="I17" s="253">
        <v>5.8</v>
      </c>
      <c r="J17" s="237">
        <v>1</v>
      </c>
      <c r="K17" s="245">
        <v>0.114</v>
      </c>
      <c r="L17" s="245">
        <v>0.113</v>
      </c>
      <c r="M17" s="245">
        <v>0.10100000000000001</v>
      </c>
      <c r="N17" s="245">
        <v>0.08</v>
      </c>
      <c r="O17" s="245">
        <v>6.8000000000000005E-2</v>
      </c>
      <c r="P17" s="245">
        <v>5.6000000000000001E-2</v>
      </c>
      <c r="Q17" s="246">
        <f t="shared" si="0"/>
        <v>0.14748571428571339</v>
      </c>
      <c r="R17" s="232"/>
      <c r="S17" s="247"/>
      <c r="T17" s="248"/>
      <c r="U17" s="80"/>
      <c r="V17" s="80"/>
      <c r="W17" s="80"/>
      <c r="X17" s="80"/>
      <c r="Y17" s="80"/>
      <c r="Z17" s="80"/>
      <c r="AA17" s="80"/>
    </row>
    <row r="18" spans="1:27" ht="15.75" customHeight="1">
      <c r="A18" s="55" t="s">
        <v>419</v>
      </c>
      <c r="B18" s="57">
        <v>45468</v>
      </c>
      <c r="C18" s="58">
        <v>0.32291666666666669</v>
      </c>
      <c r="D18" s="8">
        <v>45468</v>
      </c>
      <c r="E18" s="255">
        <v>6.9444444444444448E-2</v>
      </c>
      <c r="F18" s="256">
        <v>1055</v>
      </c>
      <c r="G18" s="236">
        <v>45471</v>
      </c>
      <c r="H18" s="255">
        <v>0.98750000000000004</v>
      </c>
      <c r="I18" s="256">
        <v>5.5</v>
      </c>
      <c r="J18" s="237">
        <v>1</v>
      </c>
      <c r="K18" s="245">
        <v>1.2999999999999999E-2</v>
      </c>
      <c r="L18" s="245">
        <v>1.2E-2</v>
      </c>
      <c r="M18" s="245">
        <v>7.0000000000000001E-3</v>
      </c>
      <c r="N18" s="245">
        <v>0.01</v>
      </c>
      <c r="O18" s="245">
        <v>8.9999999999999993E-3</v>
      </c>
      <c r="P18" s="245">
        <v>6.0000000000000001E-3</v>
      </c>
      <c r="Q18" s="246">
        <f t="shared" si="0"/>
        <v>0.41758293838862559</v>
      </c>
      <c r="R18" s="232"/>
      <c r="S18" s="247"/>
      <c r="T18" s="411"/>
      <c r="U18" s="80"/>
      <c r="V18" s="80"/>
      <c r="W18" s="80"/>
      <c r="X18" s="80"/>
      <c r="Y18" s="80"/>
      <c r="Z18" s="80"/>
      <c r="AA18" s="80"/>
    </row>
    <row r="19" spans="1:27" ht="15.75" customHeight="1">
      <c r="A19" s="55" t="s">
        <v>420</v>
      </c>
      <c r="B19" s="57">
        <v>45468</v>
      </c>
      <c r="C19" s="58">
        <v>0.34375</v>
      </c>
      <c r="D19" s="8">
        <v>45468</v>
      </c>
      <c r="E19" s="235">
        <v>0.54513888888888884</v>
      </c>
      <c r="F19" s="234">
        <v>1063</v>
      </c>
      <c r="G19" s="236">
        <v>45471</v>
      </c>
      <c r="H19" s="235">
        <v>0.50208333333333333</v>
      </c>
      <c r="I19" s="234">
        <v>5.5</v>
      </c>
      <c r="J19" s="237">
        <v>1</v>
      </c>
      <c r="K19" s="238">
        <v>7.0000000000000001E-3</v>
      </c>
      <c r="L19" s="238">
        <v>6.0000000000000001E-3</v>
      </c>
      <c r="M19" s="238">
        <v>1E-3</v>
      </c>
      <c r="N19" s="238">
        <v>5.0000000000000001E-3</v>
      </c>
      <c r="O19" s="238">
        <v>4.0000000000000001E-3</v>
      </c>
      <c r="P19" s="238">
        <v>2E-3</v>
      </c>
      <c r="Q19" s="246">
        <f t="shared" si="0"/>
        <v>0.55258701787394171</v>
      </c>
      <c r="R19" s="232"/>
      <c r="S19" s="247"/>
      <c r="T19" s="406"/>
      <c r="U19" s="80"/>
      <c r="V19" s="80"/>
      <c r="W19" s="80"/>
      <c r="X19" s="80"/>
      <c r="Y19" s="80"/>
      <c r="Z19" s="80"/>
      <c r="AA19" s="80"/>
    </row>
    <row r="20" spans="1:27" ht="15.75" customHeight="1">
      <c r="A20" s="55" t="s">
        <v>421</v>
      </c>
      <c r="B20" s="57">
        <v>45468</v>
      </c>
      <c r="C20" s="65">
        <v>0.36736111111111114</v>
      </c>
      <c r="D20" s="8">
        <v>45468</v>
      </c>
      <c r="E20" s="243">
        <v>0.55277777777777781</v>
      </c>
      <c r="F20" s="244">
        <v>1060</v>
      </c>
      <c r="G20" s="236">
        <v>45471</v>
      </c>
      <c r="H20" s="243">
        <v>0.49791666666666667</v>
      </c>
      <c r="I20" s="253">
        <v>5.5</v>
      </c>
      <c r="J20" s="237">
        <v>1</v>
      </c>
      <c r="K20" s="245">
        <v>1.0999999999999999E-2</v>
      </c>
      <c r="L20" s="245">
        <v>0.01</v>
      </c>
      <c r="M20" s="245">
        <v>2E-3</v>
      </c>
      <c r="N20" s="257">
        <v>7.0000000000000001E-3</v>
      </c>
      <c r="O20" s="257">
        <v>6.0000000000000001E-3</v>
      </c>
      <c r="P20" s="257">
        <v>2E-3</v>
      </c>
      <c r="Q20" s="246">
        <f t="shared" si="0"/>
        <v>0.69268867924528288</v>
      </c>
      <c r="R20" s="232"/>
      <c r="S20" s="240"/>
      <c r="T20" s="26"/>
      <c r="U20" s="80"/>
      <c r="V20" s="80"/>
      <c r="W20" s="80"/>
      <c r="X20" s="80"/>
      <c r="Y20" s="80"/>
      <c r="Z20" s="80"/>
      <c r="AA20" s="80"/>
    </row>
    <row r="21" spans="1:27" ht="15.75" customHeight="1">
      <c r="A21" s="55" t="s">
        <v>422</v>
      </c>
      <c r="B21" s="57">
        <v>45468</v>
      </c>
      <c r="C21" s="65">
        <v>0.38611111111111113</v>
      </c>
      <c r="D21" s="8">
        <v>45468</v>
      </c>
      <c r="E21" s="243">
        <v>0.57708333333333328</v>
      </c>
      <c r="F21" s="244">
        <v>1062</v>
      </c>
      <c r="G21" s="236">
        <v>45471</v>
      </c>
      <c r="H21" s="243">
        <v>0.47847222222222224</v>
      </c>
      <c r="I21" s="253">
        <v>6</v>
      </c>
      <c r="J21" s="237">
        <v>1</v>
      </c>
      <c r="K21" s="245">
        <v>1.2999999999999999E-2</v>
      </c>
      <c r="L21" s="245">
        <v>1.2E-2</v>
      </c>
      <c r="M21" s="245">
        <v>5.0000000000000001E-3</v>
      </c>
      <c r="N21" s="245">
        <v>1.2E-2</v>
      </c>
      <c r="O21" s="245">
        <v>1.2E-2</v>
      </c>
      <c r="P21" s="245">
        <v>4.0000000000000001E-3</v>
      </c>
      <c r="Q21" s="246">
        <f t="shared" si="0"/>
        <v>0</v>
      </c>
      <c r="R21" s="232"/>
      <c r="S21" s="240"/>
      <c r="T21" s="26"/>
      <c r="U21" s="80"/>
      <c r="V21" s="80"/>
      <c r="W21" s="80"/>
      <c r="X21" s="80"/>
      <c r="Y21" s="80"/>
      <c r="Z21" s="80"/>
      <c r="AA21" s="80"/>
    </row>
    <row r="22" spans="1:27" ht="15.75" customHeight="1">
      <c r="A22" s="55" t="s">
        <v>423</v>
      </c>
      <c r="B22" s="57">
        <v>45468</v>
      </c>
      <c r="C22" s="65">
        <v>0.40138888888888891</v>
      </c>
      <c r="D22" s="8">
        <v>45468</v>
      </c>
      <c r="E22" s="243">
        <v>0.54097222222222219</v>
      </c>
      <c r="F22" s="244">
        <v>1055</v>
      </c>
      <c r="G22" s="236">
        <v>45471</v>
      </c>
      <c r="H22" s="243">
        <v>0.5083333333333333</v>
      </c>
      <c r="I22" s="253">
        <v>5</v>
      </c>
      <c r="J22" s="237">
        <v>1</v>
      </c>
      <c r="K22" s="245">
        <v>2.4E-2</v>
      </c>
      <c r="L22" s="245">
        <v>2.5000000000000001E-2</v>
      </c>
      <c r="M22" s="245">
        <v>1.6E-2</v>
      </c>
      <c r="N22" s="245">
        <v>2.4E-2</v>
      </c>
      <c r="O22" s="245">
        <v>2.3E-2</v>
      </c>
      <c r="P22" s="245">
        <v>1.7000000000000001E-2</v>
      </c>
      <c r="Q22" s="246">
        <f t="shared" si="0"/>
        <v>0.25308056872037937</v>
      </c>
      <c r="R22" s="232"/>
      <c r="S22" s="240"/>
      <c r="T22" s="26" t="s">
        <v>424</v>
      </c>
      <c r="U22" s="80"/>
      <c r="V22" s="80"/>
      <c r="W22" s="80"/>
      <c r="X22" s="80"/>
      <c r="Y22" s="80"/>
      <c r="Z22" s="80"/>
      <c r="AA22" s="80"/>
    </row>
    <row r="23" spans="1:27" ht="15.75" customHeight="1">
      <c r="A23" s="55" t="s">
        <v>425</v>
      </c>
      <c r="B23" s="57">
        <v>45468</v>
      </c>
      <c r="C23" s="58">
        <v>0.4236111111111111</v>
      </c>
      <c r="D23" s="8">
        <v>45468</v>
      </c>
      <c r="E23" s="243">
        <v>0.58333333333333337</v>
      </c>
      <c r="F23" s="244">
        <v>1050</v>
      </c>
      <c r="G23" s="236">
        <v>45471</v>
      </c>
      <c r="H23" s="243">
        <v>0.43263888888888891</v>
      </c>
      <c r="I23" s="253">
        <v>6.5</v>
      </c>
      <c r="J23" s="237">
        <v>1</v>
      </c>
      <c r="K23" s="245">
        <v>3.2000000000000001E-2</v>
      </c>
      <c r="L23" s="245">
        <v>3.2000000000000001E-2</v>
      </c>
      <c r="M23" s="245">
        <v>6.0000000000000001E-3</v>
      </c>
      <c r="N23" s="245">
        <v>2.1000000000000001E-2</v>
      </c>
      <c r="O23" s="245">
        <v>2.1999999999999999E-2</v>
      </c>
      <c r="P23" s="245">
        <v>6.0000000000000001E-3</v>
      </c>
      <c r="Q23" s="246">
        <f t="shared" si="0"/>
        <v>1.6528571428571435</v>
      </c>
      <c r="R23" s="232"/>
      <c r="S23" s="240"/>
      <c r="T23" s="26"/>
      <c r="U23" s="80"/>
      <c r="V23" s="80"/>
      <c r="W23" s="80"/>
      <c r="X23" s="80"/>
      <c r="Y23" s="80"/>
      <c r="Z23" s="80"/>
      <c r="AA23" s="80"/>
    </row>
    <row r="24" spans="1:27" ht="15.75" customHeight="1">
      <c r="A24" s="55" t="s">
        <v>426</v>
      </c>
      <c r="B24" s="57">
        <v>45471</v>
      </c>
      <c r="C24" s="258">
        <v>0.26805555555555555</v>
      </c>
      <c r="D24" s="57">
        <v>45471</v>
      </c>
      <c r="E24" s="259">
        <v>0.49861111111111112</v>
      </c>
      <c r="F24" s="244">
        <v>1060</v>
      </c>
      <c r="G24" s="236">
        <v>45471</v>
      </c>
      <c r="H24" s="243">
        <v>0.56874999999999998</v>
      </c>
      <c r="I24" s="253">
        <v>6.5</v>
      </c>
      <c r="J24" s="237">
        <v>1</v>
      </c>
      <c r="K24" s="257">
        <v>1.2E-2</v>
      </c>
      <c r="L24" s="257">
        <v>1.0999999999999999E-2</v>
      </c>
      <c r="M24" s="245">
        <v>6.0000000000000001E-3</v>
      </c>
      <c r="N24" s="245">
        <v>8.9999999999999993E-3</v>
      </c>
      <c r="O24" s="245">
        <v>8.0000000000000002E-3</v>
      </c>
      <c r="P24" s="245">
        <v>5.0000000000000001E-3</v>
      </c>
      <c r="Q24" s="246">
        <f t="shared" si="0"/>
        <v>0.49117924528301893</v>
      </c>
      <c r="R24" s="232"/>
      <c r="S24" s="240"/>
      <c r="T24" s="26"/>
      <c r="U24" s="80"/>
      <c r="V24" s="80"/>
      <c r="W24" s="80"/>
      <c r="X24" s="80"/>
      <c r="Y24" s="80"/>
      <c r="Z24" s="80"/>
      <c r="AA24" s="80"/>
    </row>
    <row r="25" spans="1:27" ht="15.75" customHeight="1">
      <c r="A25" s="55" t="s">
        <v>427</v>
      </c>
      <c r="B25" s="57">
        <v>45471</v>
      </c>
      <c r="C25" s="258">
        <v>0.29375000000000001</v>
      </c>
      <c r="D25" s="57">
        <v>45471</v>
      </c>
      <c r="E25" s="243">
        <v>0.50277777777777777</v>
      </c>
      <c r="F25" s="244">
        <v>1045</v>
      </c>
      <c r="G25" s="236">
        <v>45471</v>
      </c>
      <c r="H25" s="243">
        <v>0.5756944444444444</v>
      </c>
      <c r="I25" s="253">
        <v>7.8</v>
      </c>
      <c r="J25" s="237">
        <v>1</v>
      </c>
      <c r="K25" s="257">
        <v>1.0999999999999999E-2</v>
      </c>
      <c r="L25" s="257">
        <v>1.0999999999999999E-2</v>
      </c>
      <c r="M25" s="257">
        <v>6.0000000000000001E-3</v>
      </c>
      <c r="N25" s="257">
        <v>7.0000000000000001E-3</v>
      </c>
      <c r="O25" s="257">
        <v>7.0000000000000001E-3</v>
      </c>
      <c r="P25" s="257">
        <v>4.0000000000000001E-3</v>
      </c>
      <c r="Q25" s="246">
        <f t="shared" si="0"/>
        <v>0.39858373205741604</v>
      </c>
      <c r="R25" s="232"/>
      <c r="S25" s="240"/>
      <c r="T25" s="26"/>
      <c r="U25" s="80"/>
      <c r="V25" s="80"/>
      <c r="W25" s="80"/>
      <c r="X25" s="80"/>
      <c r="Y25" s="80"/>
      <c r="Z25" s="80"/>
      <c r="AA25" s="80"/>
    </row>
    <row r="26" spans="1:27" ht="15.75" customHeight="1">
      <c r="A26" s="55" t="s">
        <v>428</v>
      </c>
      <c r="B26" s="57">
        <v>45471</v>
      </c>
      <c r="C26" s="258">
        <v>0.33750000000000002</v>
      </c>
      <c r="D26" s="57">
        <v>45471</v>
      </c>
      <c r="E26" s="243">
        <v>0.50694444444444442</v>
      </c>
      <c r="F26" s="244">
        <v>1050</v>
      </c>
      <c r="G26" s="236">
        <v>45471</v>
      </c>
      <c r="H26" s="243">
        <v>0.57152777777777775</v>
      </c>
      <c r="I26" s="253">
        <v>7.5</v>
      </c>
      <c r="J26" s="237">
        <v>1</v>
      </c>
      <c r="K26" s="245">
        <v>0.01</v>
      </c>
      <c r="L26" s="245">
        <v>8.9999999999999993E-3</v>
      </c>
      <c r="M26" s="257">
        <v>7.0000000000000001E-3</v>
      </c>
      <c r="N26" s="245">
        <v>7.0000000000000001E-3</v>
      </c>
      <c r="O26" s="245">
        <v>7.0000000000000001E-3</v>
      </c>
      <c r="P26" s="245">
        <v>5.0000000000000001E-3</v>
      </c>
      <c r="Q26" s="246">
        <f t="shared" si="0"/>
        <v>0.19071428571428573</v>
      </c>
      <c r="R26" s="232"/>
      <c r="S26" s="240"/>
      <c r="T26" s="26"/>
      <c r="U26" s="80"/>
      <c r="V26" s="80"/>
      <c r="W26" s="80"/>
      <c r="X26" s="80"/>
      <c r="Y26" s="80"/>
      <c r="Z26" s="80"/>
      <c r="AA26" s="80"/>
    </row>
    <row r="27" spans="1:27" ht="15.75" customHeight="1">
      <c r="A27" s="55" t="s">
        <v>429</v>
      </c>
      <c r="B27" s="57">
        <v>45471</v>
      </c>
      <c r="C27" s="258">
        <v>0.36180555555555555</v>
      </c>
      <c r="D27" s="57">
        <v>45471</v>
      </c>
      <c r="E27" s="243">
        <v>0.50902777777777775</v>
      </c>
      <c r="F27" s="244">
        <v>1010</v>
      </c>
      <c r="G27" s="236">
        <v>45471</v>
      </c>
      <c r="H27" s="243">
        <v>0.58402777777777781</v>
      </c>
      <c r="I27" s="253">
        <v>8.4</v>
      </c>
      <c r="J27" s="237">
        <v>1</v>
      </c>
      <c r="K27" s="257">
        <v>8.0000000000000002E-3</v>
      </c>
      <c r="L27" s="257">
        <v>7.0000000000000001E-3</v>
      </c>
      <c r="M27" s="245">
        <v>5.0000000000000001E-3</v>
      </c>
      <c r="N27" s="257">
        <v>6.0000000000000001E-3</v>
      </c>
      <c r="O27" s="257">
        <v>6.0000000000000001E-3</v>
      </c>
      <c r="P27" s="245">
        <v>5.0000000000000001E-3</v>
      </c>
      <c r="Q27" s="246">
        <f t="shared" si="0"/>
        <v>0.44411881188118818</v>
      </c>
      <c r="R27" s="232"/>
      <c r="S27" s="240"/>
      <c r="T27" s="26"/>
      <c r="U27" s="80"/>
      <c r="V27" s="80"/>
      <c r="W27" s="80"/>
      <c r="X27" s="80"/>
      <c r="Y27" s="80"/>
      <c r="Z27" s="80"/>
      <c r="AA27" s="80"/>
    </row>
    <row r="28" spans="1:27" ht="15.75" customHeight="1">
      <c r="A28" s="53" t="s">
        <v>430</v>
      </c>
      <c r="B28" s="57">
        <v>45471</v>
      </c>
      <c r="C28" s="258">
        <v>0.38819444444444445</v>
      </c>
      <c r="D28" s="57">
        <v>45471</v>
      </c>
      <c r="E28" s="258">
        <v>0.49583333333333335</v>
      </c>
      <c r="F28" s="253">
        <v>1060</v>
      </c>
      <c r="G28" s="236">
        <v>45471</v>
      </c>
      <c r="H28" s="243">
        <v>0.59097222222222223</v>
      </c>
      <c r="I28" s="253">
        <v>8</v>
      </c>
      <c r="J28" s="237">
        <v>1</v>
      </c>
      <c r="K28" s="245">
        <v>7.0000000000000001E-3</v>
      </c>
      <c r="L28" s="245">
        <v>6.0000000000000001E-3</v>
      </c>
      <c r="M28" s="245">
        <v>2E-3</v>
      </c>
      <c r="N28" s="257">
        <v>5.0000000000000001E-3</v>
      </c>
      <c r="O28" s="257">
        <v>4.0000000000000001E-3</v>
      </c>
      <c r="P28" s="245">
        <v>2E-3</v>
      </c>
      <c r="Q28" s="246">
        <f t="shared" si="0"/>
        <v>0.60452830188679252</v>
      </c>
      <c r="R28" s="232"/>
      <c r="S28" s="240"/>
      <c r="T28" s="411"/>
      <c r="U28" s="80"/>
      <c r="V28" s="80"/>
      <c r="W28" s="80"/>
      <c r="X28" s="80"/>
      <c r="Y28" s="80"/>
      <c r="Z28" s="80"/>
      <c r="AA28" s="80"/>
    </row>
    <row r="29" spans="1:27" ht="36.75" customHeight="1">
      <c r="A29" s="53" t="s">
        <v>431</v>
      </c>
      <c r="B29" s="234" t="s">
        <v>74</v>
      </c>
      <c r="C29" s="235" t="s">
        <v>74</v>
      </c>
      <c r="D29" s="234" t="s">
        <v>74</v>
      </c>
      <c r="E29" s="235" t="s">
        <v>74</v>
      </c>
      <c r="F29" s="234" t="s">
        <v>74</v>
      </c>
      <c r="G29" s="236">
        <v>45495</v>
      </c>
      <c r="H29" s="235" t="s">
        <v>74</v>
      </c>
      <c r="I29" s="234" t="s">
        <v>74</v>
      </c>
      <c r="J29" s="237">
        <v>1</v>
      </c>
      <c r="K29" s="238">
        <v>2.1999999999999999E-2</v>
      </c>
      <c r="L29" s="238">
        <v>2.1999999999999999E-2</v>
      </c>
      <c r="M29" s="238">
        <v>2E-3</v>
      </c>
      <c r="N29" s="238">
        <v>1.2E-2</v>
      </c>
      <c r="O29" s="238">
        <v>1.2E-2</v>
      </c>
      <c r="P29" s="238">
        <v>2E-3</v>
      </c>
      <c r="Q29" s="46">
        <f>((26.7*((K29-M29)-(O29-P29))*1000))</f>
        <v>266.99999999999989</v>
      </c>
      <c r="R29" s="239" t="s">
        <v>12</v>
      </c>
      <c r="S29" s="240" t="s">
        <v>13</v>
      </c>
      <c r="T29" s="405"/>
      <c r="U29" s="80"/>
      <c r="V29" s="80"/>
      <c r="W29" s="80"/>
      <c r="X29" s="80"/>
      <c r="Y29" s="80"/>
      <c r="Z29" s="80"/>
      <c r="AA29" s="80"/>
    </row>
    <row r="30" spans="1:27" ht="15.75" customHeight="1">
      <c r="A30" s="54" t="s">
        <v>432</v>
      </c>
      <c r="B30" s="260">
        <v>45483</v>
      </c>
      <c r="C30" s="261">
        <v>0.3125</v>
      </c>
      <c r="D30" s="260">
        <v>45483</v>
      </c>
      <c r="E30" s="258">
        <v>0.69513888888888886</v>
      </c>
      <c r="F30" s="253">
        <v>1041</v>
      </c>
      <c r="G30" s="260">
        <v>45495</v>
      </c>
      <c r="H30" s="258">
        <v>0.56736111111111109</v>
      </c>
      <c r="I30" s="253">
        <v>6</v>
      </c>
      <c r="J30" s="237">
        <v>1</v>
      </c>
      <c r="K30" s="237">
        <v>3.3000000000000002E-2</v>
      </c>
      <c r="L30" s="245">
        <v>3.3000000000000002E-2</v>
      </c>
      <c r="M30" s="245">
        <v>2.7E-2</v>
      </c>
      <c r="N30" s="245">
        <v>0.03</v>
      </c>
      <c r="O30" s="245">
        <v>0.03</v>
      </c>
      <c r="P30" s="245">
        <v>2.5999999999999999E-2</v>
      </c>
      <c r="Q30" s="246">
        <f t="shared" ref="Q30:Q41" si="1">((26.7*((K30-M30)-(O30-P30))*I30)/(F30*J30))*1000</f>
        <v>0.30778097982708957</v>
      </c>
      <c r="R30" s="232"/>
      <c r="S30" s="240" t="s">
        <v>13</v>
      </c>
      <c r="T30" s="406"/>
      <c r="U30" s="80"/>
      <c r="V30" s="80"/>
      <c r="W30" s="80"/>
      <c r="X30" s="80"/>
      <c r="Y30" s="80"/>
      <c r="Z30" s="80"/>
      <c r="AA30" s="80"/>
    </row>
    <row r="31" spans="1:27" ht="15.75" customHeight="1">
      <c r="A31" s="55" t="s">
        <v>433</v>
      </c>
      <c r="B31" s="260">
        <v>45483</v>
      </c>
      <c r="C31" s="261">
        <v>0.35138888888888886</v>
      </c>
      <c r="D31" s="260">
        <v>45483</v>
      </c>
      <c r="E31" s="58">
        <v>0.70486111111111116</v>
      </c>
      <c r="F31" s="262">
        <v>980</v>
      </c>
      <c r="G31" s="260">
        <v>45495</v>
      </c>
      <c r="H31" s="258">
        <v>0.57222222222222219</v>
      </c>
      <c r="I31" s="244">
        <v>7.5</v>
      </c>
      <c r="J31" s="237">
        <v>1</v>
      </c>
      <c r="K31" s="245">
        <v>5.0000000000000001E-3</v>
      </c>
      <c r="L31" s="245">
        <v>5.0000000000000001E-3</v>
      </c>
      <c r="M31" s="245">
        <v>3.0000000000000001E-3</v>
      </c>
      <c r="N31" s="245">
        <v>4.0000000000000001E-3</v>
      </c>
      <c r="O31" s="245">
        <v>4.0000000000000001E-3</v>
      </c>
      <c r="P31" s="245">
        <v>2E-3</v>
      </c>
      <c r="Q31" s="246">
        <f t="shared" si="1"/>
        <v>0</v>
      </c>
      <c r="R31" s="232"/>
      <c r="S31" s="240" t="s">
        <v>13</v>
      </c>
      <c r="T31" s="26"/>
      <c r="U31" s="80"/>
      <c r="V31" s="80"/>
      <c r="W31" s="80"/>
      <c r="X31" s="80"/>
      <c r="Y31" s="80"/>
      <c r="Z31" s="80"/>
      <c r="AA31" s="80"/>
    </row>
    <row r="32" spans="1:27" ht="15.75" customHeight="1">
      <c r="A32" s="55" t="s">
        <v>434</v>
      </c>
      <c r="B32" s="260">
        <v>45483</v>
      </c>
      <c r="C32" s="261">
        <v>0.47847222222222224</v>
      </c>
      <c r="D32" s="260">
        <v>45483</v>
      </c>
      <c r="E32" s="258">
        <v>0.71458333333333335</v>
      </c>
      <c r="F32" s="253">
        <v>1046</v>
      </c>
      <c r="G32" s="260">
        <v>45495</v>
      </c>
      <c r="H32" s="258">
        <v>0.57916666666666672</v>
      </c>
      <c r="I32" s="244">
        <v>6.5</v>
      </c>
      <c r="J32" s="237">
        <v>1</v>
      </c>
      <c r="K32" s="245">
        <v>-6.0000000000000001E-3</v>
      </c>
      <c r="L32" s="245">
        <v>-6.0000000000000001E-3</v>
      </c>
      <c r="M32" s="245">
        <v>-7.0000000000000001E-3</v>
      </c>
      <c r="N32" s="245">
        <v>-7.0000000000000001E-3</v>
      </c>
      <c r="O32" s="245">
        <v>-6.0000000000000001E-3</v>
      </c>
      <c r="P32" s="245">
        <v>-7.0000000000000001E-3</v>
      </c>
      <c r="Q32" s="246">
        <f t="shared" si="1"/>
        <v>0</v>
      </c>
      <c r="R32" s="232"/>
      <c r="S32" s="240" t="s">
        <v>13</v>
      </c>
      <c r="T32" s="26"/>
      <c r="U32" s="80"/>
      <c r="V32" s="80"/>
      <c r="W32" s="80"/>
      <c r="X32" s="80"/>
      <c r="Y32" s="80"/>
      <c r="Z32" s="80"/>
      <c r="AA32" s="80"/>
    </row>
    <row r="33" spans="1:27" ht="15.75" customHeight="1">
      <c r="A33" s="55" t="s">
        <v>435</v>
      </c>
      <c r="B33" s="260">
        <v>45483</v>
      </c>
      <c r="C33" s="261">
        <v>0.5708333333333333</v>
      </c>
      <c r="D33" s="260">
        <v>45483</v>
      </c>
      <c r="E33" s="258">
        <v>0.71944444444444444</v>
      </c>
      <c r="F33" s="253">
        <v>990</v>
      </c>
      <c r="G33" s="260">
        <v>45495</v>
      </c>
      <c r="H33" s="258">
        <v>0.58402777777777781</v>
      </c>
      <c r="I33" s="253">
        <v>5.5</v>
      </c>
      <c r="J33" s="237">
        <v>1</v>
      </c>
      <c r="K33" s="245">
        <v>-8.0000000000000002E-3</v>
      </c>
      <c r="L33" s="245">
        <v>-8.0000000000000002E-3</v>
      </c>
      <c r="M33" s="245">
        <v>-8.9999999999999993E-3</v>
      </c>
      <c r="N33" s="257">
        <v>-8.9999999999999993E-3</v>
      </c>
      <c r="O33" s="257">
        <v>-0.01</v>
      </c>
      <c r="P33" s="245">
        <v>-0.01</v>
      </c>
      <c r="Q33" s="246">
        <f t="shared" si="1"/>
        <v>0.14833333333333318</v>
      </c>
      <c r="R33" s="232"/>
      <c r="S33" s="240" t="s">
        <v>13</v>
      </c>
      <c r="T33" s="26"/>
      <c r="U33" s="80"/>
      <c r="V33" s="80"/>
      <c r="W33" s="80"/>
      <c r="X33" s="80"/>
      <c r="Y33" s="80"/>
      <c r="Z33" s="80"/>
      <c r="AA33" s="80"/>
    </row>
    <row r="34" spans="1:27" ht="18.75" customHeight="1">
      <c r="A34" s="55" t="s">
        <v>436</v>
      </c>
      <c r="B34" s="260">
        <v>45484</v>
      </c>
      <c r="C34" s="58">
        <v>0.2951388888888889</v>
      </c>
      <c r="D34" s="260">
        <v>45484</v>
      </c>
      <c r="E34" s="255">
        <v>0.77638888888888891</v>
      </c>
      <c r="F34" s="256">
        <v>980</v>
      </c>
      <c r="G34" s="260">
        <v>45495</v>
      </c>
      <c r="H34" s="255">
        <v>0.59097222222222223</v>
      </c>
      <c r="I34" s="256">
        <v>6.5</v>
      </c>
      <c r="J34" s="237">
        <v>1</v>
      </c>
      <c r="K34" s="245">
        <v>2.1000000000000001E-2</v>
      </c>
      <c r="L34" s="245">
        <v>0.02</v>
      </c>
      <c r="M34" s="245">
        <v>1.7000000000000001E-2</v>
      </c>
      <c r="N34" s="245">
        <v>1.7000000000000001E-2</v>
      </c>
      <c r="O34" s="245">
        <v>1.7000000000000001E-2</v>
      </c>
      <c r="P34" s="245">
        <v>1.4999999999999999E-2</v>
      </c>
      <c r="Q34" s="246">
        <f t="shared" si="1"/>
        <v>0.35418367346938745</v>
      </c>
      <c r="R34" s="239"/>
      <c r="S34" s="240" t="s">
        <v>13</v>
      </c>
      <c r="T34" s="250"/>
      <c r="U34" s="187"/>
      <c r="V34" s="187"/>
      <c r="W34" s="187"/>
      <c r="X34" s="187"/>
      <c r="Y34" s="187"/>
      <c r="Z34" s="187"/>
      <c r="AA34" s="187"/>
    </row>
    <row r="35" spans="1:27" ht="15.75" customHeight="1">
      <c r="A35" s="55" t="s">
        <v>437</v>
      </c>
      <c r="B35" s="260">
        <v>45484</v>
      </c>
      <c r="C35" s="58">
        <v>0.32708333333333334</v>
      </c>
      <c r="D35" s="260">
        <v>45484</v>
      </c>
      <c r="E35" s="258">
        <v>0.77777777777777779</v>
      </c>
      <c r="F35" s="253">
        <v>1060</v>
      </c>
      <c r="G35" s="260">
        <v>45495</v>
      </c>
      <c r="H35" s="258">
        <v>0.59583333333333333</v>
      </c>
      <c r="I35" s="253">
        <v>7</v>
      </c>
      <c r="J35" s="237">
        <v>1</v>
      </c>
      <c r="K35" s="245">
        <v>1.2E-2</v>
      </c>
      <c r="L35" s="245">
        <v>1.0999999999999999E-2</v>
      </c>
      <c r="M35" s="245">
        <v>8.0000000000000002E-3</v>
      </c>
      <c r="N35" s="245">
        <v>0.01</v>
      </c>
      <c r="O35" s="245">
        <v>0.01</v>
      </c>
      <c r="P35" s="245">
        <v>8.0000000000000002E-3</v>
      </c>
      <c r="Q35" s="246">
        <f t="shared" si="1"/>
        <v>0.35264150943396227</v>
      </c>
      <c r="R35" s="232"/>
      <c r="S35" s="240" t="s">
        <v>13</v>
      </c>
      <c r="T35" s="26"/>
      <c r="U35" s="80"/>
      <c r="V35" s="80"/>
      <c r="W35" s="80"/>
      <c r="X35" s="80"/>
      <c r="Y35" s="80"/>
      <c r="Z35" s="80"/>
      <c r="AA35" s="80"/>
    </row>
    <row r="36" spans="1:27" ht="15.75" customHeight="1">
      <c r="A36" s="55" t="s">
        <v>438</v>
      </c>
      <c r="B36" s="260">
        <v>45484</v>
      </c>
      <c r="C36" s="58">
        <v>0.34791666666666665</v>
      </c>
      <c r="D36" s="260">
        <v>45484</v>
      </c>
      <c r="E36" s="258">
        <v>0.78125</v>
      </c>
      <c r="F36" s="253">
        <v>1052</v>
      </c>
      <c r="G36" s="260">
        <v>45495</v>
      </c>
      <c r="H36" s="258">
        <v>0.60277777777777775</v>
      </c>
      <c r="I36" s="253">
        <v>7.3</v>
      </c>
      <c r="J36" s="237">
        <v>1</v>
      </c>
      <c r="K36" s="257">
        <v>7.0000000000000001E-3</v>
      </c>
      <c r="L36" s="257">
        <v>6.0000000000000001E-3</v>
      </c>
      <c r="M36" s="257">
        <v>4.0000000000000001E-3</v>
      </c>
      <c r="N36" s="245">
        <v>5.0000000000000001E-3</v>
      </c>
      <c r="O36" s="245">
        <v>4.0000000000000001E-3</v>
      </c>
      <c r="P36" s="245">
        <v>4.0000000000000001E-3</v>
      </c>
      <c r="Q36" s="246">
        <f t="shared" si="1"/>
        <v>0.55582699619771869</v>
      </c>
      <c r="R36" s="232"/>
      <c r="S36" s="240" t="s">
        <v>13</v>
      </c>
      <c r="T36" s="26"/>
      <c r="U36" s="80"/>
      <c r="V36" s="80"/>
      <c r="W36" s="80"/>
      <c r="X36" s="80"/>
      <c r="Y36" s="80"/>
      <c r="Z36" s="80"/>
      <c r="AA36" s="80"/>
    </row>
    <row r="37" spans="1:27" ht="15.75" customHeight="1">
      <c r="A37" s="55" t="s">
        <v>439</v>
      </c>
      <c r="B37" s="260">
        <v>45484</v>
      </c>
      <c r="C37" s="58">
        <v>0.3923611111111111</v>
      </c>
      <c r="D37" s="260">
        <v>45484</v>
      </c>
      <c r="E37" s="258">
        <v>0.78472222222222221</v>
      </c>
      <c r="F37" s="253">
        <v>1049</v>
      </c>
      <c r="G37" s="260">
        <v>45495</v>
      </c>
      <c r="H37" s="258">
        <v>0.60833333333333328</v>
      </c>
      <c r="I37" s="253">
        <v>7</v>
      </c>
      <c r="J37" s="237">
        <v>1</v>
      </c>
      <c r="K37" s="257">
        <v>4.0000000000000001E-3</v>
      </c>
      <c r="L37" s="257">
        <v>4.0000000000000001E-3</v>
      </c>
      <c r="M37" s="257">
        <v>3.0000000000000001E-3</v>
      </c>
      <c r="N37" s="245">
        <v>3.0000000000000001E-3</v>
      </c>
      <c r="O37" s="245">
        <v>3.0000000000000001E-3</v>
      </c>
      <c r="P37" s="245">
        <v>2E-3</v>
      </c>
      <c r="Q37" s="246">
        <f t="shared" si="1"/>
        <v>0</v>
      </c>
      <c r="R37" s="232"/>
      <c r="S37" s="240" t="s">
        <v>13</v>
      </c>
      <c r="T37" s="26"/>
      <c r="U37" s="80"/>
      <c r="V37" s="80"/>
      <c r="W37" s="80"/>
      <c r="X37" s="80"/>
      <c r="Y37" s="80"/>
      <c r="Z37" s="80"/>
      <c r="AA37" s="80"/>
    </row>
    <row r="38" spans="1:27" ht="17.25" customHeight="1">
      <c r="A38" s="55" t="s">
        <v>440</v>
      </c>
      <c r="B38" s="260">
        <v>45484</v>
      </c>
      <c r="C38" s="58">
        <v>0.41388888888888886</v>
      </c>
      <c r="D38" s="260">
        <v>45484</v>
      </c>
      <c r="E38" s="235">
        <v>0.78749999999999998</v>
      </c>
      <c r="F38" s="234">
        <v>1050</v>
      </c>
      <c r="G38" s="260">
        <v>45495</v>
      </c>
      <c r="H38" s="235">
        <v>0.61944444444444446</v>
      </c>
      <c r="I38" s="234">
        <v>7</v>
      </c>
      <c r="J38" s="237">
        <v>1</v>
      </c>
      <c r="K38" s="238">
        <v>-6.0000000000000001E-3</v>
      </c>
      <c r="L38" s="238">
        <v>-5.0000000000000001E-3</v>
      </c>
      <c r="M38" s="238">
        <v>-6.0000000000000001E-3</v>
      </c>
      <c r="N38" s="238">
        <v>-8.0000000000000002E-3</v>
      </c>
      <c r="O38" s="238">
        <v>-8.0000000000000002E-3</v>
      </c>
      <c r="P38" s="238">
        <v>-7.0000000000000001E-3</v>
      </c>
      <c r="Q38" s="246">
        <f t="shared" si="1"/>
        <v>0.17800000000000002</v>
      </c>
      <c r="R38" s="239"/>
      <c r="S38" s="240" t="s">
        <v>13</v>
      </c>
      <c r="T38" s="237"/>
      <c r="U38" s="241"/>
      <c r="V38" s="241"/>
      <c r="W38" s="241"/>
      <c r="X38" s="241"/>
      <c r="Y38" s="241"/>
      <c r="Z38" s="241"/>
      <c r="AA38" s="241"/>
    </row>
    <row r="39" spans="1:27" ht="15.75" customHeight="1">
      <c r="A39" s="55" t="s">
        <v>441</v>
      </c>
      <c r="B39" s="260">
        <v>45484</v>
      </c>
      <c r="C39" s="58">
        <v>0.44930555555555557</v>
      </c>
      <c r="D39" s="260">
        <v>45484</v>
      </c>
      <c r="E39" s="258">
        <v>0.79097222222222219</v>
      </c>
      <c r="F39" s="253">
        <v>990</v>
      </c>
      <c r="G39" s="260">
        <v>45495</v>
      </c>
      <c r="H39" s="258">
        <v>0.625</v>
      </c>
      <c r="I39" s="253">
        <v>7</v>
      </c>
      <c r="J39" s="237">
        <v>1</v>
      </c>
      <c r="K39" s="257">
        <v>1E-3</v>
      </c>
      <c r="L39" s="257">
        <v>1E-3</v>
      </c>
      <c r="M39" s="257">
        <v>-1E-3</v>
      </c>
      <c r="N39" s="257">
        <v>-1E-3</v>
      </c>
      <c r="O39" s="257">
        <v>-1E-3</v>
      </c>
      <c r="P39" s="257">
        <v>-1E-3</v>
      </c>
      <c r="Q39" s="246">
        <f t="shared" si="1"/>
        <v>0.37757575757575762</v>
      </c>
      <c r="R39" s="232"/>
      <c r="S39" s="240" t="s">
        <v>13</v>
      </c>
      <c r="T39" s="26"/>
      <c r="U39" s="80"/>
      <c r="V39" s="80"/>
      <c r="W39" s="80"/>
      <c r="X39" s="80"/>
      <c r="Y39" s="80"/>
      <c r="Z39" s="80"/>
      <c r="AA39" s="80"/>
    </row>
    <row r="40" spans="1:27" ht="15.75" customHeight="1">
      <c r="A40" s="55" t="s">
        <v>442</v>
      </c>
      <c r="B40" s="57">
        <v>45489</v>
      </c>
      <c r="C40" s="58">
        <v>0.34027777777777779</v>
      </c>
      <c r="D40" s="57">
        <v>45489</v>
      </c>
      <c r="E40" s="258">
        <v>0.66319444444444442</v>
      </c>
      <c r="F40" s="253">
        <v>1023</v>
      </c>
      <c r="G40" s="260">
        <v>45495</v>
      </c>
      <c r="H40" s="258">
        <v>0.63055555555555554</v>
      </c>
      <c r="I40" s="253">
        <v>7.7</v>
      </c>
      <c r="J40" s="237">
        <v>1</v>
      </c>
      <c r="K40" s="245">
        <v>6.0000000000000001E-3</v>
      </c>
      <c r="L40" s="245">
        <v>4.0000000000000001E-3</v>
      </c>
      <c r="M40" s="245">
        <v>1E-3</v>
      </c>
      <c r="N40" s="257">
        <v>3.0000000000000001E-3</v>
      </c>
      <c r="O40" s="257">
        <v>2E-3</v>
      </c>
      <c r="P40" s="257">
        <v>1E-3</v>
      </c>
      <c r="Q40" s="246">
        <f t="shared" si="1"/>
        <v>0.80387096774193556</v>
      </c>
      <c r="R40" s="232"/>
      <c r="S40" s="240" t="s">
        <v>13</v>
      </c>
      <c r="T40" s="26"/>
      <c r="U40" s="80"/>
      <c r="V40" s="80"/>
      <c r="W40" s="80"/>
      <c r="X40" s="80"/>
      <c r="Y40" s="80"/>
      <c r="Z40" s="80"/>
      <c r="AA40" s="80"/>
    </row>
    <row r="41" spans="1:27" ht="15.75" customHeight="1">
      <c r="A41" s="55" t="s">
        <v>443</v>
      </c>
      <c r="B41" s="57">
        <v>45489</v>
      </c>
      <c r="C41" s="58">
        <v>0.37708333333333333</v>
      </c>
      <c r="D41" s="57">
        <v>45489</v>
      </c>
      <c r="E41" s="261">
        <v>0.66597222222222219</v>
      </c>
      <c r="F41" s="253">
        <v>1054</v>
      </c>
      <c r="G41" s="260">
        <v>45495</v>
      </c>
      <c r="H41" s="261">
        <v>0.63749999999999996</v>
      </c>
      <c r="I41" s="263">
        <v>8</v>
      </c>
      <c r="J41" s="237">
        <v>1</v>
      </c>
      <c r="K41" s="264">
        <v>-1E-3</v>
      </c>
      <c r="L41" s="264">
        <v>-1E-3</v>
      </c>
      <c r="M41" s="264">
        <v>-3.0000000000000001E-3</v>
      </c>
      <c r="N41" s="265">
        <v>-3.0000000000000001E-3</v>
      </c>
      <c r="O41" s="265">
        <v>-3.0000000000000001E-3</v>
      </c>
      <c r="P41" s="264">
        <v>-3.0000000000000001E-3</v>
      </c>
      <c r="Q41" s="246">
        <f t="shared" si="1"/>
        <v>0.40531309297912715</v>
      </c>
      <c r="R41" s="232"/>
      <c r="S41" s="240" t="s">
        <v>13</v>
      </c>
      <c r="T41" s="26"/>
      <c r="U41" s="80"/>
      <c r="V41" s="80"/>
      <c r="W41" s="80"/>
      <c r="X41" s="80"/>
      <c r="Y41" s="80"/>
      <c r="Z41" s="80"/>
      <c r="AA41" s="80"/>
    </row>
    <row r="42" spans="1:27" ht="36.75" customHeight="1">
      <c r="A42" s="53" t="s">
        <v>444</v>
      </c>
      <c r="B42" s="234" t="s">
        <v>74</v>
      </c>
      <c r="C42" s="235" t="s">
        <v>74</v>
      </c>
      <c r="D42" s="234" t="s">
        <v>74</v>
      </c>
      <c r="E42" s="235" t="s">
        <v>74</v>
      </c>
      <c r="F42" s="234" t="s">
        <v>74</v>
      </c>
      <c r="G42" s="236">
        <v>45496</v>
      </c>
      <c r="H42" s="235" t="s">
        <v>74</v>
      </c>
      <c r="I42" s="234" t="s">
        <v>74</v>
      </c>
      <c r="J42" s="237">
        <v>1</v>
      </c>
      <c r="K42" s="238">
        <v>0.01</v>
      </c>
      <c r="L42" s="238">
        <v>0.01</v>
      </c>
      <c r="M42" s="238">
        <v>-5.0000000000000001E-3</v>
      </c>
      <c r="N42" s="238">
        <v>4.0000000000000001E-3</v>
      </c>
      <c r="O42" s="238">
        <v>4.0000000000000001E-3</v>
      </c>
      <c r="P42" s="238">
        <v>-4.0000000000000001E-3</v>
      </c>
      <c r="Q42" s="46">
        <f>((26.7*((K42-M42)-(O42-P42))*1000))</f>
        <v>186.89999999999998</v>
      </c>
      <c r="R42" s="239" t="s">
        <v>12</v>
      </c>
      <c r="S42" s="240" t="s">
        <v>13</v>
      </c>
      <c r="U42" s="80"/>
      <c r="V42" s="80"/>
      <c r="W42" s="80"/>
      <c r="X42" s="80"/>
      <c r="Y42" s="80"/>
      <c r="Z42" s="80"/>
      <c r="AA42" s="80"/>
    </row>
    <row r="43" spans="1:27" ht="15.75" customHeight="1">
      <c r="A43" s="55" t="s">
        <v>445</v>
      </c>
      <c r="B43" s="57">
        <v>45489</v>
      </c>
      <c r="C43" s="58">
        <v>0.41597222222222224</v>
      </c>
      <c r="D43" s="57">
        <v>45489</v>
      </c>
      <c r="E43" s="261">
        <v>0.67152777777777772</v>
      </c>
      <c r="F43" s="253">
        <v>1062</v>
      </c>
      <c r="G43" s="236">
        <v>45496</v>
      </c>
      <c r="H43" s="261">
        <v>0.49027777777777776</v>
      </c>
      <c r="I43" s="263">
        <v>7</v>
      </c>
      <c r="J43" s="237">
        <v>1</v>
      </c>
      <c r="K43" s="264">
        <v>-4.0000000000000001E-3</v>
      </c>
      <c r="L43" s="264">
        <v>-4.0000000000000001E-3</v>
      </c>
      <c r="M43" s="264">
        <v>-6.0000000000000001E-3</v>
      </c>
      <c r="N43" s="264">
        <v>-5.0000000000000001E-3</v>
      </c>
      <c r="O43" s="264">
        <v>-5.0000000000000001E-3</v>
      </c>
      <c r="P43" s="264">
        <v>-4.0000000000000001E-3</v>
      </c>
      <c r="Q43" s="246">
        <f t="shared" ref="Q43:Q49" si="2">((26.7*((K43-M43)-(O43-P43))*I43)/(F43*J43))*1000</f>
        <v>0.5279661016949152</v>
      </c>
      <c r="R43" s="232"/>
      <c r="S43" s="240" t="s">
        <v>13</v>
      </c>
      <c r="T43" s="26"/>
      <c r="U43" s="80"/>
      <c r="V43" s="80"/>
      <c r="W43" s="80"/>
      <c r="X43" s="80"/>
      <c r="Y43" s="80"/>
      <c r="Z43" s="80"/>
      <c r="AA43" s="80"/>
    </row>
    <row r="44" spans="1:27" ht="15.75" customHeight="1">
      <c r="A44" s="55" t="s">
        <v>446</v>
      </c>
      <c r="B44" s="57">
        <v>45489</v>
      </c>
      <c r="C44" s="266">
        <v>0.43958333333333333</v>
      </c>
      <c r="D44" s="57">
        <v>45489</v>
      </c>
      <c r="E44" s="243">
        <v>0.68958333333333333</v>
      </c>
      <c r="F44" s="244">
        <v>1048</v>
      </c>
      <c r="G44" s="236">
        <v>45496</v>
      </c>
      <c r="H44" s="258">
        <v>0.49722222222222223</v>
      </c>
      <c r="I44" s="253">
        <v>8</v>
      </c>
      <c r="J44" s="237">
        <v>1</v>
      </c>
      <c r="K44" s="245">
        <v>-6.0000000000000001E-3</v>
      </c>
      <c r="L44" s="245">
        <v>-6.0000000000000001E-3</v>
      </c>
      <c r="M44" s="245">
        <v>-7.0000000000000001E-3</v>
      </c>
      <c r="N44" s="245">
        <v>0</v>
      </c>
      <c r="O44" s="245">
        <v>-1E-3</v>
      </c>
      <c r="P44" s="245">
        <v>0</v>
      </c>
      <c r="Q44" s="246">
        <f t="shared" si="2"/>
        <v>0.40763358778625958</v>
      </c>
      <c r="R44" s="232"/>
      <c r="S44" s="240" t="s">
        <v>13</v>
      </c>
      <c r="T44" s="26"/>
      <c r="U44" s="80"/>
      <c r="V44" s="80"/>
      <c r="W44" s="80"/>
      <c r="X44" s="80"/>
      <c r="Y44" s="80"/>
      <c r="Z44" s="80"/>
      <c r="AA44" s="80"/>
    </row>
    <row r="45" spans="1:27" ht="15.75" customHeight="1">
      <c r="A45" s="55" t="s">
        <v>447</v>
      </c>
      <c r="B45" s="57">
        <v>45489</v>
      </c>
      <c r="C45" s="58">
        <v>0.47083333333333333</v>
      </c>
      <c r="D45" s="57">
        <v>45489</v>
      </c>
      <c r="E45" s="261">
        <v>0.6958333333333333</v>
      </c>
      <c r="F45" s="263">
        <v>1052</v>
      </c>
      <c r="G45" s="236">
        <v>45496</v>
      </c>
      <c r="H45" s="261">
        <v>0.50347222222222221</v>
      </c>
      <c r="I45" s="263">
        <v>8</v>
      </c>
      <c r="J45" s="237">
        <v>1</v>
      </c>
      <c r="K45" s="245">
        <v>2E-3</v>
      </c>
      <c r="L45" s="245">
        <v>2E-3</v>
      </c>
      <c r="M45" s="245">
        <f>-0.001</f>
        <v>-1E-3</v>
      </c>
      <c r="N45" s="245">
        <v>-2E-3</v>
      </c>
      <c r="O45" s="245">
        <v>-2E-3</v>
      </c>
      <c r="P45" s="245">
        <v>-3.0000000000000001E-3</v>
      </c>
      <c r="Q45" s="246">
        <f t="shared" si="2"/>
        <v>0.40608365019011411</v>
      </c>
      <c r="R45" s="232"/>
      <c r="S45" s="240" t="s">
        <v>13</v>
      </c>
      <c r="T45" s="26"/>
      <c r="U45" s="80"/>
      <c r="V45" s="80"/>
      <c r="W45" s="80"/>
      <c r="X45" s="80"/>
      <c r="Y45" s="80"/>
      <c r="Z45" s="80"/>
      <c r="AA45" s="80"/>
    </row>
    <row r="46" spans="1:27" ht="15.75" customHeight="1">
      <c r="A46" s="55" t="s">
        <v>448</v>
      </c>
      <c r="B46" s="57">
        <v>45489</v>
      </c>
      <c r="C46" s="58">
        <v>0.48472222222222222</v>
      </c>
      <c r="D46" s="57">
        <v>45489</v>
      </c>
      <c r="E46" s="261">
        <v>0.7006944444444444</v>
      </c>
      <c r="F46" s="263">
        <v>1064</v>
      </c>
      <c r="G46" s="236">
        <v>45496</v>
      </c>
      <c r="H46" s="261">
        <v>0.5083333333333333</v>
      </c>
      <c r="I46" s="263">
        <v>7.5</v>
      </c>
      <c r="J46" s="237">
        <v>1</v>
      </c>
      <c r="K46" s="265">
        <v>-4.0000000000000001E-3</v>
      </c>
      <c r="L46" s="265">
        <v>-4.0000000000000001E-3</v>
      </c>
      <c r="M46" s="265">
        <v>-6.0000000000000001E-3</v>
      </c>
      <c r="N46" s="265">
        <v>-6.0000000000000001E-3</v>
      </c>
      <c r="O46" s="265">
        <v>-6.0000000000000001E-3</v>
      </c>
      <c r="P46" s="265">
        <v>-6.0000000000000001E-3</v>
      </c>
      <c r="Q46" s="246">
        <f t="shared" si="2"/>
        <v>0.37640977443609025</v>
      </c>
      <c r="R46" s="232"/>
      <c r="S46" s="240" t="s">
        <v>13</v>
      </c>
      <c r="T46" s="26"/>
      <c r="U46" s="80"/>
      <c r="V46" s="80"/>
      <c r="W46" s="80"/>
      <c r="X46" s="80"/>
      <c r="Y46" s="80"/>
      <c r="Z46" s="80"/>
      <c r="AA46" s="80"/>
    </row>
    <row r="47" spans="1:27" ht="15.75" customHeight="1">
      <c r="A47" s="55" t="s">
        <v>449</v>
      </c>
      <c r="B47" s="57">
        <v>45489</v>
      </c>
      <c r="C47" s="58">
        <v>0.5</v>
      </c>
      <c r="D47" s="57">
        <v>45489</v>
      </c>
      <c r="E47" s="261">
        <v>0.68541666666666667</v>
      </c>
      <c r="F47" s="263">
        <v>1051</v>
      </c>
      <c r="G47" s="236">
        <v>45496</v>
      </c>
      <c r="H47" s="267">
        <v>0.51249999999999996</v>
      </c>
      <c r="I47" s="263">
        <v>7</v>
      </c>
      <c r="J47" s="237">
        <v>1</v>
      </c>
      <c r="K47" s="265">
        <v>-6.0000000000000001E-3</v>
      </c>
      <c r="L47" s="265">
        <v>-7.0000000000000001E-3</v>
      </c>
      <c r="M47" s="265">
        <v>-7.0000000000000001E-3</v>
      </c>
      <c r="N47" s="265">
        <v>-8.0000000000000002E-3</v>
      </c>
      <c r="O47" s="265">
        <v>-8.0000000000000002E-3</v>
      </c>
      <c r="P47" s="265">
        <v>-7.0000000000000001E-3</v>
      </c>
      <c r="Q47" s="246">
        <f t="shared" si="2"/>
        <v>0.35566127497621314</v>
      </c>
      <c r="R47" s="232"/>
      <c r="S47" s="240" t="s">
        <v>13</v>
      </c>
      <c r="T47" s="26"/>
      <c r="U47" s="80"/>
      <c r="V47" s="80"/>
      <c r="W47" s="80"/>
      <c r="X47" s="80"/>
      <c r="Y47" s="80"/>
      <c r="Z47" s="80"/>
      <c r="AA47" s="80"/>
    </row>
    <row r="48" spans="1:27" ht="15.75" customHeight="1">
      <c r="A48" s="55" t="s">
        <v>450</v>
      </c>
      <c r="B48" s="268">
        <v>45491</v>
      </c>
      <c r="C48" s="58">
        <v>0.31319444444444444</v>
      </c>
      <c r="D48" s="268">
        <v>45491</v>
      </c>
      <c r="E48" s="261">
        <v>0.57013888888888886</v>
      </c>
      <c r="F48" s="263">
        <v>1042</v>
      </c>
      <c r="G48" s="236">
        <v>45496</v>
      </c>
      <c r="H48" s="261">
        <v>0.51944444444444449</v>
      </c>
      <c r="I48" s="263">
        <v>7</v>
      </c>
      <c r="J48" s="237">
        <v>1</v>
      </c>
      <c r="K48" s="265">
        <v>-3.0000000000000001E-3</v>
      </c>
      <c r="L48" s="265">
        <v>-3.0000000000000001E-3</v>
      </c>
      <c r="M48" s="265">
        <v>-5.0000000000000001E-3</v>
      </c>
      <c r="N48" s="265">
        <v>-4.0000000000000001E-3</v>
      </c>
      <c r="O48" s="265">
        <v>-5.0000000000000001E-3</v>
      </c>
      <c r="P48" s="265">
        <v>-5.0000000000000001E-3</v>
      </c>
      <c r="Q48" s="246">
        <f t="shared" si="2"/>
        <v>0.35873320537428027</v>
      </c>
      <c r="R48" s="232"/>
      <c r="S48" s="240" t="s">
        <v>13</v>
      </c>
      <c r="T48" s="26"/>
      <c r="U48" s="80"/>
      <c r="V48" s="80"/>
      <c r="W48" s="80"/>
      <c r="X48" s="80"/>
      <c r="Y48" s="80"/>
      <c r="Z48" s="80"/>
      <c r="AA48" s="80"/>
    </row>
    <row r="49" spans="1:27" ht="15.75" customHeight="1">
      <c r="A49" s="242" t="s">
        <v>451</v>
      </c>
      <c r="B49" s="268">
        <v>45491</v>
      </c>
      <c r="C49" s="243">
        <v>0.32777777777777778</v>
      </c>
      <c r="D49" s="268">
        <v>45491</v>
      </c>
      <c r="E49" s="261">
        <v>0.57430555555555551</v>
      </c>
      <c r="F49" s="263">
        <v>1064</v>
      </c>
      <c r="G49" s="236">
        <v>45130</v>
      </c>
      <c r="H49" s="261">
        <v>0.52361111111111114</v>
      </c>
      <c r="I49" s="263">
        <v>8</v>
      </c>
      <c r="J49" s="237">
        <v>1</v>
      </c>
      <c r="K49" s="245">
        <v>-8.0000000000000002E-3</v>
      </c>
      <c r="L49" s="245">
        <v>-8.0000000000000002E-3</v>
      </c>
      <c r="M49" s="245">
        <v>-8.0000000000000002E-3</v>
      </c>
      <c r="N49" s="245">
        <v>-8.9999999999999993E-3</v>
      </c>
      <c r="O49" s="245">
        <v>-8.9999999999999993E-3</v>
      </c>
      <c r="P49" s="245">
        <v>-8.0000000000000002E-3</v>
      </c>
      <c r="Q49" s="246">
        <f t="shared" si="2"/>
        <v>0.20075187969924796</v>
      </c>
      <c r="R49" s="232"/>
      <c r="S49" s="240" t="s">
        <v>13</v>
      </c>
      <c r="T49" s="26"/>
      <c r="U49" s="80"/>
      <c r="V49" s="80"/>
      <c r="W49" s="80"/>
      <c r="X49" s="80"/>
      <c r="Y49" s="80"/>
      <c r="Z49" s="80"/>
      <c r="AA49" s="80"/>
    </row>
    <row r="50" spans="1:27" ht="27.75" customHeight="1">
      <c r="A50" s="53" t="s">
        <v>452</v>
      </c>
      <c r="B50" s="247" t="s">
        <v>74</v>
      </c>
      <c r="C50" s="7" t="s">
        <v>74</v>
      </c>
      <c r="D50" s="7" t="s">
        <v>74</v>
      </c>
      <c r="E50" s="269" t="s">
        <v>74</v>
      </c>
      <c r="F50" s="263" t="s">
        <v>74</v>
      </c>
      <c r="G50" s="8">
        <v>45503</v>
      </c>
      <c r="H50" s="269" t="s">
        <v>74</v>
      </c>
      <c r="I50" s="263" t="s">
        <v>74</v>
      </c>
      <c r="J50" s="237">
        <v>1</v>
      </c>
      <c r="K50" s="238">
        <v>1E-3</v>
      </c>
      <c r="L50" s="238">
        <v>2E-3</v>
      </c>
      <c r="M50" s="238">
        <v>1E-3</v>
      </c>
      <c r="N50" s="238">
        <v>0</v>
      </c>
      <c r="O50" s="238">
        <v>0</v>
      </c>
      <c r="P50" s="238">
        <v>1E-3</v>
      </c>
      <c r="Q50" s="46">
        <f>((26.7*((K50-M50)-(O50-P50))*1000))</f>
        <v>26.700000000000003</v>
      </c>
      <c r="R50" s="239" t="s">
        <v>12</v>
      </c>
      <c r="S50" s="240" t="s">
        <v>13</v>
      </c>
      <c r="T50" s="26"/>
      <c r="U50" s="80"/>
      <c r="V50" s="80"/>
      <c r="W50" s="80"/>
      <c r="X50" s="80"/>
      <c r="Y50" s="80"/>
      <c r="Z50" s="80"/>
      <c r="AA50" s="80"/>
    </row>
    <row r="51" spans="1:27" ht="15.75" customHeight="1">
      <c r="A51" s="242" t="s">
        <v>453</v>
      </c>
      <c r="B51" s="268">
        <v>45503</v>
      </c>
      <c r="C51" s="9">
        <v>0.2673611111111111</v>
      </c>
      <c r="D51" s="8">
        <v>45504</v>
      </c>
      <c r="E51" s="261">
        <v>0.55347222222222225</v>
      </c>
      <c r="F51" s="263">
        <v>1000</v>
      </c>
      <c r="G51" s="8">
        <v>45503</v>
      </c>
      <c r="H51" s="261">
        <v>0.58750000000000002</v>
      </c>
      <c r="I51" s="263">
        <v>6.5</v>
      </c>
      <c r="J51" s="237">
        <v>1</v>
      </c>
      <c r="K51" s="265">
        <v>1E-3</v>
      </c>
      <c r="L51" s="265">
        <v>1E-3</v>
      </c>
      <c r="M51" s="265">
        <v>0</v>
      </c>
      <c r="N51" s="265">
        <v>0</v>
      </c>
      <c r="O51" s="265">
        <v>0</v>
      </c>
      <c r="P51" s="265">
        <v>0</v>
      </c>
      <c r="Q51" s="246">
        <f t="shared" ref="Q51:Q52" si="3">((26.7*((K51-M51)-(O51-P51))*I51)/(F51*J51))*1000</f>
        <v>0.17355000000000001</v>
      </c>
      <c r="R51" s="232"/>
      <c r="S51" s="240" t="s">
        <v>13</v>
      </c>
      <c r="T51" s="26"/>
      <c r="U51" s="80"/>
      <c r="V51" s="80"/>
      <c r="W51" s="80"/>
      <c r="X51" s="80"/>
      <c r="Y51" s="80"/>
      <c r="Z51" s="80"/>
      <c r="AA51" s="80"/>
    </row>
    <row r="52" spans="1:27" ht="15.75" customHeight="1">
      <c r="A52" s="242" t="s">
        <v>454</v>
      </c>
      <c r="B52" s="268">
        <v>45503</v>
      </c>
      <c r="C52" s="9">
        <v>0.28680555555555554</v>
      </c>
      <c r="D52" s="8">
        <v>45504</v>
      </c>
      <c r="E52" s="261">
        <v>0.55555555555555558</v>
      </c>
      <c r="F52" s="263">
        <v>1054</v>
      </c>
      <c r="G52" s="8">
        <v>45503</v>
      </c>
      <c r="H52" s="261">
        <v>0.59236111111111112</v>
      </c>
      <c r="I52" s="263">
        <v>6.5</v>
      </c>
      <c r="J52" s="237">
        <v>1</v>
      </c>
      <c r="K52" s="265">
        <v>0</v>
      </c>
      <c r="L52" s="265">
        <v>0</v>
      </c>
      <c r="M52" s="265">
        <v>0</v>
      </c>
      <c r="N52" s="265">
        <v>-1E-3</v>
      </c>
      <c r="O52" s="265">
        <v>-1E-3</v>
      </c>
      <c r="P52" s="265">
        <v>0</v>
      </c>
      <c r="Q52" s="246">
        <f t="shared" si="3"/>
        <v>0.16465844402277041</v>
      </c>
      <c r="R52" s="232"/>
      <c r="S52" s="240" t="s">
        <v>13</v>
      </c>
      <c r="T52" s="26"/>
      <c r="U52" s="80"/>
      <c r="V52" s="80"/>
      <c r="W52" s="80"/>
      <c r="X52" s="80"/>
      <c r="Y52" s="80"/>
      <c r="Z52" s="80"/>
      <c r="AA52" s="80"/>
    </row>
    <row r="53" spans="1:27" ht="15.75" customHeight="1">
      <c r="A53" s="80"/>
      <c r="B53" s="270"/>
      <c r="C53" s="271"/>
      <c r="D53" s="80"/>
      <c r="E53" s="271"/>
      <c r="F53" s="272"/>
      <c r="G53" s="270"/>
      <c r="H53" s="271"/>
      <c r="I53" s="272"/>
      <c r="J53" s="80"/>
      <c r="K53" s="273"/>
      <c r="L53" s="273"/>
      <c r="M53" s="273"/>
      <c r="N53" s="273"/>
      <c r="O53" s="273"/>
      <c r="P53" s="273"/>
      <c r="Q53" s="274"/>
      <c r="R53" s="80"/>
      <c r="S53" s="80"/>
      <c r="T53" s="241"/>
      <c r="U53" s="80"/>
      <c r="V53" s="80"/>
      <c r="W53" s="80"/>
      <c r="X53" s="80"/>
      <c r="Y53" s="80"/>
      <c r="Z53" s="80"/>
      <c r="AA53" s="80"/>
    </row>
    <row r="54" spans="1:27" ht="15.75" customHeight="1">
      <c r="A54" s="80"/>
      <c r="B54" s="270"/>
      <c r="C54" s="271"/>
      <c r="D54" s="80"/>
      <c r="E54" s="271"/>
      <c r="F54" s="272"/>
      <c r="G54" s="270"/>
      <c r="H54" s="271"/>
      <c r="I54" s="272"/>
      <c r="J54" s="80"/>
      <c r="K54" s="273"/>
      <c r="L54" s="273"/>
      <c r="M54" s="273"/>
      <c r="N54" s="273"/>
      <c r="O54" s="273"/>
      <c r="P54" s="273"/>
      <c r="Q54" s="274"/>
      <c r="R54" s="80"/>
      <c r="S54" s="80"/>
      <c r="T54" s="241"/>
      <c r="U54" s="80"/>
      <c r="V54" s="80"/>
      <c r="W54" s="80"/>
      <c r="X54" s="80"/>
      <c r="Y54" s="80"/>
      <c r="Z54" s="80"/>
      <c r="AA54" s="80"/>
    </row>
    <row r="55" spans="1:27" ht="15.75" customHeight="1">
      <c r="A55" s="80"/>
      <c r="B55" s="270"/>
      <c r="C55" s="271"/>
      <c r="D55" s="80"/>
      <c r="E55" s="271"/>
      <c r="F55" s="272"/>
      <c r="G55" s="270"/>
      <c r="H55" s="271"/>
      <c r="I55" s="272"/>
      <c r="J55" s="80"/>
      <c r="K55" s="273"/>
      <c r="L55" s="273"/>
      <c r="M55" s="273"/>
      <c r="N55" s="273"/>
      <c r="O55" s="273"/>
      <c r="P55" s="273"/>
      <c r="Q55" s="274"/>
      <c r="R55" s="80"/>
      <c r="S55" s="80"/>
      <c r="T55" s="241"/>
      <c r="U55" s="80"/>
      <c r="V55" s="80"/>
      <c r="W55" s="80"/>
      <c r="X55" s="80"/>
      <c r="Y55" s="80"/>
      <c r="Z55" s="80"/>
      <c r="AA55" s="80"/>
    </row>
    <row r="56" spans="1:27" ht="15.75" customHeight="1">
      <c r="A56" s="80"/>
      <c r="B56" s="270"/>
      <c r="C56" s="271"/>
      <c r="D56" s="80"/>
      <c r="E56" s="271"/>
      <c r="F56" s="272"/>
      <c r="G56" s="270"/>
      <c r="H56" s="271"/>
      <c r="I56" s="272"/>
      <c r="J56" s="80"/>
      <c r="K56" s="273"/>
      <c r="L56" s="273"/>
      <c r="M56" s="273"/>
      <c r="N56" s="273"/>
      <c r="O56" s="273"/>
      <c r="P56" s="273"/>
      <c r="Q56" s="274"/>
      <c r="R56" s="80"/>
      <c r="S56" s="80"/>
      <c r="T56" s="241"/>
      <c r="U56" s="80"/>
      <c r="V56" s="80"/>
      <c r="W56" s="80"/>
      <c r="X56" s="80"/>
      <c r="Y56" s="80"/>
      <c r="Z56" s="80"/>
      <c r="AA56" s="80"/>
    </row>
    <row r="57" spans="1:27" ht="15.75" customHeight="1">
      <c r="A57" s="80"/>
      <c r="B57" s="270"/>
      <c r="C57" s="271"/>
      <c r="D57" s="80"/>
      <c r="E57" s="271"/>
      <c r="F57" s="272"/>
      <c r="G57" s="270"/>
      <c r="H57" s="271"/>
      <c r="I57" s="272"/>
      <c r="J57" s="80"/>
      <c r="K57" s="273"/>
      <c r="L57" s="273"/>
      <c r="M57" s="273"/>
      <c r="N57" s="273"/>
      <c r="O57" s="273"/>
      <c r="P57" s="273"/>
      <c r="Q57" s="274"/>
      <c r="R57" s="80"/>
      <c r="S57" s="80"/>
      <c r="T57" s="241"/>
      <c r="U57" s="80"/>
      <c r="V57" s="80"/>
      <c r="W57" s="80"/>
      <c r="X57" s="80"/>
      <c r="Y57" s="80"/>
      <c r="Z57" s="80"/>
      <c r="AA57" s="80"/>
    </row>
    <row r="58" spans="1:27" ht="15.75" customHeight="1">
      <c r="A58" s="80"/>
      <c r="B58" s="270"/>
      <c r="C58" s="271"/>
      <c r="D58" s="80"/>
      <c r="E58" s="271"/>
      <c r="F58" s="272"/>
      <c r="G58" s="270"/>
      <c r="H58" s="271"/>
      <c r="I58" s="272"/>
      <c r="J58" s="80"/>
      <c r="K58" s="273"/>
      <c r="L58" s="273"/>
      <c r="M58" s="273"/>
      <c r="N58" s="273"/>
      <c r="O58" s="273"/>
      <c r="P58" s="273"/>
      <c r="Q58" s="274"/>
      <c r="R58" s="80"/>
      <c r="S58" s="80"/>
      <c r="T58" s="241"/>
      <c r="U58" s="80"/>
      <c r="V58" s="80"/>
      <c r="W58" s="80"/>
      <c r="X58" s="80"/>
      <c r="Y58" s="80"/>
      <c r="Z58" s="80"/>
      <c r="AA58" s="80"/>
    </row>
    <row r="59" spans="1:27" ht="15.75" customHeight="1">
      <c r="A59" s="80"/>
      <c r="B59" s="270"/>
      <c r="C59" s="271"/>
      <c r="D59" s="80"/>
      <c r="E59" s="271"/>
      <c r="F59" s="272"/>
      <c r="G59" s="270"/>
      <c r="H59" s="271"/>
      <c r="I59" s="272"/>
      <c r="J59" s="80"/>
      <c r="K59" s="273"/>
      <c r="L59" s="273"/>
      <c r="M59" s="273"/>
      <c r="N59" s="273"/>
      <c r="O59" s="273"/>
      <c r="P59" s="273"/>
      <c r="Q59" s="274"/>
      <c r="R59" s="80"/>
      <c r="S59" s="80"/>
      <c r="T59" s="241"/>
      <c r="U59" s="80"/>
      <c r="V59" s="80"/>
      <c r="W59" s="80"/>
      <c r="X59" s="80"/>
      <c r="Y59" s="80"/>
      <c r="Z59" s="80"/>
      <c r="AA59" s="80"/>
    </row>
    <row r="60" spans="1:27" ht="15.75" customHeight="1">
      <c r="A60" s="80"/>
      <c r="B60" s="270"/>
      <c r="C60" s="271"/>
      <c r="D60" s="80"/>
      <c r="E60" s="271"/>
      <c r="F60" s="272"/>
      <c r="G60" s="270"/>
      <c r="H60" s="271"/>
      <c r="I60" s="272"/>
      <c r="J60" s="80"/>
      <c r="K60" s="273"/>
      <c r="L60" s="273"/>
      <c r="M60" s="273"/>
      <c r="N60" s="273"/>
      <c r="O60" s="273"/>
      <c r="P60" s="273"/>
      <c r="Q60" s="274"/>
      <c r="R60" s="80"/>
      <c r="S60" s="80"/>
      <c r="T60" s="241"/>
      <c r="U60" s="80"/>
      <c r="V60" s="80"/>
      <c r="W60" s="80"/>
      <c r="X60" s="80"/>
      <c r="Y60" s="80"/>
      <c r="Z60" s="80"/>
      <c r="AA60" s="80"/>
    </row>
    <row r="61" spans="1:27" ht="15.75" customHeight="1">
      <c r="A61" s="80"/>
      <c r="B61" s="270"/>
      <c r="C61" s="271"/>
      <c r="D61" s="80"/>
      <c r="E61" s="271"/>
      <c r="F61" s="272"/>
      <c r="G61" s="270"/>
      <c r="H61" s="271"/>
      <c r="I61" s="272"/>
      <c r="J61" s="80"/>
      <c r="K61" s="273"/>
      <c r="L61" s="273"/>
      <c r="M61" s="273"/>
      <c r="N61" s="273"/>
      <c r="O61" s="273"/>
      <c r="P61" s="273"/>
      <c r="Q61" s="274"/>
      <c r="R61" s="80"/>
      <c r="S61" s="80"/>
      <c r="T61" s="241"/>
      <c r="U61" s="80"/>
      <c r="V61" s="80"/>
      <c r="W61" s="80"/>
      <c r="X61" s="80"/>
      <c r="Y61" s="80"/>
      <c r="Z61" s="80"/>
      <c r="AA61" s="80"/>
    </row>
    <row r="62" spans="1:27" ht="15.75" customHeight="1">
      <c r="A62" s="80"/>
      <c r="B62" s="270"/>
      <c r="C62" s="271"/>
      <c r="D62" s="80"/>
      <c r="E62" s="271"/>
      <c r="F62" s="272"/>
      <c r="G62" s="270"/>
      <c r="H62" s="271"/>
      <c r="I62" s="272"/>
      <c r="J62" s="80"/>
      <c r="K62" s="273"/>
      <c r="L62" s="273"/>
      <c r="M62" s="273"/>
      <c r="N62" s="273"/>
      <c r="O62" s="273"/>
      <c r="P62" s="273"/>
      <c r="Q62" s="274"/>
      <c r="R62" s="80"/>
      <c r="S62" s="80"/>
      <c r="T62" s="241"/>
      <c r="U62" s="80"/>
      <c r="V62" s="80"/>
      <c r="W62" s="80"/>
      <c r="X62" s="80"/>
      <c r="Y62" s="80"/>
      <c r="Z62" s="80"/>
      <c r="AA62" s="80"/>
    </row>
    <row r="63" spans="1:27" ht="15.75" customHeight="1">
      <c r="A63" s="80"/>
      <c r="B63" s="270"/>
      <c r="C63" s="271"/>
      <c r="D63" s="80"/>
      <c r="E63" s="271"/>
      <c r="F63" s="272"/>
      <c r="G63" s="270"/>
      <c r="H63" s="271"/>
      <c r="I63" s="272"/>
      <c r="J63" s="80"/>
      <c r="K63" s="273"/>
      <c r="L63" s="273"/>
      <c r="M63" s="273"/>
      <c r="N63" s="273"/>
      <c r="O63" s="273"/>
      <c r="P63" s="273"/>
      <c r="Q63" s="274"/>
      <c r="R63" s="80"/>
      <c r="S63" s="80"/>
      <c r="T63" s="241"/>
      <c r="U63" s="80"/>
      <c r="V63" s="80"/>
      <c r="W63" s="80"/>
      <c r="X63" s="80"/>
      <c r="Y63" s="80"/>
      <c r="Z63" s="80"/>
      <c r="AA63" s="80"/>
    </row>
    <row r="64" spans="1:27" ht="15.75" customHeight="1">
      <c r="A64" s="80"/>
      <c r="B64" s="270"/>
      <c r="C64" s="271"/>
      <c r="D64" s="80"/>
      <c r="E64" s="271"/>
      <c r="F64" s="272"/>
      <c r="G64" s="270"/>
      <c r="H64" s="271"/>
      <c r="I64" s="272"/>
      <c r="J64" s="80"/>
      <c r="K64" s="273"/>
      <c r="L64" s="273"/>
      <c r="M64" s="273"/>
      <c r="N64" s="273"/>
      <c r="O64" s="273"/>
      <c r="P64" s="273"/>
      <c r="Q64" s="274"/>
      <c r="R64" s="80"/>
      <c r="S64" s="80"/>
      <c r="T64" s="241"/>
      <c r="U64" s="80"/>
      <c r="V64" s="80"/>
      <c r="W64" s="80"/>
      <c r="X64" s="80"/>
      <c r="Y64" s="80"/>
      <c r="Z64" s="80"/>
      <c r="AA64" s="80"/>
    </row>
    <row r="65" spans="1:27" ht="15.75" customHeight="1">
      <c r="A65" s="80"/>
      <c r="B65" s="270"/>
      <c r="C65" s="271"/>
      <c r="D65" s="80"/>
      <c r="E65" s="271"/>
      <c r="F65" s="272"/>
      <c r="G65" s="270"/>
      <c r="H65" s="271"/>
      <c r="I65" s="272"/>
      <c r="J65" s="80"/>
      <c r="K65" s="273"/>
      <c r="L65" s="273"/>
      <c r="M65" s="273"/>
      <c r="N65" s="273"/>
      <c r="O65" s="273"/>
      <c r="P65" s="273"/>
      <c r="Q65" s="274"/>
      <c r="R65" s="80"/>
      <c r="S65" s="80"/>
      <c r="T65" s="241"/>
      <c r="U65" s="80"/>
      <c r="V65" s="80"/>
      <c r="W65" s="80"/>
      <c r="X65" s="80"/>
      <c r="Y65" s="80"/>
      <c r="Z65" s="80"/>
      <c r="AA65" s="80"/>
    </row>
    <row r="66" spans="1:27" ht="15.75" customHeight="1">
      <c r="A66" s="80"/>
      <c r="B66" s="270"/>
      <c r="C66" s="271"/>
      <c r="D66" s="80"/>
      <c r="E66" s="271"/>
      <c r="F66" s="272"/>
      <c r="G66" s="270"/>
      <c r="H66" s="271"/>
      <c r="I66" s="272"/>
      <c r="J66" s="80"/>
      <c r="K66" s="273"/>
      <c r="L66" s="273"/>
      <c r="M66" s="273"/>
      <c r="N66" s="273"/>
      <c r="O66" s="273"/>
      <c r="P66" s="273"/>
      <c r="Q66" s="274"/>
      <c r="R66" s="80"/>
      <c r="S66" s="80"/>
      <c r="T66" s="241"/>
      <c r="U66" s="80"/>
      <c r="V66" s="80"/>
      <c r="W66" s="80"/>
      <c r="X66" s="80"/>
      <c r="Y66" s="80"/>
      <c r="Z66" s="80"/>
      <c r="AA66" s="80"/>
    </row>
    <row r="67" spans="1:27" ht="15.75" customHeight="1">
      <c r="A67" s="80"/>
      <c r="B67" s="270"/>
      <c r="C67" s="271"/>
      <c r="D67" s="80"/>
      <c r="E67" s="271"/>
      <c r="F67" s="272"/>
      <c r="G67" s="270"/>
      <c r="H67" s="271"/>
      <c r="I67" s="272"/>
      <c r="J67" s="80"/>
      <c r="K67" s="273"/>
      <c r="L67" s="273"/>
      <c r="M67" s="273"/>
      <c r="N67" s="273"/>
      <c r="O67" s="273"/>
      <c r="P67" s="273"/>
      <c r="Q67" s="274"/>
      <c r="R67" s="80"/>
      <c r="S67" s="80"/>
      <c r="T67" s="241"/>
      <c r="U67" s="80"/>
      <c r="V67" s="80"/>
      <c r="W67" s="80"/>
      <c r="X67" s="80"/>
      <c r="Y67" s="80"/>
      <c r="Z67" s="80"/>
      <c r="AA67" s="80"/>
    </row>
    <row r="68" spans="1:27" ht="15.75" customHeight="1">
      <c r="A68" s="80"/>
      <c r="B68" s="270"/>
      <c r="C68" s="271"/>
      <c r="D68" s="80"/>
      <c r="E68" s="271"/>
      <c r="F68" s="272"/>
      <c r="G68" s="270"/>
      <c r="H68" s="271"/>
      <c r="I68" s="272"/>
      <c r="J68" s="80"/>
      <c r="K68" s="273"/>
      <c r="L68" s="273"/>
      <c r="M68" s="273"/>
      <c r="N68" s="273"/>
      <c r="O68" s="273"/>
      <c r="P68" s="273"/>
      <c r="Q68" s="274"/>
      <c r="R68" s="80"/>
      <c r="S68" s="80"/>
      <c r="T68" s="241"/>
      <c r="U68" s="80"/>
      <c r="V68" s="80"/>
      <c r="W68" s="80"/>
      <c r="X68" s="80"/>
      <c r="Y68" s="80"/>
      <c r="Z68" s="80"/>
      <c r="AA68" s="80"/>
    </row>
    <row r="69" spans="1:27" ht="15.75" customHeight="1">
      <c r="A69" s="80"/>
      <c r="B69" s="270"/>
      <c r="C69" s="271"/>
      <c r="D69" s="80"/>
      <c r="E69" s="271"/>
      <c r="F69" s="272"/>
      <c r="G69" s="270"/>
      <c r="H69" s="271"/>
      <c r="I69" s="272"/>
      <c r="J69" s="80"/>
      <c r="K69" s="273"/>
      <c r="L69" s="273"/>
      <c r="M69" s="273"/>
      <c r="N69" s="273"/>
      <c r="O69" s="273"/>
      <c r="P69" s="273"/>
      <c r="Q69" s="274"/>
      <c r="R69" s="80"/>
      <c r="S69" s="80"/>
      <c r="T69" s="241"/>
      <c r="U69" s="80"/>
      <c r="V69" s="80"/>
      <c r="W69" s="80"/>
      <c r="X69" s="80"/>
      <c r="Y69" s="80"/>
      <c r="Z69" s="80"/>
      <c r="AA69" s="80"/>
    </row>
    <row r="70" spans="1:27" ht="15.75" customHeight="1">
      <c r="A70" s="80"/>
      <c r="B70" s="270"/>
      <c r="C70" s="271"/>
      <c r="D70" s="80"/>
      <c r="E70" s="271"/>
      <c r="F70" s="272"/>
      <c r="G70" s="270"/>
      <c r="H70" s="271"/>
      <c r="I70" s="272"/>
      <c r="J70" s="80"/>
      <c r="K70" s="273"/>
      <c r="L70" s="273"/>
      <c r="M70" s="273"/>
      <c r="N70" s="273"/>
      <c r="O70" s="273"/>
      <c r="P70" s="273"/>
      <c r="Q70" s="274"/>
      <c r="R70" s="80"/>
      <c r="S70" s="80"/>
      <c r="T70" s="241"/>
      <c r="U70" s="80"/>
      <c r="V70" s="80"/>
      <c r="W70" s="80"/>
      <c r="X70" s="80"/>
      <c r="Y70" s="80"/>
      <c r="Z70" s="80"/>
      <c r="AA70" s="80"/>
    </row>
    <row r="71" spans="1:27" ht="15.75" customHeight="1">
      <c r="A71" s="80"/>
      <c r="B71" s="270"/>
      <c r="C71" s="271"/>
      <c r="D71" s="80"/>
      <c r="E71" s="271"/>
      <c r="F71" s="272"/>
      <c r="G71" s="270"/>
      <c r="H71" s="271"/>
      <c r="I71" s="272"/>
      <c r="J71" s="80"/>
      <c r="K71" s="273"/>
      <c r="L71" s="273"/>
      <c r="M71" s="273"/>
      <c r="N71" s="273"/>
      <c r="O71" s="273"/>
      <c r="P71" s="273"/>
      <c r="Q71" s="274"/>
      <c r="R71" s="80"/>
      <c r="S71" s="80"/>
      <c r="T71" s="241"/>
      <c r="U71" s="80"/>
      <c r="V71" s="80"/>
      <c r="W71" s="80"/>
      <c r="X71" s="80"/>
      <c r="Y71" s="80"/>
      <c r="Z71" s="80"/>
      <c r="AA71" s="80"/>
    </row>
    <row r="72" spans="1:27" ht="15.75" customHeight="1">
      <c r="A72" s="80"/>
      <c r="B72" s="270"/>
      <c r="C72" s="271"/>
      <c r="D72" s="80"/>
      <c r="E72" s="271"/>
      <c r="F72" s="272"/>
      <c r="G72" s="270"/>
      <c r="H72" s="271"/>
      <c r="I72" s="272"/>
      <c r="J72" s="80"/>
      <c r="K72" s="273"/>
      <c r="L72" s="273"/>
      <c r="M72" s="273"/>
      <c r="N72" s="273"/>
      <c r="O72" s="273"/>
      <c r="P72" s="273"/>
      <c r="Q72" s="274"/>
      <c r="R72" s="80"/>
      <c r="S72" s="80"/>
      <c r="T72" s="241"/>
      <c r="U72" s="80"/>
      <c r="V72" s="80"/>
      <c r="W72" s="80"/>
      <c r="X72" s="80"/>
      <c r="Y72" s="80"/>
      <c r="Z72" s="80"/>
      <c r="AA72" s="80"/>
    </row>
    <row r="73" spans="1:27" ht="15.75" customHeight="1">
      <c r="A73" s="80"/>
      <c r="B73" s="270"/>
      <c r="C73" s="271"/>
      <c r="D73" s="80"/>
      <c r="E73" s="271"/>
      <c r="F73" s="272"/>
      <c r="G73" s="270"/>
      <c r="H73" s="271"/>
      <c r="I73" s="272"/>
      <c r="J73" s="80"/>
      <c r="K73" s="273"/>
      <c r="L73" s="273"/>
      <c r="M73" s="273"/>
      <c r="N73" s="273"/>
      <c r="O73" s="273"/>
      <c r="P73" s="273"/>
      <c r="Q73" s="274"/>
      <c r="R73" s="80"/>
      <c r="S73" s="80"/>
      <c r="T73" s="241"/>
      <c r="U73" s="80"/>
      <c r="V73" s="80"/>
      <c r="W73" s="80"/>
      <c r="X73" s="80"/>
      <c r="Y73" s="80"/>
      <c r="Z73" s="80"/>
      <c r="AA73" s="80"/>
    </row>
    <row r="74" spans="1:27" ht="15.75" customHeight="1">
      <c r="A74" s="80"/>
      <c r="B74" s="270"/>
      <c r="C74" s="271"/>
      <c r="D74" s="80"/>
      <c r="E74" s="271"/>
      <c r="F74" s="272"/>
      <c r="G74" s="270"/>
      <c r="H74" s="271"/>
      <c r="I74" s="272"/>
      <c r="J74" s="80"/>
      <c r="K74" s="273"/>
      <c r="L74" s="273"/>
      <c r="M74" s="273"/>
      <c r="N74" s="273"/>
      <c r="O74" s="273"/>
      <c r="P74" s="273"/>
      <c r="Q74" s="274"/>
      <c r="R74" s="80"/>
      <c r="S74" s="80"/>
      <c r="T74" s="241"/>
      <c r="U74" s="80"/>
      <c r="V74" s="80"/>
      <c r="W74" s="80"/>
      <c r="X74" s="80"/>
      <c r="Y74" s="80"/>
      <c r="Z74" s="80"/>
      <c r="AA74" s="80"/>
    </row>
    <row r="75" spans="1:27" ht="15.75" customHeight="1">
      <c r="A75" s="80"/>
      <c r="B75" s="270"/>
      <c r="C75" s="271"/>
      <c r="D75" s="80"/>
      <c r="E75" s="271"/>
      <c r="F75" s="272"/>
      <c r="G75" s="270"/>
      <c r="H75" s="271"/>
      <c r="I75" s="272"/>
      <c r="J75" s="80"/>
      <c r="K75" s="273"/>
      <c r="L75" s="273"/>
      <c r="M75" s="273"/>
      <c r="N75" s="273"/>
      <c r="O75" s="273"/>
      <c r="P75" s="273"/>
      <c r="Q75" s="274"/>
      <c r="R75" s="80"/>
      <c r="S75" s="80"/>
      <c r="T75" s="241"/>
      <c r="U75" s="80"/>
      <c r="V75" s="80"/>
      <c r="W75" s="80"/>
      <c r="X75" s="80"/>
      <c r="Y75" s="80"/>
      <c r="Z75" s="80"/>
      <c r="AA75" s="80"/>
    </row>
    <row r="76" spans="1:27" ht="15.75" customHeight="1">
      <c r="A76" s="80"/>
      <c r="B76" s="270"/>
      <c r="C76" s="271"/>
      <c r="D76" s="80"/>
      <c r="E76" s="271"/>
      <c r="F76" s="272"/>
      <c r="G76" s="270"/>
      <c r="H76" s="271"/>
      <c r="I76" s="272"/>
      <c r="J76" s="80"/>
      <c r="K76" s="273"/>
      <c r="L76" s="273"/>
      <c r="M76" s="273"/>
      <c r="N76" s="273"/>
      <c r="O76" s="273"/>
      <c r="P76" s="273"/>
      <c r="Q76" s="274"/>
      <c r="R76" s="80"/>
      <c r="S76" s="80"/>
      <c r="T76" s="241"/>
      <c r="U76" s="80"/>
      <c r="V76" s="80"/>
      <c r="W76" s="80"/>
      <c r="X76" s="80"/>
      <c r="Y76" s="80"/>
      <c r="Z76" s="80"/>
      <c r="AA76" s="80"/>
    </row>
    <row r="77" spans="1:27" ht="15.75" customHeight="1">
      <c r="A77" s="80"/>
      <c r="B77" s="270"/>
      <c r="C77" s="271"/>
      <c r="D77" s="80"/>
      <c r="E77" s="271"/>
      <c r="F77" s="272"/>
      <c r="G77" s="270"/>
      <c r="H77" s="271"/>
      <c r="I77" s="272"/>
      <c r="J77" s="80"/>
      <c r="K77" s="273"/>
      <c r="L77" s="273"/>
      <c r="M77" s="273"/>
      <c r="N77" s="273"/>
      <c r="O77" s="273"/>
      <c r="P77" s="273"/>
      <c r="Q77" s="274"/>
      <c r="R77" s="80"/>
      <c r="S77" s="80"/>
      <c r="T77" s="241"/>
      <c r="U77" s="80"/>
      <c r="V77" s="80"/>
      <c r="W77" s="80"/>
      <c r="X77" s="80"/>
      <c r="Y77" s="80"/>
      <c r="Z77" s="80"/>
      <c r="AA77" s="80"/>
    </row>
    <row r="78" spans="1:27" ht="15.75" customHeight="1">
      <c r="A78" s="80"/>
      <c r="B78" s="270"/>
      <c r="C78" s="271"/>
      <c r="D78" s="80"/>
      <c r="E78" s="271"/>
      <c r="F78" s="272"/>
      <c r="G78" s="270"/>
      <c r="H78" s="271"/>
      <c r="I78" s="272"/>
      <c r="J78" s="80"/>
      <c r="K78" s="273"/>
      <c r="L78" s="273"/>
      <c r="M78" s="273"/>
      <c r="N78" s="273"/>
      <c r="O78" s="273"/>
      <c r="P78" s="273"/>
      <c r="Q78" s="274"/>
      <c r="R78" s="80"/>
      <c r="S78" s="80"/>
      <c r="T78" s="241"/>
      <c r="U78" s="80"/>
      <c r="V78" s="80"/>
      <c r="W78" s="80"/>
      <c r="X78" s="80"/>
      <c r="Y78" s="80"/>
      <c r="Z78" s="80"/>
      <c r="AA78" s="80"/>
    </row>
    <row r="79" spans="1:27" ht="15.75" customHeight="1">
      <c r="A79" s="80"/>
      <c r="B79" s="270"/>
      <c r="C79" s="271"/>
      <c r="D79" s="80"/>
      <c r="E79" s="271"/>
      <c r="F79" s="272"/>
      <c r="G79" s="270"/>
      <c r="H79" s="271"/>
      <c r="I79" s="272"/>
      <c r="J79" s="80"/>
      <c r="K79" s="273"/>
      <c r="L79" s="273"/>
      <c r="M79" s="273"/>
      <c r="N79" s="273"/>
      <c r="O79" s="273"/>
      <c r="P79" s="273"/>
      <c r="Q79" s="274"/>
      <c r="R79" s="80"/>
      <c r="S79" s="80"/>
      <c r="T79" s="241"/>
      <c r="U79" s="80"/>
      <c r="V79" s="80"/>
      <c r="W79" s="80"/>
      <c r="X79" s="80"/>
      <c r="Y79" s="80"/>
      <c r="Z79" s="80"/>
      <c r="AA79" s="80"/>
    </row>
    <row r="80" spans="1:27" ht="15.75" customHeight="1">
      <c r="A80" s="80"/>
      <c r="B80" s="270"/>
      <c r="C80" s="271"/>
      <c r="D80" s="80"/>
      <c r="E80" s="271"/>
      <c r="F80" s="272"/>
      <c r="G80" s="270"/>
      <c r="H80" s="271"/>
      <c r="I80" s="272"/>
      <c r="J80" s="80"/>
      <c r="K80" s="273"/>
      <c r="L80" s="273"/>
      <c r="M80" s="273"/>
      <c r="N80" s="273"/>
      <c r="O80" s="273"/>
      <c r="P80" s="273"/>
      <c r="Q80" s="274"/>
      <c r="R80" s="80"/>
      <c r="S80" s="80"/>
      <c r="T80" s="241"/>
      <c r="U80" s="80"/>
      <c r="V80" s="80"/>
      <c r="W80" s="80"/>
      <c r="X80" s="80"/>
      <c r="Y80" s="80"/>
      <c r="Z80" s="80"/>
      <c r="AA80" s="80"/>
    </row>
    <row r="81" spans="1:27" ht="15.75" customHeight="1">
      <c r="A81" s="80"/>
      <c r="B81" s="270"/>
      <c r="C81" s="271"/>
      <c r="D81" s="80"/>
      <c r="E81" s="271"/>
      <c r="F81" s="272"/>
      <c r="G81" s="270"/>
      <c r="H81" s="271"/>
      <c r="I81" s="272"/>
      <c r="J81" s="80"/>
      <c r="K81" s="273"/>
      <c r="L81" s="273"/>
      <c r="M81" s="273"/>
      <c r="N81" s="273"/>
      <c r="O81" s="273"/>
      <c r="P81" s="273"/>
      <c r="Q81" s="274"/>
      <c r="R81" s="80"/>
      <c r="S81" s="80"/>
      <c r="T81" s="241"/>
      <c r="U81" s="80"/>
      <c r="V81" s="80"/>
      <c r="W81" s="80"/>
      <c r="X81" s="80"/>
      <c r="Y81" s="80"/>
      <c r="Z81" s="80"/>
      <c r="AA81" s="80"/>
    </row>
    <row r="82" spans="1:27" ht="15.75" customHeight="1">
      <c r="A82" s="80"/>
      <c r="B82" s="270"/>
      <c r="C82" s="271"/>
      <c r="D82" s="80"/>
      <c r="E82" s="271"/>
      <c r="F82" s="272"/>
      <c r="G82" s="270"/>
      <c r="H82" s="271"/>
      <c r="I82" s="272"/>
      <c r="J82" s="80"/>
      <c r="K82" s="273"/>
      <c r="L82" s="273"/>
      <c r="M82" s="273"/>
      <c r="N82" s="273"/>
      <c r="O82" s="273"/>
      <c r="P82" s="273"/>
      <c r="Q82" s="274"/>
      <c r="R82" s="80"/>
      <c r="S82" s="80"/>
      <c r="T82" s="241"/>
      <c r="U82" s="80"/>
      <c r="V82" s="80"/>
      <c r="W82" s="80"/>
      <c r="X82" s="80"/>
      <c r="Y82" s="80"/>
      <c r="Z82" s="80"/>
      <c r="AA82" s="80"/>
    </row>
    <row r="83" spans="1:27" ht="15.75" customHeight="1">
      <c r="A83" s="80"/>
      <c r="B83" s="270"/>
      <c r="C83" s="271"/>
      <c r="D83" s="80"/>
      <c r="E83" s="271"/>
      <c r="F83" s="272"/>
      <c r="G83" s="270"/>
      <c r="H83" s="271"/>
      <c r="I83" s="272"/>
      <c r="J83" s="80"/>
      <c r="K83" s="273"/>
      <c r="L83" s="273"/>
      <c r="M83" s="273"/>
      <c r="N83" s="273"/>
      <c r="O83" s="273"/>
      <c r="P83" s="273"/>
      <c r="Q83" s="274"/>
      <c r="R83" s="80"/>
      <c r="S83" s="80"/>
      <c r="T83" s="241"/>
      <c r="U83" s="80"/>
      <c r="V83" s="80"/>
      <c r="W83" s="80"/>
      <c r="X83" s="80"/>
      <c r="Y83" s="80"/>
      <c r="Z83" s="80"/>
      <c r="AA83" s="80"/>
    </row>
    <row r="84" spans="1:27" ht="15.75" customHeight="1">
      <c r="A84" s="80"/>
      <c r="B84" s="270"/>
      <c r="C84" s="271"/>
      <c r="D84" s="80"/>
      <c r="E84" s="271"/>
      <c r="F84" s="272"/>
      <c r="G84" s="270"/>
      <c r="H84" s="271"/>
      <c r="I84" s="272"/>
      <c r="J84" s="80"/>
      <c r="K84" s="273"/>
      <c r="L84" s="273"/>
      <c r="M84" s="273"/>
      <c r="N84" s="273"/>
      <c r="O84" s="273"/>
      <c r="P84" s="273"/>
      <c r="Q84" s="274"/>
      <c r="R84" s="80"/>
      <c r="S84" s="80"/>
      <c r="T84" s="241"/>
      <c r="U84" s="80"/>
      <c r="V84" s="80"/>
      <c r="W84" s="80"/>
      <c r="X84" s="80"/>
      <c r="Y84" s="80"/>
      <c r="Z84" s="80"/>
      <c r="AA84" s="80"/>
    </row>
    <row r="85" spans="1:27" ht="15.75" customHeight="1">
      <c r="A85" s="80"/>
      <c r="B85" s="270"/>
      <c r="C85" s="271"/>
      <c r="D85" s="80"/>
      <c r="E85" s="271"/>
      <c r="F85" s="272"/>
      <c r="G85" s="270"/>
      <c r="H85" s="271"/>
      <c r="I85" s="272"/>
      <c r="J85" s="80"/>
      <c r="K85" s="273"/>
      <c r="L85" s="273"/>
      <c r="M85" s="273"/>
      <c r="N85" s="273"/>
      <c r="O85" s="273"/>
      <c r="P85" s="273"/>
      <c r="Q85" s="274"/>
      <c r="R85" s="80"/>
      <c r="S85" s="80"/>
      <c r="T85" s="241"/>
      <c r="U85" s="80"/>
      <c r="V85" s="80"/>
      <c r="W85" s="80"/>
      <c r="X85" s="80"/>
      <c r="Y85" s="80"/>
      <c r="Z85" s="80"/>
      <c r="AA85" s="80"/>
    </row>
    <row r="86" spans="1:27" ht="15.75" customHeight="1">
      <c r="A86" s="80"/>
      <c r="B86" s="270"/>
      <c r="C86" s="271"/>
      <c r="D86" s="80"/>
      <c r="E86" s="271"/>
      <c r="F86" s="272"/>
      <c r="G86" s="270"/>
      <c r="H86" s="271"/>
      <c r="I86" s="272"/>
      <c r="J86" s="80"/>
      <c r="K86" s="273"/>
      <c r="L86" s="273"/>
      <c r="M86" s="273"/>
      <c r="N86" s="273"/>
      <c r="O86" s="273"/>
      <c r="P86" s="273"/>
      <c r="Q86" s="274"/>
      <c r="R86" s="80"/>
      <c r="S86" s="80"/>
      <c r="T86" s="241"/>
      <c r="U86" s="80"/>
      <c r="V86" s="80"/>
      <c r="W86" s="80"/>
      <c r="X86" s="80"/>
      <c r="Y86" s="80"/>
      <c r="Z86" s="80"/>
      <c r="AA86" s="80"/>
    </row>
    <row r="87" spans="1:27" ht="15.75" customHeight="1">
      <c r="A87" s="80"/>
      <c r="B87" s="270"/>
      <c r="C87" s="271"/>
      <c r="D87" s="80"/>
      <c r="E87" s="271"/>
      <c r="F87" s="272"/>
      <c r="G87" s="270"/>
      <c r="H87" s="271"/>
      <c r="I87" s="272"/>
      <c r="J87" s="80"/>
      <c r="K87" s="273"/>
      <c r="L87" s="273"/>
      <c r="M87" s="273"/>
      <c r="N87" s="273"/>
      <c r="O87" s="273"/>
      <c r="P87" s="273"/>
      <c r="Q87" s="274"/>
      <c r="R87" s="80"/>
      <c r="S87" s="80"/>
      <c r="T87" s="241"/>
      <c r="U87" s="80"/>
      <c r="V87" s="80"/>
      <c r="W87" s="80"/>
      <c r="X87" s="80"/>
      <c r="Y87" s="80"/>
      <c r="Z87" s="80"/>
      <c r="AA87" s="80"/>
    </row>
    <row r="88" spans="1:27" ht="15.75" customHeight="1">
      <c r="A88" s="80"/>
      <c r="B88" s="270"/>
      <c r="C88" s="271"/>
      <c r="D88" s="80"/>
      <c r="E88" s="271"/>
      <c r="F88" s="272"/>
      <c r="G88" s="270"/>
      <c r="H88" s="271"/>
      <c r="I88" s="272"/>
      <c r="J88" s="80"/>
      <c r="K88" s="273"/>
      <c r="L88" s="273"/>
      <c r="M88" s="273"/>
      <c r="N88" s="273"/>
      <c r="O88" s="273"/>
      <c r="P88" s="273"/>
      <c r="Q88" s="274"/>
      <c r="R88" s="80"/>
      <c r="S88" s="80"/>
      <c r="T88" s="241"/>
      <c r="U88" s="80"/>
      <c r="V88" s="80"/>
      <c r="W88" s="80"/>
      <c r="X88" s="80"/>
      <c r="Y88" s="80"/>
      <c r="Z88" s="80"/>
      <c r="AA88" s="80"/>
    </row>
    <row r="89" spans="1:27" ht="15.75" customHeight="1">
      <c r="A89" s="80"/>
      <c r="B89" s="270"/>
      <c r="C89" s="271"/>
      <c r="D89" s="80"/>
      <c r="E89" s="271"/>
      <c r="F89" s="272"/>
      <c r="G89" s="270"/>
      <c r="H89" s="271"/>
      <c r="I89" s="272"/>
      <c r="J89" s="80"/>
      <c r="K89" s="273"/>
      <c r="L89" s="273"/>
      <c r="M89" s="273"/>
      <c r="N89" s="273"/>
      <c r="O89" s="273"/>
      <c r="P89" s="273"/>
      <c r="Q89" s="274"/>
      <c r="R89" s="80"/>
      <c r="S89" s="80"/>
      <c r="T89" s="241"/>
      <c r="U89" s="80"/>
      <c r="V89" s="80"/>
      <c r="W89" s="80"/>
      <c r="X89" s="80"/>
      <c r="Y89" s="80"/>
      <c r="Z89" s="80"/>
      <c r="AA89" s="80"/>
    </row>
    <row r="90" spans="1:27" ht="15.75" customHeight="1">
      <c r="A90" s="80"/>
      <c r="B90" s="270"/>
      <c r="C90" s="271"/>
      <c r="D90" s="80"/>
      <c r="E90" s="271"/>
      <c r="F90" s="272"/>
      <c r="G90" s="270"/>
      <c r="H90" s="271"/>
      <c r="I90" s="272"/>
      <c r="J90" s="80"/>
      <c r="K90" s="273"/>
      <c r="L90" s="273"/>
      <c r="M90" s="273"/>
      <c r="N90" s="273"/>
      <c r="O90" s="273"/>
      <c r="P90" s="273"/>
      <c r="Q90" s="274"/>
      <c r="R90" s="80"/>
      <c r="S90" s="80"/>
      <c r="T90" s="241"/>
      <c r="U90" s="80"/>
      <c r="V90" s="80"/>
      <c r="W90" s="80"/>
      <c r="X90" s="80"/>
      <c r="Y90" s="80"/>
      <c r="Z90" s="80"/>
      <c r="AA90" s="80"/>
    </row>
    <row r="91" spans="1:27" ht="15.75" customHeight="1">
      <c r="A91" s="80"/>
      <c r="B91" s="270"/>
      <c r="C91" s="271"/>
      <c r="D91" s="80"/>
      <c r="E91" s="271"/>
      <c r="F91" s="272"/>
      <c r="G91" s="270"/>
      <c r="H91" s="271"/>
      <c r="I91" s="272"/>
      <c r="J91" s="80"/>
      <c r="K91" s="273"/>
      <c r="L91" s="273"/>
      <c r="M91" s="273"/>
      <c r="N91" s="273"/>
      <c r="O91" s="273"/>
      <c r="P91" s="273"/>
      <c r="Q91" s="274"/>
      <c r="R91" s="80"/>
      <c r="S91" s="80"/>
      <c r="T91" s="241"/>
      <c r="U91" s="80"/>
      <c r="V91" s="80"/>
      <c r="W91" s="80"/>
      <c r="X91" s="80"/>
      <c r="Y91" s="80"/>
      <c r="Z91" s="80"/>
      <c r="AA91" s="80"/>
    </row>
    <row r="92" spans="1:27" ht="15.75" customHeight="1">
      <c r="A92" s="80"/>
      <c r="B92" s="270"/>
      <c r="C92" s="271"/>
      <c r="D92" s="80"/>
      <c r="E92" s="271"/>
      <c r="F92" s="272"/>
      <c r="G92" s="270"/>
      <c r="H92" s="271"/>
      <c r="I92" s="272"/>
      <c r="J92" s="80"/>
      <c r="K92" s="273"/>
      <c r="L92" s="273"/>
      <c r="M92" s="273"/>
      <c r="N92" s="273"/>
      <c r="O92" s="273"/>
      <c r="P92" s="273"/>
      <c r="Q92" s="274"/>
      <c r="R92" s="80"/>
      <c r="S92" s="80"/>
      <c r="T92" s="241"/>
      <c r="U92" s="80"/>
      <c r="V92" s="80"/>
      <c r="W92" s="80"/>
      <c r="X92" s="80"/>
      <c r="Y92" s="80"/>
      <c r="Z92" s="80"/>
      <c r="AA92" s="80"/>
    </row>
    <row r="93" spans="1:27" ht="15.75" customHeight="1">
      <c r="A93" s="80"/>
      <c r="B93" s="270"/>
      <c r="C93" s="271"/>
      <c r="D93" s="80"/>
      <c r="E93" s="271"/>
      <c r="F93" s="272"/>
      <c r="G93" s="270"/>
      <c r="H93" s="271"/>
      <c r="I93" s="272"/>
      <c r="J93" s="80"/>
      <c r="K93" s="273"/>
      <c r="L93" s="273"/>
      <c r="M93" s="273"/>
      <c r="N93" s="273"/>
      <c r="O93" s="273"/>
      <c r="P93" s="273"/>
      <c r="Q93" s="274"/>
      <c r="R93" s="80"/>
      <c r="S93" s="80"/>
      <c r="T93" s="241"/>
      <c r="U93" s="80"/>
      <c r="V93" s="80"/>
      <c r="W93" s="80"/>
      <c r="X93" s="80"/>
      <c r="Y93" s="80"/>
      <c r="Z93" s="80"/>
      <c r="AA93" s="80"/>
    </row>
    <row r="94" spans="1:27" ht="15.75" customHeight="1">
      <c r="A94" s="80"/>
      <c r="B94" s="270"/>
      <c r="C94" s="271"/>
      <c r="D94" s="80"/>
      <c r="E94" s="271"/>
      <c r="F94" s="272"/>
      <c r="G94" s="270"/>
      <c r="H94" s="271"/>
      <c r="I94" s="272"/>
      <c r="J94" s="80"/>
      <c r="K94" s="273"/>
      <c r="L94" s="273"/>
      <c r="M94" s="273"/>
      <c r="N94" s="273"/>
      <c r="O94" s="273"/>
      <c r="P94" s="273"/>
      <c r="Q94" s="274"/>
      <c r="R94" s="80"/>
      <c r="S94" s="80"/>
      <c r="T94" s="241"/>
      <c r="U94" s="80"/>
      <c r="V94" s="80"/>
      <c r="W94" s="80"/>
      <c r="X94" s="80"/>
      <c r="Y94" s="80"/>
      <c r="Z94" s="80"/>
      <c r="AA94" s="80"/>
    </row>
    <row r="95" spans="1:27" ht="15.75" customHeight="1">
      <c r="A95" s="80"/>
      <c r="B95" s="270"/>
      <c r="C95" s="271"/>
      <c r="D95" s="80"/>
      <c r="E95" s="271"/>
      <c r="F95" s="272"/>
      <c r="G95" s="270"/>
      <c r="H95" s="271"/>
      <c r="I95" s="272"/>
      <c r="J95" s="80"/>
      <c r="K95" s="273"/>
      <c r="L95" s="273"/>
      <c r="M95" s="273"/>
      <c r="N95" s="273"/>
      <c r="O95" s="273"/>
      <c r="P95" s="273"/>
      <c r="Q95" s="274"/>
      <c r="R95" s="80"/>
      <c r="S95" s="80"/>
      <c r="T95" s="241"/>
      <c r="U95" s="80"/>
      <c r="V95" s="80"/>
      <c r="W95" s="80"/>
      <c r="X95" s="80"/>
      <c r="Y95" s="80"/>
      <c r="Z95" s="80"/>
      <c r="AA95" s="80"/>
    </row>
    <row r="96" spans="1:27" ht="15.75" customHeight="1">
      <c r="A96" s="80"/>
      <c r="B96" s="270"/>
      <c r="C96" s="271"/>
      <c r="D96" s="80"/>
      <c r="E96" s="271"/>
      <c r="F96" s="272"/>
      <c r="G96" s="270"/>
      <c r="H96" s="271"/>
      <c r="I96" s="272"/>
      <c r="J96" s="80"/>
      <c r="K96" s="273"/>
      <c r="L96" s="273"/>
      <c r="M96" s="273"/>
      <c r="N96" s="273"/>
      <c r="O96" s="273"/>
      <c r="P96" s="273"/>
      <c r="Q96" s="274"/>
      <c r="R96" s="80"/>
      <c r="S96" s="80"/>
      <c r="T96" s="241"/>
      <c r="U96" s="80"/>
      <c r="V96" s="80"/>
      <c r="W96" s="80"/>
      <c r="X96" s="80"/>
      <c r="Y96" s="80"/>
      <c r="Z96" s="80"/>
      <c r="AA96" s="80"/>
    </row>
    <row r="97" spans="1:27" ht="15.75" customHeight="1">
      <c r="A97" s="80"/>
      <c r="B97" s="270"/>
      <c r="C97" s="271"/>
      <c r="D97" s="80"/>
      <c r="E97" s="271"/>
      <c r="F97" s="272"/>
      <c r="G97" s="270"/>
      <c r="H97" s="271"/>
      <c r="I97" s="272"/>
      <c r="J97" s="80"/>
      <c r="K97" s="273"/>
      <c r="L97" s="273"/>
      <c r="M97" s="273"/>
      <c r="N97" s="273"/>
      <c r="O97" s="273"/>
      <c r="P97" s="273"/>
      <c r="Q97" s="274"/>
      <c r="R97" s="80"/>
      <c r="S97" s="80"/>
      <c r="T97" s="241"/>
      <c r="U97" s="80"/>
      <c r="V97" s="80"/>
      <c r="W97" s="80"/>
      <c r="X97" s="80"/>
      <c r="Y97" s="80"/>
      <c r="Z97" s="80"/>
      <c r="AA97" s="80"/>
    </row>
    <row r="98" spans="1:27" ht="15.75" customHeight="1">
      <c r="A98" s="80"/>
      <c r="B98" s="270"/>
      <c r="C98" s="271"/>
      <c r="D98" s="80"/>
      <c r="E98" s="271"/>
      <c r="F98" s="272"/>
      <c r="G98" s="270"/>
      <c r="H98" s="271"/>
      <c r="I98" s="272"/>
      <c r="J98" s="80"/>
      <c r="K98" s="273"/>
      <c r="L98" s="273"/>
      <c r="M98" s="273"/>
      <c r="N98" s="273"/>
      <c r="O98" s="273"/>
      <c r="P98" s="273"/>
      <c r="Q98" s="274"/>
      <c r="R98" s="80"/>
      <c r="S98" s="80"/>
      <c r="T98" s="241"/>
      <c r="U98" s="80"/>
      <c r="V98" s="80"/>
      <c r="W98" s="80"/>
      <c r="X98" s="80"/>
      <c r="Y98" s="80"/>
      <c r="Z98" s="80"/>
      <c r="AA98" s="80"/>
    </row>
    <row r="99" spans="1:27" ht="15.75" customHeight="1">
      <c r="A99" s="80"/>
      <c r="B99" s="270"/>
      <c r="C99" s="271"/>
      <c r="D99" s="80"/>
      <c r="E99" s="271"/>
      <c r="F99" s="272"/>
      <c r="G99" s="270"/>
      <c r="H99" s="271"/>
      <c r="I99" s="272"/>
      <c r="J99" s="80"/>
      <c r="K99" s="273"/>
      <c r="L99" s="273"/>
      <c r="M99" s="273"/>
      <c r="N99" s="273"/>
      <c r="O99" s="273"/>
      <c r="P99" s="273"/>
      <c r="Q99" s="274"/>
      <c r="R99" s="80"/>
      <c r="S99" s="80"/>
      <c r="T99" s="241"/>
      <c r="U99" s="80"/>
      <c r="V99" s="80"/>
      <c r="W99" s="80"/>
      <c r="X99" s="80"/>
      <c r="Y99" s="80"/>
      <c r="Z99" s="80"/>
      <c r="AA99" s="80"/>
    </row>
    <row r="100" spans="1:27" ht="15.75" customHeight="1">
      <c r="A100" s="80"/>
      <c r="B100" s="270"/>
      <c r="C100" s="271"/>
      <c r="D100" s="80"/>
      <c r="E100" s="271"/>
      <c r="F100" s="272"/>
      <c r="G100" s="270"/>
      <c r="H100" s="271"/>
      <c r="I100" s="272"/>
      <c r="J100" s="80"/>
      <c r="K100" s="273"/>
      <c r="L100" s="273"/>
      <c r="M100" s="273"/>
      <c r="N100" s="273"/>
      <c r="O100" s="273"/>
      <c r="P100" s="273"/>
      <c r="Q100" s="274"/>
      <c r="R100" s="80"/>
      <c r="S100" s="80"/>
      <c r="T100" s="241"/>
      <c r="U100" s="80"/>
      <c r="V100" s="80"/>
      <c r="W100" s="80"/>
      <c r="X100" s="80"/>
      <c r="Y100" s="80"/>
      <c r="Z100" s="80"/>
      <c r="AA100" s="80"/>
    </row>
    <row r="101" spans="1:27" ht="15.75" customHeight="1">
      <c r="A101" s="80"/>
      <c r="B101" s="270"/>
      <c r="C101" s="271"/>
      <c r="D101" s="80"/>
      <c r="E101" s="271"/>
      <c r="F101" s="272"/>
      <c r="G101" s="270"/>
      <c r="H101" s="271"/>
      <c r="I101" s="272"/>
      <c r="J101" s="80"/>
      <c r="K101" s="273"/>
      <c r="L101" s="273"/>
      <c r="M101" s="273"/>
      <c r="N101" s="273"/>
      <c r="O101" s="273"/>
      <c r="P101" s="273"/>
      <c r="Q101" s="274"/>
      <c r="R101" s="80"/>
      <c r="S101" s="80"/>
      <c r="T101" s="241"/>
      <c r="U101" s="80"/>
      <c r="V101" s="80"/>
      <c r="W101" s="80"/>
      <c r="X101" s="80"/>
      <c r="Y101" s="80"/>
      <c r="Z101" s="80"/>
      <c r="AA101" s="80"/>
    </row>
    <row r="102" spans="1:27" ht="15.75" customHeight="1">
      <c r="A102" s="80"/>
      <c r="B102" s="270"/>
      <c r="C102" s="271"/>
      <c r="D102" s="80"/>
      <c r="E102" s="271"/>
      <c r="F102" s="272"/>
      <c r="G102" s="270"/>
      <c r="H102" s="271"/>
      <c r="I102" s="272"/>
      <c r="J102" s="80"/>
      <c r="K102" s="273"/>
      <c r="L102" s="273"/>
      <c r="M102" s="273"/>
      <c r="N102" s="273"/>
      <c r="O102" s="273"/>
      <c r="P102" s="273"/>
      <c r="Q102" s="274"/>
      <c r="R102" s="80"/>
      <c r="S102" s="80"/>
      <c r="T102" s="241"/>
      <c r="U102" s="80"/>
      <c r="V102" s="80"/>
      <c r="W102" s="80"/>
      <c r="X102" s="80"/>
      <c r="Y102" s="80"/>
      <c r="Z102" s="80"/>
      <c r="AA102" s="80"/>
    </row>
    <row r="103" spans="1:27" ht="15.75" customHeight="1">
      <c r="A103" s="80"/>
      <c r="B103" s="270"/>
      <c r="C103" s="271"/>
      <c r="D103" s="80"/>
      <c r="E103" s="271"/>
      <c r="F103" s="272"/>
      <c r="G103" s="270"/>
      <c r="H103" s="271"/>
      <c r="I103" s="272"/>
      <c r="J103" s="80"/>
      <c r="K103" s="273"/>
      <c r="L103" s="273"/>
      <c r="M103" s="273"/>
      <c r="N103" s="273"/>
      <c r="O103" s="273"/>
      <c r="P103" s="273"/>
      <c r="Q103" s="274"/>
      <c r="R103" s="80"/>
      <c r="S103" s="80"/>
      <c r="T103" s="241"/>
      <c r="U103" s="80"/>
      <c r="V103" s="80"/>
      <c r="W103" s="80"/>
      <c r="X103" s="80"/>
      <c r="Y103" s="80"/>
      <c r="Z103" s="80"/>
      <c r="AA103" s="80"/>
    </row>
    <row r="104" spans="1:27" ht="15.75" customHeight="1">
      <c r="A104" s="80"/>
      <c r="B104" s="270"/>
      <c r="C104" s="271"/>
      <c r="D104" s="80"/>
      <c r="E104" s="271"/>
      <c r="F104" s="272"/>
      <c r="G104" s="270"/>
      <c r="H104" s="271"/>
      <c r="I104" s="272"/>
      <c r="J104" s="80"/>
      <c r="K104" s="273"/>
      <c r="L104" s="273"/>
      <c r="M104" s="273"/>
      <c r="N104" s="273"/>
      <c r="O104" s="273"/>
      <c r="P104" s="273"/>
      <c r="Q104" s="274"/>
      <c r="R104" s="80"/>
      <c r="S104" s="80"/>
      <c r="T104" s="241"/>
      <c r="U104" s="80"/>
      <c r="V104" s="80"/>
      <c r="W104" s="80"/>
      <c r="X104" s="80"/>
      <c r="Y104" s="80"/>
      <c r="Z104" s="80"/>
      <c r="AA104" s="80"/>
    </row>
    <row r="105" spans="1:27" ht="15.75" customHeight="1">
      <c r="A105" s="80"/>
      <c r="B105" s="270"/>
      <c r="C105" s="271"/>
      <c r="D105" s="80"/>
      <c r="E105" s="271"/>
      <c r="F105" s="272"/>
      <c r="G105" s="270"/>
      <c r="H105" s="271"/>
      <c r="I105" s="272"/>
      <c r="J105" s="80"/>
      <c r="K105" s="273"/>
      <c r="L105" s="273"/>
      <c r="M105" s="273"/>
      <c r="N105" s="273"/>
      <c r="O105" s="273"/>
      <c r="P105" s="273"/>
      <c r="Q105" s="274"/>
      <c r="R105" s="80"/>
      <c r="S105" s="80"/>
      <c r="T105" s="241"/>
      <c r="U105" s="80"/>
      <c r="V105" s="80"/>
      <c r="W105" s="80"/>
      <c r="X105" s="80"/>
      <c r="Y105" s="80"/>
      <c r="Z105" s="80"/>
      <c r="AA105" s="80"/>
    </row>
    <row r="106" spans="1:27" ht="15.75" customHeight="1">
      <c r="A106" s="80"/>
      <c r="B106" s="270"/>
      <c r="C106" s="271"/>
      <c r="D106" s="80"/>
      <c r="E106" s="271"/>
      <c r="F106" s="272"/>
      <c r="G106" s="270"/>
      <c r="H106" s="271"/>
      <c r="I106" s="272"/>
      <c r="J106" s="80"/>
      <c r="K106" s="273"/>
      <c r="L106" s="273"/>
      <c r="M106" s="273"/>
      <c r="N106" s="273"/>
      <c r="O106" s="273"/>
      <c r="P106" s="273"/>
      <c r="Q106" s="274"/>
      <c r="R106" s="80"/>
      <c r="S106" s="80"/>
      <c r="T106" s="241"/>
      <c r="U106" s="80"/>
      <c r="V106" s="80"/>
      <c r="W106" s="80"/>
      <c r="X106" s="80"/>
      <c r="Y106" s="80"/>
      <c r="Z106" s="80"/>
      <c r="AA106" s="80"/>
    </row>
    <row r="107" spans="1:27" ht="15.75" customHeight="1">
      <c r="A107" s="80"/>
      <c r="B107" s="270"/>
      <c r="C107" s="271"/>
      <c r="D107" s="80"/>
      <c r="E107" s="271"/>
      <c r="F107" s="272"/>
      <c r="G107" s="270"/>
      <c r="H107" s="271"/>
      <c r="I107" s="272"/>
      <c r="J107" s="80"/>
      <c r="K107" s="273"/>
      <c r="L107" s="273"/>
      <c r="M107" s="273"/>
      <c r="N107" s="273"/>
      <c r="O107" s="273"/>
      <c r="P107" s="273"/>
      <c r="Q107" s="274"/>
      <c r="R107" s="80"/>
      <c r="S107" s="80"/>
      <c r="T107" s="241"/>
      <c r="U107" s="80"/>
      <c r="V107" s="80"/>
      <c r="W107" s="80"/>
      <c r="X107" s="80"/>
      <c r="Y107" s="80"/>
      <c r="Z107" s="80"/>
      <c r="AA107" s="80"/>
    </row>
    <row r="108" spans="1:27" ht="15.75" customHeight="1">
      <c r="A108" s="80"/>
      <c r="B108" s="270"/>
      <c r="C108" s="271"/>
      <c r="D108" s="80"/>
      <c r="E108" s="271"/>
      <c r="F108" s="272"/>
      <c r="G108" s="270"/>
      <c r="H108" s="271"/>
      <c r="I108" s="272"/>
      <c r="J108" s="80"/>
      <c r="K108" s="273"/>
      <c r="L108" s="273"/>
      <c r="M108" s="273"/>
      <c r="N108" s="273"/>
      <c r="O108" s="273"/>
      <c r="P108" s="273"/>
      <c r="Q108" s="274"/>
      <c r="R108" s="80"/>
      <c r="S108" s="80"/>
      <c r="T108" s="241"/>
      <c r="U108" s="80"/>
      <c r="V108" s="80"/>
      <c r="W108" s="80"/>
      <c r="X108" s="80"/>
      <c r="Y108" s="80"/>
      <c r="Z108" s="80"/>
      <c r="AA108" s="80"/>
    </row>
    <row r="109" spans="1:27" ht="15.75" customHeight="1">
      <c r="A109" s="80"/>
      <c r="B109" s="270"/>
      <c r="C109" s="271"/>
      <c r="D109" s="80"/>
      <c r="E109" s="271"/>
      <c r="F109" s="272"/>
      <c r="G109" s="270"/>
      <c r="H109" s="271"/>
      <c r="I109" s="272"/>
      <c r="J109" s="80"/>
      <c r="K109" s="273"/>
      <c r="L109" s="273"/>
      <c r="M109" s="273"/>
      <c r="N109" s="273"/>
      <c r="O109" s="273"/>
      <c r="P109" s="273"/>
      <c r="Q109" s="274"/>
      <c r="R109" s="80"/>
      <c r="S109" s="80"/>
      <c r="T109" s="241"/>
      <c r="U109" s="80"/>
      <c r="V109" s="80"/>
      <c r="W109" s="80"/>
      <c r="X109" s="80"/>
      <c r="Y109" s="80"/>
      <c r="Z109" s="80"/>
      <c r="AA109" s="80"/>
    </row>
    <row r="110" spans="1:27" ht="15.75" customHeight="1">
      <c r="A110" s="80"/>
      <c r="B110" s="270"/>
      <c r="C110" s="271"/>
      <c r="D110" s="80"/>
      <c r="E110" s="271"/>
      <c r="F110" s="272"/>
      <c r="G110" s="270"/>
      <c r="H110" s="271"/>
      <c r="I110" s="272"/>
      <c r="J110" s="80"/>
      <c r="K110" s="273"/>
      <c r="L110" s="273"/>
      <c r="M110" s="273"/>
      <c r="N110" s="273"/>
      <c r="O110" s="273"/>
      <c r="P110" s="273"/>
      <c r="Q110" s="274"/>
      <c r="R110" s="80"/>
      <c r="S110" s="80"/>
      <c r="T110" s="241"/>
      <c r="U110" s="80"/>
      <c r="V110" s="80"/>
      <c r="W110" s="80"/>
      <c r="X110" s="80"/>
      <c r="Y110" s="80"/>
      <c r="Z110" s="80"/>
      <c r="AA110" s="80"/>
    </row>
    <row r="111" spans="1:27" ht="15.75" customHeight="1">
      <c r="A111" s="80"/>
      <c r="B111" s="270"/>
      <c r="C111" s="271"/>
      <c r="D111" s="80"/>
      <c r="E111" s="271"/>
      <c r="F111" s="272"/>
      <c r="G111" s="270"/>
      <c r="H111" s="271"/>
      <c r="I111" s="272"/>
      <c r="J111" s="80"/>
      <c r="K111" s="273"/>
      <c r="L111" s="273"/>
      <c r="M111" s="273"/>
      <c r="N111" s="273"/>
      <c r="O111" s="273"/>
      <c r="P111" s="273"/>
      <c r="Q111" s="274"/>
      <c r="R111" s="80"/>
      <c r="S111" s="80"/>
      <c r="T111" s="241"/>
      <c r="U111" s="80"/>
      <c r="V111" s="80"/>
      <c r="W111" s="80"/>
      <c r="X111" s="80"/>
      <c r="Y111" s="80"/>
      <c r="Z111" s="80"/>
      <c r="AA111" s="80"/>
    </row>
    <row r="112" spans="1:27" ht="15.75" customHeight="1">
      <c r="A112" s="80"/>
      <c r="B112" s="270"/>
      <c r="C112" s="271"/>
      <c r="D112" s="80"/>
      <c r="E112" s="271"/>
      <c r="F112" s="272"/>
      <c r="G112" s="270"/>
      <c r="H112" s="271"/>
      <c r="I112" s="272"/>
      <c r="J112" s="80"/>
      <c r="K112" s="273"/>
      <c r="L112" s="273"/>
      <c r="M112" s="273"/>
      <c r="N112" s="273"/>
      <c r="O112" s="273"/>
      <c r="P112" s="273"/>
      <c r="Q112" s="274"/>
      <c r="R112" s="80"/>
      <c r="S112" s="80"/>
      <c r="T112" s="241"/>
      <c r="U112" s="80"/>
      <c r="V112" s="80"/>
      <c r="W112" s="80"/>
      <c r="X112" s="80"/>
      <c r="Y112" s="80"/>
      <c r="Z112" s="80"/>
      <c r="AA112" s="80"/>
    </row>
    <row r="113" spans="1:27" ht="15.75" customHeight="1">
      <c r="A113" s="80"/>
      <c r="B113" s="270"/>
      <c r="C113" s="271"/>
      <c r="D113" s="80"/>
      <c r="E113" s="271"/>
      <c r="F113" s="272"/>
      <c r="G113" s="270"/>
      <c r="H113" s="271"/>
      <c r="I113" s="272"/>
      <c r="J113" s="80"/>
      <c r="K113" s="273"/>
      <c r="L113" s="273"/>
      <c r="M113" s="273"/>
      <c r="N113" s="273"/>
      <c r="O113" s="273"/>
      <c r="P113" s="273"/>
      <c r="Q113" s="274"/>
      <c r="R113" s="80"/>
      <c r="S113" s="80"/>
      <c r="T113" s="241"/>
      <c r="U113" s="80"/>
      <c r="V113" s="80"/>
      <c r="W113" s="80"/>
      <c r="X113" s="80"/>
      <c r="Y113" s="80"/>
      <c r="Z113" s="80"/>
      <c r="AA113" s="80"/>
    </row>
    <row r="114" spans="1:27" ht="15.75" customHeight="1">
      <c r="A114" s="80"/>
      <c r="B114" s="270"/>
      <c r="C114" s="271"/>
      <c r="D114" s="80"/>
      <c r="E114" s="271"/>
      <c r="F114" s="272"/>
      <c r="G114" s="270"/>
      <c r="H114" s="271"/>
      <c r="I114" s="272"/>
      <c r="J114" s="80"/>
      <c r="K114" s="273"/>
      <c r="L114" s="273"/>
      <c r="M114" s="273"/>
      <c r="N114" s="273"/>
      <c r="O114" s="273"/>
      <c r="P114" s="273"/>
      <c r="Q114" s="274"/>
      <c r="R114" s="80"/>
      <c r="S114" s="80"/>
      <c r="T114" s="241"/>
      <c r="U114" s="80"/>
      <c r="V114" s="80"/>
      <c r="W114" s="80"/>
      <c r="X114" s="80"/>
      <c r="Y114" s="80"/>
      <c r="Z114" s="80"/>
      <c r="AA114" s="80"/>
    </row>
    <row r="115" spans="1:27" ht="15.75" customHeight="1">
      <c r="A115" s="80"/>
      <c r="B115" s="270"/>
      <c r="C115" s="271"/>
      <c r="D115" s="80"/>
      <c r="E115" s="271"/>
      <c r="F115" s="272"/>
      <c r="G115" s="270"/>
      <c r="H115" s="271"/>
      <c r="I115" s="272"/>
      <c r="J115" s="80"/>
      <c r="K115" s="273"/>
      <c r="L115" s="273"/>
      <c r="M115" s="273"/>
      <c r="N115" s="273"/>
      <c r="O115" s="273"/>
      <c r="P115" s="273"/>
      <c r="Q115" s="274"/>
      <c r="R115" s="80"/>
      <c r="S115" s="80"/>
      <c r="T115" s="241"/>
      <c r="U115" s="80"/>
      <c r="V115" s="80"/>
      <c r="W115" s="80"/>
      <c r="X115" s="80"/>
      <c r="Y115" s="80"/>
      <c r="Z115" s="80"/>
      <c r="AA115" s="80"/>
    </row>
    <row r="116" spans="1:27" ht="15.75" customHeight="1">
      <c r="A116" s="80"/>
      <c r="B116" s="270"/>
      <c r="C116" s="271"/>
      <c r="D116" s="80"/>
      <c r="E116" s="271"/>
      <c r="F116" s="272"/>
      <c r="G116" s="270"/>
      <c r="H116" s="271"/>
      <c r="I116" s="272"/>
      <c r="J116" s="80"/>
      <c r="K116" s="273"/>
      <c r="L116" s="273"/>
      <c r="M116" s="273"/>
      <c r="N116" s="273"/>
      <c r="O116" s="273"/>
      <c r="P116" s="273"/>
      <c r="Q116" s="274"/>
      <c r="R116" s="80"/>
      <c r="S116" s="80"/>
      <c r="T116" s="241"/>
      <c r="U116" s="80"/>
      <c r="V116" s="80"/>
      <c r="W116" s="80"/>
      <c r="X116" s="80"/>
      <c r="Y116" s="80"/>
      <c r="Z116" s="80"/>
      <c r="AA116" s="80"/>
    </row>
    <row r="117" spans="1:27" ht="15.75" customHeight="1">
      <c r="A117" s="80"/>
      <c r="B117" s="270"/>
      <c r="C117" s="271"/>
      <c r="D117" s="80"/>
      <c r="E117" s="271"/>
      <c r="F117" s="272"/>
      <c r="G117" s="270"/>
      <c r="H117" s="271"/>
      <c r="I117" s="272"/>
      <c r="J117" s="80"/>
      <c r="K117" s="273"/>
      <c r="L117" s="273"/>
      <c r="M117" s="273"/>
      <c r="N117" s="273"/>
      <c r="O117" s="273"/>
      <c r="P117" s="273"/>
      <c r="Q117" s="274"/>
      <c r="R117" s="80"/>
      <c r="S117" s="80"/>
      <c r="T117" s="241"/>
      <c r="U117" s="80"/>
      <c r="V117" s="80"/>
      <c r="W117" s="80"/>
      <c r="X117" s="80"/>
      <c r="Y117" s="80"/>
      <c r="Z117" s="80"/>
      <c r="AA117" s="80"/>
    </row>
    <row r="118" spans="1:27" ht="15.75" customHeight="1">
      <c r="A118" s="80"/>
      <c r="B118" s="270"/>
      <c r="C118" s="271"/>
      <c r="D118" s="80"/>
      <c r="E118" s="271"/>
      <c r="F118" s="272"/>
      <c r="G118" s="270"/>
      <c r="H118" s="271"/>
      <c r="I118" s="272"/>
      <c r="J118" s="80"/>
      <c r="K118" s="273"/>
      <c r="L118" s="273"/>
      <c r="M118" s="273"/>
      <c r="N118" s="273"/>
      <c r="O118" s="273"/>
      <c r="P118" s="273"/>
      <c r="Q118" s="274"/>
      <c r="R118" s="80"/>
      <c r="S118" s="80"/>
      <c r="T118" s="241"/>
      <c r="U118" s="80"/>
      <c r="V118" s="80"/>
      <c r="W118" s="80"/>
      <c r="X118" s="80"/>
      <c r="Y118" s="80"/>
      <c r="Z118" s="80"/>
      <c r="AA118" s="80"/>
    </row>
    <row r="119" spans="1:27" ht="15.75" customHeight="1">
      <c r="A119" s="80"/>
      <c r="B119" s="270"/>
      <c r="C119" s="271"/>
      <c r="D119" s="80"/>
      <c r="E119" s="271"/>
      <c r="F119" s="272"/>
      <c r="G119" s="270"/>
      <c r="H119" s="271"/>
      <c r="I119" s="272"/>
      <c r="J119" s="80"/>
      <c r="K119" s="273"/>
      <c r="L119" s="273"/>
      <c r="M119" s="273"/>
      <c r="N119" s="273"/>
      <c r="O119" s="273"/>
      <c r="P119" s="273"/>
      <c r="Q119" s="274"/>
      <c r="R119" s="80"/>
      <c r="S119" s="80"/>
      <c r="T119" s="241"/>
      <c r="U119" s="80"/>
      <c r="V119" s="80"/>
      <c r="W119" s="80"/>
      <c r="X119" s="80"/>
      <c r="Y119" s="80"/>
      <c r="Z119" s="80"/>
      <c r="AA119" s="80"/>
    </row>
    <row r="120" spans="1:27" ht="15.75" customHeight="1">
      <c r="A120" s="80"/>
      <c r="B120" s="270"/>
      <c r="C120" s="271"/>
      <c r="D120" s="80"/>
      <c r="E120" s="271"/>
      <c r="F120" s="272"/>
      <c r="G120" s="270"/>
      <c r="H120" s="271"/>
      <c r="I120" s="272"/>
      <c r="J120" s="80"/>
      <c r="K120" s="273"/>
      <c r="L120" s="273"/>
      <c r="M120" s="273"/>
      <c r="N120" s="273"/>
      <c r="O120" s="273"/>
      <c r="P120" s="273"/>
      <c r="Q120" s="274"/>
      <c r="R120" s="80"/>
      <c r="S120" s="80"/>
      <c r="T120" s="241"/>
      <c r="U120" s="80"/>
      <c r="V120" s="80"/>
      <c r="W120" s="80"/>
      <c r="X120" s="80"/>
      <c r="Y120" s="80"/>
      <c r="Z120" s="80"/>
      <c r="AA120" s="80"/>
    </row>
    <row r="121" spans="1:27" ht="15.75" customHeight="1">
      <c r="A121" s="80"/>
      <c r="B121" s="270"/>
      <c r="C121" s="271"/>
      <c r="D121" s="80"/>
      <c r="E121" s="271"/>
      <c r="F121" s="272"/>
      <c r="G121" s="270"/>
      <c r="H121" s="271"/>
      <c r="I121" s="272"/>
      <c r="J121" s="80"/>
      <c r="K121" s="273"/>
      <c r="L121" s="273"/>
      <c r="M121" s="273"/>
      <c r="N121" s="273"/>
      <c r="O121" s="273"/>
      <c r="P121" s="273"/>
      <c r="Q121" s="274"/>
      <c r="R121" s="80"/>
      <c r="S121" s="80"/>
      <c r="T121" s="241"/>
      <c r="U121" s="80"/>
      <c r="V121" s="80"/>
      <c r="W121" s="80"/>
      <c r="X121" s="80"/>
      <c r="Y121" s="80"/>
      <c r="Z121" s="80"/>
      <c r="AA121" s="80"/>
    </row>
    <row r="122" spans="1:27" ht="15.75" customHeight="1">
      <c r="A122" s="80"/>
      <c r="B122" s="270"/>
      <c r="C122" s="271"/>
      <c r="D122" s="80"/>
      <c r="E122" s="271"/>
      <c r="F122" s="272"/>
      <c r="G122" s="270"/>
      <c r="H122" s="271"/>
      <c r="I122" s="272"/>
      <c r="J122" s="80"/>
      <c r="K122" s="273"/>
      <c r="L122" s="273"/>
      <c r="M122" s="273"/>
      <c r="N122" s="273"/>
      <c r="O122" s="273"/>
      <c r="P122" s="273"/>
      <c r="Q122" s="274"/>
      <c r="R122" s="80"/>
      <c r="S122" s="80"/>
      <c r="T122" s="241"/>
      <c r="U122" s="80"/>
      <c r="V122" s="80"/>
      <c r="W122" s="80"/>
      <c r="X122" s="80"/>
      <c r="Y122" s="80"/>
      <c r="Z122" s="80"/>
      <c r="AA122" s="80"/>
    </row>
    <row r="123" spans="1:27" ht="15.75" customHeight="1">
      <c r="A123" s="80"/>
      <c r="B123" s="270"/>
      <c r="C123" s="271"/>
      <c r="D123" s="80"/>
      <c r="E123" s="271"/>
      <c r="F123" s="272"/>
      <c r="G123" s="270"/>
      <c r="H123" s="271"/>
      <c r="I123" s="272"/>
      <c r="J123" s="80"/>
      <c r="K123" s="273"/>
      <c r="L123" s="273"/>
      <c r="M123" s="273"/>
      <c r="N123" s="273"/>
      <c r="O123" s="273"/>
      <c r="P123" s="273"/>
      <c r="Q123" s="274"/>
      <c r="R123" s="80"/>
      <c r="S123" s="80"/>
      <c r="T123" s="241"/>
      <c r="U123" s="80"/>
      <c r="V123" s="80"/>
      <c r="W123" s="80"/>
      <c r="X123" s="80"/>
      <c r="Y123" s="80"/>
      <c r="Z123" s="80"/>
      <c r="AA123" s="80"/>
    </row>
    <row r="124" spans="1:27" ht="15.75" customHeight="1">
      <c r="A124" s="80"/>
      <c r="B124" s="270"/>
      <c r="C124" s="271"/>
      <c r="D124" s="80"/>
      <c r="E124" s="271"/>
      <c r="F124" s="272"/>
      <c r="G124" s="270"/>
      <c r="H124" s="271"/>
      <c r="I124" s="272"/>
      <c r="J124" s="80"/>
      <c r="K124" s="273"/>
      <c r="L124" s="273"/>
      <c r="M124" s="273"/>
      <c r="N124" s="273"/>
      <c r="O124" s="273"/>
      <c r="P124" s="273"/>
      <c r="Q124" s="274"/>
      <c r="R124" s="80"/>
      <c r="S124" s="80"/>
      <c r="T124" s="241"/>
      <c r="U124" s="80"/>
      <c r="V124" s="80"/>
      <c r="W124" s="80"/>
      <c r="X124" s="80"/>
      <c r="Y124" s="80"/>
      <c r="Z124" s="80"/>
      <c r="AA124" s="80"/>
    </row>
    <row r="125" spans="1:27" ht="15.75" customHeight="1">
      <c r="A125" s="80"/>
      <c r="B125" s="270"/>
      <c r="C125" s="271"/>
      <c r="D125" s="80"/>
      <c r="E125" s="271"/>
      <c r="F125" s="272"/>
      <c r="G125" s="270"/>
      <c r="H125" s="271"/>
      <c r="I125" s="272"/>
      <c r="J125" s="80"/>
      <c r="K125" s="273"/>
      <c r="L125" s="273"/>
      <c r="M125" s="273"/>
      <c r="N125" s="273"/>
      <c r="O125" s="273"/>
      <c r="P125" s="273"/>
      <c r="Q125" s="274"/>
      <c r="R125" s="80"/>
      <c r="S125" s="80"/>
      <c r="T125" s="241"/>
      <c r="U125" s="80"/>
      <c r="V125" s="80"/>
      <c r="W125" s="80"/>
      <c r="X125" s="80"/>
      <c r="Y125" s="80"/>
      <c r="Z125" s="80"/>
      <c r="AA125" s="80"/>
    </row>
    <row r="126" spans="1:27" ht="15.75" customHeight="1">
      <c r="A126" s="80"/>
      <c r="B126" s="270"/>
      <c r="C126" s="271"/>
      <c r="D126" s="80"/>
      <c r="E126" s="271"/>
      <c r="F126" s="272"/>
      <c r="G126" s="270"/>
      <c r="H126" s="271"/>
      <c r="I126" s="272"/>
      <c r="J126" s="80"/>
      <c r="K126" s="273"/>
      <c r="L126" s="273"/>
      <c r="M126" s="273"/>
      <c r="N126" s="273"/>
      <c r="O126" s="273"/>
      <c r="P126" s="273"/>
      <c r="Q126" s="274"/>
      <c r="R126" s="80"/>
      <c r="S126" s="80"/>
      <c r="T126" s="241"/>
      <c r="U126" s="80"/>
      <c r="V126" s="80"/>
      <c r="W126" s="80"/>
      <c r="X126" s="80"/>
      <c r="Y126" s="80"/>
      <c r="Z126" s="80"/>
      <c r="AA126" s="80"/>
    </row>
    <row r="127" spans="1:27" ht="15.75" customHeight="1">
      <c r="A127" s="80"/>
      <c r="B127" s="270"/>
      <c r="C127" s="271"/>
      <c r="D127" s="80"/>
      <c r="E127" s="271"/>
      <c r="F127" s="272"/>
      <c r="G127" s="270"/>
      <c r="H127" s="271"/>
      <c r="I127" s="272"/>
      <c r="J127" s="80"/>
      <c r="K127" s="273"/>
      <c r="L127" s="273"/>
      <c r="M127" s="273"/>
      <c r="N127" s="273"/>
      <c r="O127" s="273"/>
      <c r="P127" s="273"/>
      <c r="Q127" s="274"/>
      <c r="R127" s="80"/>
      <c r="S127" s="80"/>
      <c r="T127" s="241"/>
      <c r="U127" s="80"/>
      <c r="V127" s="80"/>
      <c r="W127" s="80"/>
      <c r="X127" s="80"/>
      <c r="Y127" s="80"/>
      <c r="Z127" s="80"/>
      <c r="AA127" s="80"/>
    </row>
    <row r="128" spans="1:27" ht="15.75" customHeight="1">
      <c r="A128" s="80"/>
      <c r="B128" s="270"/>
      <c r="C128" s="271"/>
      <c r="D128" s="80"/>
      <c r="E128" s="271"/>
      <c r="F128" s="272"/>
      <c r="G128" s="270"/>
      <c r="H128" s="271"/>
      <c r="I128" s="272"/>
      <c r="J128" s="80"/>
      <c r="K128" s="273"/>
      <c r="L128" s="273"/>
      <c r="M128" s="273"/>
      <c r="N128" s="273"/>
      <c r="O128" s="273"/>
      <c r="P128" s="273"/>
      <c r="Q128" s="274"/>
      <c r="R128" s="80"/>
      <c r="S128" s="80"/>
      <c r="T128" s="241"/>
      <c r="U128" s="80"/>
      <c r="V128" s="80"/>
      <c r="W128" s="80"/>
      <c r="X128" s="80"/>
      <c r="Y128" s="80"/>
      <c r="Z128" s="80"/>
      <c r="AA128" s="80"/>
    </row>
    <row r="129" spans="1:27" ht="15.75" customHeight="1">
      <c r="A129" s="80"/>
      <c r="B129" s="270"/>
      <c r="C129" s="271"/>
      <c r="D129" s="80"/>
      <c r="E129" s="271"/>
      <c r="F129" s="272"/>
      <c r="G129" s="270"/>
      <c r="H129" s="271"/>
      <c r="I129" s="272"/>
      <c r="J129" s="80"/>
      <c r="K129" s="273"/>
      <c r="L129" s="273"/>
      <c r="M129" s="273"/>
      <c r="N129" s="273"/>
      <c r="O129" s="273"/>
      <c r="P129" s="273"/>
      <c r="Q129" s="274"/>
      <c r="R129" s="80"/>
      <c r="S129" s="80"/>
      <c r="T129" s="241"/>
      <c r="U129" s="80"/>
      <c r="V129" s="80"/>
      <c r="W129" s="80"/>
      <c r="X129" s="80"/>
      <c r="Y129" s="80"/>
      <c r="Z129" s="80"/>
      <c r="AA129" s="80"/>
    </row>
    <row r="130" spans="1:27" ht="15.75" customHeight="1">
      <c r="A130" s="80"/>
      <c r="B130" s="270"/>
      <c r="C130" s="271"/>
      <c r="D130" s="80"/>
      <c r="E130" s="271"/>
      <c r="F130" s="272"/>
      <c r="G130" s="270"/>
      <c r="H130" s="271"/>
      <c r="I130" s="272"/>
      <c r="J130" s="80"/>
      <c r="K130" s="273"/>
      <c r="L130" s="273"/>
      <c r="M130" s="273"/>
      <c r="N130" s="273"/>
      <c r="O130" s="273"/>
      <c r="P130" s="273"/>
      <c r="Q130" s="274"/>
      <c r="R130" s="80"/>
      <c r="S130" s="80"/>
      <c r="T130" s="241"/>
      <c r="U130" s="80"/>
      <c r="V130" s="80"/>
      <c r="W130" s="80"/>
      <c r="X130" s="80"/>
      <c r="Y130" s="80"/>
      <c r="Z130" s="80"/>
      <c r="AA130" s="80"/>
    </row>
    <row r="131" spans="1:27" ht="15.75" customHeight="1">
      <c r="A131" s="80"/>
      <c r="B131" s="270"/>
      <c r="C131" s="271"/>
      <c r="D131" s="80"/>
      <c r="E131" s="271"/>
      <c r="F131" s="272"/>
      <c r="G131" s="270"/>
      <c r="H131" s="271"/>
      <c r="I131" s="272"/>
      <c r="J131" s="80"/>
      <c r="K131" s="273"/>
      <c r="L131" s="273"/>
      <c r="M131" s="273"/>
      <c r="N131" s="273"/>
      <c r="O131" s="273"/>
      <c r="P131" s="273"/>
      <c r="Q131" s="274"/>
      <c r="R131" s="80"/>
      <c r="S131" s="80"/>
      <c r="T131" s="241"/>
      <c r="U131" s="80"/>
      <c r="V131" s="80"/>
      <c r="W131" s="80"/>
      <c r="X131" s="80"/>
      <c r="Y131" s="80"/>
      <c r="Z131" s="80"/>
      <c r="AA131" s="80"/>
    </row>
    <row r="132" spans="1:27" ht="15.75" customHeight="1">
      <c r="A132" s="80"/>
      <c r="B132" s="270"/>
      <c r="C132" s="271"/>
      <c r="D132" s="80"/>
      <c r="E132" s="271"/>
      <c r="F132" s="272"/>
      <c r="G132" s="270"/>
      <c r="H132" s="271"/>
      <c r="I132" s="272"/>
      <c r="J132" s="80"/>
      <c r="K132" s="273"/>
      <c r="L132" s="273"/>
      <c r="M132" s="273"/>
      <c r="N132" s="273"/>
      <c r="O132" s="273"/>
      <c r="P132" s="273"/>
      <c r="Q132" s="274"/>
      <c r="R132" s="80"/>
      <c r="S132" s="80"/>
      <c r="T132" s="241"/>
      <c r="U132" s="80"/>
      <c r="V132" s="80"/>
      <c r="W132" s="80"/>
      <c r="X132" s="80"/>
      <c r="Y132" s="80"/>
      <c r="Z132" s="80"/>
      <c r="AA132" s="80"/>
    </row>
    <row r="133" spans="1:27" ht="15.75" customHeight="1">
      <c r="A133" s="80"/>
      <c r="B133" s="270"/>
      <c r="C133" s="271"/>
      <c r="D133" s="80"/>
      <c r="E133" s="271"/>
      <c r="F133" s="272"/>
      <c r="G133" s="270"/>
      <c r="H133" s="271"/>
      <c r="I133" s="272"/>
      <c r="J133" s="80"/>
      <c r="K133" s="273"/>
      <c r="L133" s="273"/>
      <c r="M133" s="273"/>
      <c r="N133" s="273"/>
      <c r="O133" s="273"/>
      <c r="P133" s="273"/>
      <c r="Q133" s="274"/>
      <c r="R133" s="80"/>
      <c r="S133" s="80"/>
      <c r="T133" s="241"/>
      <c r="U133" s="80"/>
      <c r="V133" s="80"/>
      <c r="W133" s="80"/>
      <c r="X133" s="80"/>
      <c r="Y133" s="80"/>
      <c r="Z133" s="80"/>
      <c r="AA133" s="80"/>
    </row>
    <row r="134" spans="1:27" ht="15.75" customHeight="1">
      <c r="A134" s="80"/>
      <c r="B134" s="270"/>
      <c r="C134" s="271"/>
      <c r="D134" s="80"/>
      <c r="E134" s="271"/>
      <c r="F134" s="272"/>
      <c r="G134" s="270"/>
      <c r="H134" s="271"/>
      <c r="I134" s="272"/>
      <c r="J134" s="80"/>
      <c r="K134" s="273"/>
      <c r="L134" s="273"/>
      <c r="M134" s="273"/>
      <c r="N134" s="273"/>
      <c r="O134" s="273"/>
      <c r="P134" s="273"/>
      <c r="Q134" s="274"/>
      <c r="R134" s="80"/>
      <c r="S134" s="80"/>
      <c r="T134" s="241"/>
      <c r="U134" s="80"/>
      <c r="V134" s="80"/>
      <c r="W134" s="80"/>
      <c r="X134" s="80"/>
      <c r="Y134" s="80"/>
      <c r="Z134" s="80"/>
      <c r="AA134" s="80"/>
    </row>
    <row r="135" spans="1:27" ht="15.75" customHeight="1">
      <c r="A135" s="80"/>
      <c r="B135" s="270"/>
      <c r="C135" s="271"/>
      <c r="D135" s="80"/>
      <c r="E135" s="271"/>
      <c r="F135" s="272"/>
      <c r="G135" s="270"/>
      <c r="H135" s="271"/>
      <c r="I135" s="272"/>
      <c r="J135" s="80"/>
      <c r="K135" s="273"/>
      <c r="L135" s="273"/>
      <c r="M135" s="273"/>
      <c r="N135" s="273"/>
      <c r="O135" s="273"/>
      <c r="P135" s="273"/>
      <c r="Q135" s="274"/>
      <c r="R135" s="80"/>
      <c r="S135" s="80"/>
      <c r="T135" s="241"/>
      <c r="U135" s="80"/>
      <c r="V135" s="80"/>
      <c r="W135" s="80"/>
      <c r="X135" s="80"/>
      <c r="Y135" s="80"/>
      <c r="Z135" s="80"/>
      <c r="AA135" s="80"/>
    </row>
    <row r="136" spans="1:27" ht="15.75" customHeight="1">
      <c r="A136" s="80"/>
      <c r="B136" s="270"/>
      <c r="C136" s="271"/>
      <c r="D136" s="80"/>
      <c r="E136" s="271"/>
      <c r="F136" s="272"/>
      <c r="G136" s="270"/>
      <c r="H136" s="271"/>
      <c r="I136" s="272"/>
      <c r="J136" s="80"/>
      <c r="K136" s="273"/>
      <c r="L136" s="273"/>
      <c r="M136" s="273"/>
      <c r="N136" s="273"/>
      <c r="O136" s="273"/>
      <c r="P136" s="273"/>
      <c r="Q136" s="274"/>
      <c r="R136" s="80"/>
      <c r="S136" s="80"/>
      <c r="T136" s="241"/>
      <c r="U136" s="80"/>
      <c r="V136" s="80"/>
      <c r="W136" s="80"/>
      <c r="X136" s="80"/>
      <c r="Y136" s="80"/>
      <c r="Z136" s="80"/>
      <c r="AA136" s="80"/>
    </row>
    <row r="137" spans="1:27" ht="15.75" customHeight="1">
      <c r="A137" s="80"/>
      <c r="B137" s="270"/>
      <c r="C137" s="271"/>
      <c r="D137" s="80"/>
      <c r="E137" s="271"/>
      <c r="F137" s="272"/>
      <c r="G137" s="270"/>
      <c r="H137" s="271"/>
      <c r="I137" s="272"/>
      <c r="J137" s="80"/>
      <c r="K137" s="273"/>
      <c r="L137" s="273"/>
      <c r="M137" s="273"/>
      <c r="N137" s="273"/>
      <c r="O137" s="273"/>
      <c r="P137" s="273"/>
      <c r="Q137" s="274"/>
      <c r="R137" s="80"/>
      <c r="S137" s="80"/>
      <c r="T137" s="241"/>
      <c r="U137" s="80"/>
      <c r="V137" s="80"/>
      <c r="W137" s="80"/>
      <c r="X137" s="80"/>
      <c r="Y137" s="80"/>
      <c r="Z137" s="80"/>
      <c r="AA137" s="80"/>
    </row>
    <row r="138" spans="1:27" ht="15.75" customHeight="1">
      <c r="A138" s="80"/>
      <c r="B138" s="270"/>
      <c r="C138" s="271"/>
      <c r="D138" s="80"/>
      <c r="E138" s="271"/>
      <c r="F138" s="272"/>
      <c r="G138" s="270"/>
      <c r="H138" s="271"/>
      <c r="I138" s="272"/>
      <c r="J138" s="80"/>
      <c r="K138" s="273"/>
      <c r="L138" s="273"/>
      <c r="M138" s="273"/>
      <c r="N138" s="273"/>
      <c r="O138" s="273"/>
      <c r="P138" s="273"/>
      <c r="Q138" s="274"/>
      <c r="R138" s="80"/>
      <c r="S138" s="80"/>
      <c r="T138" s="241"/>
      <c r="U138" s="80"/>
      <c r="V138" s="80"/>
      <c r="W138" s="80"/>
      <c r="X138" s="80"/>
      <c r="Y138" s="80"/>
      <c r="Z138" s="80"/>
      <c r="AA138" s="80"/>
    </row>
    <row r="139" spans="1:27" ht="15.75" customHeight="1">
      <c r="A139" s="80"/>
      <c r="B139" s="270"/>
      <c r="C139" s="271"/>
      <c r="D139" s="80"/>
      <c r="E139" s="271"/>
      <c r="F139" s="272"/>
      <c r="G139" s="270"/>
      <c r="H139" s="271"/>
      <c r="I139" s="272"/>
      <c r="J139" s="80"/>
      <c r="K139" s="273"/>
      <c r="L139" s="273"/>
      <c r="M139" s="273"/>
      <c r="N139" s="273"/>
      <c r="O139" s="273"/>
      <c r="P139" s="273"/>
      <c r="Q139" s="274"/>
      <c r="R139" s="80"/>
      <c r="S139" s="80"/>
      <c r="T139" s="241"/>
      <c r="U139" s="80"/>
      <c r="V139" s="80"/>
      <c r="W139" s="80"/>
      <c r="X139" s="80"/>
      <c r="Y139" s="80"/>
      <c r="Z139" s="80"/>
      <c r="AA139" s="80"/>
    </row>
    <row r="140" spans="1:27" ht="15.75" customHeight="1">
      <c r="A140" s="80"/>
      <c r="B140" s="270"/>
      <c r="C140" s="271"/>
      <c r="D140" s="80"/>
      <c r="E140" s="271"/>
      <c r="F140" s="272"/>
      <c r="G140" s="270"/>
      <c r="H140" s="271"/>
      <c r="I140" s="272"/>
      <c r="J140" s="80"/>
      <c r="K140" s="273"/>
      <c r="L140" s="273"/>
      <c r="M140" s="273"/>
      <c r="N140" s="273"/>
      <c r="O140" s="273"/>
      <c r="P140" s="273"/>
      <c r="Q140" s="274"/>
      <c r="R140" s="80"/>
      <c r="S140" s="80"/>
      <c r="T140" s="241"/>
      <c r="U140" s="80"/>
      <c r="V140" s="80"/>
      <c r="W140" s="80"/>
      <c r="X140" s="80"/>
      <c r="Y140" s="80"/>
      <c r="Z140" s="80"/>
      <c r="AA140" s="80"/>
    </row>
    <row r="141" spans="1:27" ht="15.75" customHeight="1">
      <c r="A141" s="80"/>
      <c r="B141" s="270"/>
      <c r="C141" s="271"/>
      <c r="D141" s="80"/>
      <c r="E141" s="271"/>
      <c r="F141" s="272"/>
      <c r="G141" s="270"/>
      <c r="H141" s="271"/>
      <c r="I141" s="272"/>
      <c r="J141" s="80"/>
      <c r="K141" s="273"/>
      <c r="L141" s="273"/>
      <c r="M141" s="273"/>
      <c r="N141" s="273"/>
      <c r="O141" s="273"/>
      <c r="P141" s="273"/>
      <c r="Q141" s="274"/>
      <c r="R141" s="80"/>
      <c r="S141" s="80"/>
      <c r="T141" s="241"/>
      <c r="U141" s="80"/>
      <c r="V141" s="80"/>
      <c r="W141" s="80"/>
      <c r="X141" s="80"/>
      <c r="Y141" s="80"/>
      <c r="Z141" s="80"/>
      <c r="AA141" s="80"/>
    </row>
    <row r="142" spans="1:27" ht="15.75" customHeight="1">
      <c r="A142" s="80"/>
      <c r="B142" s="270"/>
      <c r="C142" s="271"/>
      <c r="D142" s="80"/>
      <c r="E142" s="271"/>
      <c r="F142" s="272"/>
      <c r="G142" s="270"/>
      <c r="H142" s="271"/>
      <c r="I142" s="272"/>
      <c r="J142" s="80"/>
      <c r="K142" s="273"/>
      <c r="L142" s="273"/>
      <c r="M142" s="273"/>
      <c r="N142" s="273"/>
      <c r="O142" s="273"/>
      <c r="P142" s="273"/>
      <c r="Q142" s="274"/>
      <c r="R142" s="80"/>
      <c r="S142" s="80"/>
      <c r="T142" s="241"/>
      <c r="U142" s="80"/>
      <c r="V142" s="80"/>
      <c r="W142" s="80"/>
      <c r="X142" s="80"/>
      <c r="Y142" s="80"/>
      <c r="Z142" s="80"/>
      <c r="AA142" s="80"/>
    </row>
    <row r="143" spans="1:27" ht="15.75" customHeight="1">
      <c r="A143" s="80"/>
      <c r="B143" s="270"/>
      <c r="C143" s="271"/>
      <c r="D143" s="80"/>
      <c r="E143" s="271"/>
      <c r="F143" s="272"/>
      <c r="G143" s="270"/>
      <c r="H143" s="271"/>
      <c r="I143" s="272"/>
      <c r="J143" s="80"/>
      <c r="K143" s="273"/>
      <c r="L143" s="273"/>
      <c r="M143" s="273"/>
      <c r="N143" s="273"/>
      <c r="O143" s="273"/>
      <c r="P143" s="273"/>
      <c r="Q143" s="274"/>
      <c r="R143" s="80"/>
      <c r="S143" s="80"/>
      <c r="T143" s="241"/>
      <c r="U143" s="80"/>
      <c r="V143" s="80"/>
      <c r="W143" s="80"/>
      <c r="X143" s="80"/>
      <c r="Y143" s="80"/>
      <c r="Z143" s="80"/>
      <c r="AA143" s="80"/>
    </row>
    <row r="144" spans="1:27" ht="15.75" customHeight="1">
      <c r="A144" s="80"/>
      <c r="B144" s="270"/>
      <c r="C144" s="271"/>
      <c r="D144" s="80"/>
      <c r="E144" s="271"/>
      <c r="F144" s="272"/>
      <c r="G144" s="270"/>
      <c r="H144" s="271"/>
      <c r="I144" s="272"/>
      <c r="J144" s="80"/>
      <c r="K144" s="273"/>
      <c r="L144" s="273"/>
      <c r="M144" s="273"/>
      <c r="N144" s="273"/>
      <c r="O144" s="273"/>
      <c r="P144" s="273"/>
      <c r="Q144" s="274"/>
      <c r="R144" s="80"/>
      <c r="S144" s="80"/>
      <c r="T144" s="241"/>
      <c r="U144" s="80"/>
      <c r="V144" s="80"/>
      <c r="W144" s="80"/>
      <c r="X144" s="80"/>
      <c r="Y144" s="80"/>
      <c r="Z144" s="80"/>
      <c r="AA144" s="80"/>
    </row>
    <row r="145" spans="1:27" ht="15.75" customHeight="1">
      <c r="A145" s="80"/>
      <c r="B145" s="270"/>
      <c r="C145" s="271"/>
      <c r="D145" s="80"/>
      <c r="E145" s="271"/>
      <c r="F145" s="272"/>
      <c r="G145" s="270"/>
      <c r="H145" s="271"/>
      <c r="I145" s="272"/>
      <c r="J145" s="80"/>
      <c r="K145" s="273"/>
      <c r="L145" s="273"/>
      <c r="M145" s="273"/>
      <c r="N145" s="273"/>
      <c r="O145" s="273"/>
      <c r="P145" s="273"/>
      <c r="Q145" s="274"/>
      <c r="R145" s="80"/>
      <c r="S145" s="80"/>
      <c r="T145" s="241"/>
      <c r="U145" s="80"/>
      <c r="V145" s="80"/>
      <c r="W145" s="80"/>
      <c r="X145" s="80"/>
      <c r="Y145" s="80"/>
      <c r="Z145" s="80"/>
      <c r="AA145" s="80"/>
    </row>
    <row r="146" spans="1:27" ht="15.75" customHeight="1">
      <c r="A146" s="80"/>
      <c r="B146" s="270"/>
      <c r="C146" s="271"/>
      <c r="D146" s="80"/>
      <c r="E146" s="271"/>
      <c r="F146" s="272"/>
      <c r="G146" s="270"/>
      <c r="H146" s="271"/>
      <c r="I146" s="272"/>
      <c r="J146" s="80"/>
      <c r="K146" s="273"/>
      <c r="L146" s="273"/>
      <c r="M146" s="273"/>
      <c r="N146" s="273"/>
      <c r="O146" s="273"/>
      <c r="P146" s="273"/>
      <c r="Q146" s="274"/>
      <c r="R146" s="80"/>
      <c r="S146" s="80"/>
      <c r="T146" s="241"/>
      <c r="U146" s="80"/>
      <c r="V146" s="80"/>
      <c r="W146" s="80"/>
      <c r="X146" s="80"/>
      <c r="Y146" s="80"/>
      <c r="Z146" s="80"/>
      <c r="AA146" s="80"/>
    </row>
    <row r="147" spans="1:27" ht="15.75" customHeight="1">
      <c r="A147" s="80"/>
      <c r="B147" s="270"/>
      <c r="C147" s="271"/>
      <c r="D147" s="80"/>
      <c r="E147" s="271"/>
      <c r="F147" s="272"/>
      <c r="G147" s="270"/>
      <c r="H147" s="271"/>
      <c r="I147" s="272"/>
      <c r="J147" s="80"/>
      <c r="K147" s="273"/>
      <c r="L147" s="273"/>
      <c r="M147" s="273"/>
      <c r="N147" s="273"/>
      <c r="O147" s="273"/>
      <c r="P147" s="273"/>
      <c r="Q147" s="274"/>
      <c r="R147" s="80"/>
      <c r="S147" s="80"/>
      <c r="T147" s="241"/>
      <c r="U147" s="80"/>
      <c r="V147" s="80"/>
      <c r="W147" s="80"/>
      <c r="X147" s="80"/>
      <c r="Y147" s="80"/>
      <c r="Z147" s="80"/>
      <c r="AA147" s="80"/>
    </row>
    <row r="148" spans="1:27" ht="15.75" customHeight="1">
      <c r="A148" s="80"/>
      <c r="B148" s="270"/>
      <c r="C148" s="271"/>
      <c r="D148" s="80"/>
      <c r="E148" s="271"/>
      <c r="F148" s="272"/>
      <c r="G148" s="270"/>
      <c r="H148" s="271"/>
      <c r="I148" s="272"/>
      <c r="J148" s="80"/>
      <c r="K148" s="273"/>
      <c r="L148" s="273"/>
      <c r="M148" s="273"/>
      <c r="N148" s="273"/>
      <c r="O148" s="273"/>
      <c r="P148" s="273"/>
      <c r="Q148" s="274"/>
      <c r="R148" s="80"/>
      <c r="S148" s="80"/>
      <c r="T148" s="241"/>
      <c r="U148" s="80"/>
      <c r="V148" s="80"/>
      <c r="W148" s="80"/>
      <c r="X148" s="80"/>
      <c r="Y148" s="80"/>
      <c r="Z148" s="80"/>
      <c r="AA148" s="80"/>
    </row>
    <row r="149" spans="1:27" ht="15.75" customHeight="1">
      <c r="A149" s="80"/>
      <c r="B149" s="270"/>
      <c r="C149" s="271"/>
      <c r="D149" s="80"/>
      <c r="E149" s="271"/>
      <c r="F149" s="272"/>
      <c r="G149" s="270"/>
      <c r="H149" s="271"/>
      <c r="I149" s="272"/>
      <c r="J149" s="80"/>
      <c r="K149" s="273"/>
      <c r="L149" s="273"/>
      <c r="M149" s="273"/>
      <c r="N149" s="273"/>
      <c r="O149" s="273"/>
      <c r="P149" s="273"/>
      <c r="Q149" s="274"/>
      <c r="R149" s="80"/>
      <c r="S149" s="80"/>
      <c r="T149" s="241"/>
      <c r="U149" s="80"/>
      <c r="V149" s="80"/>
      <c r="W149" s="80"/>
      <c r="X149" s="80"/>
      <c r="Y149" s="80"/>
      <c r="Z149" s="80"/>
      <c r="AA149" s="80"/>
    </row>
    <row r="150" spans="1:27" ht="15.75" customHeight="1">
      <c r="A150" s="80"/>
      <c r="B150" s="270"/>
      <c r="C150" s="271"/>
      <c r="D150" s="80"/>
      <c r="E150" s="271"/>
      <c r="F150" s="272"/>
      <c r="G150" s="270"/>
      <c r="H150" s="271"/>
      <c r="I150" s="272"/>
      <c r="J150" s="80"/>
      <c r="K150" s="273"/>
      <c r="L150" s="273"/>
      <c r="M150" s="273"/>
      <c r="N150" s="273"/>
      <c r="O150" s="273"/>
      <c r="P150" s="273"/>
      <c r="Q150" s="274"/>
      <c r="R150" s="80"/>
      <c r="S150" s="80"/>
      <c r="T150" s="241"/>
      <c r="U150" s="80"/>
      <c r="V150" s="80"/>
      <c r="W150" s="80"/>
      <c r="X150" s="80"/>
      <c r="Y150" s="80"/>
      <c r="Z150" s="80"/>
      <c r="AA150" s="80"/>
    </row>
    <row r="151" spans="1:27" ht="15.75" customHeight="1">
      <c r="A151" s="80"/>
      <c r="B151" s="270"/>
      <c r="C151" s="271"/>
      <c r="D151" s="80"/>
      <c r="E151" s="271"/>
      <c r="F151" s="272"/>
      <c r="G151" s="270"/>
      <c r="H151" s="271"/>
      <c r="I151" s="272"/>
      <c r="J151" s="80"/>
      <c r="K151" s="273"/>
      <c r="L151" s="273"/>
      <c r="M151" s="273"/>
      <c r="N151" s="273"/>
      <c r="O151" s="273"/>
      <c r="P151" s="273"/>
      <c r="Q151" s="274"/>
      <c r="R151" s="80"/>
      <c r="S151" s="80"/>
      <c r="T151" s="241"/>
      <c r="U151" s="80"/>
      <c r="V151" s="80"/>
      <c r="W151" s="80"/>
      <c r="X151" s="80"/>
      <c r="Y151" s="80"/>
      <c r="Z151" s="80"/>
      <c r="AA151" s="80"/>
    </row>
    <row r="152" spans="1:27" ht="15.75" customHeight="1">
      <c r="A152" s="80"/>
      <c r="B152" s="270"/>
      <c r="C152" s="271"/>
      <c r="D152" s="80"/>
      <c r="E152" s="271"/>
      <c r="F152" s="272"/>
      <c r="G152" s="270"/>
      <c r="H152" s="271"/>
      <c r="I152" s="272"/>
      <c r="J152" s="80"/>
      <c r="K152" s="273"/>
      <c r="L152" s="273"/>
      <c r="M152" s="273"/>
      <c r="N152" s="273"/>
      <c r="O152" s="273"/>
      <c r="P152" s="273"/>
      <c r="Q152" s="274"/>
      <c r="R152" s="80"/>
      <c r="S152" s="80"/>
      <c r="T152" s="241"/>
      <c r="U152" s="80"/>
      <c r="V152" s="80"/>
      <c r="W152" s="80"/>
      <c r="X152" s="80"/>
      <c r="Y152" s="80"/>
      <c r="Z152" s="80"/>
      <c r="AA152" s="80"/>
    </row>
    <row r="153" spans="1:27" ht="15.75" customHeight="1">
      <c r="A153" s="80"/>
      <c r="B153" s="270"/>
      <c r="C153" s="271"/>
      <c r="D153" s="80"/>
      <c r="E153" s="271"/>
      <c r="F153" s="272"/>
      <c r="G153" s="270"/>
      <c r="H153" s="271"/>
      <c r="I153" s="272"/>
      <c r="J153" s="80"/>
      <c r="K153" s="273"/>
      <c r="L153" s="273"/>
      <c r="M153" s="273"/>
      <c r="N153" s="273"/>
      <c r="O153" s="273"/>
      <c r="P153" s="273"/>
      <c r="Q153" s="274"/>
      <c r="R153" s="80"/>
      <c r="S153" s="80"/>
      <c r="T153" s="241"/>
      <c r="U153" s="80"/>
      <c r="V153" s="80"/>
      <c r="W153" s="80"/>
      <c r="X153" s="80"/>
      <c r="Y153" s="80"/>
      <c r="Z153" s="80"/>
      <c r="AA153" s="80"/>
    </row>
    <row r="154" spans="1:27" ht="15.75" customHeight="1">
      <c r="A154" s="80"/>
      <c r="B154" s="270"/>
      <c r="C154" s="271"/>
      <c r="D154" s="80"/>
      <c r="E154" s="271"/>
      <c r="F154" s="272"/>
      <c r="G154" s="270"/>
      <c r="H154" s="271"/>
      <c r="I154" s="272"/>
      <c r="J154" s="80"/>
      <c r="K154" s="273"/>
      <c r="L154" s="273"/>
      <c r="M154" s="273"/>
      <c r="N154" s="273"/>
      <c r="O154" s="273"/>
      <c r="P154" s="273"/>
      <c r="Q154" s="274"/>
      <c r="R154" s="80"/>
      <c r="S154" s="80"/>
      <c r="T154" s="241"/>
      <c r="U154" s="80"/>
      <c r="V154" s="80"/>
      <c r="W154" s="80"/>
      <c r="X154" s="80"/>
      <c r="Y154" s="80"/>
      <c r="Z154" s="80"/>
      <c r="AA154" s="80"/>
    </row>
    <row r="155" spans="1:27" ht="15.75" customHeight="1">
      <c r="A155" s="80"/>
      <c r="B155" s="270"/>
      <c r="C155" s="271"/>
      <c r="D155" s="80"/>
      <c r="E155" s="271"/>
      <c r="F155" s="272"/>
      <c r="G155" s="270"/>
      <c r="H155" s="271"/>
      <c r="I155" s="272"/>
      <c r="J155" s="80"/>
      <c r="K155" s="273"/>
      <c r="L155" s="273"/>
      <c r="M155" s="273"/>
      <c r="N155" s="273"/>
      <c r="O155" s="273"/>
      <c r="P155" s="273"/>
      <c r="Q155" s="274"/>
      <c r="R155" s="80"/>
      <c r="S155" s="80"/>
      <c r="T155" s="241"/>
      <c r="U155" s="80"/>
      <c r="V155" s="80"/>
      <c r="W155" s="80"/>
      <c r="X155" s="80"/>
      <c r="Y155" s="80"/>
      <c r="Z155" s="80"/>
      <c r="AA155" s="80"/>
    </row>
    <row r="156" spans="1:27" ht="15.75" customHeight="1">
      <c r="A156" s="80"/>
      <c r="B156" s="270"/>
      <c r="C156" s="271"/>
      <c r="D156" s="80"/>
      <c r="E156" s="271"/>
      <c r="F156" s="272"/>
      <c r="G156" s="270"/>
      <c r="H156" s="271"/>
      <c r="I156" s="272"/>
      <c r="J156" s="80"/>
      <c r="K156" s="273"/>
      <c r="L156" s="273"/>
      <c r="M156" s="273"/>
      <c r="N156" s="273"/>
      <c r="O156" s="273"/>
      <c r="P156" s="273"/>
      <c r="Q156" s="274"/>
      <c r="R156" s="80"/>
      <c r="S156" s="80"/>
      <c r="T156" s="241"/>
      <c r="U156" s="80"/>
      <c r="V156" s="80"/>
      <c r="W156" s="80"/>
      <c r="X156" s="80"/>
      <c r="Y156" s="80"/>
      <c r="Z156" s="80"/>
      <c r="AA156" s="80"/>
    </row>
    <row r="157" spans="1:27" ht="15.75" customHeight="1">
      <c r="A157" s="80"/>
      <c r="B157" s="270"/>
      <c r="C157" s="271"/>
      <c r="D157" s="80"/>
      <c r="E157" s="271"/>
      <c r="F157" s="272"/>
      <c r="G157" s="270"/>
      <c r="H157" s="271"/>
      <c r="I157" s="272"/>
      <c r="J157" s="80"/>
      <c r="K157" s="273"/>
      <c r="L157" s="273"/>
      <c r="M157" s="273"/>
      <c r="N157" s="273"/>
      <c r="O157" s="273"/>
      <c r="P157" s="273"/>
      <c r="Q157" s="274"/>
      <c r="R157" s="80"/>
      <c r="S157" s="80"/>
      <c r="T157" s="241"/>
      <c r="U157" s="80"/>
      <c r="V157" s="80"/>
      <c r="W157" s="80"/>
      <c r="X157" s="80"/>
      <c r="Y157" s="80"/>
      <c r="Z157" s="80"/>
      <c r="AA157" s="80"/>
    </row>
    <row r="158" spans="1:27" ht="15.75" customHeight="1">
      <c r="A158" s="80"/>
      <c r="B158" s="270"/>
      <c r="C158" s="271"/>
      <c r="D158" s="80"/>
      <c r="E158" s="271"/>
      <c r="F158" s="272"/>
      <c r="G158" s="270"/>
      <c r="H158" s="271"/>
      <c r="I158" s="272"/>
      <c r="J158" s="80"/>
      <c r="K158" s="273"/>
      <c r="L158" s="273"/>
      <c r="M158" s="273"/>
      <c r="N158" s="273"/>
      <c r="O158" s="273"/>
      <c r="P158" s="273"/>
      <c r="Q158" s="274"/>
      <c r="R158" s="80"/>
      <c r="S158" s="80"/>
      <c r="T158" s="241"/>
      <c r="U158" s="80"/>
      <c r="V158" s="80"/>
      <c r="W158" s="80"/>
      <c r="X158" s="80"/>
      <c r="Y158" s="80"/>
      <c r="Z158" s="80"/>
      <c r="AA158" s="80"/>
    </row>
    <row r="159" spans="1:27" ht="15.75" customHeight="1">
      <c r="A159" s="80"/>
      <c r="B159" s="270"/>
      <c r="C159" s="271"/>
      <c r="D159" s="80"/>
      <c r="E159" s="271"/>
      <c r="F159" s="272"/>
      <c r="G159" s="270"/>
      <c r="H159" s="271"/>
      <c r="I159" s="272"/>
      <c r="J159" s="80"/>
      <c r="K159" s="273"/>
      <c r="L159" s="273"/>
      <c r="M159" s="273"/>
      <c r="N159" s="273"/>
      <c r="O159" s="273"/>
      <c r="P159" s="273"/>
      <c r="Q159" s="274"/>
      <c r="R159" s="80"/>
      <c r="S159" s="80"/>
      <c r="T159" s="241"/>
      <c r="U159" s="80"/>
      <c r="V159" s="80"/>
      <c r="W159" s="80"/>
      <c r="X159" s="80"/>
      <c r="Y159" s="80"/>
      <c r="Z159" s="80"/>
      <c r="AA159" s="80"/>
    </row>
    <row r="160" spans="1:27" ht="15.75" customHeight="1">
      <c r="A160" s="80"/>
      <c r="B160" s="270"/>
      <c r="C160" s="271"/>
      <c r="D160" s="80"/>
      <c r="E160" s="271"/>
      <c r="F160" s="272"/>
      <c r="G160" s="270"/>
      <c r="H160" s="271"/>
      <c r="I160" s="272"/>
      <c r="J160" s="80"/>
      <c r="K160" s="273"/>
      <c r="L160" s="273"/>
      <c r="M160" s="273"/>
      <c r="N160" s="273"/>
      <c r="O160" s="273"/>
      <c r="P160" s="273"/>
      <c r="Q160" s="274"/>
      <c r="R160" s="80"/>
      <c r="S160" s="80"/>
      <c r="T160" s="241"/>
      <c r="U160" s="80"/>
      <c r="V160" s="80"/>
      <c r="W160" s="80"/>
      <c r="X160" s="80"/>
      <c r="Y160" s="80"/>
      <c r="Z160" s="80"/>
      <c r="AA160" s="80"/>
    </row>
    <row r="161" spans="1:27" ht="15.75" customHeight="1">
      <c r="A161" s="80"/>
      <c r="B161" s="270"/>
      <c r="C161" s="271"/>
      <c r="D161" s="80"/>
      <c r="E161" s="271"/>
      <c r="F161" s="272"/>
      <c r="G161" s="270"/>
      <c r="H161" s="271"/>
      <c r="I161" s="272"/>
      <c r="J161" s="80"/>
      <c r="K161" s="273"/>
      <c r="L161" s="273"/>
      <c r="M161" s="273"/>
      <c r="N161" s="273"/>
      <c r="O161" s="273"/>
      <c r="P161" s="273"/>
      <c r="Q161" s="274"/>
      <c r="R161" s="80"/>
      <c r="S161" s="80"/>
      <c r="T161" s="241"/>
      <c r="U161" s="80"/>
      <c r="V161" s="80"/>
      <c r="W161" s="80"/>
      <c r="X161" s="80"/>
      <c r="Y161" s="80"/>
      <c r="Z161" s="80"/>
      <c r="AA161" s="80"/>
    </row>
    <row r="162" spans="1:27" ht="15.75" customHeight="1">
      <c r="A162" s="80"/>
      <c r="B162" s="270"/>
      <c r="C162" s="271"/>
      <c r="D162" s="80"/>
      <c r="E162" s="271"/>
      <c r="F162" s="272"/>
      <c r="G162" s="270"/>
      <c r="H162" s="271"/>
      <c r="I162" s="272"/>
      <c r="J162" s="80"/>
      <c r="K162" s="273"/>
      <c r="L162" s="273"/>
      <c r="M162" s="273"/>
      <c r="N162" s="273"/>
      <c r="O162" s="273"/>
      <c r="P162" s="273"/>
      <c r="Q162" s="274"/>
      <c r="R162" s="80"/>
      <c r="S162" s="80"/>
      <c r="T162" s="241"/>
      <c r="U162" s="80"/>
      <c r="V162" s="80"/>
      <c r="W162" s="80"/>
      <c r="X162" s="80"/>
      <c r="Y162" s="80"/>
      <c r="Z162" s="80"/>
      <c r="AA162" s="80"/>
    </row>
    <row r="163" spans="1:27" ht="15.75" customHeight="1">
      <c r="A163" s="80"/>
      <c r="B163" s="270"/>
      <c r="C163" s="271"/>
      <c r="D163" s="80"/>
      <c r="E163" s="271"/>
      <c r="F163" s="272"/>
      <c r="G163" s="270"/>
      <c r="H163" s="271"/>
      <c r="I163" s="272"/>
      <c r="J163" s="80"/>
      <c r="K163" s="273"/>
      <c r="L163" s="273"/>
      <c r="M163" s="273"/>
      <c r="N163" s="273"/>
      <c r="O163" s="273"/>
      <c r="P163" s="273"/>
      <c r="Q163" s="274"/>
      <c r="R163" s="80"/>
      <c r="S163" s="80"/>
      <c r="T163" s="241"/>
      <c r="U163" s="80"/>
      <c r="V163" s="80"/>
      <c r="W163" s="80"/>
      <c r="X163" s="80"/>
      <c r="Y163" s="80"/>
      <c r="Z163" s="80"/>
      <c r="AA163" s="80"/>
    </row>
    <row r="164" spans="1:27" ht="15.75" customHeight="1">
      <c r="A164" s="80"/>
      <c r="B164" s="270"/>
      <c r="C164" s="271"/>
      <c r="D164" s="80"/>
      <c r="E164" s="271"/>
      <c r="F164" s="272"/>
      <c r="G164" s="270"/>
      <c r="H164" s="271"/>
      <c r="I164" s="272"/>
      <c r="J164" s="80"/>
      <c r="K164" s="273"/>
      <c r="L164" s="273"/>
      <c r="M164" s="273"/>
      <c r="N164" s="273"/>
      <c r="O164" s="273"/>
      <c r="P164" s="273"/>
      <c r="Q164" s="274"/>
      <c r="R164" s="80"/>
      <c r="S164" s="80"/>
      <c r="T164" s="241"/>
      <c r="U164" s="80"/>
      <c r="V164" s="80"/>
      <c r="W164" s="80"/>
      <c r="X164" s="80"/>
      <c r="Y164" s="80"/>
      <c r="Z164" s="80"/>
      <c r="AA164" s="80"/>
    </row>
    <row r="165" spans="1:27" ht="15.75" customHeight="1">
      <c r="A165" s="80"/>
      <c r="B165" s="270"/>
      <c r="C165" s="271"/>
      <c r="D165" s="80"/>
      <c r="E165" s="271"/>
      <c r="F165" s="272"/>
      <c r="G165" s="270"/>
      <c r="H165" s="271"/>
      <c r="I165" s="272"/>
      <c r="J165" s="80"/>
      <c r="K165" s="273"/>
      <c r="L165" s="273"/>
      <c r="M165" s="273"/>
      <c r="N165" s="273"/>
      <c r="O165" s="273"/>
      <c r="P165" s="273"/>
      <c r="Q165" s="274"/>
      <c r="R165" s="80"/>
      <c r="S165" s="80"/>
      <c r="T165" s="241"/>
      <c r="U165" s="80"/>
      <c r="V165" s="80"/>
      <c r="W165" s="80"/>
      <c r="X165" s="80"/>
      <c r="Y165" s="80"/>
      <c r="Z165" s="80"/>
      <c r="AA165" s="80"/>
    </row>
    <row r="166" spans="1:27" ht="15.75" customHeight="1">
      <c r="A166" s="80"/>
      <c r="B166" s="270"/>
      <c r="C166" s="271"/>
      <c r="D166" s="80"/>
      <c r="E166" s="271"/>
      <c r="F166" s="272"/>
      <c r="G166" s="270"/>
      <c r="H166" s="271"/>
      <c r="I166" s="272"/>
      <c r="J166" s="80"/>
      <c r="K166" s="273"/>
      <c r="L166" s="273"/>
      <c r="M166" s="273"/>
      <c r="N166" s="273"/>
      <c r="O166" s="273"/>
      <c r="P166" s="273"/>
      <c r="Q166" s="274"/>
      <c r="R166" s="80"/>
      <c r="S166" s="80"/>
      <c r="T166" s="241"/>
      <c r="U166" s="80"/>
      <c r="V166" s="80"/>
      <c r="W166" s="80"/>
      <c r="X166" s="80"/>
      <c r="Y166" s="80"/>
      <c r="Z166" s="80"/>
      <c r="AA166" s="80"/>
    </row>
    <row r="167" spans="1:27" ht="15.75" customHeight="1">
      <c r="A167" s="80"/>
      <c r="B167" s="270"/>
      <c r="C167" s="271"/>
      <c r="D167" s="80"/>
      <c r="E167" s="271"/>
      <c r="F167" s="272"/>
      <c r="G167" s="270"/>
      <c r="H167" s="271"/>
      <c r="I167" s="272"/>
      <c r="J167" s="80"/>
      <c r="K167" s="273"/>
      <c r="L167" s="273"/>
      <c r="M167" s="273"/>
      <c r="N167" s="273"/>
      <c r="O167" s="273"/>
      <c r="P167" s="273"/>
      <c r="Q167" s="274"/>
      <c r="R167" s="80"/>
      <c r="S167" s="80"/>
      <c r="T167" s="241"/>
      <c r="U167" s="80"/>
      <c r="V167" s="80"/>
      <c r="W167" s="80"/>
      <c r="X167" s="80"/>
      <c r="Y167" s="80"/>
      <c r="Z167" s="80"/>
      <c r="AA167" s="80"/>
    </row>
    <row r="168" spans="1:27" ht="15.75" customHeight="1">
      <c r="A168" s="80"/>
      <c r="B168" s="270"/>
      <c r="C168" s="271"/>
      <c r="D168" s="80"/>
      <c r="E168" s="271"/>
      <c r="F168" s="272"/>
      <c r="G168" s="270"/>
      <c r="H168" s="271"/>
      <c r="I168" s="272"/>
      <c r="J168" s="80"/>
      <c r="K168" s="273"/>
      <c r="L168" s="273"/>
      <c r="M168" s="273"/>
      <c r="N168" s="273"/>
      <c r="O168" s="273"/>
      <c r="P168" s="273"/>
      <c r="Q168" s="274"/>
      <c r="R168" s="80"/>
      <c r="S168" s="80"/>
      <c r="T168" s="241"/>
      <c r="U168" s="80"/>
      <c r="V168" s="80"/>
      <c r="W168" s="80"/>
      <c r="X168" s="80"/>
      <c r="Y168" s="80"/>
      <c r="Z168" s="80"/>
      <c r="AA168" s="80"/>
    </row>
    <row r="169" spans="1:27" ht="15.75" customHeight="1">
      <c r="A169" s="80"/>
      <c r="B169" s="270"/>
      <c r="C169" s="271"/>
      <c r="D169" s="80"/>
      <c r="E169" s="271"/>
      <c r="F169" s="272"/>
      <c r="G169" s="270"/>
      <c r="H169" s="271"/>
      <c r="I169" s="272"/>
      <c r="J169" s="80"/>
      <c r="K169" s="273"/>
      <c r="L169" s="273"/>
      <c r="M169" s="273"/>
      <c r="N169" s="273"/>
      <c r="O169" s="273"/>
      <c r="P169" s="273"/>
      <c r="Q169" s="274"/>
      <c r="R169" s="80"/>
      <c r="S169" s="80"/>
      <c r="T169" s="241"/>
      <c r="U169" s="80"/>
      <c r="V169" s="80"/>
      <c r="W169" s="80"/>
      <c r="X169" s="80"/>
      <c r="Y169" s="80"/>
      <c r="Z169" s="80"/>
      <c r="AA169" s="80"/>
    </row>
    <row r="170" spans="1:27" ht="15.75" customHeight="1">
      <c r="A170" s="80"/>
      <c r="B170" s="270"/>
      <c r="C170" s="271"/>
      <c r="D170" s="80"/>
      <c r="E170" s="271"/>
      <c r="F170" s="272"/>
      <c r="G170" s="270"/>
      <c r="H170" s="271"/>
      <c r="I170" s="272"/>
      <c r="J170" s="80"/>
      <c r="K170" s="273"/>
      <c r="L170" s="273"/>
      <c r="M170" s="273"/>
      <c r="N170" s="273"/>
      <c r="O170" s="273"/>
      <c r="P170" s="273"/>
      <c r="Q170" s="274"/>
      <c r="R170" s="80"/>
      <c r="S170" s="80"/>
      <c r="T170" s="241"/>
      <c r="U170" s="80"/>
      <c r="V170" s="80"/>
      <c r="W170" s="80"/>
      <c r="X170" s="80"/>
      <c r="Y170" s="80"/>
      <c r="Z170" s="80"/>
      <c r="AA170" s="80"/>
    </row>
    <row r="171" spans="1:27" ht="15.75" customHeight="1">
      <c r="A171" s="80"/>
      <c r="B171" s="270"/>
      <c r="C171" s="271"/>
      <c r="D171" s="80"/>
      <c r="E171" s="271"/>
      <c r="F171" s="272"/>
      <c r="G171" s="270"/>
      <c r="H171" s="271"/>
      <c r="I171" s="272"/>
      <c r="J171" s="80"/>
      <c r="K171" s="273"/>
      <c r="L171" s="273"/>
      <c r="M171" s="273"/>
      <c r="N171" s="273"/>
      <c r="O171" s="273"/>
      <c r="P171" s="273"/>
      <c r="Q171" s="274"/>
      <c r="R171" s="80"/>
      <c r="S171" s="80"/>
      <c r="T171" s="241"/>
      <c r="U171" s="80"/>
      <c r="V171" s="80"/>
      <c r="W171" s="80"/>
      <c r="X171" s="80"/>
      <c r="Y171" s="80"/>
      <c r="Z171" s="80"/>
      <c r="AA171" s="80"/>
    </row>
    <row r="172" spans="1:27" ht="15.75" customHeight="1">
      <c r="A172" s="80"/>
      <c r="B172" s="270"/>
      <c r="C172" s="271"/>
      <c r="D172" s="80"/>
      <c r="E172" s="271"/>
      <c r="F172" s="272"/>
      <c r="G172" s="270"/>
      <c r="H172" s="271"/>
      <c r="I172" s="272"/>
      <c r="J172" s="80"/>
      <c r="K172" s="273"/>
      <c r="L172" s="273"/>
      <c r="M172" s="273"/>
      <c r="N172" s="273"/>
      <c r="O172" s="273"/>
      <c r="P172" s="273"/>
      <c r="Q172" s="274"/>
      <c r="R172" s="80"/>
      <c r="S172" s="80"/>
      <c r="T172" s="241"/>
      <c r="U172" s="80"/>
      <c r="V172" s="80"/>
      <c r="W172" s="80"/>
      <c r="X172" s="80"/>
      <c r="Y172" s="80"/>
      <c r="Z172" s="80"/>
      <c r="AA172" s="80"/>
    </row>
    <row r="173" spans="1:27" ht="15.75" customHeight="1">
      <c r="A173" s="80"/>
      <c r="B173" s="270"/>
      <c r="C173" s="271"/>
      <c r="D173" s="80"/>
      <c r="E173" s="271"/>
      <c r="F173" s="272"/>
      <c r="G173" s="270"/>
      <c r="H173" s="271"/>
      <c r="I173" s="272"/>
      <c r="J173" s="80"/>
      <c r="K173" s="273"/>
      <c r="L173" s="273"/>
      <c r="M173" s="273"/>
      <c r="N173" s="273"/>
      <c r="O173" s="273"/>
      <c r="P173" s="273"/>
      <c r="Q173" s="274"/>
      <c r="R173" s="80"/>
      <c r="S173" s="80"/>
      <c r="T173" s="241"/>
      <c r="U173" s="80"/>
      <c r="V173" s="80"/>
      <c r="W173" s="80"/>
      <c r="X173" s="80"/>
      <c r="Y173" s="80"/>
      <c r="Z173" s="80"/>
      <c r="AA173" s="80"/>
    </row>
    <row r="174" spans="1:27" ht="15.75" customHeight="1">
      <c r="A174" s="80"/>
      <c r="B174" s="270"/>
      <c r="C174" s="271"/>
      <c r="D174" s="80"/>
      <c r="E174" s="271"/>
      <c r="F174" s="272"/>
      <c r="G174" s="270"/>
      <c r="H174" s="271"/>
      <c r="I174" s="272"/>
      <c r="J174" s="80"/>
      <c r="K174" s="273"/>
      <c r="L174" s="273"/>
      <c r="M174" s="273"/>
      <c r="N174" s="273"/>
      <c r="O174" s="273"/>
      <c r="P174" s="273"/>
      <c r="Q174" s="274"/>
      <c r="R174" s="80"/>
      <c r="S174" s="80"/>
      <c r="T174" s="241"/>
      <c r="U174" s="80"/>
      <c r="V174" s="80"/>
      <c r="W174" s="80"/>
      <c r="X174" s="80"/>
      <c r="Y174" s="80"/>
      <c r="Z174" s="80"/>
      <c r="AA174" s="80"/>
    </row>
    <row r="175" spans="1:27" ht="15.75" customHeight="1">
      <c r="A175" s="80"/>
      <c r="B175" s="270"/>
      <c r="C175" s="271"/>
      <c r="D175" s="80"/>
      <c r="E175" s="271"/>
      <c r="F175" s="272"/>
      <c r="G175" s="270"/>
      <c r="H175" s="271"/>
      <c r="I175" s="272"/>
      <c r="J175" s="80"/>
      <c r="K175" s="273"/>
      <c r="L175" s="273"/>
      <c r="M175" s="273"/>
      <c r="N175" s="273"/>
      <c r="O175" s="273"/>
      <c r="P175" s="273"/>
      <c r="Q175" s="274"/>
      <c r="R175" s="80"/>
      <c r="S175" s="80"/>
      <c r="T175" s="241"/>
      <c r="U175" s="80"/>
      <c r="V175" s="80"/>
      <c r="W175" s="80"/>
      <c r="X175" s="80"/>
      <c r="Y175" s="80"/>
      <c r="Z175" s="80"/>
      <c r="AA175" s="80"/>
    </row>
    <row r="176" spans="1:27" ht="15.75" customHeight="1">
      <c r="A176" s="80"/>
      <c r="B176" s="270"/>
      <c r="C176" s="271"/>
      <c r="D176" s="80"/>
      <c r="E176" s="271"/>
      <c r="F176" s="272"/>
      <c r="G176" s="270"/>
      <c r="H176" s="271"/>
      <c r="I176" s="272"/>
      <c r="J176" s="80"/>
      <c r="K176" s="273"/>
      <c r="L176" s="273"/>
      <c r="M176" s="273"/>
      <c r="N176" s="273"/>
      <c r="O176" s="273"/>
      <c r="P176" s="273"/>
      <c r="Q176" s="274"/>
      <c r="R176" s="80"/>
      <c r="S176" s="80"/>
      <c r="T176" s="241"/>
      <c r="U176" s="80"/>
      <c r="V176" s="80"/>
      <c r="W176" s="80"/>
      <c r="X176" s="80"/>
      <c r="Y176" s="80"/>
      <c r="Z176" s="80"/>
      <c r="AA176" s="80"/>
    </row>
    <row r="177" spans="1:27" ht="15.75" customHeight="1">
      <c r="A177" s="80"/>
      <c r="B177" s="270"/>
      <c r="C177" s="271"/>
      <c r="D177" s="80"/>
      <c r="E177" s="271"/>
      <c r="F177" s="272"/>
      <c r="G177" s="270"/>
      <c r="H177" s="271"/>
      <c r="I177" s="272"/>
      <c r="J177" s="80"/>
      <c r="K177" s="273"/>
      <c r="L177" s="273"/>
      <c r="M177" s="273"/>
      <c r="N177" s="273"/>
      <c r="O177" s="273"/>
      <c r="P177" s="273"/>
      <c r="Q177" s="274"/>
      <c r="R177" s="80"/>
      <c r="S177" s="80"/>
      <c r="T177" s="241"/>
      <c r="U177" s="80"/>
      <c r="V177" s="80"/>
      <c r="W177" s="80"/>
      <c r="X177" s="80"/>
      <c r="Y177" s="80"/>
      <c r="Z177" s="80"/>
      <c r="AA177" s="80"/>
    </row>
    <row r="178" spans="1:27" ht="15.75" customHeight="1">
      <c r="A178" s="80"/>
      <c r="B178" s="270"/>
      <c r="C178" s="271"/>
      <c r="D178" s="80"/>
      <c r="E178" s="271"/>
      <c r="F178" s="272"/>
      <c r="G178" s="270"/>
      <c r="H178" s="271"/>
      <c r="I178" s="272"/>
      <c r="J178" s="80"/>
      <c r="K178" s="273"/>
      <c r="L178" s="273"/>
      <c r="M178" s="273"/>
      <c r="N178" s="273"/>
      <c r="O178" s="273"/>
      <c r="P178" s="273"/>
      <c r="Q178" s="274"/>
      <c r="R178" s="80"/>
      <c r="S178" s="80"/>
      <c r="T178" s="241"/>
      <c r="U178" s="80"/>
      <c r="V178" s="80"/>
      <c r="W178" s="80"/>
      <c r="X178" s="80"/>
      <c r="Y178" s="80"/>
      <c r="Z178" s="80"/>
      <c r="AA178" s="80"/>
    </row>
    <row r="179" spans="1:27" ht="15.75" customHeight="1">
      <c r="A179" s="80"/>
      <c r="B179" s="270"/>
      <c r="C179" s="271"/>
      <c r="D179" s="80"/>
      <c r="E179" s="271"/>
      <c r="F179" s="272"/>
      <c r="G179" s="270"/>
      <c r="H179" s="271"/>
      <c r="I179" s="272"/>
      <c r="J179" s="80"/>
      <c r="K179" s="273"/>
      <c r="L179" s="273"/>
      <c r="M179" s="273"/>
      <c r="N179" s="273"/>
      <c r="O179" s="273"/>
      <c r="P179" s="273"/>
      <c r="Q179" s="274"/>
      <c r="R179" s="80"/>
      <c r="S179" s="80"/>
      <c r="T179" s="241"/>
      <c r="U179" s="80"/>
      <c r="V179" s="80"/>
      <c r="W179" s="80"/>
      <c r="X179" s="80"/>
      <c r="Y179" s="80"/>
      <c r="Z179" s="80"/>
      <c r="AA179" s="80"/>
    </row>
    <row r="180" spans="1:27" ht="15.75" customHeight="1">
      <c r="A180" s="80"/>
      <c r="B180" s="270"/>
      <c r="C180" s="271"/>
      <c r="D180" s="80"/>
      <c r="E180" s="271"/>
      <c r="F180" s="272"/>
      <c r="G180" s="270"/>
      <c r="H180" s="271"/>
      <c r="I180" s="272"/>
      <c r="J180" s="80"/>
      <c r="K180" s="273"/>
      <c r="L180" s="273"/>
      <c r="M180" s="273"/>
      <c r="N180" s="273"/>
      <c r="O180" s="273"/>
      <c r="P180" s="273"/>
      <c r="Q180" s="274"/>
      <c r="R180" s="80"/>
      <c r="S180" s="80"/>
      <c r="T180" s="241"/>
      <c r="U180" s="80"/>
      <c r="V180" s="80"/>
      <c r="W180" s="80"/>
      <c r="X180" s="80"/>
      <c r="Y180" s="80"/>
      <c r="Z180" s="80"/>
      <c r="AA180" s="80"/>
    </row>
    <row r="181" spans="1:27" ht="15.75" customHeight="1">
      <c r="A181" s="80"/>
      <c r="B181" s="270"/>
      <c r="C181" s="271"/>
      <c r="D181" s="80"/>
      <c r="E181" s="271"/>
      <c r="F181" s="272"/>
      <c r="G181" s="270"/>
      <c r="H181" s="271"/>
      <c r="I181" s="272"/>
      <c r="J181" s="80"/>
      <c r="K181" s="273"/>
      <c r="L181" s="273"/>
      <c r="M181" s="273"/>
      <c r="N181" s="273"/>
      <c r="O181" s="273"/>
      <c r="P181" s="273"/>
      <c r="Q181" s="274"/>
      <c r="R181" s="80"/>
      <c r="S181" s="80"/>
      <c r="T181" s="241"/>
      <c r="U181" s="80"/>
      <c r="V181" s="80"/>
      <c r="W181" s="80"/>
      <c r="X181" s="80"/>
      <c r="Y181" s="80"/>
      <c r="Z181" s="80"/>
      <c r="AA181" s="80"/>
    </row>
    <row r="182" spans="1:27" ht="15.75" customHeight="1">
      <c r="A182" s="80"/>
      <c r="B182" s="270"/>
      <c r="C182" s="271"/>
      <c r="D182" s="80"/>
      <c r="E182" s="271"/>
      <c r="F182" s="272"/>
      <c r="G182" s="270"/>
      <c r="H182" s="271"/>
      <c r="I182" s="272"/>
      <c r="J182" s="80"/>
      <c r="K182" s="273"/>
      <c r="L182" s="273"/>
      <c r="M182" s="273"/>
      <c r="N182" s="273"/>
      <c r="O182" s="273"/>
      <c r="P182" s="273"/>
      <c r="Q182" s="274"/>
      <c r="R182" s="80"/>
      <c r="S182" s="80"/>
      <c r="T182" s="241"/>
      <c r="U182" s="80"/>
      <c r="V182" s="80"/>
      <c r="W182" s="80"/>
      <c r="X182" s="80"/>
      <c r="Y182" s="80"/>
      <c r="Z182" s="80"/>
      <c r="AA182" s="80"/>
    </row>
    <row r="183" spans="1:27" ht="15.75" customHeight="1">
      <c r="A183" s="80"/>
      <c r="B183" s="270"/>
      <c r="C183" s="271"/>
      <c r="D183" s="80"/>
      <c r="E183" s="271"/>
      <c r="F183" s="272"/>
      <c r="G183" s="270"/>
      <c r="H183" s="271"/>
      <c r="I183" s="272"/>
      <c r="J183" s="80"/>
      <c r="K183" s="273"/>
      <c r="L183" s="273"/>
      <c r="M183" s="273"/>
      <c r="N183" s="273"/>
      <c r="O183" s="273"/>
      <c r="P183" s="273"/>
      <c r="Q183" s="274"/>
      <c r="R183" s="80"/>
      <c r="S183" s="80"/>
      <c r="T183" s="241"/>
      <c r="U183" s="80"/>
      <c r="V183" s="80"/>
      <c r="W183" s="80"/>
      <c r="X183" s="80"/>
      <c r="Y183" s="80"/>
      <c r="Z183" s="80"/>
      <c r="AA183" s="80"/>
    </row>
    <row r="184" spans="1:27" ht="15.75" customHeight="1">
      <c r="A184" s="80"/>
      <c r="B184" s="270"/>
      <c r="C184" s="271"/>
      <c r="D184" s="80"/>
      <c r="E184" s="271"/>
      <c r="F184" s="272"/>
      <c r="G184" s="270"/>
      <c r="H184" s="271"/>
      <c r="I184" s="272"/>
      <c r="J184" s="80"/>
      <c r="K184" s="273"/>
      <c r="L184" s="273"/>
      <c r="M184" s="273"/>
      <c r="N184" s="273"/>
      <c r="O184" s="273"/>
      <c r="P184" s="273"/>
      <c r="Q184" s="274"/>
      <c r="R184" s="80"/>
      <c r="S184" s="80"/>
      <c r="T184" s="241"/>
      <c r="U184" s="80"/>
      <c r="V184" s="80"/>
      <c r="W184" s="80"/>
      <c r="X184" s="80"/>
      <c r="Y184" s="80"/>
      <c r="Z184" s="80"/>
      <c r="AA184" s="80"/>
    </row>
    <row r="185" spans="1:27" ht="15.75" customHeight="1">
      <c r="A185" s="80"/>
      <c r="B185" s="270"/>
      <c r="C185" s="271"/>
      <c r="D185" s="80"/>
      <c r="E185" s="271"/>
      <c r="F185" s="272"/>
      <c r="G185" s="270"/>
      <c r="H185" s="271"/>
      <c r="I185" s="272"/>
      <c r="J185" s="80"/>
      <c r="K185" s="273"/>
      <c r="L185" s="273"/>
      <c r="M185" s="273"/>
      <c r="N185" s="273"/>
      <c r="O185" s="273"/>
      <c r="P185" s="273"/>
      <c r="Q185" s="274"/>
      <c r="R185" s="80"/>
      <c r="S185" s="80"/>
      <c r="T185" s="241"/>
      <c r="U185" s="80"/>
      <c r="V185" s="80"/>
      <c r="W185" s="80"/>
      <c r="X185" s="80"/>
      <c r="Y185" s="80"/>
      <c r="Z185" s="80"/>
      <c r="AA185" s="80"/>
    </row>
    <row r="186" spans="1:27" ht="15.75" customHeight="1">
      <c r="A186" s="80"/>
      <c r="B186" s="270"/>
      <c r="C186" s="271"/>
      <c r="D186" s="80"/>
      <c r="E186" s="271"/>
      <c r="F186" s="272"/>
      <c r="G186" s="270"/>
      <c r="H186" s="271"/>
      <c r="I186" s="272"/>
      <c r="J186" s="80"/>
      <c r="K186" s="273"/>
      <c r="L186" s="273"/>
      <c r="M186" s="273"/>
      <c r="N186" s="273"/>
      <c r="O186" s="273"/>
      <c r="P186" s="273"/>
      <c r="Q186" s="274"/>
      <c r="R186" s="80"/>
      <c r="S186" s="80"/>
      <c r="T186" s="241"/>
      <c r="U186" s="80"/>
      <c r="V186" s="80"/>
      <c r="W186" s="80"/>
      <c r="X186" s="80"/>
      <c r="Y186" s="80"/>
      <c r="Z186" s="80"/>
      <c r="AA186" s="80"/>
    </row>
    <row r="187" spans="1:27" ht="15.75" customHeight="1">
      <c r="A187" s="80"/>
      <c r="B187" s="270"/>
      <c r="C187" s="271"/>
      <c r="D187" s="80"/>
      <c r="E187" s="271"/>
      <c r="F187" s="272"/>
      <c r="G187" s="270"/>
      <c r="H187" s="271"/>
      <c r="I187" s="272"/>
      <c r="J187" s="80"/>
      <c r="K187" s="273"/>
      <c r="L187" s="273"/>
      <c r="M187" s="273"/>
      <c r="N187" s="273"/>
      <c r="O187" s="273"/>
      <c r="P187" s="273"/>
      <c r="Q187" s="274"/>
      <c r="R187" s="80"/>
      <c r="S187" s="80"/>
      <c r="T187" s="241"/>
      <c r="U187" s="80"/>
      <c r="V187" s="80"/>
      <c r="W187" s="80"/>
      <c r="X187" s="80"/>
      <c r="Y187" s="80"/>
      <c r="Z187" s="80"/>
      <c r="AA187" s="80"/>
    </row>
    <row r="188" spans="1:27" ht="15.75" customHeight="1">
      <c r="A188" s="80"/>
      <c r="B188" s="270"/>
      <c r="C188" s="271"/>
      <c r="D188" s="80"/>
      <c r="E188" s="271"/>
      <c r="F188" s="272"/>
      <c r="G188" s="270"/>
      <c r="H188" s="271"/>
      <c r="I188" s="272"/>
      <c r="J188" s="80"/>
      <c r="K188" s="273"/>
      <c r="L188" s="273"/>
      <c r="M188" s="273"/>
      <c r="N188" s="273"/>
      <c r="O188" s="273"/>
      <c r="P188" s="273"/>
      <c r="Q188" s="274"/>
      <c r="R188" s="80"/>
      <c r="S188" s="80"/>
      <c r="T188" s="241"/>
      <c r="U188" s="80"/>
      <c r="V188" s="80"/>
      <c r="W188" s="80"/>
      <c r="X188" s="80"/>
      <c r="Y188" s="80"/>
      <c r="Z188" s="80"/>
      <c r="AA188" s="80"/>
    </row>
    <row r="189" spans="1:27" ht="15.75" customHeight="1">
      <c r="A189" s="80"/>
      <c r="B189" s="270"/>
      <c r="C189" s="271"/>
      <c r="D189" s="80"/>
      <c r="E189" s="271"/>
      <c r="F189" s="272"/>
      <c r="G189" s="270"/>
      <c r="H189" s="271"/>
      <c r="I189" s="272"/>
      <c r="J189" s="80"/>
      <c r="K189" s="273"/>
      <c r="L189" s="273"/>
      <c r="M189" s="273"/>
      <c r="N189" s="273"/>
      <c r="O189" s="273"/>
      <c r="P189" s="273"/>
      <c r="Q189" s="274"/>
      <c r="R189" s="80"/>
      <c r="S189" s="80"/>
      <c r="T189" s="241"/>
      <c r="U189" s="80"/>
      <c r="V189" s="80"/>
      <c r="W189" s="80"/>
      <c r="X189" s="80"/>
      <c r="Y189" s="80"/>
      <c r="Z189" s="80"/>
      <c r="AA189" s="80"/>
    </row>
    <row r="190" spans="1:27" ht="15.75" customHeight="1">
      <c r="A190" s="80"/>
      <c r="B190" s="270"/>
      <c r="C190" s="271"/>
      <c r="D190" s="80"/>
      <c r="E190" s="271"/>
      <c r="F190" s="272"/>
      <c r="G190" s="270"/>
      <c r="H190" s="271"/>
      <c r="I190" s="272"/>
      <c r="J190" s="80"/>
      <c r="K190" s="273"/>
      <c r="L190" s="273"/>
      <c r="M190" s="273"/>
      <c r="N190" s="273"/>
      <c r="O190" s="273"/>
      <c r="P190" s="273"/>
      <c r="Q190" s="274"/>
      <c r="R190" s="80"/>
      <c r="S190" s="80"/>
      <c r="T190" s="241"/>
      <c r="U190" s="80"/>
      <c r="V190" s="80"/>
      <c r="W190" s="80"/>
      <c r="X190" s="80"/>
      <c r="Y190" s="80"/>
      <c r="Z190" s="80"/>
      <c r="AA190" s="80"/>
    </row>
    <row r="191" spans="1:27" ht="15.75" customHeight="1">
      <c r="A191" s="80"/>
      <c r="B191" s="270"/>
      <c r="C191" s="271"/>
      <c r="D191" s="80"/>
      <c r="E191" s="271"/>
      <c r="F191" s="272"/>
      <c r="G191" s="270"/>
      <c r="H191" s="271"/>
      <c r="I191" s="272"/>
      <c r="J191" s="80"/>
      <c r="K191" s="273"/>
      <c r="L191" s="273"/>
      <c r="M191" s="273"/>
      <c r="N191" s="273"/>
      <c r="O191" s="273"/>
      <c r="P191" s="273"/>
      <c r="Q191" s="274"/>
      <c r="R191" s="80"/>
      <c r="S191" s="80"/>
      <c r="T191" s="241"/>
      <c r="U191" s="80"/>
      <c r="V191" s="80"/>
      <c r="W191" s="80"/>
      <c r="X191" s="80"/>
      <c r="Y191" s="80"/>
      <c r="Z191" s="80"/>
      <c r="AA191" s="80"/>
    </row>
    <row r="192" spans="1:27" ht="15.75" customHeight="1">
      <c r="A192" s="80"/>
      <c r="B192" s="270"/>
      <c r="C192" s="271"/>
      <c r="D192" s="80"/>
      <c r="E192" s="271"/>
      <c r="F192" s="272"/>
      <c r="G192" s="270"/>
      <c r="H192" s="271"/>
      <c r="I192" s="272"/>
      <c r="J192" s="80"/>
      <c r="K192" s="273"/>
      <c r="L192" s="273"/>
      <c r="M192" s="273"/>
      <c r="N192" s="273"/>
      <c r="O192" s="273"/>
      <c r="P192" s="273"/>
      <c r="Q192" s="274"/>
      <c r="R192" s="80"/>
      <c r="S192" s="80"/>
      <c r="T192" s="241"/>
      <c r="U192" s="80"/>
      <c r="V192" s="80"/>
      <c r="W192" s="80"/>
      <c r="X192" s="80"/>
      <c r="Y192" s="80"/>
      <c r="Z192" s="80"/>
      <c r="AA192" s="80"/>
    </row>
    <row r="193" spans="1:27" ht="15.75" customHeight="1">
      <c r="A193" s="80"/>
      <c r="B193" s="270"/>
      <c r="C193" s="271"/>
      <c r="D193" s="80"/>
      <c r="E193" s="271"/>
      <c r="F193" s="272"/>
      <c r="G193" s="270"/>
      <c r="H193" s="271"/>
      <c r="I193" s="272"/>
      <c r="J193" s="80"/>
      <c r="K193" s="273"/>
      <c r="L193" s="273"/>
      <c r="M193" s="273"/>
      <c r="N193" s="273"/>
      <c r="O193" s="273"/>
      <c r="P193" s="273"/>
      <c r="Q193" s="274"/>
      <c r="R193" s="80"/>
      <c r="S193" s="80"/>
      <c r="T193" s="241"/>
      <c r="U193" s="80"/>
      <c r="V193" s="80"/>
      <c r="W193" s="80"/>
      <c r="X193" s="80"/>
      <c r="Y193" s="80"/>
      <c r="Z193" s="80"/>
      <c r="AA193" s="80"/>
    </row>
    <row r="194" spans="1:27" ht="15.75" customHeight="1">
      <c r="A194" s="80"/>
      <c r="B194" s="270"/>
      <c r="C194" s="271"/>
      <c r="D194" s="80"/>
      <c r="E194" s="271"/>
      <c r="F194" s="272"/>
      <c r="G194" s="270"/>
      <c r="H194" s="271"/>
      <c r="I194" s="272"/>
      <c r="J194" s="80"/>
      <c r="K194" s="273"/>
      <c r="L194" s="273"/>
      <c r="M194" s="273"/>
      <c r="N194" s="273"/>
      <c r="O194" s="273"/>
      <c r="P194" s="273"/>
      <c r="Q194" s="274"/>
      <c r="R194" s="80"/>
      <c r="S194" s="80"/>
      <c r="T194" s="241"/>
      <c r="U194" s="80"/>
      <c r="V194" s="80"/>
      <c r="W194" s="80"/>
      <c r="X194" s="80"/>
      <c r="Y194" s="80"/>
      <c r="Z194" s="80"/>
      <c r="AA194" s="80"/>
    </row>
    <row r="195" spans="1:27" ht="15.75" customHeight="1">
      <c r="A195" s="80"/>
      <c r="B195" s="270"/>
      <c r="C195" s="271"/>
      <c r="D195" s="80"/>
      <c r="E195" s="271"/>
      <c r="F195" s="272"/>
      <c r="G195" s="270"/>
      <c r="H195" s="271"/>
      <c r="I195" s="272"/>
      <c r="J195" s="80"/>
      <c r="K195" s="273"/>
      <c r="L195" s="273"/>
      <c r="M195" s="273"/>
      <c r="N195" s="273"/>
      <c r="O195" s="273"/>
      <c r="P195" s="273"/>
      <c r="Q195" s="274"/>
      <c r="R195" s="80"/>
      <c r="S195" s="80"/>
      <c r="T195" s="241"/>
      <c r="U195" s="80"/>
      <c r="V195" s="80"/>
      <c r="W195" s="80"/>
      <c r="X195" s="80"/>
      <c r="Y195" s="80"/>
      <c r="Z195" s="80"/>
      <c r="AA195" s="80"/>
    </row>
    <row r="196" spans="1:27" ht="15.75" customHeight="1">
      <c r="A196" s="80"/>
      <c r="B196" s="270"/>
      <c r="C196" s="271"/>
      <c r="D196" s="80"/>
      <c r="E196" s="271"/>
      <c r="F196" s="272"/>
      <c r="G196" s="270"/>
      <c r="H196" s="271"/>
      <c r="I196" s="272"/>
      <c r="J196" s="80"/>
      <c r="K196" s="273"/>
      <c r="L196" s="273"/>
      <c r="M196" s="273"/>
      <c r="N196" s="273"/>
      <c r="O196" s="273"/>
      <c r="P196" s="273"/>
      <c r="Q196" s="274"/>
      <c r="R196" s="80"/>
      <c r="S196" s="80"/>
      <c r="T196" s="241"/>
      <c r="U196" s="80"/>
      <c r="V196" s="80"/>
      <c r="W196" s="80"/>
      <c r="X196" s="80"/>
      <c r="Y196" s="80"/>
      <c r="Z196" s="80"/>
      <c r="AA196" s="80"/>
    </row>
    <row r="197" spans="1:27" ht="15.75" customHeight="1">
      <c r="A197" s="80"/>
      <c r="B197" s="270"/>
      <c r="C197" s="271"/>
      <c r="D197" s="80"/>
      <c r="E197" s="271"/>
      <c r="F197" s="272"/>
      <c r="G197" s="270"/>
      <c r="H197" s="271"/>
      <c r="I197" s="272"/>
      <c r="J197" s="80"/>
      <c r="K197" s="273"/>
      <c r="L197" s="273"/>
      <c r="M197" s="273"/>
      <c r="N197" s="273"/>
      <c r="O197" s="273"/>
      <c r="P197" s="273"/>
      <c r="Q197" s="274"/>
      <c r="R197" s="80"/>
      <c r="S197" s="80"/>
      <c r="T197" s="241"/>
      <c r="U197" s="80"/>
      <c r="V197" s="80"/>
      <c r="W197" s="80"/>
      <c r="X197" s="80"/>
      <c r="Y197" s="80"/>
      <c r="Z197" s="80"/>
      <c r="AA197" s="80"/>
    </row>
    <row r="198" spans="1:27" ht="15.75" customHeight="1">
      <c r="A198" s="80"/>
      <c r="B198" s="270"/>
      <c r="C198" s="271"/>
      <c r="D198" s="80"/>
      <c r="E198" s="271"/>
      <c r="F198" s="272"/>
      <c r="G198" s="270"/>
      <c r="H198" s="271"/>
      <c r="I198" s="272"/>
      <c r="J198" s="80"/>
      <c r="K198" s="273"/>
      <c r="L198" s="273"/>
      <c r="M198" s="273"/>
      <c r="N198" s="273"/>
      <c r="O198" s="273"/>
      <c r="P198" s="273"/>
      <c r="Q198" s="274"/>
      <c r="R198" s="80"/>
      <c r="S198" s="80"/>
      <c r="T198" s="241"/>
      <c r="U198" s="80"/>
      <c r="V198" s="80"/>
      <c r="W198" s="80"/>
      <c r="X198" s="80"/>
      <c r="Y198" s="80"/>
      <c r="Z198" s="80"/>
      <c r="AA198" s="80"/>
    </row>
    <row r="199" spans="1:27" ht="15.75" customHeight="1">
      <c r="A199" s="80"/>
      <c r="B199" s="270"/>
      <c r="C199" s="271"/>
      <c r="D199" s="80"/>
      <c r="E199" s="271"/>
      <c r="F199" s="272"/>
      <c r="G199" s="270"/>
      <c r="H199" s="271"/>
      <c r="I199" s="272"/>
      <c r="J199" s="80"/>
      <c r="K199" s="273"/>
      <c r="L199" s="273"/>
      <c r="M199" s="273"/>
      <c r="N199" s="273"/>
      <c r="O199" s="273"/>
      <c r="P199" s="273"/>
      <c r="Q199" s="274"/>
      <c r="R199" s="80"/>
      <c r="S199" s="80"/>
      <c r="T199" s="241"/>
      <c r="U199" s="80"/>
      <c r="V199" s="80"/>
      <c r="W199" s="80"/>
      <c r="X199" s="80"/>
      <c r="Y199" s="80"/>
      <c r="Z199" s="80"/>
      <c r="AA199" s="80"/>
    </row>
    <row r="200" spans="1:27" ht="15.75" customHeight="1">
      <c r="A200" s="80"/>
      <c r="B200" s="270"/>
      <c r="C200" s="271"/>
      <c r="D200" s="80"/>
      <c r="E200" s="271"/>
      <c r="F200" s="272"/>
      <c r="G200" s="270"/>
      <c r="H200" s="271"/>
      <c r="I200" s="272"/>
      <c r="J200" s="80"/>
      <c r="K200" s="273"/>
      <c r="L200" s="273"/>
      <c r="M200" s="273"/>
      <c r="N200" s="273"/>
      <c r="O200" s="273"/>
      <c r="P200" s="273"/>
      <c r="Q200" s="274"/>
      <c r="R200" s="80"/>
      <c r="S200" s="80"/>
      <c r="T200" s="241"/>
      <c r="U200" s="80"/>
      <c r="V200" s="80"/>
      <c r="W200" s="80"/>
      <c r="X200" s="80"/>
      <c r="Y200" s="80"/>
      <c r="Z200" s="80"/>
      <c r="AA200" s="80"/>
    </row>
    <row r="201" spans="1:27" ht="15.75" customHeight="1">
      <c r="A201" s="80"/>
      <c r="B201" s="270"/>
      <c r="C201" s="271"/>
      <c r="D201" s="80"/>
      <c r="E201" s="271"/>
      <c r="F201" s="272"/>
      <c r="G201" s="270"/>
      <c r="H201" s="271"/>
      <c r="I201" s="272"/>
      <c r="J201" s="80"/>
      <c r="K201" s="273"/>
      <c r="L201" s="273"/>
      <c r="M201" s="273"/>
      <c r="N201" s="273"/>
      <c r="O201" s="273"/>
      <c r="P201" s="273"/>
      <c r="Q201" s="274"/>
      <c r="R201" s="80"/>
      <c r="S201" s="80"/>
      <c r="T201" s="241"/>
      <c r="U201" s="80"/>
      <c r="V201" s="80"/>
      <c r="W201" s="80"/>
      <c r="X201" s="80"/>
      <c r="Y201" s="80"/>
      <c r="Z201" s="80"/>
      <c r="AA201" s="80"/>
    </row>
    <row r="202" spans="1:27" ht="15.75" customHeight="1">
      <c r="A202" s="80"/>
      <c r="B202" s="270"/>
      <c r="C202" s="271"/>
      <c r="D202" s="80"/>
      <c r="E202" s="271"/>
      <c r="F202" s="272"/>
      <c r="G202" s="270"/>
      <c r="H202" s="271"/>
      <c r="I202" s="272"/>
      <c r="J202" s="80"/>
      <c r="K202" s="273"/>
      <c r="L202" s="273"/>
      <c r="M202" s="273"/>
      <c r="N202" s="273"/>
      <c r="O202" s="273"/>
      <c r="P202" s="273"/>
      <c r="Q202" s="274"/>
      <c r="R202" s="80"/>
      <c r="S202" s="80"/>
      <c r="T202" s="241"/>
      <c r="U202" s="80"/>
      <c r="V202" s="80"/>
      <c r="W202" s="80"/>
      <c r="X202" s="80"/>
      <c r="Y202" s="80"/>
      <c r="Z202" s="80"/>
      <c r="AA202" s="80"/>
    </row>
    <row r="203" spans="1:27" ht="15.75" customHeight="1">
      <c r="A203" s="80"/>
      <c r="B203" s="270"/>
      <c r="C203" s="271"/>
      <c r="D203" s="80"/>
      <c r="E203" s="271"/>
      <c r="F203" s="272"/>
      <c r="G203" s="270"/>
      <c r="H203" s="271"/>
      <c r="I203" s="272"/>
      <c r="J203" s="80"/>
      <c r="K203" s="273"/>
      <c r="L203" s="273"/>
      <c r="M203" s="273"/>
      <c r="N203" s="273"/>
      <c r="O203" s="273"/>
      <c r="P203" s="273"/>
      <c r="Q203" s="274"/>
      <c r="R203" s="80"/>
      <c r="S203" s="80"/>
      <c r="T203" s="241"/>
      <c r="U203" s="80"/>
      <c r="V203" s="80"/>
      <c r="W203" s="80"/>
      <c r="X203" s="80"/>
      <c r="Y203" s="80"/>
      <c r="Z203" s="80"/>
      <c r="AA203" s="80"/>
    </row>
    <row r="204" spans="1:27" ht="15.75" customHeight="1">
      <c r="A204" s="80"/>
      <c r="B204" s="270"/>
      <c r="C204" s="271"/>
      <c r="D204" s="80"/>
      <c r="E204" s="271"/>
      <c r="F204" s="272"/>
      <c r="G204" s="270"/>
      <c r="H204" s="271"/>
      <c r="I204" s="272"/>
      <c r="J204" s="80"/>
      <c r="K204" s="273"/>
      <c r="L204" s="273"/>
      <c r="M204" s="273"/>
      <c r="N204" s="273"/>
      <c r="O204" s="273"/>
      <c r="P204" s="273"/>
      <c r="Q204" s="274"/>
      <c r="R204" s="80"/>
      <c r="S204" s="80"/>
      <c r="T204" s="241"/>
      <c r="U204" s="80"/>
      <c r="V204" s="80"/>
      <c r="W204" s="80"/>
      <c r="X204" s="80"/>
      <c r="Y204" s="80"/>
      <c r="Z204" s="80"/>
      <c r="AA204" s="80"/>
    </row>
    <row r="205" spans="1:27" ht="15.75" customHeight="1">
      <c r="A205" s="80"/>
      <c r="B205" s="270"/>
      <c r="C205" s="271"/>
      <c r="D205" s="80"/>
      <c r="E205" s="271"/>
      <c r="F205" s="272"/>
      <c r="G205" s="270"/>
      <c r="H205" s="271"/>
      <c r="I205" s="272"/>
      <c r="J205" s="80"/>
      <c r="K205" s="273"/>
      <c r="L205" s="273"/>
      <c r="M205" s="273"/>
      <c r="N205" s="273"/>
      <c r="O205" s="273"/>
      <c r="P205" s="273"/>
      <c r="Q205" s="274"/>
      <c r="R205" s="80"/>
      <c r="S205" s="80"/>
      <c r="T205" s="241"/>
      <c r="U205" s="80"/>
      <c r="V205" s="80"/>
      <c r="W205" s="80"/>
      <c r="X205" s="80"/>
      <c r="Y205" s="80"/>
      <c r="Z205" s="80"/>
      <c r="AA205" s="80"/>
    </row>
    <row r="206" spans="1:27" ht="15.75" customHeight="1">
      <c r="A206" s="80"/>
      <c r="B206" s="270"/>
      <c r="C206" s="271"/>
      <c r="D206" s="80"/>
      <c r="E206" s="271"/>
      <c r="F206" s="272"/>
      <c r="G206" s="270"/>
      <c r="H206" s="271"/>
      <c r="I206" s="272"/>
      <c r="J206" s="80"/>
      <c r="K206" s="273"/>
      <c r="L206" s="273"/>
      <c r="M206" s="273"/>
      <c r="N206" s="273"/>
      <c r="O206" s="273"/>
      <c r="P206" s="273"/>
      <c r="Q206" s="274"/>
      <c r="R206" s="80"/>
      <c r="S206" s="80"/>
      <c r="T206" s="241"/>
      <c r="U206" s="80"/>
      <c r="V206" s="80"/>
      <c r="W206" s="80"/>
      <c r="X206" s="80"/>
      <c r="Y206" s="80"/>
      <c r="Z206" s="80"/>
      <c r="AA206" s="80"/>
    </row>
    <row r="207" spans="1:27" ht="15.75" customHeight="1">
      <c r="A207" s="80"/>
      <c r="B207" s="270"/>
      <c r="C207" s="271"/>
      <c r="D207" s="80"/>
      <c r="E207" s="271"/>
      <c r="F207" s="272"/>
      <c r="G207" s="270"/>
      <c r="H207" s="271"/>
      <c r="I207" s="272"/>
      <c r="J207" s="80"/>
      <c r="K207" s="273"/>
      <c r="L207" s="273"/>
      <c r="M207" s="273"/>
      <c r="N207" s="273"/>
      <c r="O207" s="273"/>
      <c r="P207" s="273"/>
      <c r="Q207" s="274"/>
      <c r="R207" s="80"/>
      <c r="S207" s="80"/>
      <c r="T207" s="241"/>
      <c r="U207" s="80"/>
      <c r="V207" s="80"/>
      <c r="W207" s="80"/>
      <c r="X207" s="80"/>
      <c r="Y207" s="80"/>
      <c r="Z207" s="80"/>
      <c r="AA207" s="80"/>
    </row>
    <row r="208" spans="1:27" ht="15.75" customHeight="1">
      <c r="A208" s="80"/>
      <c r="B208" s="270"/>
      <c r="C208" s="271"/>
      <c r="D208" s="80"/>
      <c r="E208" s="271"/>
      <c r="F208" s="272"/>
      <c r="G208" s="270"/>
      <c r="H208" s="271"/>
      <c r="I208" s="272"/>
      <c r="J208" s="80"/>
      <c r="K208" s="273"/>
      <c r="L208" s="273"/>
      <c r="M208" s="273"/>
      <c r="N208" s="273"/>
      <c r="O208" s="273"/>
      <c r="P208" s="273"/>
      <c r="Q208" s="274"/>
      <c r="R208" s="80"/>
      <c r="S208" s="80"/>
      <c r="T208" s="241"/>
      <c r="U208" s="80"/>
      <c r="V208" s="80"/>
      <c r="W208" s="80"/>
      <c r="X208" s="80"/>
      <c r="Y208" s="80"/>
      <c r="Z208" s="80"/>
      <c r="AA208" s="80"/>
    </row>
    <row r="209" spans="1:27" ht="15.75" customHeight="1">
      <c r="A209" s="80"/>
      <c r="B209" s="270"/>
      <c r="C209" s="271"/>
      <c r="D209" s="80"/>
      <c r="E209" s="271"/>
      <c r="F209" s="272"/>
      <c r="G209" s="270"/>
      <c r="H209" s="271"/>
      <c r="I209" s="272"/>
      <c r="J209" s="80"/>
      <c r="K209" s="273"/>
      <c r="L209" s="273"/>
      <c r="M209" s="273"/>
      <c r="N209" s="273"/>
      <c r="O209" s="273"/>
      <c r="P209" s="273"/>
      <c r="Q209" s="274"/>
      <c r="R209" s="80"/>
      <c r="S209" s="80"/>
      <c r="T209" s="241"/>
      <c r="U209" s="80"/>
      <c r="V209" s="80"/>
      <c r="W209" s="80"/>
      <c r="X209" s="80"/>
      <c r="Y209" s="80"/>
      <c r="Z209" s="80"/>
      <c r="AA209" s="80"/>
    </row>
    <row r="210" spans="1:27" ht="15.75" customHeight="1">
      <c r="A210" s="80"/>
      <c r="B210" s="270"/>
      <c r="C210" s="271"/>
      <c r="D210" s="80"/>
      <c r="E210" s="271"/>
      <c r="F210" s="272"/>
      <c r="G210" s="270"/>
      <c r="H210" s="271"/>
      <c r="I210" s="272"/>
      <c r="J210" s="80"/>
      <c r="K210" s="273"/>
      <c r="L210" s="273"/>
      <c r="M210" s="273"/>
      <c r="N210" s="273"/>
      <c r="O210" s="273"/>
      <c r="P210" s="273"/>
      <c r="Q210" s="274"/>
      <c r="R210" s="80"/>
      <c r="S210" s="80"/>
      <c r="T210" s="241"/>
      <c r="U210" s="80"/>
      <c r="V210" s="80"/>
      <c r="W210" s="80"/>
      <c r="X210" s="80"/>
      <c r="Y210" s="80"/>
      <c r="Z210" s="80"/>
      <c r="AA210" s="80"/>
    </row>
    <row r="211" spans="1:27" ht="15.75" customHeight="1">
      <c r="A211" s="80"/>
      <c r="B211" s="270"/>
      <c r="C211" s="271"/>
      <c r="D211" s="80"/>
      <c r="E211" s="271"/>
      <c r="F211" s="272"/>
      <c r="G211" s="270"/>
      <c r="H211" s="271"/>
      <c r="I211" s="272"/>
      <c r="J211" s="80"/>
      <c r="K211" s="273"/>
      <c r="L211" s="273"/>
      <c r="M211" s="273"/>
      <c r="N211" s="273"/>
      <c r="O211" s="273"/>
      <c r="P211" s="273"/>
      <c r="Q211" s="274"/>
      <c r="R211" s="80"/>
      <c r="S211" s="80"/>
      <c r="T211" s="241"/>
      <c r="U211" s="80"/>
      <c r="V211" s="80"/>
      <c r="W211" s="80"/>
      <c r="X211" s="80"/>
      <c r="Y211" s="80"/>
      <c r="Z211" s="80"/>
      <c r="AA211" s="80"/>
    </row>
    <row r="212" spans="1:27" ht="15.75" customHeight="1">
      <c r="A212" s="80"/>
      <c r="B212" s="270"/>
      <c r="C212" s="271"/>
      <c r="D212" s="80"/>
      <c r="E212" s="271"/>
      <c r="F212" s="272"/>
      <c r="G212" s="270"/>
      <c r="H212" s="271"/>
      <c r="I212" s="272"/>
      <c r="J212" s="80"/>
      <c r="K212" s="273"/>
      <c r="L212" s="273"/>
      <c r="M212" s="273"/>
      <c r="N212" s="273"/>
      <c r="O212" s="273"/>
      <c r="P212" s="273"/>
      <c r="Q212" s="274"/>
      <c r="R212" s="80"/>
      <c r="S212" s="80"/>
      <c r="T212" s="241"/>
      <c r="U212" s="80"/>
      <c r="V212" s="80"/>
      <c r="W212" s="80"/>
      <c r="X212" s="80"/>
      <c r="Y212" s="80"/>
      <c r="Z212" s="80"/>
      <c r="AA212" s="80"/>
    </row>
    <row r="213" spans="1:27" ht="15.75" customHeight="1">
      <c r="A213" s="80"/>
      <c r="B213" s="270"/>
      <c r="C213" s="271"/>
      <c r="D213" s="80"/>
      <c r="E213" s="271"/>
      <c r="F213" s="272"/>
      <c r="G213" s="270"/>
      <c r="H213" s="271"/>
      <c r="I213" s="272"/>
      <c r="J213" s="80"/>
      <c r="K213" s="273"/>
      <c r="L213" s="273"/>
      <c r="M213" s="273"/>
      <c r="N213" s="273"/>
      <c r="O213" s="273"/>
      <c r="P213" s="273"/>
      <c r="Q213" s="274"/>
      <c r="R213" s="80"/>
      <c r="S213" s="80"/>
      <c r="T213" s="241"/>
      <c r="U213" s="80"/>
      <c r="V213" s="80"/>
      <c r="W213" s="80"/>
      <c r="X213" s="80"/>
      <c r="Y213" s="80"/>
      <c r="Z213" s="80"/>
      <c r="AA213" s="80"/>
    </row>
    <row r="214" spans="1:27" ht="15.75" customHeight="1">
      <c r="A214" s="80"/>
      <c r="B214" s="270"/>
      <c r="C214" s="271"/>
      <c r="D214" s="80"/>
      <c r="E214" s="271"/>
      <c r="F214" s="272"/>
      <c r="G214" s="270"/>
      <c r="H214" s="271"/>
      <c r="I214" s="272"/>
      <c r="J214" s="80"/>
      <c r="K214" s="273"/>
      <c r="L214" s="273"/>
      <c r="M214" s="273"/>
      <c r="N214" s="273"/>
      <c r="O214" s="273"/>
      <c r="P214" s="273"/>
      <c r="Q214" s="274"/>
      <c r="R214" s="80"/>
      <c r="S214" s="80"/>
      <c r="T214" s="241"/>
      <c r="U214" s="80"/>
      <c r="V214" s="80"/>
      <c r="W214" s="80"/>
      <c r="X214" s="80"/>
      <c r="Y214" s="80"/>
      <c r="Z214" s="80"/>
      <c r="AA214" s="80"/>
    </row>
    <row r="215" spans="1:27" ht="15.75" customHeight="1">
      <c r="A215" s="80"/>
      <c r="B215" s="270"/>
      <c r="C215" s="271"/>
      <c r="D215" s="80"/>
      <c r="E215" s="271"/>
      <c r="F215" s="272"/>
      <c r="G215" s="270"/>
      <c r="H215" s="271"/>
      <c r="I215" s="272"/>
      <c r="J215" s="80"/>
      <c r="K215" s="273"/>
      <c r="L215" s="273"/>
      <c r="M215" s="273"/>
      <c r="N215" s="273"/>
      <c r="O215" s="273"/>
      <c r="P215" s="273"/>
      <c r="Q215" s="274"/>
      <c r="R215" s="80"/>
      <c r="S215" s="80"/>
      <c r="T215" s="241"/>
      <c r="U215" s="80"/>
      <c r="V215" s="80"/>
      <c r="W215" s="80"/>
      <c r="X215" s="80"/>
      <c r="Y215" s="80"/>
      <c r="Z215" s="80"/>
      <c r="AA215" s="80"/>
    </row>
    <row r="216" spans="1:27" ht="15.75" customHeight="1">
      <c r="A216" s="80"/>
      <c r="B216" s="270"/>
      <c r="C216" s="271"/>
      <c r="D216" s="80"/>
      <c r="E216" s="271"/>
      <c r="F216" s="272"/>
      <c r="G216" s="270"/>
      <c r="H216" s="271"/>
      <c r="I216" s="272"/>
      <c r="J216" s="80"/>
      <c r="K216" s="273"/>
      <c r="L216" s="273"/>
      <c r="M216" s="273"/>
      <c r="N216" s="273"/>
      <c r="O216" s="273"/>
      <c r="P216" s="273"/>
      <c r="Q216" s="274"/>
      <c r="R216" s="80"/>
      <c r="S216" s="80"/>
      <c r="T216" s="241"/>
      <c r="U216" s="80"/>
      <c r="V216" s="80"/>
      <c r="W216" s="80"/>
      <c r="X216" s="80"/>
      <c r="Y216" s="80"/>
      <c r="Z216" s="80"/>
      <c r="AA216" s="80"/>
    </row>
    <row r="217" spans="1:27" ht="15.75" customHeight="1">
      <c r="A217" s="80"/>
      <c r="B217" s="270"/>
      <c r="C217" s="271"/>
      <c r="D217" s="80"/>
      <c r="E217" s="271"/>
      <c r="F217" s="272"/>
      <c r="G217" s="270"/>
      <c r="H217" s="271"/>
      <c r="I217" s="272"/>
      <c r="J217" s="80"/>
      <c r="K217" s="273"/>
      <c r="L217" s="273"/>
      <c r="M217" s="273"/>
      <c r="N217" s="273"/>
      <c r="O217" s="273"/>
      <c r="P217" s="273"/>
      <c r="Q217" s="274"/>
      <c r="R217" s="80"/>
      <c r="S217" s="80"/>
      <c r="T217" s="241"/>
      <c r="U217" s="80"/>
      <c r="V217" s="80"/>
      <c r="W217" s="80"/>
      <c r="X217" s="80"/>
      <c r="Y217" s="80"/>
      <c r="Z217" s="80"/>
      <c r="AA217" s="80"/>
    </row>
    <row r="218" spans="1:27" ht="15.75" customHeight="1">
      <c r="A218" s="80"/>
      <c r="B218" s="270"/>
      <c r="C218" s="271"/>
      <c r="D218" s="80"/>
      <c r="E218" s="271"/>
      <c r="F218" s="272"/>
      <c r="G218" s="270"/>
      <c r="H218" s="271"/>
      <c r="I218" s="272"/>
      <c r="J218" s="80"/>
      <c r="K218" s="273"/>
      <c r="L218" s="273"/>
      <c r="M218" s="273"/>
      <c r="N218" s="273"/>
      <c r="O218" s="273"/>
      <c r="P218" s="273"/>
      <c r="Q218" s="274"/>
      <c r="R218" s="80"/>
      <c r="S218" s="80"/>
      <c r="T218" s="241"/>
      <c r="U218" s="80"/>
      <c r="V218" s="80"/>
      <c r="W218" s="80"/>
      <c r="X218" s="80"/>
      <c r="Y218" s="80"/>
      <c r="Z218" s="80"/>
      <c r="AA218" s="80"/>
    </row>
    <row r="219" spans="1:27" ht="15.75" customHeight="1">
      <c r="A219" s="80"/>
      <c r="B219" s="270"/>
      <c r="C219" s="271"/>
      <c r="D219" s="80"/>
      <c r="E219" s="271"/>
      <c r="F219" s="272"/>
      <c r="G219" s="270"/>
      <c r="H219" s="271"/>
      <c r="I219" s="272"/>
      <c r="J219" s="80"/>
      <c r="K219" s="273"/>
      <c r="L219" s="273"/>
      <c r="M219" s="273"/>
      <c r="N219" s="273"/>
      <c r="O219" s="273"/>
      <c r="P219" s="273"/>
      <c r="Q219" s="274"/>
      <c r="R219" s="80"/>
      <c r="S219" s="80"/>
      <c r="T219" s="241"/>
      <c r="U219" s="80"/>
      <c r="V219" s="80"/>
      <c r="W219" s="80"/>
      <c r="X219" s="80"/>
      <c r="Y219" s="80"/>
      <c r="Z219" s="80"/>
      <c r="AA219" s="80"/>
    </row>
    <row r="220" spans="1:27" ht="15.75" customHeight="1">
      <c r="A220" s="80"/>
      <c r="B220" s="270"/>
      <c r="C220" s="271"/>
      <c r="D220" s="80"/>
      <c r="E220" s="271"/>
      <c r="F220" s="272"/>
      <c r="G220" s="270"/>
      <c r="H220" s="271"/>
      <c r="I220" s="272"/>
      <c r="J220" s="80"/>
      <c r="K220" s="273"/>
      <c r="L220" s="273"/>
      <c r="M220" s="273"/>
      <c r="N220" s="273"/>
      <c r="O220" s="273"/>
      <c r="P220" s="273"/>
      <c r="Q220" s="274"/>
      <c r="R220" s="80"/>
      <c r="S220" s="80"/>
      <c r="T220" s="241"/>
      <c r="U220" s="80"/>
      <c r="V220" s="80"/>
      <c r="W220" s="80"/>
      <c r="X220" s="80"/>
      <c r="Y220" s="80"/>
      <c r="Z220" s="80"/>
      <c r="AA220" s="80"/>
    </row>
    <row r="221" spans="1:27" ht="15.75" customHeight="1">
      <c r="A221" s="80"/>
      <c r="B221" s="270"/>
      <c r="C221" s="271"/>
      <c r="D221" s="80"/>
      <c r="E221" s="271"/>
      <c r="F221" s="272"/>
      <c r="G221" s="270"/>
      <c r="H221" s="271"/>
      <c r="I221" s="272"/>
      <c r="J221" s="80"/>
      <c r="K221" s="273"/>
      <c r="L221" s="273"/>
      <c r="M221" s="273"/>
      <c r="N221" s="273"/>
      <c r="O221" s="273"/>
      <c r="P221" s="273"/>
      <c r="Q221" s="274"/>
      <c r="R221" s="80"/>
      <c r="S221" s="80"/>
      <c r="T221" s="241"/>
      <c r="U221" s="80"/>
      <c r="V221" s="80"/>
      <c r="W221" s="80"/>
      <c r="X221" s="80"/>
      <c r="Y221" s="80"/>
      <c r="Z221" s="80"/>
      <c r="AA221" s="80"/>
    </row>
    <row r="222" spans="1:27" ht="15.75" customHeight="1">
      <c r="A222" s="80"/>
      <c r="B222" s="270"/>
      <c r="C222" s="271"/>
      <c r="D222" s="80"/>
      <c r="E222" s="271"/>
      <c r="F222" s="272"/>
      <c r="G222" s="270"/>
      <c r="H222" s="271"/>
      <c r="I222" s="272"/>
      <c r="J222" s="80"/>
      <c r="K222" s="273"/>
      <c r="L222" s="273"/>
      <c r="M222" s="273"/>
      <c r="N222" s="273"/>
      <c r="O222" s="273"/>
      <c r="P222" s="273"/>
      <c r="Q222" s="274"/>
      <c r="R222" s="80"/>
      <c r="S222" s="80"/>
      <c r="T222" s="241"/>
      <c r="U222" s="80"/>
      <c r="V222" s="80"/>
      <c r="W222" s="80"/>
      <c r="X222" s="80"/>
      <c r="Y222" s="80"/>
      <c r="Z222" s="80"/>
      <c r="AA222" s="80"/>
    </row>
    <row r="223" spans="1:27" ht="15.75" customHeight="1">
      <c r="A223" s="80"/>
      <c r="B223" s="270"/>
      <c r="C223" s="271"/>
      <c r="D223" s="80"/>
      <c r="E223" s="271"/>
      <c r="F223" s="272"/>
      <c r="G223" s="270"/>
      <c r="H223" s="271"/>
      <c r="I223" s="272"/>
      <c r="J223" s="80"/>
      <c r="K223" s="273"/>
      <c r="L223" s="273"/>
      <c r="M223" s="273"/>
      <c r="N223" s="273"/>
      <c r="O223" s="273"/>
      <c r="P223" s="273"/>
      <c r="Q223" s="274"/>
      <c r="R223" s="80"/>
      <c r="S223" s="80"/>
      <c r="T223" s="241"/>
      <c r="U223" s="80"/>
      <c r="V223" s="80"/>
      <c r="W223" s="80"/>
      <c r="X223" s="80"/>
      <c r="Y223" s="80"/>
      <c r="Z223" s="80"/>
      <c r="AA223" s="80"/>
    </row>
    <row r="224" spans="1:27" ht="15.75" customHeight="1">
      <c r="A224" s="80"/>
      <c r="B224" s="270"/>
      <c r="C224" s="271"/>
      <c r="D224" s="80"/>
      <c r="E224" s="271"/>
      <c r="F224" s="272"/>
      <c r="G224" s="270"/>
      <c r="H224" s="271"/>
      <c r="I224" s="272"/>
      <c r="J224" s="80"/>
      <c r="K224" s="273"/>
      <c r="L224" s="273"/>
      <c r="M224" s="273"/>
      <c r="N224" s="273"/>
      <c r="O224" s="273"/>
      <c r="P224" s="273"/>
      <c r="Q224" s="274"/>
      <c r="R224" s="80"/>
      <c r="S224" s="80"/>
      <c r="T224" s="241"/>
      <c r="U224" s="80"/>
      <c r="V224" s="80"/>
      <c r="W224" s="80"/>
      <c r="X224" s="80"/>
      <c r="Y224" s="80"/>
      <c r="Z224" s="80"/>
      <c r="AA224" s="80"/>
    </row>
    <row r="225" spans="1:27" ht="15.75" customHeight="1">
      <c r="A225" s="80"/>
      <c r="B225" s="270"/>
      <c r="C225" s="271"/>
      <c r="D225" s="80"/>
      <c r="E225" s="271"/>
      <c r="F225" s="272"/>
      <c r="G225" s="270"/>
      <c r="H225" s="271"/>
      <c r="I225" s="272"/>
      <c r="J225" s="80"/>
      <c r="K225" s="273"/>
      <c r="L225" s="273"/>
      <c r="M225" s="273"/>
      <c r="N225" s="273"/>
      <c r="O225" s="273"/>
      <c r="P225" s="273"/>
      <c r="Q225" s="274"/>
      <c r="R225" s="80"/>
      <c r="S225" s="80"/>
      <c r="T225" s="241"/>
      <c r="U225" s="80"/>
      <c r="V225" s="80"/>
      <c r="W225" s="80"/>
      <c r="X225" s="80"/>
      <c r="Y225" s="80"/>
      <c r="Z225" s="80"/>
      <c r="AA225" s="80"/>
    </row>
    <row r="226" spans="1:27" ht="15.75" customHeight="1">
      <c r="A226" s="80"/>
      <c r="B226" s="270"/>
      <c r="C226" s="271"/>
      <c r="D226" s="80"/>
      <c r="E226" s="271"/>
      <c r="F226" s="272"/>
      <c r="G226" s="270"/>
      <c r="H226" s="271"/>
      <c r="I226" s="272"/>
      <c r="J226" s="80"/>
      <c r="K226" s="273"/>
      <c r="L226" s="273"/>
      <c r="M226" s="273"/>
      <c r="N226" s="273"/>
      <c r="O226" s="273"/>
      <c r="P226" s="273"/>
      <c r="Q226" s="274"/>
      <c r="R226" s="80"/>
      <c r="S226" s="80"/>
      <c r="T226" s="241"/>
      <c r="U226" s="80"/>
      <c r="V226" s="80"/>
      <c r="W226" s="80"/>
      <c r="X226" s="80"/>
      <c r="Y226" s="80"/>
      <c r="Z226" s="80"/>
      <c r="AA226" s="80"/>
    </row>
    <row r="227" spans="1:27" ht="15.75" customHeight="1">
      <c r="A227" s="80"/>
      <c r="B227" s="270"/>
      <c r="C227" s="271"/>
      <c r="D227" s="80"/>
      <c r="E227" s="271"/>
      <c r="F227" s="272"/>
      <c r="G227" s="270"/>
      <c r="H227" s="271"/>
      <c r="I227" s="272"/>
      <c r="J227" s="80"/>
      <c r="K227" s="273"/>
      <c r="L227" s="273"/>
      <c r="M227" s="273"/>
      <c r="N227" s="273"/>
      <c r="O227" s="273"/>
      <c r="P227" s="273"/>
      <c r="Q227" s="274"/>
      <c r="R227" s="80"/>
      <c r="S227" s="80"/>
      <c r="T227" s="241"/>
      <c r="U227" s="80"/>
      <c r="V227" s="80"/>
      <c r="W227" s="80"/>
      <c r="X227" s="80"/>
      <c r="Y227" s="80"/>
      <c r="Z227" s="80"/>
      <c r="AA227" s="80"/>
    </row>
    <row r="228" spans="1:27" ht="15.75" customHeight="1">
      <c r="A228" s="80"/>
      <c r="B228" s="270"/>
      <c r="C228" s="271"/>
      <c r="D228" s="80"/>
      <c r="E228" s="271"/>
      <c r="F228" s="272"/>
      <c r="G228" s="270"/>
      <c r="H228" s="271"/>
      <c r="I228" s="272"/>
      <c r="J228" s="80"/>
      <c r="K228" s="273"/>
      <c r="L228" s="273"/>
      <c r="M228" s="273"/>
      <c r="N228" s="273"/>
      <c r="O228" s="273"/>
      <c r="P228" s="273"/>
      <c r="Q228" s="274"/>
      <c r="R228" s="80"/>
      <c r="S228" s="80"/>
      <c r="T228" s="241"/>
      <c r="U228" s="80"/>
      <c r="V228" s="80"/>
      <c r="W228" s="80"/>
      <c r="X228" s="80"/>
      <c r="Y228" s="80"/>
      <c r="Z228" s="80"/>
      <c r="AA228" s="80"/>
    </row>
    <row r="229" spans="1:27" ht="15.75" customHeight="1">
      <c r="A229" s="80"/>
      <c r="B229" s="270"/>
      <c r="C229" s="271"/>
      <c r="D229" s="80"/>
      <c r="E229" s="271"/>
      <c r="F229" s="272"/>
      <c r="G229" s="270"/>
      <c r="H229" s="271"/>
      <c r="I229" s="272"/>
      <c r="J229" s="80"/>
      <c r="K229" s="273"/>
      <c r="L229" s="273"/>
      <c r="M229" s="273"/>
      <c r="N229" s="273"/>
      <c r="O229" s="273"/>
      <c r="P229" s="273"/>
      <c r="Q229" s="274"/>
      <c r="R229" s="80"/>
      <c r="S229" s="80"/>
      <c r="T229" s="241"/>
      <c r="U229" s="80"/>
      <c r="V229" s="80"/>
      <c r="W229" s="80"/>
      <c r="X229" s="80"/>
      <c r="Y229" s="80"/>
      <c r="Z229" s="80"/>
      <c r="AA229" s="80"/>
    </row>
    <row r="230" spans="1:27" ht="15.75" customHeight="1">
      <c r="A230" s="80"/>
      <c r="B230" s="270"/>
      <c r="C230" s="271"/>
      <c r="D230" s="80"/>
      <c r="E230" s="271"/>
      <c r="F230" s="272"/>
      <c r="G230" s="270"/>
      <c r="H230" s="271"/>
      <c r="I230" s="272"/>
      <c r="J230" s="80"/>
      <c r="K230" s="273"/>
      <c r="L230" s="273"/>
      <c r="M230" s="273"/>
      <c r="N230" s="273"/>
      <c r="O230" s="273"/>
      <c r="P230" s="273"/>
      <c r="Q230" s="274"/>
      <c r="R230" s="80"/>
      <c r="S230" s="80"/>
      <c r="T230" s="241"/>
      <c r="U230" s="80"/>
      <c r="V230" s="80"/>
      <c r="W230" s="80"/>
      <c r="X230" s="80"/>
      <c r="Y230" s="80"/>
      <c r="Z230" s="80"/>
      <c r="AA230" s="80"/>
    </row>
    <row r="231" spans="1:27" ht="15.75" customHeight="1">
      <c r="A231" s="80"/>
      <c r="B231" s="270"/>
      <c r="C231" s="271"/>
      <c r="D231" s="80"/>
      <c r="E231" s="271"/>
      <c r="F231" s="272"/>
      <c r="G231" s="270"/>
      <c r="H231" s="271"/>
      <c r="I231" s="272"/>
      <c r="J231" s="80"/>
      <c r="K231" s="273"/>
      <c r="L231" s="273"/>
      <c r="M231" s="273"/>
      <c r="N231" s="273"/>
      <c r="O231" s="273"/>
      <c r="P231" s="273"/>
      <c r="Q231" s="274"/>
      <c r="R231" s="80"/>
      <c r="S231" s="80"/>
      <c r="T231" s="241"/>
      <c r="U231" s="80"/>
      <c r="V231" s="80"/>
      <c r="W231" s="80"/>
      <c r="X231" s="80"/>
      <c r="Y231" s="80"/>
      <c r="Z231" s="80"/>
      <c r="AA231" s="80"/>
    </row>
    <row r="232" spans="1:27" ht="15.75" customHeight="1">
      <c r="A232" s="80"/>
      <c r="B232" s="270"/>
      <c r="C232" s="271"/>
      <c r="D232" s="80"/>
      <c r="E232" s="271"/>
      <c r="F232" s="272"/>
      <c r="G232" s="270"/>
      <c r="H232" s="271"/>
      <c r="I232" s="272"/>
      <c r="J232" s="80"/>
      <c r="K232" s="273"/>
      <c r="L232" s="273"/>
      <c r="M232" s="273"/>
      <c r="N232" s="273"/>
      <c r="O232" s="273"/>
      <c r="P232" s="273"/>
      <c r="Q232" s="274"/>
      <c r="R232" s="80"/>
      <c r="S232" s="80"/>
      <c r="T232" s="241"/>
      <c r="U232" s="80"/>
      <c r="V232" s="80"/>
      <c r="W232" s="80"/>
      <c r="X232" s="80"/>
      <c r="Y232" s="80"/>
      <c r="Z232" s="80"/>
      <c r="AA232" s="80"/>
    </row>
    <row r="233" spans="1:27" ht="15.75" customHeight="1">
      <c r="A233" s="80"/>
      <c r="B233" s="270"/>
      <c r="C233" s="271"/>
      <c r="D233" s="80"/>
      <c r="E233" s="271"/>
      <c r="F233" s="272"/>
      <c r="G233" s="270"/>
      <c r="H233" s="271"/>
      <c r="I233" s="272"/>
      <c r="J233" s="80"/>
      <c r="K233" s="273"/>
      <c r="L233" s="273"/>
      <c r="M233" s="273"/>
      <c r="N233" s="273"/>
      <c r="O233" s="273"/>
      <c r="P233" s="273"/>
      <c r="Q233" s="274"/>
      <c r="R233" s="80"/>
      <c r="S233" s="80"/>
      <c r="T233" s="241"/>
      <c r="U233" s="80"/>
      <c r="V233" s="80"/>
      <c r="W233" s="80"/>
      <c r="X233" s="80"/>
      <c r="Y233" s="80"/>
      <c r="Z233" s="80"/>
      <c r="AA233" s="80"/>
    </row>
    <row r="234" spans="1:27" ht="15.75" customHeight="1">
      <c r="A234" s="80"/>
      <c r="B234" s="270"/>
      <c r="C234" s="271"/>
      <c r="D234" s="80"/>
      <c r="E234" s="271"/>
      <c r="F234" s="272"/>
      <c r="G234" s="270"/>
      <c r="H234" s="271"/>
      <c r="I234" s="272"/>
      <c r="J234" s="80"/>
      <c r="K234" s="273"/>
      <c r="L234" s="273"/>
      <c r="M234" s="273"/>
      <c r="N234" s="273"/>
      <c r="O234" s="273"/>
      <c r="P234" s="273"/>
      <c r="Q234" s="274"/>
      <c r="R234" s="80"/>
      <c r="S234" s="80"/>
      <c r="T234" s="241"/>
      <c r="U234" s="80"/>
      <c r="V234" s="80"/>
      <c r="W234" s="80"/>
      <c r="X234" s="80"/>
      <c r="Y234" s="80"/>
      <c r="Z234" s="80"/>
      <c r="AA234" s="80"/>
    </row>
    <row r="235" spans="1:27" ht="15.75" customHeight="1">
      <c r="A235" s="80"/>
      <c r="B235" s="270"/>
      <c r="C235" s="271"/>
      <c r="D235" s="80"/>
      <c r="E235" s="271"/>
      <c r="F235" s="272"/>
      <c r="G235" s="270"/>
      <c r="H235" s="271"/>
      <c r="I235" s="272"/>
      <c r="J235" s="80"/>
      <c r="K235" s="273"/>
      <c r="L235" s="273"/>
      <c r="M235" s="273"/>
      <c r="N235" s="273"/>
      <c r="O235" s="273"/>
      <c r="P235" s="273"/>
      <c r="Q235" s="274"/>
      <c r="R235" s="80"/>
      <c r="S235" s="80"/>
      <c r="T235" s="241"/>
      <c r="U235" s="80"/>
      <c r="V235" s="80"/>
      <c r="W235" s="80"/>
      <c r="X235" s="80"/>
      <c r="Y235" s="80"/>
      <c r="Z235" s="80"/>
      <c r="AA235" s="80"/>
    </row>
    <row r="236" spans="1:27" ht="15.75" customHeight="1">
      <c r="A236" s="80"/>
      <c r="B236" s="270"/>
      <c r="C236" s="271"/>
      <c r="D236" s="80"/>
      <c r="E236" s="271"/>
      <c r="F236" s="272"/>
      <c r="G236" s="270"/>
      <c r="H236" s="271"/>
      <c r="I236" s="272"/>
      <c r="J236" s="80"/>
      <c r="K236" s="273"/>
      <c r="L236" s="273"/>
      <c r="M236" s="273"/>
      <c r="N236" s="273"/>
      <c r="O236" s="273"/>
      <c r="P236" s="273"/>
      <c r="Q236" s="274"/>
      <c r="R236" s="80"/>
      <c r="S236" s="80"/>
      <c r="T236" s="241"/>
      <c r="U236" s="80"/>
      <c r="V236" s="80"/>
      <c r="W236" s="80"/>
      <c r="X236" s="80"/>
      <c r="Y236" s="80"/>
      <c r="Z236" s="80"/>
      <c r="AA236" s="80"/>
    </row>
    <row r="237" spans="1:27" ht="15.75" customHeight="1">
      <c r="A237" s="80"/>
      <c r="B237" s="270"/>
      <c r="C237" s="271"/>
      <c r="D237" s="80"/>
      <c r="E237" s="271"/>
      <c r="F237" s="272"/>
      <c r="G237" s="270"/>
      <c r="H237" s="271"/>
      <c r="I237" s="272"/>
      <c r="J237" s="80"/>
      <c r="K237" s="273"/>
      <c r="L237" s="273"/>
      <c r="M237" s="273"/>
      <c r="N237" s="273"/>
      <c r="O237" s="273"/>
      <c r="P237" s="273"/>
      <c r="Q237" s="274"/>
      <c r="R237" s="80"/>
      <c r="S237" s="80"/>
      <c r="T237" s="241"/>
      <c r="U237" s="80"/>
      <c r="V237" s="80"/>
      <c r="W237" s="80"/>
      <c r="X237" s="80"/>
      <c r="Y237" s="80"/>
      <c r="Z237" s="80"/>
      <c r="AA237" s="80"/>
    </row>
    <row r="238" spans="1:27" ht="15.75" customHeight="1">
      <c r="A238" s="80"/>
      <c r="B238" s="270"/>
      <c r="C238" s="271"/>
      <c r="D238" s="80"/>
      <c r="E238" s="271"/>
      <c r="F238" s="272"/>
      <c r="G238" s="270"/>
      <c r="H238" s="271"/>
      <c r="I238" s="272"/>
      <c r="J238" s="80"/>
      <c r="K238" s="273"/>
      <c r="L238" s="273"/>
      <c r="M238" s="273"/>
      <c r="N238" s="273"/>
      <c r="O238" s="273"/>
      <c r="P238" s="273"/>
      <c r="Q238" s="274"/>
      <c r="R238" s="80"/>
      <c r="S238" s="80"/>
      <c r="T238" s="241"/>
      <c r="U238" s="80"/>
      <c r="V238" s="80"/>
      <c r="W238" s="80"/>
      <c r="X238" s="80"/>
      <c r="Y238" s="80"/>
      <c r="Z238" s="80"/>
      <c r="AA238" s="80"/>
    </row>
    <row r="239" spans="1:27" ht="15.75" customHeight="1">
      <c r="A239" s="80"/>
      <c r="B239" s="270"/>
      <c r="C239" s="271"/>
      <c r="D239" s="80"/>
      <c r="E239" s="271"/>
      <c r="F239" s="272"/>
      <c r="G239" s="270"/>
      <c r="H239" s="271"/>
      <c r="I239" s="272"/>
      <c r="J239" s="80"/>
      <c r="K239" s="273"/>
      <c r="L239" s="273"/>
      <c r="M239" s="273"/>
      <c r="N239" s="273"/>
      <c r="O239" s="273"/>
      <c r="P239" s="273"/>
      <c r="Q239" s="274"/>
      <c r="R239" s="80"/>
      <c r="S239" s="80"/>
      <c r="T239" s="241"/>
      <c r="U239" s="80"/>
      <c r="V239" s="80"/>
      <c r="W239" s="80"/>
      <c r="X239" s="80"/>
      <c r="Y239" s="80"/>
      <c r="Z239" s="80"/>
      <c r="AA239" s="80"/>
    </row>
    <row r="240" spans="1:27" ht="15.75" customHeight="1">
      <c r="A240" s="80"/>
      <c r="B240" s="270"/>
      <c r="C240" s="271"/>
      <c r="D240" s="80"/>
      <c r="E240" s="271"/>
      <c r="F240" s="272"/>
      <c r="G240" s="270"/>
      <c r="H240" s="271"/>
      <c r="I240" s="272"/>
      <c r="J240" s="80"/>
      <c r="K240" s="273"/>
      <c r="L240" s="273"/>
      <c r="M240" s="273"/>
      <c r="N240" s="273"/>
      <c r="O240" s="273"/>
      <c r="P240" s="273"/>
      <c r="Q240" s="274"/>
      <c r="R240" s="80"/>
      <c r="S240" s="80"/>
      <c r="T240" s="241"/>
      <c r="U240" s="80"/>
      <c r="V240" s="80"/>
      <c r="W240" s="80"/>
      <c r="X240" s="80"/>
      <c r="Y240" s="80"/>
      <c r="Z240" s="80"/>
      <c r="AA240" s="80"/>
    </row>
    <row r="241" spans="1:27" ht="15.75" customHeight="1">
      <c r="A241" s="80"/>
      <c r="B241" s="270"/>
      <c r="C241" s="271"/>
      <c r="D241" s="80"/>
      <c r="E241" s="271"/>
      <c r="F241" s="272"/>
      <c r="G241" s="270"/>
      <c r="H241" s="271"/>
      <c r="I241" s="272"/>
      <c r="J241" s="80"/>
      <c r="K241" s="273"/>
      <c r="L241" s="273"/>
      <c r="M241" s="273"/>
      <c r="N241" s="273"/>
      <c r="O241" s="273"/>
      <c r="P241" s="273"/>
      <c r="Q241" s="274"/>
      <c r="R241" s="80"/>
      <c r="S241" s="80"/>
      <c r="T241" s="241"/>
      <c r="U241" s="80"/>
      <c r="V241" s="80"/>
      <c r="W241" s="80"/>
      <c r="X241" s="80"/>
      <c r="Y241" s="80"/>
      <c r="Z241" s="80"/>
      <c r="AA241" s="80"/>
    </row>
    <row r="242" spans="1:27" ht="15.75" customHeight="1">
      <c r="A242" s="80"/>
      <c r="B242" s="270"/>
      <c r="C242" s="271"/>
      <c r="D242" s="80"/>
      <c r="E242" s="271"/>
      <c r="F242" s="272"/>
      <c r="G242" s="270"/>
      <c r="H242" s="271"/>
      <c r="I242" s="272"/>
      <c r="J242" s="80"/>
      <c r="K242" s="273"/>
      <c r="L242" s="273"/>
      <c r="M242" s="273"/>
      <c r="N242" s="273"/>
      <c r="O242" s="273"/>
      <c r="P242" s="273"/>
      <c r="Q242" s="274"/>
      <c r="R242" s="80"/>
      <c r="S242" s="80"/>
      <c r="T242" s="241"/>
      <c r="U242" s="80"/>
      <c r="V242" s="80"/>
      <c r="W242" s="80"/>
      <c r="X242" s="80"/>
      <c r="Y242" s="80"/>
      <c r="Z242" s="80"/>
      <c r="AA242" s="80"/>
    </row>
    <row r="243" spans="1:27" ht="15.75" customHeight="1">
      <c r="A243" s="80"/>
      <c r="B243" s="270"/>
      <c r="C243" s="271"/>
      <c r="D243" s="80"/>
      <c r="E243" s="271"/>
      <c r="F243" s="272"/>
      <c r="G243" s="270"/>
      <c r="H243" s="271"/>
      <c r="I243" s="272"/>
      <c r="J243" s="80"/>
      <c r="K243" s="273"/>
      <c r="L243" s="273"/>
      <c r="M243" s="273"/>
      <c r="N243" s="273"/>
      <c r="O243" s="273"/>
      <c r="P243" s="273"/>
      <c r="Q243" s="274"/>
      <c r="R243" s="80"/>
      <c r="S243" s="80"/>
      <c r="T243" s="241"/>
      <c r="U243" s="80"/>
      <c r="V243" s="80"/>
      <c r="W243" s="80"/>
      <c r="X243" s="80"/>
      <c r="Y243" s="80"/>
      <c r="Z243" s="80"/>
      <c r="AA243" s="80"/>
    </row>
    <row r="244" spans="1:27" ht="15.75" customHeight="1">
      <c r="A244" s="80"/>
      <c r="B244" s="270"/>
      <c r="C244" s="271"/>
      <c r="D244" s="80"/>
      <c r="E244" s="271"/>
      <c r="F244" s="272"/>
      <c r="G244" s="270"/>
      <c r="H244" s="271"/>
      <c r="I244" s="272"/>
      <c r="J244" s="80"/>
      <c r="K244" s="273"/>
      <c r="L244" s="273"/>
      <c r="M244" s="273"/>
      <c r="N244" s="273"/>
      <c r="O244" s="273"/>
      <c r="P244" s="273"/>
      <c r="Q244" s="274"/>
      <c r="R244" s="80"/>
      <c r="S244" s="80"/>
      <c r="T244" s="241"/>
      <c r="U244" s="80"/>
      <c r="V244" s="80"/>
      <c r="W244" s="80"/>
      <c r="X244" s="80"/>
      <c r="Y244" s="80"/>
      <c r="Z244" s="80"/>
      <c r="AA244" s="80"/>
    </row>
    <row r="245" spans="1:27" ht="15.75" customHeight="1">
      <c r="A245" s="80"/>
      <c r="B245" s="270"/>
      <c r="C245" s="271"/>
      <c r="D245" s="80"/>
      <c r="E245" s="271"/>
      <c r="F245" s="272"/>
      <c r="G245" s="270"/>
      <c r="H245" s="271"/>
      <c r="I245" s="272"/>
      <c r="J245" s="80"/>
      <c r="K245" s="273"/>
      <c r="L245" s="273"/>
      <c r="M245" s="273"/>
      <c r="N245" s="273"/>
      <c r="O245" s="273"/>
      <c r="P245" s="273"/>
      <c r="Q245" s="274"/>
      <c r="R245" s="80"/>
      <c r="S245" s="80"/>
      <c r="T245" s="241"/>
      <c r="U245" s="80"/>
      <c r="V245" s="80"/>
      <c r="W245" s="80"/>
      <c r="X245" s="80"/>
      <c r="Y245" s="80"/>
      <c r="Z245" s="80"/>
      <c r="AA245" s="80"/>
    </row>
    <row r="246" spans="1:27" ht="15.75" customHeight="1">
      <c r="A246" s="80"/>
      <c r="B246" s="270"/>
      <c r="C246" s="271"/>
      <c r="D246" s="80"/>
      <c r="E246" s="271"/>
      <c r="F246" s="272"/>
      <c r="G246" s="270"/>
      <c r="H246" s="271"/>
      <c r="I246" s="272"/>
      <c r="J246" s="80"/>
      <c r="K246" s="273"/>
      <c r="L246" s="273"/>
      <c r="M246" s="273"/>
      <c r="N246" s="273"/>
      <c r="O246" s="273"/>
      <c r="P246" s="273"/>
      <c r="Q246" s="274"/>
      <c r="R246" s="80"/>
      <c r="S246" s="80"/>
      <c r="T246" s="241"/>
      <c r="U246" s="80"/>
      <c r="V246" s="80"/>
      <c r="W246" s="80"/>
      <c r="X246" s="80"/>
      <c r="Y246" s="80"/>
      <c r="Z246" s="80"/>
      <c r="AA246" s="80"/>
    </row>
    <row r="247" spans="1:27" ht="15.75" customHeight="1">
      <c r="A247" s="80"/>
      <c r="B247" s="270"/>
      <c r="C247" s="271"/>
      <c r="D247" s="80"/>
      <c r="E247" s="271"/>
      <c r="F247" s="272"/>
      <c r="G247" s="270"/>
      <c r="H247" s="271"/>
      <c r="I247" s="272"/>
      <c r="J247" s="80"/>
      <c r="K247" s="273"/>
      <c r="L247" s="273"/>
      <c r="M247" s="273"/>
      <c r="N247" s="273"/>
      <c r="O247" s="273"/>
      <c r="P247" s="273"/>
      <c r="Q247" s="274"/>
      <c r="R247" s="80"/>
      <c r="S247" s="80"/>
      <c r="T247" s="241"/>
      <c r="U247" s="80"/>
      <c r="V247" s="80"/>
      <c r="W247" s="80"/>
      <c r="X247" s="80"/>
      <c r="Y247" s="80"/>
      <c r="Z247" s="80"/>
      <c r="AA247" s="80"/>
    </row>
    <row r="248" spans="1:27" ht="15.75" customHeight="1">
      <c r="A248" s="80"/>
      <c r="B248" s="270"/>
      <c r="C248" s="271"/>
      <c r="D248" s="80"/>
      <c r="E248" s="271"/>
      <c r="F248" s="272"/>
      <c r="G248" s="270"/>
      <c r="H248" s="271"/>
      <c r="I248" s="272"/>
      <c r="J248" s="80"/>
      <c r="K248" s="273"/>
      <c r="L248" s="273"/>
      <c r="M248" s="273"/>
      <c r="N248" s="273"/>
      <c r="O248" s="273"/>
      <c r="P248" s="273"/>
      <c r="Q248" s="274"/>
      <c r="R248" s="80"/>
      <c r="S248" s="80"/>
      <c r="T248" s="241"/>
      <c r="U248" s="80"/>
      <c r="V248" s="80"/>
      <c r="W248" s="80"/>
      <c r="X248" s="80"/>
      <c r="Y248" s="80"/>
      <c r="Z248" s="80"/>
      <c r="AA248" s="80"/>
    </row>
    <row r="249" spans="1:27" ht="15.75" customHeight="1">
      <c r="A249" s="80"/>
      <c r="B249" s="270"/>
      <c r="C249" s="271"/>
      <c r="D249" s="80"/>
      <c r="E249" s="271"/>
      <c r="F249" s="272"/>
      <c r="G249" s="270"/>
      <c r="H249" s="271"/>
      <c r="I249" s="272"/>
      <c r="J249" s="80"/>
      <c r="K249" s="273"/>
      <c r="L249" s="273"/>
      <c r="M249" s="273"/>
      <c r="N249" s="273"/>
      <c r="O249" s="273"/>
      <c r="P249" s="273"/>
      <c r="Q249" s="274"/>
      <c r="R249" s="80"/>
      <c r="S249" s="80"/>
      <c r="T249" s="241"/>
      <c r="U249" s="80"/>
      <c r="V249" s="80"/>
      <c r="W249" s="80"/>
      <c r="X249" s="80"/>
      <c r="Y249" s="80"/>
      <c r="Z249" s="80"/>
      <c r="AA249" s="80"/>
    </row>
    <row r="250" spans="1:27" ht="15.75" customHeight="1">
      <c r="A250" s="80"/>
      <c r="B250" s="270"/>
      <c r="C250" s="271"/>
      <c r="D250" s="80"/>
      <c r="E250" s="271"/>
      <c r="F250" s="272"/>
      <c r="G250" s="270"/>
      <c r="H250" s="271"/>
      <c r="I250" s="272"/>
      <c r="J250" s="80"/>
      <c r="K250" s="273"/>
      <c r="L250" s="273"/>
      <c r="M250" s="273"/>
      <c r="N250" s="273"/>
      <c r="O250" s="273"/>
      <c r="P250" s="273"/>
      <c r="Q250" s="274"/>
      <c r="R250" s="80"/>
      <c r="S250" s="80"/>
      <c r="T250" s="241"/>
      <c r="U250" s="80"/>
      <c r="V250" s="80"/>
      <c r="W250" s="80"/>
      <c r="X250" s="80"/>
      <c r="Y250" s="80"/>
      <c r="Z250" s="80"/>
      <c r="AA250" s="80"/>
    </row>
    <row r="251" spans="1:27" ht="15.75" customHeight="1">
      <c r="A251" s="80"/>
      <c r="B251" s="270"/>
      <c r="C251" s="271"/>
      <c r="D251" s="80"/>
      <c r="E251" s="271"/>
      <c r="F251" s="272"/>
      <c r="G251" s="270"/>
      <c r="H251" s="271"/>
      <c r="I251" s="272"/>
      <c r="J251" s="80"/>
      <c r="K251" s="273"/>
      <c r="L251" s="273"/>
      <c r="M251" s="273"/>
      <c r="N251" s="273"/>
      <c r="O251" s="273"/>
      <c r="P251" s="273"/>
      <c r="Q251" s="274"/>
      <c r="R251" s="80"/>
      <c r="S251" s="80"/>
      <c r="T251" s="241"/>
      <c r="U251" s="80"/>
      <c r="V251" s="80"/>
      <c r="W251" s="80"/>
      <c r="X251" s="80"/>
      <c r="Y251" s="80"/>
      <c r="Z251" s="80"/>
      <c r="AA251" s="80"/>
    </row>
    <row r="252" spans="1:27" ht="15.75" customHeight="1">
      <c r="A252" s="80"/>
      <c r="B252" s="270"/>
      <c r="C252" s="271"/>
      <c r="D252" s="80"/>
      <c r="E252" s="271"/>
      <c r="F252" s="272"/>
      <c r="G252" s="270"/>
      <c r="H252" s="271"/>
      <c r="I252" s="272"/>
      <c r="J252" s="80"/>
      <c r="K252" s="273"/>
      <c r="L252" s="273"/>
      <c r="M252" s="273"/>
      <c r="N252" s="273"/>
      <c r="O252" s="273"/>
      <c r="P252" s="273"/>
      <c r="Q252" s="274"/>
      <c r="R252" s="80"/>
      <c r="S252" s="80"/>
      <c r="T252" s="241"/>
      <c r="U252" s="80"/>
      <c r="V252" s="80"/>
      <c r="W252" s="80"/>
      <c r="X252" s="80"/>
      <c r="Y252" s="80"/>
      <c r="Z252" s="80"/>
      <c r="AA252" s="80"/>
    </row>
    <row r="253" spans="1:27" ht="15.75" customHeight="1">
      <c r="A253" s="80"/>
      <c r="B253" s="270"/>
      <c r="C253" s="271"/>
      <c r="D253" s="80"/>
      <c r="E253" s="271"/>
      <c r="F253" s="272"/>
      <c r="G253" s="270"/>
      <c r="H253" s="271"/>
      <c r="I253" s="272"/>
      <c r="J253" s="80"/>
      <c r="K253" s="273"/>
      <c r="L253" s="273"/>
      <c r="M253" s="273"/>
      <c r="N253" s="273"/>
      <c r="O253" s="273"/>
      <c r="P253" s="273"/>
      <c r="Q253" s="274"/>
      <c r="R253" s="80"/>
      <c r="S253" s="80"/>
      <c r="T253" s="241"/>
      <c r="U253" s="80"/>
      <c r="V253" s="80"/>
      <c r="W253" s="80"/>
      <c r="X253" s="80"/>
      <c r="Y253" s="80"/>
      <c r="Z253" s="80"/>
      <c r="AA253" s="80"/>
    </row>
    <row r="254" spans="1:27" ht="15.75" customHeight="1">
      <c r="A254" s="80"/>
      <c r="B254" s="270"/>
      <c r="C254" s="271"/>
      <c r="D254" s="80"/>
      <c r="E254" s="271"/>
      <c r="F254" s="272"/>
      <c r="G254" s="270"/>
      <c r="H254" s="271"/>
      <c r="I254" s="272"/>
      <c r="J254" s="80"/>
      <c r="K254" s="273"/>
      <c r="L254" s="273"/>
      <c r="M254" s="273"/>
      <c r="N254" s="273"/>
      <c r="O254" s="273"/>
      <c r="P254" s="273"/>
      <c r="Q254" s="274"/>
      <c r="R254" s="80"/>
      <c r="S254" s="80"/>
      <c r="T254" s="241"/>
      <c r="U254" s="80"/>
      <c r="V254" s="80"/>
      <c r="W254" s="80"/>
      <c r="X254" s="80"/>
      <c r="Y254" s="80"/>
      <c r="Z254" s="80"/>
      <c r="AA254" s="80"/>
    </row>
    <row r="255" spans="1:27" ht="15.75" customHeight="1">
      <c r="A255" s="80"/>
      <c r="B255" s="270"/>
      <c r="C255" s="271"/>
      <c r="D255" s="80"/>
      <c r="E255" s="271"/>
      <c r="F255" s="272"/>
      <c r="G255" s="270"/>
      <c r="H255" s="271"/>
      <c r="I255" s="272"/>
      <c r="J255" s="80"/>
      <c r="K255" s="273"/>
      <c r="L255" s="273"/>
      <c r="M255" s="273"/>
      <c r="N255" s="273"/>
      <c r="O255" s="273"/>
      <c r="P255" s="273"/>
      <c r="Q255" s="274"/>
      <c r="R255" s="80"/>
      <c r="S255" s="80"/>
      <c r="T255" s="241"/>
      <c r="U255" s="80"/>
      <c r="V255" s="80"/>
      <c r="W255" s="80"/>
      <c r="X255" s="80"/>
      <c r="Y255" s="80"/>
      <c r="Z255" s="80"/>
      <c r="AA255" s="80"/>
    </row>
    <row r="256" spans="1:27" ht="15.75" customHeight="1">
      <c r="A256" s="80"/>
      <c r="B256" s="270"/>
      <c r="C256" s="271"/>
      <c r="D256" s="80"/>
      <c r="E256" s="271"/>
      <c r="F256" s="272"/>
      <c r="G256" s="270"/>
      <c r="H256" s="271"/>
      <c r="I256" s="272"/>
      <c r="J256" s="80"/>
      <c r="K256" s="273"/>
      <c r="L256" s="273"/>
      <c r="M256" s="273"/>
      <c r="N256" s="273"/>
      <c r="O256" s="273"/>
      <c r="P256" s="273"/>
      <c r="Q256" s="274"/>
      <c r="R256" s="80"/>
      <c r="S256" s="80"/>
      <c r="T256" s="241"/>
      <c r="U256" s="80"/>
      <c r="V256" s="80"/>
      <c r="W256" s="80"/>
      <c r="X256" s="80"/>
      <c r="Y256" s="80"/>
      <c r="Z256" s="80"/>
      <c r="AA256" s="80"/>
    </row>
    <row r="257" spans="1:27" ht="15.75" customHeight="1">
      <c r="A257" s="80"/>
      <c r="B257" s="270"/>
      <c r="C257" s="271"/>
      <c r="D257" s="80"/>
      <c r="E257" s="271"/>
      <c r="F257" s="272"/>
      <c r="G257" s="270"/>
      <c r="H257" s="271"/>
      <c r="I257" s="272"/>
      <c r="J257" s="80"/>
      <c r="K257" s="273"/>
      <c r="L257" s="273"/>
      <c r="M257" s="273"/>
      <c r="N257" s="273"/>
      <c r="O257" s="273"/>
      <c r="P257" s="273"/>
      <c r="Q257" s="274"/>
      <c r="R257" s="80"/>
      <c r="S257" s="80"/>
      <c r="T257" s="241"/>
      <c r="U257" s="80"/>
      <c r="V257" s="80"/>
      <c r="W257" s="80"/>
      <c r="X257" s="80"/>
      <c r="Y257" s="80"/>
      <c r="Z257" s="80"/>
      <c r="AA257" s="80"/>
    </row>
    <row r="258" spans="1:27" ht="15.75" customHeight="1">
      <c r="A258" s="80"/>
      <c r="B258" s="270"/>
      <c r="C258" s="271"/>
      <c r="D258" s="80"/>
      <c r="E258" s="271"/>
      <c r="F258" s="272"/>
      <c r="G258" s="270"/>
      <c r="H258" s="271"/>
      <c r="I258" s="272"/>
      <c r="J258" s="80"/>
      <c r="K258" s="273"/>
      <c r="L258" s="273"/>
      <c r="M258" s="273"/>
      <c r="N258" s="273"/>
      <c r="O258" s="273"/>
      <c r="P258" s="273"/>
      <c r="Q258" s="274"/>
      <c r="R258" s="80"/>
      <c r="S258" s="80"/>
      <c r="T258" s="241"/>
      <c r="U258" s="80"/>
      <c r="V258" s="80"/>
      <c r="W258" s="80"/>
      <c r="X258" s="80"/>
      <c r="Y258" s="80"/>
      <c r="Z258" s="80"/>
      <c r="AA258" s="80"/>
    </row>
    <row r="259" spans="1:27" ht="15.75" customHeight="1">
      <c r="A259" s="80"/>
      <c r="B259" s="270"/>
      <c r="C259" s="271"/>
      <c r="D259" s="80"/>
      <c r="E259" s="271"/>
      <c r="F259" s="272"/>
      <c r="G259" s="270"/>
      <c r="H259" s="271"/>
      <c r="I259" s="272"/>
      <c r="J259" s="80"/>
      <c r="K259" s="273"/>
      <c r="L259" s="273"/>
      <c r="M259" s="273"/>
      <c r="N259" s="273"/>
      <c r="O259" s="273"/>
      <c r="P259" s="273"/>
      <c r="Q259" s="274"/>
      <c r="R259" s="80"/>
      <c r="S259" s="80"/>
      <c r="T259" s="241"/>
      <c r="U259" s="80"/>
      <c r="V259" s="80"/>
      <c r="W259" s="80"/>
      <c r="X259" s="80"/>
      <c r="Y259" s="80"/>
      <c r="Z259" s="80"/>
      <c r="AA259" s="80"/>
    </row>
    <row r="260" spans="1:27" ht="15.75" customHeight="1">
      <c r="A260" s="80"/>
      <c r="B260" s="270"/>
      <c r="C260" s="271"/>
      <c r="D260" s="80"/>
      <c r="E260" s="271"/>
      <c r="F260" s="272"/>
      <c r="G260" s="270"/>
      <c r="H260" s="271"/>
      <c r="I260" s="272"/>
      <c r="J260" s="80"/>
      <c r="K260" s="273"/>
      <c r="L260" s="273"/>
      <c r="M260" s="273"/>
      <c r="N260" s="273"/>
      <c r="O260" s="273"/>
      <c r="P260" s="273"/>
      <c r="Q260" s="274"/>
      <c r="R260" s="80"/>
      <c r="S260" s="80"/>
      <c r="T260" s="241"/>
      <c r="U260" s="80"/>
      <c r="V260" s="80"/>
      <c r="W260" s="80"/>
      <c r="X260" s="80"/>
      <c r="Y260" s="80"/>
      <c r="Z260" s="80"/>
      <c r="AA260" s="80"/>
    </row>
    <row r="261" spans="1:27" ht="15.75" customHeight="1">
      <c r="A261" s="80"/>
      <c r="B261" s="270"/>
      <c r="C261" s="271"/>
      <c r="D261" s="80"/>
      <c r="E261" s="271"/>
      <c r="F261" s="272"/>
      <c r="G261" s="270"/>
      <c r="H261" s="271"/>
      <c r="I261" s="272"/>
      <c r="J261" s="80"/>
      <c r="K261" s="273"/>
      <c r="L261" s="273"/>
      <c r="M261" s="273"/>
      <c r="N261" s="273"/>
      <c r="O261" s="273"/>
      <c r="P261" s="273"/>
      <c r="Q261" s="274"/>
      <c r="R261" s="80"/>
      <c r="S261" s="80"/>
      <c r="T261" s="241"/>
      <c r="U261" s="80"/>
      <c r="V261" s="80"/>
      <c r="W261" s="80"/>
      <c r="X261" s="80"/>
      <c r="Y261" s="80"/>
      <c r="Z261" s="80"/>
      <c r="AA261" s="80"/>
    </row>
    <row r="262" spans="1:27" ht="15.75" customHeight="1">
      <c r="A262" s="80"/>
      <c r="B262" s="270"/>
      <c r="C262" s="271"/>
      <c r="D262" s="80"/>
      <c r="E262" s="271"/>
      <c r="F262" s="272"/>
      <c r="G262" s="270"/>
      <c r="H262" s="271"/>
      <c r="I262" s="272"/>
      <c r="J262" s="80"/>
      <c r="K262" s="273"/>
      <c r="L262" s="273"/>
      <c r="M262" s="273"/>
      <c r="N262" s="273"/>
      <c r="O262" s="273"/>
      <c r="P262" s="273"/>
      <c r="Q262" s="274"/>
      <c r="R262" s="80"/>
      <c r="S262" s="80"/>
      <c r="T262" s="241"/>
      <c r="U262" s="80"/>
      <c r="V262" s="80"/>
      <c r="W262" s="80"/>
      <c r="X262" s="80"/>
      <c r="Y262" s="80"/>
      <c r="Z262" s="80"/>
      <c r="AA262" s="80"/>
    </row>
    <row r="263" spans="1:27" ht="15.75" customHeight="1">
      <c r="A263" s="80"/>
      <c r="B263" s="270"/>
      <c r="C263" s="271"/>
      <c r="D263" s="80"/>
      <c r="E263" s="271"/>
      <c r="F263" s="272"/>
      <c r="G263" s="270"/>
      <c r="H263" s="271"/>
      <c r="I263" s="272"/>
      <c r="J263" s="80"/>
      <c r="K263" s="273"/>
      <c r="L263" s="273"/>
      <c r="M263" s="273"/>
      <c r="N263" s="273"/>
      <c r="O263" s="273"/>
      <c r="P263" s="273"/>
      <c r="Q263" s="274"/>
      <c r="R263" s="80"/>
      <c r="S263" s="80"/>
      <c r="T263" s="241"/>
      <c r="U263" s="80"/>
      <c r="V263" s="80"/>
      <c r="W263" s="80"/>
      <c r="X263" s="80"/>
      <c r="Y263" s="80"/>
      <c r="Z263" s="80"/>
      <c r="AA263" s="80"/>
    </row>
    <row r="264" spans="1:27" ht="15.75" customHeight="1">
      <c r="A264" s="80"/>
      <c r="B264" s="270"/>
      <c r="C264" s="271"/>
      <c r="D264" s="80"/>
      <c r="E264" s="271"/>
      <c r="F264" s="272"/>
      <c r="G264" s="270"/>
      <c r="H264" s="271"/>
      <c r="I264" s="272"/>
      <c r="J264" s="80"/>
      <c r="K264" s="273"/>
      <c r="L264" s="273"/>
      <c r="M264" s="273"/>
      <c r="N264" s="273"/>
      <c r="O264" s="273"/>
      <c r="P264" s="273"/>
      <c r="Q264" s="274"/>
      <c r="R264" s="80"/>
      <c r="S264" s="80"/>
      <c r="T264" s="241"/>
      <c r="U264" s="80"/>
      <c r="V264" s="80"/>
      <c r="W264" s="80"/>
      <c r="X264" s="80"/>
      <c r="Y264" s="80"/>
      <c r="Z264" s="80"/>
      <c r="AA264" s="80"/>
    </row>
    <row r="265" spans="1:27" ht="15.75" customHeight="1">
      <c r="A265" s="80"/>
      <c r="B265" s="270"/>
      <c r="C265" s="271"/>
      <c r="D265" s="80"/>
      <c r="E265" s="271"/>
      <c r="F265" s="272"/>
      <c r="G265" s="270"/>
      <c r="H265" s="271"/>
      <c r="I265" s="272"/>
      <c r="J265" s="80"/>
      <c r="K265" s="273"/>
      <c r="L265" s="273"/>
      <c r="M265" s="273"/>
      <c r="N265" s="273"/>
      <c r="O265" s="273"/>
      <c r="P265" s="273"/>
      <c r="Q265" s="274"/>
      <c r="R265" s="80"/>
      <c r="S265" s="80"/>
      <c r="T265" s="241"/>
      <c r="U265" s="80"/>
      <c r="V265" s="80"/>
      <c r="W265" s="80"/>
      <c r="X265" s="80"/>
      <c r="Y265" s="80"/>
      <c r="Z265" s="80"/>
      <c r="AA265" s="80"/>
    </row>
    <row r="266" spans="1:27" ht="15.75" customHeight="1">
      <c r="A266" s="80"/>
      <c r="B266" s="270"/>
      <c r="C266" s="271"/>
      <c r="D266" s="80"/>
      <c r="E266" s="271"/>
      <c r="F266" s="272"/>
      <c r="G266" s="270"/>
      <c r="H266" s="271"/>
      <c r="I266" s="272"/>
      <c r="J266" s="80"/>
      <c r="K266" s="273"/>
      <c r="L266" s="273"/>
      <c r="M266" s="273"/>
      <c r="N266" s="273"/>
      <c r="O266" s="273"/>
      <c r="P266" s="273"/>
      <c r="Q266" s="274"/>
      <c r="R266" s="80"/>
      <c r="S266" s="80"/>
      <c r="T266" s="241"/>
      <c r="U266" s="80"/>
      <c r="V266" s="80"/>
      <c r="W266" s="80"/>
      <c r="X266" s="80"/>
      <c r="Y266" s="80"/>
      <c r="Z266" s="80"/>
      <c r="AA266" s="80"/>
    </row>
    <row r="267" spans="1:27" ht="15.75" customHeight="1">
      <c r="A267" s="80"/>
      <c r="B267" s="270"/>
      <c r="C267" s="271"/>
      <c r="D267" s="80"/>
      <c r="E267" s="271"/>
      <c r="F267" s="272"/>
      <c r="G267" s="270"/>
      <c r="H267" s="271"/>
      <c r="I267" s="272"/>
      <c r="J267" s="80"/>
      <c r="K267" s="273"/>
      <c r="L267" s="273"/>
      <c r="M267" s="273"/>
      <c r="N267" s="273"/>
      <c r="O267" s="273"/>
      <c r="P267" s="273"/>
      <c r="Q267" s="274"/>
      <c r="R267" s="80"/>
      <c r="S267" s="80"/>
      <c r="T267" s="241"/>
      <c r="U267" s="80"/>
      <c r="V267" s="80"/>
      <c r="W267" s="80"/>
      <c r="X267" s="80"/>
      <c r="Y267" s="80"/>
      <c r="Z267" s="80"/>
      <c r="AA267" s="80"/>
    </row>
    <row r="268" spans="1:27" ht="15.75" customHeight="1">
      <c r="A268" s="80"/>
      <c r="B268" s="270"/>
      <c r="C268" s="271"/>
      <c r="D268" s="80"/>
      <c r="E268" s="271"/>
      <c r="F268" s="272"/>
      <c r="G268" s="270"/>
      <c r="H268" s="271"/>
      <c r="I268" s="272"/>
      <c r="J268" s="80"/>
      <c r="K268" s="273"/>
      <c r="L268" s="273"/>
      <c r="M268" s="273"/>
      <c r="N268" s="273"/>
      <c r="O268" s="273"/>
      <c r="P268" s="273"/>
      <c r="Q268" s="274"/>
      <c r="R268" s="80"/>
      <c r="S268" s="80"/>
      <c r="T268" s="241"/>
      <c r="U268" s="80"/>
      <c r="V268" s="80"/>
      <c r="W268" s="80"/>
      <c r="X268" s="80"/>
      <c r="Y268" s="80"/>
      <c r="Z268" s="80"/>
      <c r="AA268" s="80"/>
    </row>
    <row r="269" spans="1:27" ht="15.75" customHeight="1">
      <c r="A269" s="80"/>
      <c r="B269" s="270"/>
      <c r="C269" s="271"/>
      <c r="D269" s="80"/>
      <c r="E269" s="271"/>
      <c r="F269" s="272"/>
      <c r="G269" s="270"/>
      <c r="H269" s="271"/>
      <c r="I269" s="272"/>
      <c r="J269" s="80"/>
      <c r="K269" s="273"/>
      <c r="L269" s="273"/>
      <c r="M269" s="273"/>
      <c r="N269" s="273"/>
      <c r="O269" s="273"/>
      <c r="P269" s="273"/>
      <c r="Q269" s="274"/>
      <c r="R269" s="80"/>
      <c r="S269" s="80"/>
      <c r="T269" s="241"/>
      <c r="U269" s="80"/>
      <c r="V269" s="80"/>
      <c r="W269" s="80"/>
      <c r="X269" s="80"/>
      <c r="Y269" s="80"/>
      <c r="Z269" s="80"/>
      <c r="AA269" s="80"/>
    </row>
    <row r="270" spans="1:27" ht="15.75" customHeight="1">
      <c r="A270" s="80"/>
      <c r="B270" s="270"/>
      <c r="C270" s="271"/>
      <c r="D270" s="80"/>
      <c r="E270" s="271"/>
      <c r="F270" s="272"/>
      <c r="G270" s="270"/>
      <c r="H270" s="271"/>
      <c r="I270" s="272"/>
      <c r="J270" s="80"/>
      <c r="K270" s="273"/>
      <c r="L270" s="273"/>
      <c r="M270" s="273"/>
      <c r="N270" s="273"/>
      <c r="O270" s="273"/>
      <c r="P270" s="273"/>
      <c r="Q270" s="274"/>
      <c r="R270" s="80"/>
      <c r="S270" s="80"/>
      <c r="T270" s="241"/>
      <c r="U270" s="80"/>
      <c r="V270" s="80"/>
      <c r="W270" s="80"/>
      <c r="X270" s="80"/>
      <c r="Y270" s="80"/>
      <c r="Z270" s="80"/>
      <c r="AA270" s="80"/>
    </row>
    <row r="271" spans="1:27" ht="15.75" customHeight="1">
      <c r="A271" s="80"/>
      <c r="B271" s="270"/>
      <c r="C271" s="271"/>
      <c r="D271" s="80"/>
      <c r="E271" s="271"/>
      <c r="F271" s="272"/>
      <c r="G271" s="270"/>
      <c r="H271" s="271"/>
      <c r="I271" s="272"/>
      <c r="J271" s="80"/>
      <c r="K271" s="273"/>
      <c r="L271" s="273"/>
      <c r="M271" s="273"/>
      <c r="N271" s="273"/>
      <c r="O271" s="273"/>
      <c r="P271" s="273"/>
      <c r="Q271" s="274"/>
      <c r="R271" s="80"/>
      <c r="S271" s="80"/>
      <c r="T271" s="241"/>
      <c r="U271" s="80"/>
      <c r="V271" s="80"/>
      <c r="W271" s="80"/>
      <c r="X271" s="80"/>
      <c r="Y271" s="80"/>
      <c r="Z271" s="80"/>
      <c r="AA271" s="80"/>
    </row>
    <row r="272" spans="1:27" ht="15.75" customHeight="1">
      <c r="A272" s="80"/>
      <c r="B272" s="270"/>
      <c r="C272" s="271"/>
      <c r="D272" s="80"/>
      <c r="E272" s="271"/>
      <c r="F272" s="272"/>
      <c r="G272" s="270"/>
      <c r="H272" s="271"/>
      <c r="I272" s="272"/>
      <c r="J272" s="80"/>
      <c r="K272" s="273"/>
      <c r="L272" s="273"/>
      <c r="M272" s="273"/>
      <c r="N272" s="273"/>
      <c r="O272" s="273"/>
      <c r="P272" s="273"/>
      <c r="Q272" s="274"/>
      <c r="R272" s="80"/>
      <c r="S272" s="80"/>
      <c r="T272" s="241"/>
      <c r="U272" s="80"/>
      <c r="V272" s="80"/>
      <c r="W272" s="80"/>
      <c r="X272" s="80"/>
      <c r="Y272" s="80"/>
      <c r="Z272" s="80"/>
      <c r="AA272" s="80"/>
    </row>
    <row r="273" spans="1:27" ht="15.75" customHeight="1">
      <c r="A273" s="80"/>
      <c r="B273" s="270"/>
      <c r="C273" s="271"/>
      <c r="D273" s="80"/>
      <c r="E273" s="271"/>
      <c r="F273" s="272"/>
      <c r="G273" s="270"/>
      <c r="H273" s="271"/>
      <c r="I273" s="272"/>
      <c r="J273" s="80"/>
      <c r="K273" s="273"/>
      <c r="L273" s="273"/>
      <c r="M273" s="273"/>
      <c r="N273" s="273"/>
      <c r="O273" s="273"/>
      <c r="P273" s="273"/>
      <c r="Q273" s="274"/>
      <c r="R273" s="80"/>
      <c r="S273" s="80"/>
      <c r="T273" s="241"/>
      <c r="U273" s="80"/>
      <c r="V273" s="80"/>
      <c r="W273" s="80"/>
      <c r="X273" s="80"/>
      <c r="Y273" s="80"/>
      <c r="Z273" s="80"/>
      <c r="AA273" s="80"/>
    </row>
    <row r="274" spans="1:27" ht="15.75" customHeight="1">
      <c r="A274" s="80"/>
      <c r="B274" s="270"/>
      <c r="C274" s="271"/>
      <c r="D274" s="80"/>
      <c r="E274" s="271"/>
      <c r="F274" s="272"/>
      <c r="G274" s="270"/>
      <c r="H274" s="271"/>
      <c r="I274" s="272"/>
      <c r="J274" s="80"/>
      <c r="K274" s="273"/>
      <c r="L274" s="273"/>
      <c r="M274" s="273"/>
      <c r="N274" s="273"/>
      <c r="O274" s="273"/>
      <c r="P274" s="273"/>
      <c r="Q274" s="274"/>
      <c r="R274" s="80"/>
      <c r="S274" s="80"/>
      <c r="T274" s="241"/>
      <c r="U274" s="80"/>
      <c r="V274" s="80"/>
      <c r="W274" s="80"/>
      <c r="X274" s="80"/>
      <c r="Y274" s="80"/>
      <c r="Z274" s="80"/>
      <c r="AA274" s="80"/>
    </row>
    <row r="275" spans="1:27" ht="15.75" customHeight="1">
      <c r="A275" s="80"/>
      <c r="B275" s="270"/>
      <c r="C275" s="271"/>
      <c r="D275" s="80"/>
      <c r="E275" s="271"/>
      <c r="F275" s="272"/>
      <c r="G275" s="270"/>
      <c r="H275" s="271"/>
      <c r="I275" s="272"/>
      <c r="J275" s="80"/>
      <c r="K275" s="273"/>
      <c r="L275" s="273"/>
      <c r="M275" s="273"/>
      <c r="N275" s="273"/>
      <c r="O275" s="273"/>
      <c r="P275" s="273"/>
      <c r="Q275" s="274"/>
      <c r="R275" s="80"/>
      <c r="S275" s="80"/>
      <c r="T275" s="241"/>
      <c r="U275" s="80"/>
      <c r="V275" s="80"/>
      <c r="W275" s="80"/>
      <c r="X275" s="80"/>
      <c r="Y275" s="80"/>
      <c r="Z275" s="80"/>
      <c r="AA275" s="80"/>
    </row>
    <row r="276" spans="1:27" ht="15.75" customHeight="1">
      <c r="A276" s="80"/>
      <c r="B276" s="270"/>
      <c r="C276" s="271"/>
      <c r="D276" s="80"/>
      <c r="E276" s="271"/>
      <c r="F276" s="272"/>
      <c r="G276" s="270"/>
      <c r="H276" s="271"/>
      <c r="I276" s="272"/>
      <c r="J276" s="80"/>
      <c r="K276" s="273"/>
      <c r="L276" s="273"/>
      <c r="M276" s="273"/>
      <c r="N276" s="273"/>
      <c r="O276" s="273"/>
      <c r="P276" s="273"/>
      <c r="Q276" s="274"/>
      <c r="R276" s="80"/>
      <c r="S276" s="80"/>
      <c r="T276" s="241"/>
      <c r="U276" s="80"/>
      <c r="V276" s="80"/>
      <c r="W276" s="80"/>
      <c r="X276" s="80"/>
      <c r="Y276" s="80"/>
      <c r="Z276" s="80"/>
      <c r="AA276" s="80"/>
    </row>
    <row r="277" spans="1:27" ht="15.75" customHeight="1">
      <c r="A277" s="80"/>
      <c r="B277" s="270"/>
      <c r="C277" s="271"/>
      <c r="D277" s="80"/>
      <c r="E277" s="271"/>
      <c r="F277" s="272"/>
      <c r="G277" s="270"/>
      <c r="H277" s="271"/>
      <c r="I277" s="272"/>
      <c r="J277" s="80"/>
      <c r="K277" s="273"/>
      <c r="L277" s="273"/>
      <c r="M277" s="273"/>
      <c r="N277" s="273"/>
      <c r="O277" s="273"/>
      <c r="P277" s="273"/>
      <c r="Q277" s="274"/>
      <c r="R277" s="80"/>
      <c r="S277" s="80"/>
      <c r="T277" s="241"/>
      <c r="U277" s="80"/>
      <c r="V277" s="80"/>
      <c r="W277" s="80"/>
      <c r="X277" s="80"/>
      <c r="Y277" s="80"/>
      <c r="Z277" s="80"/>
      <c r="AA277" s="80"/>
    </row>
    <row r="278" spans="1:27" ht="15.75" customHeight="1">
      <c r="A278" s="80"/>
      <c r="B278" s="270"/>
      <c r="C278" s="271"/>
      <c r="D278" s="80"/>
      <c r="E278" s="271"/>
      <c r="F278" s="272"/>
      <c r="G278" s="270"/>
      <c r="H278" s="271"/>
      <c r="I278" s="272"/>
      <c r="J278" s="80"/>
      <c r="K278" s="273"/>
      <c r="L278" s="273"/>
      <c r="M278" s="273"/>
      <c r="N278" s="273"/>
      <c r="O278" s="273"/>
      <c r="P278" s="273"/>
      <c r="Q278" s="274"/>
      <c r="R278" s="80"/>
      <c r="S278" s="80"/>
      <c r="T278" s="241"/>
      <c r="U278" s="80"/>
      <c r="V278" s="80"/>
      <c r="W278" s="80"/>
      <c r="X278" s="80"/>
      <c r="Y278" s="80"/>
      <c r="Z278" s="80"/>
      <c r="AA278" s="80"/>
    </row>
    <row r="279" spans="1:27" ht="15.75" customHeight="1">
      <c r="A279" s="80"/>
      <c r="B279" s="270"/>
      <c r="C279" s="271"/>
      <c r="D279" s="80"/>
      <c r="E279" s="271"/>
      <c r="F279" s="272"/>
      <c r="G279" s="270"/>
      <c r="H279" s="271"/>
      <c r="I279" s="272"/>
      <c r="J279" s="80"/>
      <c r="K279" s="273"/>
      <c r="L279" s="273"/>
      <c r="M279" s="273"/>
      <c r="N279" s="273"/>
      <c r="O279" s="273"/>
      <c r="P279" s="273"/>
      <c r="Q279" s="274"/>
      <c r="R279" s="80"/>
      <c r="S279" s="80"/>
      <c r="T279" s="241"/>
      <c r="U279" s="80"/>
      <c r="V279" s="80"/>
      <c r="W279" s="80"/>
      <c r="X279" s="80"/>
      <c r="Y279" s="80"/>
      <c r="Z279" s="80"/>
      <c r="AA279" s="80"/>
    </row>
    <row r="280" spans="1:27" ht="15.75" customHeight="1">
      <c r="A280" s="80"/>
      <c r="B280" s="270"/>
      <c r="C280" s="271"/>
      <c r="D280" s="80"/>
      <c r="E280" s="271"/>
      <c r="F280" s="272"/>
      <c r="G280" s="270"/>
      <c r="H280" s="271"/>
      <c r="I280" s="272"/>
      <c r="J280" s="80"/>
      <c r="K280" s="273"/>
      <c r="L280" s="273"/>
      <c r="M280" s="273"/>
      <c r="N280" s="273"/>
      <c r="O280" s="273"/>
      <c r="P280" s="273"/>
      <c r="Q280" s="274"/>
      <c r="R280" s="80"/>
      <c r="S280" s="80"/>
      <c r="T280" s="241"/>
      <c r="U280" s="80"/>
      <c r="V280" s="80"/>
      <c r="W280" s="80"/>
      <c r="X280" s="80"/>
      <c r="Y280" s="80"/>
      <c r="Z280" s="80"/>
      <c r="AA280" s="80"/>
    </row>
    <row r="281" spans="1:27" ht="15.75" customHeight="1">
      <c r="A281" s="80"/>
      <c r="B281" s="270"/>
      <c r="C281" s="271"/>
      <c r="D281" s="80"/>
      <c r="E281" s="271"/>
      <c r="F281" s="272"/>
      <c r="G281" s="270"/>
      <c r="H281" s="271"/>
      <c r="I281" s="272"/>
      <c r="J281" s="80"/>
      <c r="K281" s="273"/>
      <c r="L281" s="273"/>
      <c r="M281" s="273"/>
      <c r="N281" s="273"/>
      <c r="O281" s="273"/>
      <c r="P281" s="273"/>
      <c r="Q281" s="274"/>
      <c r="R281" s="80"/>
      <c r="S281" s="80"/>
      <c r="T281" s="241"/>
      <c r="U281" s="80"/>
      <c r="V281" s="80"/>
      <c r="W281" s="80"/>
      <c r="X281" s="80"/>
      <c r="Y281" s="80"/>
      <c r="Z281" s="80"/>
      <c r="AA281" s="80"/>
    </row>
    <row r="282" spans="1:27" ht="15.75" customHeight="1">
      <c r="A282" s="80"/>
      <c r="B282" s="270"/>
      <c r="C282" s="271"/>
      <c r="D282" s="80"/>
      <c r="E282" s="271"/>
      <c r="F282" s="272"/>
      <c r="G282" s="270"/>
      <c r="H282" s="271"/>
      <c r="I282" s="272"/>
      <c r="J282" s="80"/>
      <c r="K282" s="273"/>
      <c r="L282" s="273"/>
      <c r="M282" s="273"/>
      <c r="N282" s="273"/>
      <c r="O282" s="273"/>
      <c r="P282" s="273"/>
      <c r="Q282" s="274"/>
      <c r="R282" s="80"/>
      <c r="S282" s="80"/>
      <c r="T282" s="241"/>
      <c r="U282" s="80"/>
      <c r="V282" s="80"/>
      <c r="W282" s="80"/>
      <c r="X282" s="80"/>
      <c r="Y282" s="80"/>
      <c r="Z282" s="80"/>
      <c r="AA282" s="80"/>
    </row>
    <row r="283" spans="1:27" ht="15.75" customHeight="1">
      <c r="A283" s="80"/>
      <c r="B283" s="270"/>
      <c r="C283" s="271"/>
      <c r="D283" s="80"/>
      <c r="E283" s="271"/>
      <c r="F283" s="272"/>
      <c r="G283" s="270"/>
      <c r="H283" s="271"/>
      <c r="I283" s="272"/>
      <c r="J283" s="80"/>
      <c r="K283" s="273"/>
      <c r="L283" s="273"/>
      <c r="M283" s="273"/>
      <c r="N283" s="273"/>
      <c r="O283" s="273"/>
      <c r="P283" s="273"/>
      <c r="Q283" s="274"/>
      <c r="R283" s="80"/>
      <c r="S283" s="80"/>
      <c r="T283" s="241"/>
      <c r="U283" s="80"/>
      <c r="V283" s="80"/>
      <c r="W283" s="80"/>
      <c r="X283" s="80"/>
      <c r="Y283" s="80"/>
      <c r="Z283" s="80"/>
      <c r="AA283" s="80"/>
    </row>
    <row r="284" spans="1:27" ht="15.75" customHeight="1">
      <c r="A284" s="80"/>
      <c r="B284" s="270"/>
      <c r="C284" s="271"/>
      <c r="D284" s="80"/>
      <c r="E284" s="271"/>
      <c r="F284" s="272"/>
      <c r="G284" s="270"/>
      <c r="H284" s="271"/>
      <c r="I284" s="272"/>
      <c r="J284" s="80"/>
      <c r="K284" s="273"/>
      <c r="L284" s="273"/>
      <c r="M284" s="273"/>
      <c r="N284" s="273"/>
      <c r="O284" s="273"/>
      <c r="P284" s="273"/>
      <c r="Q284" s="274"/>
      <c r="R284" s="80"/>
      <c r="S284" s="80"/>
      <c r="T284" s="241"/>
      <c r="U284" s="80"/>
      <c r="V284" s="80"/>
      <c r="W284" s="80"/>
      <c r="X284" s="80"/>
      <c r="Y284" s="80"/>
      <c r="Z284" s="80"/>
      <c r="AA284" s="80"/>
    </row>
    <row r="285" spans="1:27" ht="15.75" customHeight="1">
      <c r="A285" s="80"/>
      <c r="B285" s="270"/>
      <c r="C285" s="271"/>
      <c r="D285" s="80"/>
      <c r="E285" s="271"/>
      <c r="F285" s="272"/>
      <c r="G285" s="270"/>
      <c r="H285" s="271"/>
      <c r="I285" s="272"/>
      <c r="J285" s="80"/>
      <c r="K285" s="273"/>
      <c r="L285" s="273"/>
      <c r="M285" s="273"/>
      <c r="N285" s="273"/>
      <c r="O285" s="273"/>
      <c r="P285" s="273"/>
      <c r="Q285" s="274"/>
      <c r="R285" s="80"/>
      <c r="S285" s="80"/>
      <c r="T285" s="241"/>
      <c r="U285" s="80"/>
      <c r="V285" s="80"/>
      <c r="W285" s="80"/>
      <c r="X285" s="80"/>
      <c r="Y285" s="80"/>
      <c r="Z285" s="80"/>
      <c r="AA285" s="80"/>
    </row>
    <row r="286" spans="1:27" ht="15.75" customHeight="1">
      <c r="A286" s="80"/>
      <c r="B286" s="270"/>
      <c r="C286" s="271"/>
      <c r="D286" s="80"/>
      <c r="E286" s="271"/>
      <c r="F286" s="272"/>
      <c r="G286" s="270"/>
      <c r="H286" s="271"/>
      <c r="I286" s="272"/>
      <c r="J286" s="80"/>
      <c r="K286" s="273"/>
      <c r="L286" s="273"/>
      <c r="M286" s="273"/>
      <c r="N286" s="273"/>
      <c r="O286" s="273"/>
      <c r="P286" s="273"/>
      <c r="Q286" s="274"/>
      <c r="R286" s="80"/>
      <c r="S286" s="80"/>
      <c r="T286" s="241"/>
      <c r="U286" s="80"/>
      <c r="V286" s="80"/>
      <c r="W286" s="80"/>
      <c r="X286" s="80"/>
      <c r="Y286" s="80"/>
      <c r="Z286" s="80"/>
      <c r="AA286" s="80"/>
    </row>
    <row r="287" spans="1:27" ht="15.75" customHeight="1">
      <c r="A287" s="80"/>
      <c r="B287" s="270"/>
      <c r="C287" s="271"/>
      <c r="D287" s="80"/>
      <c r="E287" s="271"/>
      <c r="F287" s="272"/>
      <c r="G287" s="270"/>
      <c r="H287" s="271"/>
      <c r="I287" s="272"/>
      <c r="J287" s="80"/>
      <c r="K287" s="273"/>
      <c r="L287" s="273"/>
      <c r="M287" s="273"/>
      <c r="N287" s="273"/>
      <c r="O287" s="273"/>
      <c r="P287" s="273"/>
      <c r="Q287" s="274"/>
      <c r="R287" s="80"/>
      <c r="S287" s="80"/>
      <c r="T287" s="241"/>
      <c r="U287" s="80"/>
      <c r="V287" s="80"/>
      <c r="W287" s="80"/>
      <c r="X287" s="80"/>
      <c r="Y287" s="80"/>
      <c r="Z287" s="80"/>
      <c r="AA287" s="80"/>
    </row>
    <row r="288" spans="1:27" ht="15.75" customHeight="1">
      <c r="A288" s="80"/>
      <c r="B288" s="270"/>
      <c r="C288" s="271"/>
      <c r="D288" s="80"/>
      <c r="E288" s="271"/>
      <c r="F288" s="272"/>
      <c r="G288" s="270"/>
      <c r="H288" s="271"/>
      <c r="I288" s="272"/>
      <c r="J288" s="80"/>
      <c r="K288" s="273"/>
      <c r="L288" s="273"/>
      <c r="M288" s="273"/>
      <c r="N288" s="273"/>
      <c r="O288" s="273"/>
      <c r="P288" s="273"/>
      <c r="Q288" s="274"/>
      <c r="R288" s="80"/>
      <c r="S288" s="80"/>
      <c r="T288" s="241"/>
      <c r="U288" s="80"/>
      <c r="V288" s="80"/>
      <c r="W288" s="80"/>
      <c r="X288" s="80"/>
      <c r="Y288" s="80"/>
      <c r="Z288" s="80"/>
      <c r="AA288" s="80"/>
    </row>
    <row r="289" spans="1:27" ht="15.75" customHeight="1">
      <c r="A289" s="80"/>
      <c r="B289" s="270"/>
      <c r="C289" s="271"/>
      <c r="D289" s="80"/>
      <c r="E289" s="271"/>
      <c r="F289" s="272"/>
      <c r="G289" s="270"/>
      <c r="H289" s="271"/>
      <c r="I289" s="272"/>
      <c r="J289" s="80"/>
      <c r="K289" s="273"/>
      <c r="L289" s="273"/>
      <c r="M289" s="273"/>
      <c r="N289" s="273"/>
      <c r="O289" s="273"/>
      <c r="P289" s="273"/>
      <c r="Q289" s="274"/>
      <c r="R289" s="80"/>
      <c r="S289" s="80"/>
      <c r="T289" s="241"/>
      <c r="U289" s="80"/>
      <c r="V289" s="80"/>
      <c r="W289" s="80"/>
      <c r="X289" s="80"/>
      <c r="Y289" s="80"/>
      <c r="Z289" s="80"/>
      <c r="AA289" s="80"/>
    </row>
    <row r="290" spans="1:27" ht="15.75" customHeight="1">
      <c r="A290" s="80"/>
      <c r="B290" s="270"/>
      <c r="C290" s="271"/>
      <c r="D290" s="80"/>
      <c r="E290" s="271"/>
      <c r="F290" s="272"/>
      <c r="G290" s="270"/>
      <c r="H290" s="271"/>
      <c r="I290" s="272"/>
      <c r="J290" s="80"/>
      <c r="K290" s="273"/>
      <c r="L290" s="273"/>
      <c r="M290" s="273"/>
      <c r="N290" s="273"/>
      <c r="O290" s="273"/>
      <c r="P290" s="273"/>
      <c r="Q290" s="274"/>
      <c r="R290" s="80"/>
      <c r="S290" s="80"/>
      <c r="T290" s="241"/>
      <c r="U290" s="80"/>
      <c r="V290" s="80"/>
      <c r="W290" s="80"/>
      <c r="X290" s="80"/>
      <c r="Y290" s="80"/>
      <c r="Z290" s="80"/>
      <c r="AA290" s="80"/>
    </row>
    <row r="291" spans="1:27" ht="15.75" customHeight="1">
      <c r="A291" s="80"/>
      <c r="B291" s="270"/>
      <c r="C291" s="271"/>
      <c r="D291" s="80"/>
      <c r="E291" s="271"/>
      <c r="F291" s="272"/>
      <c r="G291" s="270"/>
      <c r="H291" s="271"/>
      <c r="I291" s="272"/>
      <c r="J291" s="80"/>
      <c r="K291" s="273"/>
      <c r="L291" s="273"/>
      <c r="M291" s="273"/>
      <c r="N291" s="273"/>
      <c r="O291" s="273"/>
      <c r="P291" s="273"/>
      <c r="Q291" s="274"/>
      <c r="R291" s="80"/>
      <c r="S291" s="80"/>
      <c r="T291" s="241"/>
      <c r="U291" s="80"/>
      <c r="V291" s="80"/>
      <c r="W291" s="80"/>
      <c r="X291" s="80"/>
      <c r="Y291" s="80"/>
      <c r="Z291" s="80"/>
      <c r="AA291" s="80"/>
    </row>
    <row r="292" spans="1:27" ht="15.75" customHeight="1">
      <c r="A292" s="80"/>
      <c r="B292" s="270"/>
      <c r="C292" s="271"/>
      <c r="D292" s="80"/>
      <c r="E292" s="271"/>
      <c r="F292" s="272"/>
      <c r="G292" s="270"/>
      <c r="H292" s="271"/>
      <c r="I292" s="272"/>
      <c r="J292" s="80"/>
      <c r="K292" s="273"/>
      <c r="L292" s="273"/>
      <c r="M292" s="273"/>
      <c r="N292" s="273"/>
      <c r="O292" s="273"/>
      <c r="P292" s="273"/>
      <c r="Q292" s="274"/>
      <c r="R292" s="80"/>
      <c r="S292" s="80"/>
      <c r="T292" s="241"/>
      <c r="U292" s="80"/>
      <c r="V292" s="80"/>
      <c r="W292" s="80"/>
      <c r="X292" s="80"/>
      <c r="Y292" s="80"/>
      <c r="Z292" s="80"/>
      <c r="AA292" s="80"/>
    </row>
    <row r="293" spans="1:27" ht="15.75" customHeight="1">
      <c r="A293" s="80"/>
      <c r="B293" s="270"/>
      <c r="C293" s="271"/>
      <c r="D293" s="80"/>
      <c r="E293" s="271"/>
      <c r="F293" s="272"/>
      <c r="G293" s="270"/>
      <c r="H293" s="271"/>
      <c r="I293" s="272"/>
      <c r="J293" s="80"/>
      <c r="K293" s="273"/>
      <c r="L293" s="273"/>
      <c r="M293" s="273"/>
      <c r="N293" s="273"/>
      <c r="O293" s="273"/>
      <c r="P293" s="273"/>
      <c r="Q293" s="274"/>
      <c r="R293" s="80"/>
      <c r="S293" s="80"/>
      <c r="T293" s="241"/>
      <c r="U293" s="80"/>
      <c r="V293" s="80"/>
      <c r="W293" s="80"/>
      <c r="X293" s="80"/>
      <c r="Y293" s="80"/>
      <c r="Z293" s="80"/>
      <c r="AA293" s="80"/>
    </row>
    <row r="294" spans="1:27" ht="15.75" customHeight="1">
      <c r="A294" s="80"/>
      <c r="B294" s="270"/>
      <c r="C294" s="271"/>
      <c r="D294" s="80"/>
      <c r="E294" s="271"/>
      <c r="F294" s="272"/>
      <c r="G294" s="270"/>
      <c r="H294" s="271"/>
      <c r="I294" s="272"/>
      <c r="J294" s="80"/>
      <c r="K294" s="273"/>
      <c r="L294" s="273"/>
      <c r="M294" s="273"/>
      <c r="N294" s="273"/>
      <c r="O294" s="273"/>
      <c r="P294" s="273"/>
      <c r="Q294" s="274"/>
      <c r="R294" s="80"/>
      <c r="S294" s="80"/>
      <c r="T294" s="241"/>
      <c r="U294" s="80"/>
      <c r="V294" s="80"/>
      <c r="W294" s="80"/>
      <c r="X294" s="80"/>
      <c r="Y294" s="80"/>
      <c r="Z294" s="80"/>
      <c r="AA294" s="80"/>
    </row>
    <row r="295" spans="1:27" ht="15.75" customHeight="1">
      <c r="A295" s="80"/>
      <c r="B295" s="270"/>
      <c r="C295" s="271"/>
      <c r="D295" s="80"/>
      <c r="E295" s="271"/>
      <c r="F295" s="272"/>
      <c r="G295" s="270"/>
      <c r="H295" s="271"/>
      <c r="I295" s="272"/>
      <c r="J295" s="80"/>
      <c r="K295" s="273"/>
      <c r="L295" s="273"/>
      <c r="M295" s="273"/>
      <c r="N295" s="273"/>
      <c r="O295" s="273"/>
      <c r="P295" s="273"/>
      <c r="Q295" s="274"/>
      <c r="R295" s="80"/>
      <c r="S295" s="80"/>
      <c r="T295" s="241"/>
      <c r="U295" s="80"/>
      <c r="V295" s="80"/>
      <c r="W295" s="80"/>
      <c r="X295" s="80"/>
      <c r="Y295" s="80"/>
      <c r="Z295" s="80"/>
      <c r="AA295" s="80"/>
    </row>
    <row r="296" spans="1:27" ht="15.75" customHeight="1">
      <c r="A296" s="80"/>
      <c r="B296" s="270"/>
      <c r="C296" s="271"/>
      <c r="D296" s="80"/>
      <c r="E296" s="271"/>
      <c r="F296" s="272"/>
      <c r="G296" s="270"/>
      <c r="H296" s="271"/>
      <c r="I296" s="272"/>
      <c r="J296" s="80"/>
      <c r="K296" s="273"/>
      <c r="L296" s="273"/>
      <c r="M296" s="273"/>
      <c r="N296" s="273"/>
      <c r="O296" s="273"/>
      <c r="P296" s="273"/>
      <c r="Q296" s="274"/>
      <c r="R296" s="80"/>
      <c r="S296" s="80"/>
      <c r="T296" s="241"/>
      <c r="U296" s="80"/>
      <c r="V296" s="80"/>
      <c r="W296" s="80"/>
      <c r="X296" s="80"/>
      <c r="Y296" s="80"/>
      <c r="Z296" s="80"/>
      <c r="AA296" s="80"/>
    </row>
    <row r="297" spans="1:27" ht="15.75" customHeight="1">
      <c r="A297" s="80"/>
      <c r="B297" s="270"/>
      <c r="C297" s="271"/>
      <c r="D297" s="80"/>
      <c r="E297" s="271"/>
      <c r="F297" s="272"/>
      <c r="G297" s="270"/>
      <c r="H297" s="271"/>
      <c r="I297" s="272"/>
      <c r="J297" s="80"/>
      <c r="K297" s="273"/>
      <c r="L297" s="273"/>
      <c r="M297" s="273"/>
      <c r="N297" s="273"/>
      <c r="O297" s="273"/>
      <c r="P297" s="273"/>
      <c r="Q297" s="274"/>
      <c r="R297" s="80"/>
      <c r="S297" s="80"/>
      <c r="T297" s="241"/>
      <c r="U297" s="80"/>
      <c r="V297" s="80"/>
      <c r="W297" s="80"/>
      <c r="X297" s="80"/>
      <c r="Y297" s="80"/>
      <c r="Z297" s="80"/>
      <c r="AA297" s="80"/>
    </row>
    <row r="298" spans="1:27" ht="15.75" customHeight="1">
      <c r="A298" s="80"/>
      <c r="B298" s="270"/>
      <c r="C298" s="271"/>
      <c r="D298" s="80"/>
      <c r="E298" s="271"/>
      <c r="F298" s="272"/>
      <c r="G298" s="270"/>
      <c r="H298" s="271"/>
      <c r="I298" s="272"/>
      <c r="J298" s="80"/>
      <c r="K298" s="273"/>
      <c r="L298" s="273"/>
      <c r="M298" s="273"/>
      <c r="N298" s="273"/>
      <c r="O298" s="273"/>
      <c r="P298" s="273"/>
      <c r="Q298" s="274"/>
      <c r="R298" s="80"/>
      <c r="S298" s="80"/>
      <c r="T298" s="241"/>
      <c r="U298" s="80"/>
      <c r="V298" s="80"/>
      <c r="W298" s="80"/>
      <c r="X298" s="80"/>
      <c r="Y298" s="80"/>
      <c r="Z298" s="80"/>
      <c r="AA298" s="80"/>
    </row>
    <row r="299" spans="1:27" ht="15.75" customHeight="1">
      <c r="A299" s="80"/>
      <c r="B299" s="270"/>
      <c r="C299" s="271"/>
      <c r="D299" s="80"/>
      <c r="E299" s="271"/>
      <c r="F299" s="272"/>
      <c r="G299" s="270"/>
      <c r="H299" s="271"/>
      <c r="I299" s="272"/>
      <c r="J299" s="80"/>
      <c r="K299" s="273"/>
      <c r="L299" s="273"/>
      <c r="M299" s="273"/>
      <c r="N299" s="273"/>
      <c r="O299" s="273"/>
      <c r="P299" s="273"/>
      <c r="Q299" s="274"/>
      <c r="R299" s="80"/>
      <c r="S299" s="80"/>
      <c r="T299" s="241"/>
      <c r="U299" s="80"/>
      <c r="V299" s="80"/>
      <c r="W299" s="80"/>
      <c r="X299" s="80"/>
      <c r="Y299" s="80"/>
      <c r="Z299" s="80"/>
      <c r="AA299" s="80"/>
    </row>
    <row r="300" spans="1:27" ht="15.75" customHeight="1">
      <c r="A300" s="80"/>
      <c r="B300" s="270"/>
      <c r="C300" s="271"/>
      <c r="D300" s="80"/>
      <c r="E300" s="271"/>
      <c r="F300" s="272"/>
      <c r="G300" s="270"/>
      <c r="H300" s="271"/>
      <c r="I300" s="272"/>
      <c r="J300" s="80"/>
      <c r="K300" s="273"/>
      <c r="L300" s="273"/>
      <c r="M300" s="273"/>
      <c r="N300" s="273"/>
      <c r="O300" s="273"/>
      <c r="P300" s="273"/>
      <c r="Q300" s="274"/>
      <c r="R300" s="80"/>
      <c r="S300" s="80"/>
      <c r="T300" s="241"/>
      <c r="U300" s="80"/>
      <c r="V300" s="80"/>
      <c r="W300" s="80"/>
      <c r="X300" s="80"/>
      <c r="Y300" s="80"/>
      <c r="Z300" s="80"/>
      <c r="AA300" s="80"/>
    </row>
    <row r="301" spans="1:27" ht="15.75" customHeight="1">
      <c r="A301" s="80"/>
      <c r="B301" s="270"/>
      <c r="C301" s="271"/>
      <c r="D301" s="80"/>
      <c r="E301" s="271"/>
      <c r="F301" s="272"/>
      <c r="G301" s="270"/>
      <c r="H301" s="271"/>
      <c r="I301" s="272"/>
      <c r="J301" s="80"/>
      <c r="K301" s="273"/>
      <c r="L301" s="273"/>
      <c r="M301" s="273"/>
      <c r="N301" s="273"/>
      <c r="O301" s="273"/>
      <c r="P301" s="273"/>
      <c r="Q301" s="274"/>
      <c r="R301" s="80"/>
      <c r="S301" s="80"/>
      <c r="T301" s="241"/>
      <c r="U301" s="80"/>
      <c r="V301" s="80"/>
      <c r="W301" s="80"/>
      <c r="X301" s="80"/>
      <c r="Y301" s="80"/>
      <c r="Z301" s="80"/>
      <c r="AA301" s="80"/>
    </row>
    <row r="302" spans="1:27" ht="15.75" customHeight="1">
      <c r="A302" s="80"/>
      <c r="B302" s="270"/>
      <c r="C302" s="271"/>
      <c r="D302" s="80"/>
      <c r="E302" s="271"/>
      <c r="F302" s="272"/>
      <c r="G302" s="270"/>
      <c r="H302" s="271"/>
      <c r="I302" s="272"/>
      <c r="J302" s="80"/>
      <c r="K302" s="273"/>
      <c r="L302" s="273"/>
      <c r="M302" s="273"/>
      <c r="N302" s="273"/>
      <c r="O302" s="273"/>
      <c r="P302" s="273"/>
      <c r="Q302" s="274"/>
      <c r="R302" s="80"/>
      <c r="S302" s="80"/>
      <c r="T302" s="241"/>
      <c r="U302" s="80"/>
      <c r="V302" s="80"/>
      <c r="W302" s="80"/>
      <c r="X302" s="80"/>
      <c r="Y302" s="80"/>
      <c r="Z302" s="80"/>
      <c r="AA302" s="80"/>
    </row>
    <row r="303" spans="1:27" ht="15.75" customHeight="1">
      <c r="A303" s="80"/>
      <c r="B303" s="270"/>
      <c r="C303" s="271"/>
      <c r="D303" s="80"/>
      <c r="E303" s="271"/>
      <c r="F303" s="272"/>
      <c r="G303" s="270"/>
      <c r="H303" s="271"/>
      <c r="I303" s="272"/>
      <c r="J303" s="80"/>
      <c r="K303" s="273"/>
      <c r="L303" s="273"/>
      <c r="M303" s="273"/>
      <c r="N303" s="273"/>
      <c r="O303" s="273"/>
      <c r="P303" s="273"/>
      <c r="Q303" s="274"/>
      <c r="R303" s="80"/>
      <c r="S303" s="80"/>
      <c r="T303" s="241"/>
      <c r="U303" s="80"/>
      <c r="V303" s="80"/>
      <c r="W303" s="80"/>
      <c r="X303" s="80"/>
      <c r="Y303" s="80"/>
      <c r="Z303" s="80"/>
      <c r="AA303" s="80"/>
    </row>
    <row r="304" spans="1:27" ht="15.75" customHeight="1">
      <c r="A304" s="80"/>
      <c r="B304" s="270"/>
      <c r="C304" s="271"/>
      <c r="D304" s="80"/>
      <c r="E304" s="271"/>
      <c r="F304" s="272"/>
      <c r="G304" s="270"/>
      <c r="H304" s="271"/>
      <c r="I304" s="272"/>
      <c r="J304" s="80"/>
      <c r="K304" s="273"/>
      <c r="L304" s="273"/>
      <c r="M304" s="273"/>
      <c r="N304" s="273"/>
      <c r="O304" s="273"/>
      <c r="P304" s="273"/>
      <c r="Q304" s="274"/>
      <c r="R304" s="80"/>
      <c r="S304" s="80"/>
      <c r="T304" s="241"/>
      <c r="U304" s="80"/>
      <c r="V304" s="80"/>
      <c r="W304" s="80"/>
      <c r="X304" s="80"/>
      <c r="Y304" s="80"/>
      <c r="Z304" s="80"/>
      <c r="AA304" s="80"/>
    </row>
    <row r="305" spans="1:27" ht="15.75" customHeight="1">
      <c r="A305" s="80"/>
      <c r="B305" s="270"/>
      <c r="C305" s="271"/>
      <c r="D305" s="80"/>
      <c r="E305" s="271"/>
      <c r="F305" s="272"/>
      <c r="G305" s="270"/>
      <c r="H305" s="271"/>
      <c r="I305" s="272"/>
      <c r="J305" s="80"/>
      <c r="K305" s="273"/>
      <c r="L305" s="273"/>
      <c r="M305" s="273"/>
      <c r="N305" s="273"/>
      <c r="O305" s="273"/>
      <c r="P305" s="273"/>
      <c r="Q305" s="274"/>
      <c r="R305" s="80"/>
      <c r="S305" s="80"/>
      <c r="T305" s="241"/>
      <c r="U305" s="80"/>
      <c r="V305" s="80"/>
      <c r="W305" s="80"/>
      <c r="X305" s="80"/>
      <c r="Y305" s="80"/>
      <c r="Z305" s="80"/>
      <c r="AA305" s="80"/>
    </row>
    <row r="306" spans="1:27" ht="15.75" customHeight="1">
      <c r="A306" s="80"/>
      <c r="B306" s="270"/>
      <c r="C306" s="271"/>
      <c r="D306" s="80"/>
      <c r="E306" s="271"/>
      <c r="F306" s="272"/>
      <c r="G306" s="270"/>
      <c r="H306" s="271"/>
      <c r="I306" s="272"/>
      <c r="J306" s="80"/>
      <c r="K306" s="273"/>
      <c r="L306" s="273"/>
      <c r="M306" s="273"/>
      <c r="N306" s="273"/>
      <c r="O306" s="273"/>
      <c r="P306" s="273"/>
      <c r="Q306" s="274"/>
      <c r="R306" s="80"/>
      <c r="S306" s="80"/>
      <c r="T306" s="241"/>
      <c r="U306" s="80"/>
      <c r="V306" s="80"/>
      <c r="W306" s="80"/>
      <c r="X306" s="80"/>
      <c r="Y306" s="80"/>
      <c r="Z306" s="80"/>
      <c r="AA306" s="80"/>
    </row>
    <row r="307" spans="1:27" ht="15.75" customHeight="1">
      <c r="A307" s="80"/>
      <c r="B307" s="270"/>
      <c r="C307" s="271"/>
      <c r="D307" s="80"/>
      <c r="E307" s="271"/>
      <c r="F307" s="272"/>
      <c r="G307" s="270"/>
      <c r="H307" s="271"/>
      <c r="I307" s="272"/>
      <c r="J307" s="80"/>
      <c r="K307" s="273"/>
      <c r="L307" s="273"/>
      <c r="M307" s="273"/>
      <c r="N307" s="273"/>
      <c r="O307" s="273"/>
      <c r="P307" s="273"/>
      <c r="Q307" s="274"/>
      <c r="R307" s="80"/>
      <c r="S307" s="80"/>
      <c r="T307" s="241"/>
      <c r="U307" s="80"/>
      <c r="V307" s="80"/>
      <c r="W307" s="80"/>
      <c r="X307" s="80"/>
      <c r="Y307" s="80"/>
      <c r="Z307" s="80"/>
      <c r="AA307" s="80"/>
    </row>
    <row r="308" spans="1:27" ht="15.75" customHeight="1">
      <c r="A308" s="80"/>
      <c r="B308" s="270"/>
      <c r="C308" s="271"/>
      <c r="D308" s="80"/>
      <c r="E308" s="271"/>
      <c r="F308" s="272"/>
      <c r="G308" s="270"/>
      <c r="H308" s="271"/>
      <c r="I308" s="272"/>
      <c r="J308" s="80"/>
      <c r="K308" s="273"/>
      <c r="L308" s="273"/>
      <c r="M308" s="273"/>
      <c r="N308" s="273"/>
      <c r="O308" s="273"/>
      <c r="P308" s="273"/>
      <c r="Q308" s="274"/>
      <c r="R308" s="80"/>
      <c r="S308" s="80"/>
      <c r="T308" s="241"/>
      <c r="U308" s="80"/>
      <c r="V308" s="80"/>
      <c r="W308" s="80"/>
      <c r="X308" s="80"/>
      <c r="Y308" s="80"/>
      <c r="Z308" s="80"/>
      <c r="AA308" s="80"/>
    </row>
    <row r="309" spans="1:27" ht="15.75" customHeight="1">
      <c r="A309" s="80"/>
      <c r="B309" s="270"/>
      <c r="C309" s="271"/>
      <c r="D309" s="80"/>
      <c r="E309" s="271"/>
      <c r="F309" s="272"/>
      <c r="G309" s="270"/>
      <c r="H309" s="271"/>
      <c r="I309" s="272"/>
      <c r="J309" s="80"/>
      <c r="K309" s="273"/>
      <c r="L309" s="273"/>
      <c r="M309" s="273"/>
      <c r="N309" s="273"/>
      <c r="O309" s="273"/>
      <c r="P309" s="273"/>
      <c r="Q309" s="274"/>
      <c r="R309" s="80"/>
      <c r="S309" s="80"/>
      <c r="T309" s="241"/>
      <c r="U309" s="80"/>
      <c r="V309" s="80"/>
      <c r="W309" s="80"/>
      <c r="X309" s="80"/>
      <c r="Y309" s="80"/>
      <c r="Z309" s="80"/>
      <c r="AA309" s="80"/>
    </row>
    <row r="310" spans="1:27" ht="15.75" customHeight="1">
      <c r="A310" s="80"/>
      <c r="B310" s="270"/>
      <c r="C310" s="271"/>
      <c r="D310" s="80"/>
      <c r="E310" s="271"/>
      <c r="F310" s="272"/>
      <c r="G310" s="270"/>
      <c r="H310" s="271"/>
      <c r="I310" s="272"/>
      <c r="J310" s="80"/>
      <c r="K310" s="273"/>
      <c r="L310" s="273"/>
      <c r="M310" s="273"/>
      <c r="N310" s="273"/>
      <c r="O310" s="273"/>
      <c r="P310" s="273"/>
      <c r="Q310" s="274"/>
      <c r="R310" s="80"/>
      <c r="S310" s="80"/>
      <c r="T310" s="241"/>
      <c r="U310" s="80"/>
      <c r="V310" s="80"/>
      <c r="W310" s="80"/>
      <c r="X310" s="80"/>
      <c r="Y310" s="80"/>
      <c r="Z310" s="80"/>
      <c r="AA310" s="80"/>
    </row>
    <row r="311" spans="1:27" ht="15.75" customHeight="1">
      <c r="A311" s="80"/>
      <c r="B311" s="270"/>
      <c r="C311" s="271"/>
      <c r="D311" s="80"/>
      <c r="E311" s="271"/>
      <c r="F311" s="272"/>
      <c r="G311" s="270"/>
      <c r="H311" s="271"/>
      <c r="I311" s="272"/>
      <c r="J311" s="80"/>
      <c r="K311" s="273"/>
      <c r="L311" s="273"/>
      <c r="M311" s="273"/>
      <c r="N311" s="273"/>
      <c r="O311" s="273"/>
      <c r="P311" s="273"/>
      <c r="Q311" s="274"/>
      <c r="R311" s="80"/>
      <c r="S311" s="80"/>
      <c r="T311" s="241"/>
      <c r="U311" s="80"/>
      <c r="V311" s="80"/>
      <c r="W311" s="80"/>
      <c r="X311" s="80"/>
      <c r="Y311" s="80"/>
      <c r="Z311" s="80"/>
      <c r="AA311" s="80"/>
    </row>
    <row r="312" spans="1:27" ht="15.75" customHeight="1">
      <c r="A312" s="80"/>
      <c r="B312" s="270"/>
      <c r="C312" s="271"/>
      <c r="D312" s="80"/>
      <c r="E312" s="271"/>
      <c r="F312" s="272"/>
      <c r="G312" s="270"/>
      <c r="H312" s="271"/>
      <c r="I312" s="272"/>
      <c r="J312" s="80"/>
      <c r="K312" s="273"/>
      <c r="L312" s="273"/>
      <c r="M312" s="273"/>
      <c r="N312" s="273"/>
      <c r="O312" s="273"/>
      <c r="P312" s="273"/>
      <c r="Q312" s="274"/>
      <c r="R312" s="80"/>
      <c r="S312" s="80"/>
      <c r="T312" s="241"/>
      <c r="U312" s="80"/>
      <c r="V312" s="80"/>
      <c r="W312" s="80"/>
      <c r="X312" s="80"/>
      <c r="Y312" s="80"/>
      <c r="Z312" s="80"/>
      <c r="AA312" s="80"/>
    </row>
    <row r="313" spans="1:27" ht="15.75" customHeight="1">
      <c r="A313" s="80"/>
      <c r="B313" s="270"/>
      <c r="C313" s="271"/>
      <c r="D313" s="80"/>
      <c r="E313" s="271"/>
      <c r="F313" s="272"/>
      <c r="G313" s="270"/>
      <c r="H313" s="271"/>
      <c r="I313" s="272"/>
      <c r="J313" s="80"/>
      <c r="K313" s="273"/>
      <c r="L313" s="273"/>
      <c r="M313" s="273"/>
      <c r="N313" s="273"/>
      <c r="O313" s="273"/>
      <c r="P313" s="273"/>
      <c r="Q313" s="274"/>
      <c r="R313" s="80"/>
      <c r="S313" s="80"/>
      <c r="T313" s="241"/>
      <c r="U313" s="80"/>
      <c r="V313" s="80"/>
      <c r="W313" s="80"/>
      <c r="X313" s="80"/>
      <c r="Y313" s="80"/>
      <c r="Z313" s="80"/>
      <c r="AA313" s="80"/>
    </row>
    <row r="314" spans="1:27" ht="15.75" customHeight="1">
      <c r="A314" s="80"/>
      <c r="B314" s="270"/>
      <c r="C314" s="271"/>
      <c r="D314" s="80"/>
      <c r="E314" s="271"/>
      <c r="F314" s="272"/>
      <c r="G314" s="270"/>
      <c r="H314" s="271"/>
      <c r="I314" s="272"/>
      <c r="J314" s="80"/>
      <c r="K314" s="273"/>
      <c r="L314" s="273"/>
      <c r="M314" s="273"/>
      <c r="N314" s="273"/>
      <c r="O314" s="273"/>
      <c r="P314" s="273"/>
      <c r="Q314" s="274"/>
      <c r="R314" s="80"/>
      <c r="S314" s="80"/>
      <c r="T314" s="241"/>
      <c r="U314" s="80"/>
      <c r="V314" s="80"/>
      <c r="W314" s="80"/>
      <c r="X314" s="80"/>
      <c r="Y314" s="80"/>
      <c r="Z314" s="80"/>
      <c r="AA314" s="80"/>
    </row>
    <row r="315" spans="1:27" ht="15.75" customHeight="1">
      <c r="A315" s="80"/>
      <c r="B315" s="270"/>
      <c r="C315" s="271"/>
      <c r="D315" s="80"/>
      <c r="E315" s="271"/>
      <c r="F315" s="272"/>
      <c r="G315" s="270"/>
      <c r="H315" s="271"/>
      <c r="I315" s="272"/>
      <c r="J315" s="80"/>
      <c r="K315" s="273"/>
      <c r="L315" s="273"/>
      <c r="M315" s="273"/>
      <c r="N315" s="273"/>
      <c r="O315" s="273"/>
      <c r="P315" s="273"/>
      <c r="Q315" s="274"/>
      <c r="R315" s="80"/>
      <c r="S315" s="80"/>
      <c r="T315" s="241"/>
      <c r="U315" s="80"/>
      <c r="V315" s="80"/>
      <c r="W315" s="80"/>
      <c r="X315" s="80"/>
      <c r="Y315" s="80"/>
      <c r="Z315" s="80"/>
      <c r="AA315" s="80"/>
    </row>
    <row r="316" spans="1:27" ht="15.75" customHeight="1">
      <c r="A316" s="80"/>
      <c r="B316" s="270"/>
      <c r="C316" s="271"/>
      <c r="D316" s="80"/>
      <c r="E316" s="271"/>
      <c r="F316" s="272"/>
      <c r="G316" s="270"/>
      <c r="H316" s="271"/>
      <c r="I316" s="272"/>
      <c r="J316" s="80"/>
      <c r="K316" s="273"/>
      <c r="L316" s="273"/>
      <c r="M316" s="273"/>
      <c r="N316" s="273"/>
      <c r="O316" s="273"/>
      <c r="P316" s="273"/>
      <c r="Q316" s="274"/>
      <c r="R316" s="80"/>
      <c r="S316" s="80"/>
      <c r="T316" s="241"/>
      <c r="U316" s="80"/>
      <c r="V316" s="80"/>
      <c r="W316" s="80"/>
      <c r="X316" s="80"/>
      <c r="Y316" s="80"/>
      <c r="Z316" s="80"/>
      <c r="AA316" s="80"/>
    </row>
    <row r="317" spans="1:27" ht="15.75" customHeight="1">
      <c r="A317" s="80"/>
      <c r="B317" s="270"/>
      <c r="C317" s="271"/>
      <c r="D317" s="80"/>
      <c r="E317" s="271"/>
      <c r="F317" s="272"/>
      <c r="G317" s="270"/>
      <c r="H317" s="271"/>
      <c r="I317" s="272"/>
      <c r="J317" s="80"/>
      <c r="K317" s="273"/>
      <c r="L317" s="273"/>
      <c r="M317" s="273"/>
      <c r="N317" s="273"/>
      <c r="O317" s="273"/>
      <c r="P317" s="273"/>
      <c r="Q317" s="274"/>
      <c r="R317" s="80"/>
      <c r="S317" s="80"/>
      <c r="T317" s="241"/>
      <c r="U317" s="80"/>
      <c r="V317" s="80"/>
      <c r="W317" s="80"/>
      <c r="X317" s="80"/>
      <c r="Y317" s="80"/>
      <c r="Z317" s="80"/>
      <c r="AA317" s="80"/>
    </row>
    <row r="318" spans="1:27" ht="15.75" customHeight="1">
      <c r="A318" s="80"/>
      <c r="B318" s="270"/>
      <c r="C318" s="271"/>
      <c r="D318" s="80"/>
      <c r="E318" s="271"/>
      <c r="F318" s="272"/>
      <c r="G318" s="270"/>
      <c r="H318" s="271"/>
      <c r="I318" s="272"/>
      <c r="J318" s="80"/>
      <c r="K318" s="273"/>
      <c r="L318" s="273"/>
      <c r="M318" s="273"/>
      <c r="N318" s="273"/>
      <c r="O318" s="273"/>
      <c r="P318" s="273"/>
      <c r="Q318" s="274"/>
      <c r="R318" s="80"/>
      <c r="S318" s="80"/>
      <c r="T318" s="241"/>
      <c r="U318" s="80"/>
      <c r="V318" s="80"/>
      <c r="W318" s="80"/>
      <c r="X318" s="80"/>
      <c r="Y318" s="80"/>
      <c r="Z318" s="80"/>
      <c r="AA318" s="80"/>
    </row>
    <row r="319" spans="1:27" ht="15.75" customHeight="1">
      <c r="A319" s="80"/>
      <c r="B319" s="270"/>
      <c r="C319" s="271"/>
      <c r="D319" s="80"/>
      <c r="E319" s="271"/>
      <c r="F319" s="272"/>
      <c r="G319" s="270"/>
      <c r="H319" s="271"/>
      <c r="I319" s="272"/>
      <c r="J319" s="80"/>
      <c r="K319" s="273"/>
      <c r="L319" s="273"/>
      <c r="M319" s="273"/>
      <c r="N319" s="273"/>
      <c r="O319" s="273"/>
      <c r="P319" s="273"/>
      <c r="Q319" s="274"/>
      <c r="R319" s="80"/>
      <c r="S319" s="80"/>
      <c r="T319" s="241"/>
      <c r="U319" s="80"/>
      <c r="V319" s="80"/>
      <c r="W319" s="80"/>
      <c r="X319" s="80"/>
      <c r="Y319" s="80"/>
      <c r="Z319" s="80"/>
      <c r="AA319" s="80"/>
    </row>
    <row r="320" spans="1:27" ht="15.75" customHeight="1">
      <c r="A320" s="80"/>
      <c r="B320" s="270"/>
      <c r="C320" s="271"/>
      <c r="D320" s="80"/>
      <c r="E320" s="271"/>
      <c r="F320" s="272"/>
      <c r="G320" s="270"/>
      <c r="H320" s="271"/>
      <c r="I320" s="272"/>
      <c r="J320" s="80"/>
      <c r="K320" s="273"/>
      <c r="L320" s="273"/>
      <c r="M320" s="273"/>
      <c r="N320" s="273"/>
      <c r="O320" s="273"/>
      <c r="P320" s="273"/>
      <c r="Q320" s="274"/>
      <c r="R320" s="80"/>
      <c r="S320" s="80"/>
      <c r="T320" s="241"/>
      <c r="U320" s="80"/>
      <c r="V320" s="80"/>
      <c r="W320" s="80"/>
      <c r="X320" s="80"/>
      <c r="Y320" s="80"/>
      <c r="Z320" s="80"/>
      <c r="AA320" s="80"/>
    </row>
    <row r="321" spans="1:27" ht="15.75" customHeight="1">
      <c r="A321" s="80"/>
      <c r="B321" s="270"/>
      <c r="C321" s="271"/>
      <c r="D321" s="80"/>
      <c r="E321" s="271"/>
      <c r="F321" s="272"/>
      <c r="G321" s="270"/>
      <c r="H321" s="271"/>
      <c r="I321" s="272"/>
      <c r="J321" s="80"/>
      <c r="K321" s="273"/>
      <c r="L321" s="273"/>
      <c r="M321" s="273"/>
      <c r="N321" s="273"/>
      <c r="O321" s="273"/>
      <c r="P321" s="273"/>
      <c r="Q321" s="274"/>
      <c r="R321" s="80"/>
      <c r="S321" s="80"/>
      <c r="T321" s="241"/>
      <c r="U321" s="80"/>
      <c r="V321" s="80"/>
      <c r="W321" s="80"/>
      <c r="X321" s="80"/>
      <c r="Y321" s="80"/>
      <c r="Z321" s="80"/>
      <c r="AA321" s="80"/>
    </row>
    <row r="322" spans="1:27" ht="15.75" customHeight="1">
      <c r="A322" s="80"/>
      <c r="B322" s="270"/>
      <c r="C322" s="271"/>
      <c r="D322" s="80"/>
      <c r="E322" s="271"/>
      <c r="F322" s="272"/>
      <c r="G322" s="270"/>
      <c r="H322" s="271"/>
      <c r="I322" s="272"/>
      <c r="J322" s="80"/>
      <c r="K322" s="273"/>
      <c r="L322" s="273"/>
      <c r="M322" s="273"/>
      <c r="N322" s="273"/>
      <c r="O322" s="273"/>
      <c r="P322" s="273"/>
      <c r="Q322" s="274"/>
      <c r="R322" s="80"/>
      <c r="S322" s="80"/>
      <c r="T322" s="241"/>
      <c r="U322" s="80"/>
      <c r="V322" s="80"/>
      <c r="W322" s="80"/>
      <c r="X322" s="80"/>
      <c r="Y322" s="80"/>
      <c r="Z322" s="80"/>
      <c r="AA322" s="80"/>
    </row>
    <row r="323" spans="1:27" ht="15.75" customHeight="1">
      <c r="A323" s="80"/>
      <c r="B323" s="270"/>
      <c r="C323" s="271"/>
      <c r="D323" s="80"/>
      <c r="E323" s="271"/>
      <c r="F323" s="272"/>
      <c r="G323" s="270"/>
      <c r="H323" s="271"/>
      <c r="I323" s="272"/>
      <c r="J323" s="80"/>
      <c r="K323" s="273"/>
      <c r="L323" s="273"/>
      <c r="M323" s="273"/>
      <c r="N323" s="273"/>
      <c r="O323" s="273"/>
      <c r="P323" s="273"/>
      <c r="Q323" s="274"/>
      <c r="R323" s="80"/>
      <c r="S323" s="80"/>
      <c r="T323" s="241"/>
      <c r="U323" s="80"/>
      <c r="V323" s="80"/>
      <c r="W323" s="80"/>
      <c r="X323" s="80"/>
      <c r="Y323" s="80"/>
      <c r="Z323" s="80"/>
      <c r="AA323" s="80"/>
    </row>
    <row r="324" spans="1:27" ht="15.75" customHeight="1">
      <c r="A324" s="80"/>
      <c r="B324" s="270"/>
      <c r="C324" s="271"/>
      <c r="D324" s="80"/>
      <c r="E324" s="271"/>
      <c r="F324" s="272"/>
      <c r="G324" s="270"/>
      <c r="H324" s="271"/>
      <c r="I324" s="272"/>
      <c r="J324" s="80"/>
      <c r="K324" s="273"/>
      <c r="L324" s="273"/>
      <c r="M324" s="273"/>
      <c r="N324" s="273"/>
      <c r="O324" s="273"/>
      <c r="P324" s="273"/>
      <c r="Q324" s="274"/>
      <c r="R324" s="80"/>
      <c r="S324" s="80"/>
      <c r="T324" s="241"/>
      <c r="U324" s="80"/>
      <c r="V324" s="80"/>
      <c r="W324" s="80"/>
      <c r="X324" s="80"/>
      <c r="Y324" s="80"/>
      <c r="Z324" s="80"/>
      <c r="AA324" s="80"/>
    </row>
    <row r="325" spans="1:27" ht="15.75" customHeight="1">
      <c r="A325" s="80"/>
      <c r="B325" s="270"/>
      <c r="C325" s="271"/>
      <c r="D325" s="80"/>
      <c r="E325" s="271"/>
      <c r="F325" s="272"/>
      <c r="G325" s="270"/>
      <c r="H325" s="271"/>
      <c r="I325" s="272"/>
      <c r="J325" s="80"/>
      <c r="K325" s="273"/>
      <c r="L325" s="273"/>
      <c r="M325" s="273"/>
      <c r="N325" s="273"/>
      <c r="O325" s="273"/>
      <c r="P325" s="273"/>
      <c r="Q325" s="274"/>
      <c r="R325" s="80"/>
      <c r="S325" s="80"/>
      <c r="T325" s="241"/>
      <c r="U325" s="80"/>
      <c r="V325" s="80"/>
      <c r="W325" s="80"/>
      <c r="X325" s="80"/>
      <c r="Y325" s="80"/>
      <c r="Z325" s="80"/>
      <c r="AA325" s="80"/>
    </row>
    <row r="326" spans="1:27" ht="15.75" customHeight="1">
      <c r="A326" s="80"/>
      <c r="B326" s="270"/>
      <c r="C326" s="271"/>
      <c r="D326" s="80"/>
      <c r="E326" s="271"/>
      <c r="F326" s="272"/>
      <c r="G326" s="270"/>
      <c r="H326" s="271"/>
      <c r="I326" s="272"/>
      <c r="J326" s="80"/>
      <c r="K326" s="273"/>
      <c r="L326" s="273"/>
      <c r="M326" s="273"/>
      <c r="N326" s="273"/>
      <c r="O326" s="273"/>
      <c r="P326" s="273"/>
      <c r="Q326" s="274"/>
      <c r="R326" s="80"/>
      <c r="S326" s="80"/>
      <c r="T326" s="241"/>
      <c r="U326" s="80"/>
      <c r="V326" s="80"/>
      <c r="W326" s="80"/>
      <c r="X326" s="80"/>
      <c r="Y326" s="80"/>
      <c r="Z326" s="80"/>
      <c r="AA326" s="80"/>
    </row>
    <row r="327" spans="1:27" ht="15.75" customHeight="1">
      <c r="A327" s="80"/>
      <c r="B327" s="270"/>
      <c r="C327" s="271"/>
      <c r="D327" s="80"/>
      <c r="E327" s="271"/>
      <c r="F327" s="272"/>
      <c r="G327" s="270"/>
      <c r="H327" s="271"/>
      <c r="I327" s="272"/>
      <c r="J327" s="80"/>
      <c r="K327" s="273"/>
      <c r="L327" s="273"/>
      <c r="M327" s="273"/>
      <c r="N327" s="273"/>
      <c r="O327" s="273"/>
      <c r="P327" s="273"/>
      <c r="Q327" s="274"/>
      <c r="R327" s="80"/>
      <c r="S327" s="80"/>
      <c r="T327" s="241"/>
      <c r="U327" s="80"/>
      <c r="V327" s="80"/>
      <c r="W327" s="80"/>
      <c r="X327" s="80"/>
      <c r="Y327" s="80"/>
      <c r="Z327" s="80"/>
      <c r="AA327" s="80"/>
    </row>
    <row r="328" spans="1:27" ht="15.75" customHeight="1">
      <c r="A328" s="80"/>
      <c r="B328" s="270"/>
      <c r="C328" s="271"/>
      <c r="D328" s="80"/>
      <c r="E328" s="271"/>
      <c r="F328" s="272"/>
      <c r="G328" s="270"/>
      <c r="H328" s="271"/>
      <c r="I328" s="272"/>
      <c r="J328" s="80"/>
      <c r="K328" s="273"/>
      <c r="L328" s="273"/>
      <c r="M328" s="273"/>
      <c r="N328" s="273"/>
      <c r="O328" s="273"/>
      <c r="P328" s="273"/>
      <c r="Q328" s="274"/>
      <c r="R328" s="80"/>
      <c r="S328" s="80"/>
      <c r="T328" s="241"/>
      <c r="U328" s="80"/>
      <c r="V328" s="80"/>
      <c r="W328" s="80"/>
      <c r="X328" s="80"/>
      <c r="Y328" s="80"/>
      <c r="Z328" s="80"/>
      <c r="AA328" s="80"/>
    </row>
    <row r="329" spans="1:27" ht="15.75" customHeight="1">
      <c r="A329" s="80"/>
      <c r="B329" s="270"/>
      <c r="C329" s="271"/>
      <c r="D329" s="80"/>
      <c r="E329" s="271"/>
      <c r="F329" s="272"/>
      <c r="G329" s="270"/>
      <c r="H329" s="271"/>
      <c r="I329" s="272"/>
      <c r="J329" s="80"/>
      <c r="K329" s="273"/>
      <c r="L329" s="273"/>
      <c r="M329" s="273"/>
      <c r="N329" s="273"/>
      <c r="O329" s="273"/>
      <c r="P329" s="273"/>
      <c r="Q329" s="274"/>
      <c r="R329" s="80"/>
      <c r="S329" s="80"/>
      <c r="T329" s="241"/>
      <c r="U329" s="80"/>
      <c r="V329" s="80"/>
      <c r="W329" s="80"/>
      <c r="X329" s="80"/>
      <c r="Y329" s="80"/>
      <c r="Z329" s="80"/>
      <c r="AA329" s="80"/>
    </row>
    <row r="330" spans="1:27" ht="15.75" customHeight="1">
      <c r="A330" s="80"/>
      <c r="B330" s="270"/>
      <c r="C330" s="271"/>
      <c r="D330" s="80"/>
      <c r="E330" s="271"/>
      <c r="F330" s="272"/>
      <c r="G330" s="270"/>
      <c r="H330" s="271"/>
      <c r="I330" s="272"/>
      <c r="J330" s="80"/>
      <c r="K330" s="273"/>
      <c r="L330" s="273"/>
      <c r="M330" s="273"/>
      <c r="N330" s="273"/>
      <c r="O330" s="273"/>
      <c r="P330" s="273"/>
      <c r="Q330" s="274"/>
      <c r="R330" s="80"/>
      <c r="S330" s="80"/>
      <c r="T330" s="241"/>
      <c r="U330" s="80"/>
      <c r="V330" s="80"/>
      <c r="W330" s="80"/>
      <c r="X330" s="80"/>
      <c r="Y330" s="80"/>
      <c r="Z330" s="80"/>
      <c r="AA330" s="80"/>
    </row>
    <row r="331" spans="1:27" ht="15.75" customHeight="1">
      <c r="A331" s="80"/>
      <c r="B331" s="270"/>
      <c r="C331" s="271"/>
      <c r="D331" s="80"/>
      <c r="E331" s="271"/>
      <c r="F331" s="272"/>
      <c r="G331" s="270"/>
      <c r="H331" s="271"/>
      <c r="I331" s="272"/>
      <c r="J331" s="80"/>
      <c r="K331" s="273"/>
      <c r="L331" s="273"/>
      <c r="M331" s="273"/>
      <c r="N331" s="273"/>
      <c r="O331" s="273"/>
      <c r="P331" s="273"/>
      <c r="Q331" s="274"/>
      <c r="R331" s="80"/>
      <c r="S331" s="80"/>
      <c r="T331" s="241"/>
      <c r="U331" s="80"/>
      <c r="V331" s="80"/>
      <c r="W331" s="80"/>
      <c r="X331" s="80"/>
      <c r="Y331" s="80"/>
      <c r="Z331" s="80"/>
      <c r="AA331" s="80"/>
    </row>
    <row r="332" spans="1:27" ht="15.75" customHeight="1">
      <c r="A332" s="80"/>
      <c r="B332" s="270"/>
      <c r="C332" s="271"/>
      <c r="D332" s="80"/>
      <c r="E332" s="271"/>
      <c r="F332" s="272"/>
      <c r="G332" s="270"/>
      <c r="H332" s="271"/>
      <c r="I332" s="272"/>
      <c r="J332" s="80"/>
      <c r="K332" s="273"/>
      <c r="L332" s="273"/>
      <c r="M332" s="273"/>
      <c r="N332" s="273"/>
      <c r="O332" s="273"/>
      <c r="P332" s="273"/>
      <c r="Q332" s="274"/>
      <c r="R332" s="80"/>
      <c r="S332" s="80"/>
      <c r="T332" s="241"/>
      <c r="U332" s="80"/>
      <c r="V332" s="80"/>
      <c r="W332" s="80"/>
      <c r="X332" s="80"/>
      <c r="Y332" s="80"/>
      <c r="Z332" s="80"/>
      <c r="AA332" s="80"/>
    </row>
    <row r="333" spans="1:27" ht="15.75" customHeight="1">
      <c r="A333" s="80"/>
      <c r="B333" s="270"/>
      <c r="C333" s="271"/>
      <c r="D333" s="80"/>
      <c r="E333" s="271"/>
      <c r="F333" s="272"/>
      <c r="G333" s="270"/>
      <c r="H333" s="271"/>
      <c r="I333" s="272"/>
      <c r="J333" s="80"/>
      <c r="K333" s="273"/>
      <c r="L333" s="273"/>
      <c r="M333" s="273"/>
      <c r="N333" s="273"/>
      <c r="O333" s="273"/>
      <c r="P333" s="273"/>
      <c r="Q333" s="274"/>
      <c r="R333" s="80"/>
      <c r="S333" s="80"/>
      <c r="T333" s="241"/>
      <c r="U333" s="80"/>
      <c r="V333" s="80"/>
      <c r="W333" s="80"/>
      <c r="X333" s="80"/>
      <c r="Y333" s="80"/>
      <c r="Z333" s="80"/>
      <c r="AA333" s="80"/>
    </row>
    <row r="334" spans="1:27" ht="15.75" customHeight="1">
      <c r="A334" s="80"/>
      <c r="B334" s="270"/>
      <c r="C334" s="271"/>
      <c r="D334" s="80"/>
      <c r="E334" s="271"/>
      <c r="F334" s="272"/>
      <c r="G334" s="270"/>
      <c r="H334" s="271"/>
      <c r="I334" s="272"/>
      <c r="J334" s="80"/>
      <c r="K334" s="273"/>
      <c r="L334" s="273"/>
      <c r="M334" s="273"/>
      <c r="N334" s="273"/>
      <c r="O334" s="273"/>
      <c r="P334" s="273"/>
      <c r="Q334" s="274"/>
      <c r="R334" s="80"/>
      <c r="S334" s="80"/>
      <c r="T334" s="241"/>
      <c r="U334" s="80"/>
      <c r="V334" s="80"/>
      <c r="W334" s="80"/>
      <c r="X334" s="80"/>
      <c r="Y334" s="80"/>
      <c r="Z334" s="80"/>
      <c r="AA334" s="80"/>
    </row>
    <row r="335" spans="1:27" ht="15.75" customHeight="1">
      <c r="A335" s="80"/>
      <c r="B335" s="270"/>
      <c r="C335" s="271"/>
      <c r="D335" s="80"/>
      <c r="E335" s="271"/>
      <c r="F335" s="272"/>
      <c r="G335" s="270"/>
      <c r="H335" s="271"/>
      <c r="I335" s="272"/>
      <c r="J335" s="80"/>
      <c r="K335" s="273"/>
      <c r="L335" s="273"/>
      <c r="M335" s="273"/>
      <c r="N335" s="273"/>
      <c r="O335" s="273"/>
      <c r="P335" s="273"/>
      <c r="Q335" s="274"/>
      <c r="R335" s="80"/>
      <c r="S335" s="80"/>
      <c r="T335" s="241"/>
      <c r="U335" s="80"/>
      <c r="V335" s="80"/>
      <c r="W335" s="80"/>
      <c r="X335" s="80"/>
      <c r="Y335" s="80"/>
      <c r="Z335" s="80"/>
      <c r="AA335" s="80"/>
    </row>
    <row r="336" spans="1:27" ht="15.75" customHeight="1">
      <c r="A336" s="80"/>
      <c r="B336" s="270"/>
      <c r="C336" s="271"/>
      <c r="D336" s="80"/>
      <c r="E336" s="271"/>
      <c r="F336" s="272"/>
      <c r="G336" s="270"/>
      <c r="H336" s="271"/>
      <c r="I336" s="272"/>
      <c r="J336" s="80"/>
      <c r="K336" s="273"/>
      <c r="L336" s="273"/>
      <c r="M336" s="273"/>
      <c r="N336" s="273"/>
      <c r="O336" s="273"/>
      <c r="P336" s="273"/>
      <c r="Q336" s="274"/>
      <c r="R336" s="80"/>
      <c r="S336" s="80"/>
      <c r="T336" s="241"/>
      <c r="U336" s="80"/>
      <c r="V336" s="80"/>
      <c r="W336" s="80"/>
      <c r="X336" s="80"/>
      <c r="Y336" s="80"/>
      <c r="Z336" s="80"/>
      <c r="AA336" s="80"/>
    </row>
    <row r="337" spans="1:27" ht="15.75" customHeight="1">
      <c r="A337" s="80"/>
      <c r="B337" s="270"/>
      <c r="C337" s="271"/>
      <c r="D337" s="80"/>
      <c r="E337" s="271"/>
      <c r="F337" s="272"/>
      <c r="G337" s="270"/>
      <c r="H337" s="271"/>
      <c r="I337" s="272"/>
      <c r="J337" s="80"/>
      <c r="K337" s="273"/>
      <c r="L337" s="273"/>
      <c r="M337" s="273"/>
      <c r="N337" s="273"/>
      <c r="O337" s="273"/>
      <c r="P337" s="273"/>
      <c r="Q337" s="274"/>
      <c r="R337" s="80"/>
      <c r="S337" s="80"/>
      <c r="T337" s="241"/>
      <c r="U337" s="80"/>
      <c r="V337" s="80"/>
      <c r="W337" s="80"/>
      <c r="X337" s="80"/>
      <c r="Y337" s="80"/>
      <c r="Z337" s="80"/>
      <c r="AA337" s="80"/>
    </row>
    <row r="338" spans="1:27" ht="15.75" customHeight="1">
      <c r="A338" s="80"/>
      <c r="B338" s="270"/>
      <c r="C338" s="271"/>
      <c r="D338" s="80"/>
      <c r="E338" s="271"/>
      <c r="F338" s="272"/>
      <c r="G338" s="270"/>
      <c r="H338" s="271"/>
      <c r="I338" s="272"/>
      <c r="J338" s="80"/>
      <c r="K338" s="273"/>
      <c r="L338" s="273"/>
      <c r="M338" s="273"/>
      <c r="N338" s="273"/>
      <c r="O338" s="273"/>
      <c r="P338" s="273"/>
      <c r="Q338" s="274"/>
      <c r="R338" s="80"/>
      <c r="S338" s="80"/>
      <c r="T338" s="241"/>
      <c r="U338" s="80"/>
      <c r="V338" s="80"/>
      <c r="W338" s="80"/>
      <c r="X338" s="80"/>
      <c r="Y338" s="80"/>
      <c r="Z338" s="80"/>
      <c r="AA338" s="80"/>
    </row>
    <row r="339" spans="1:27" ht="15.75" customHeight="1">
      <c r="A339" s="80"/>
      <c r="B339" s="270"/>
      <c r="C339" s="271"/>
      <c r="D339" s="80"/>
      <c r="E339" s="271"/>
      <c r="F339" s="272"/>
      <c r="G339" s="270"/>
      <c r="H339" s="271"/>
      <c r="I339" s="272"/>
      <c r="J339" s="80"/>
      <c r="K339" s="273"/>
      <c r="L339" s="273"/>
      <c r="M339" s="273"/>
      <c r="N339" s="273"/>
      <c r="O339" s="273"/>
      <c r="P339" s="273"/>
      <c r="Q339" s="274"/>
      <c r="R339" s="80"/>
      <c r="S339" s="80"/>
      <c r="T339" s="241"/>
      <c r="U339" s="80"/>
      <c r="V339" s="80"/>
      <c r="W339" s="80"/>
      <c r="X339" s="80"/>
      <c r="Y339" s="80"/>
      <c r="Z339" s="80"/>
      <c r="AA339" s="80"/>
    </row>
    <row r="340" spans="1:27" ht="15.75" customHeight="1">
      <c r="A340" s="80"/>
      <c r="B340" s="270"/>
      <c r="C340" s="271"/>
      <c r="D340" s="80"/>
      <c r="E340" s="271"/>
      <c r="F340" s="272"/>
      <c r="G340" s="270"/>
      <c r="H340" s="271"/>
      <c r="I340" s="272"/>
      <c r="J340" s="80"/>
      <c r="K340" s="273"/>
      <c r="L340" s="273"/>
      <c r="M340" s="273"/>
      <c r="N340" s="273"/>
      <c r="O340" s="273"/>
      <c r="P340" s="273"/>
      <c r="Q340" s="274"/>
      <c r="R340" s="80"/>
      <c r="S340" s="80"/>
      <c r="T340" s="241"/>
      <c r="U340" s="80"/>
      <c r="V340" s="80"/>
      <c r="W340" s="80"/>
      <c r="X340" s="80"/>
      <c r="Y340" s="80"/>
      <c r="Z340" s="80"/>
      <c r="AA340" s="80"/>
    </row>
    <row r="341" spans="1:27" ht="15.75" customHeight="1">
      <c r="A341" s="80"/>
      <c r="B341" s="270"/>
      <c r="C341" s="271"/>
      <c r="D341" s="80"/>
      <c r="E341" s="271"/>
      <c r="F341" s="272"/>
      <c r="G341" s="270"/>
      <c r="H341" s="271"/>
      <c r="I341" s="272"/>
      <c r="J341" s="80"/>
      <c r="K341" s="273"/>
      <c r="L341" s="273"/>
      <c r="M341" s="273"/>
      <c r="N341" s="273"/>
      <c r="O341" s="273"/>
      <c r="P341" s="273"/>
      <c r="Q341" s="274"/>
      <c r="R341" s="80"/>
      <c r="S341" s="80"/>
      <c r="T341" s="241"/>
      <c r="U341" s="80"/>
      <c r="V341" s="80"/>
      <c r="W341" s="80"/>
      <c r="X341" s="80"/>
      <c r="Y341" s="80"/>
      <c r="Z341" s="80"/>
      <c r="AA341" s="80"/>
    </row>
    <row r="342" spans="1:27" ht="15.75" customHeight="1">
      <c r="A342" s="80"/>
      <c r="B342" s="270"/>
      <c r="C342" s="271"/>
      <c r="D342" s="80"/>
      <c r="E342" s="271"/>
      <c r="F342" s="272"/>
      <c r="G342" s="270"/>
      <c r="H342" s="271"/>
      <c r="I342" s="272"/>
      <c r="J342" s="80"/>
      <c r="K342" s="273"/>
      <c r="L342" s="273"/>
      <c r="M342" s="273"/>
      <c r="N342" s="273"/>
      <c r="O342" s="273"/>
      <c r="P342" s="273"/>
      <c r="Q342" s="274"/>
      <c r="R342" s="80"/>
      <c r="S342" s="80"/>
      <c r="T342" s="241"/>
      <c r="U342" s="80"/>
      <c r="V342" s="80"/>
      <c r="W342" s="80"/>
      <c r="X342" s="80"/>
      <c r="Y342" s="80"/>
      <c r="Z342" s="80"/>
      <c r="AA342" s="80"/>
    </row>
    <row r="343" spans="1:27" ht="15.75" customHeight="1">
      <c r="A343" s="80"/>
      <c r="B343" s="270"/>
      <c r="C343" s="271"/>
      <c r="D343" s="80"/>
      <c r="E343" s="271"/>
      <c r="F343" s="272"/>
      <c r="G343" s="270"/>
      <c r="H343" s="271"/>
      <c r="I343" s="272"/>
      <c r="J343" s="80"/>
      <c r="K343" s="273"/>
      <c r="L343" s="273"/>
      <c r="M343" s="273"/>
      <c r="N343" s="273"/>
      <c r="O343" s="273"/>
      <c r="P343" s="273"/>
      <c r="Q343" s="274"/>
      <c r="R343" s="80"/>
      <c r="S343" s="80"/>
      <c r="T343" s="241"/>
      <c r="U343" s="80"/>
      <c r="V343" s="80"/>
      <c r="W343" s="80"/>
      <c r="X343" s="80"/>
      <c r="Y343" s="80"/>
      <c r="Z343" s="80"/>
      <c r="AA343" s="80"/>
    </row>
    <row r="344" spans="1:27" ht="15.75" customHeight="1">
      <c r="A344" s="80"/>
      <c r="B344" s="270"/>
      <c r="C344" s="271"/>
      <c r="D344" s="80"/>
      <c r="E344" s="271"/>
      <c r="F344" s="272"/>
      <c r="G344" s="270"/>
      <c r="H344" s="271"/>
      <c r="I344" s="272"/>
      <c r="J344" s="80"/>
      <c r="K344" s="273"/>
      <c r="L344" s="273"/>
      <c r="M344" s="273"/>
      <c r="N344" s="273"/>
      <c r="O344" s="273"/>
      <c r="P344" s="273"/>
      <c r="Q344" s="274"/>
      <c r="R344" s="80"/>
      <c r="S344" s="80"/>
      <c r="T344" s="241"/>
      <c r="U344" s="80"/>
      <c r="V344" s="80"/>
      <c r="W344" s="80"/>
      <c r="X344" s="80"/>
      <c r="Y344" s="80"/>
      <c r="Z344" s="80"/>
      <c r="AA344" s="80"/>
    </row>
    <row r="345" spans="1:27" ht="15.75" customHeight="1">
      <c r="A345" s="80"/>
      <c r="B345" s="270"/>
      <c r="C345" s="271"/>
      <c r="D345" s="80"/>
      <c r="E345" s="271"/>
      <c r="F345" s="272"/>
      <c r="G345" s="270"/>
      <c r="H345" s="271"/>
      <c r="I345" s="272"/>
      <c r="J345" s="80"/>
      <c r="K345" s="273"/>
      <c r="L345" s="273"/>
      <c r="M345" s="273"/>
      <c r="N345" s="273"/>
      <c r="O345" s="273"/>
      <c r="P345" s="273"/>
      <c r="Q345" s="274"/>
      <c r="R345" s="80"/>
      <c r="S345" s="80"/>
      <c r="T345" s="241"/>
      <c r="U345" s="80"/>
      <c r="V345" s="80"/>
      <c r="W345" s="80"/>
      <c r="X345" s="80"/>
      <c r="Y345" s="80"/>
      <c r="Z345" s="80"/>
      <c r="AA345" s="80"/>
    </row>
    <row r="346" spans="1:27" ht="15.75" customHeight="1">
      <c r="A346" s="80"/>
      <c r="B346" s="270"/>
      <c r="C346" s="271"/>
      <c r="D346" s="80"/>
      <c r="E346" s="271"/>
      <c r="F346" s="272"/>
      <c r="G346" s="270"/>
      <c r="H346" s="271"/>
      <c r="I346" s="272"/>
      <c r="J346" s="80"/>
      <c r="K346" s="273"/>
      <c r="L346" s="273"/>
      <c r="M346" s="273"/>
      <c r="N346" s="273"/>
      <c r="O346" s="273"/>
      <c r="P346" s="273"/>
      <c r="Q346" s="274"/>
      <c r="R346" s="80"/>
      <c r="S346" s="80"/>
      <c r="T346" s="241"/>
      <c r="U346" s="80"/>
      <c r="V346" s="80"/>
      <c r="W346" s="80"/>
      <c r="X346" s="80"/>
      <c r="Y346" s="80"/>
      <c r="Z346" s="80"/>
      <c r="AA346" s="80"/>
    </row>
    <row r="347" spans="1:27" ht="15.75" customHeight="1">
      <c r="A347" s="80"/>
      <c r="B347" s="270"/>
      <c r="C347" s="271"/>
      <c r="D347" s="80"/>
      <c r="E347" s="271"/>
      <c r="F347" s="272"/>
      <c r="G347" s="270"/>
      <c r="H347" s="271"/>
      <c r="I347" s="272"/>
      <c r="J347" s="80"/>
      <c r="K347" s="273"/>
      <c r="L347" s="273"/>
      <c r="M347" s="273"/>
      <c r="N347" s="273"/>
      <c r="O347" s="273"/>
      <c r="P347" s="273"/>
      <c r="Q347" s="274"/>
      <c r="R347" s="80"/>
      <c r="S347" s="80"/>
      <c r="T347" s="241"/>
      <c r="U347" s="80"/>
      <c r="V347" s="80"/>
      <c r="W347" s="80"/>
      <c r="X347" s="80"/>
      <c r="Y347" s="80"/>
      <c r="Z347" s="80"/>
      <c r="AA347" s="80"/>
    </row>
    <row r="348" spans="1:27" ht="15.75" customHeight="1">
      <c r="A348" s="80"/>
      <c r="B348" s="270"/>
      <c r="C348" s="271"/>
      <c r="D348" s="80"/>
      <c r="E348" s="271"/>
      <c r="F348" s="272"/>
      <c r="G348" s="270"/>
      <c r="H348" s="271"/>
      <c r="I348" s="272"/>
      <c r="J348" s="80"/>
      <c r="K348" s="273"/>
      <c r="L348" s="273"/>
      <c r="M348" s="273"/>
      <c r="N348" s="273"/>
      <c r="O348" s="273"/>
      <c r="P348" s="273"/>
      <c r="Q348" s="274"/>
      <c r="R348" s="80"/>
      <c r="S348" s="80"/>
      <c r="T348" s="241"/>
      <c r="U348" s="80"/>
      <c r="V348" s="80"/>
      <c r="W348" s="80"/>
      <c r="X348" s="80"/>
      <c r="Y348" s="80"/>
      <c r="Z348" s="80"/>
      <c r="AA348" s="80"/>
    </row>
    <row r="349" spans="1:27" ht="15.75" customHeight="1">
      <c r="A349" s="80"/>
      <c r="B349" s="270"/>
      <c r="C349" s="271"/>
      <c r="D349" s="80"/>
      <c r="E349" s="271"/>
      <c r="F349" s="272"/>
      <c r="G349" s="270"/>
      <c r="H349" s="271"/>
      <c r="I349" s="272"/>
      <c r="J349" s="80"/>
      <c r="K349" s="273"/>
      <c r="L349" s="273"/>
      <c r="M349" s="273"/>
      <c r="N349" s="273"/>
      <c r="O349" s="273"/>
      <c r="P349" s="273"/>
      <c r="Q349" s="274"/>
      <c r="R349" s="80"/>
      <c r="S349" s="80"/>
      <c r="T349" s="241"/>
      <c r="U349" s="80"/>
      <c r="V349" s="80"/>
      <c r="W349" s="80"/>
      <c r="X349" s="80"/>
      <c r="Y349" s="80"/>
      <c r="Z349" s="80"/>
      <c r="AA349" s="80"/>
    </row>
    <row r="350" spans="1:27" ht="15.75" customHeight="1">
      <c r="A350" s="80"/>
      <c r="B350" s="270"/>
      <c r="C350" s="271"/>
      <c r="D350" s="80"/>
      <c r="E350" s="271"/>
      <c r="F350" s="272"/>
      <c r="G350" s="270"/>
      <c r="H350" s="271"/>
      <c r="I350" s="272"/>
      <c r="J350" s="80"/>
      <c r="K350" s="273"/>
      <c r="L350" s="273"/>
      <c r="M350" s="273"/>
      <c r="N350" s="273"/>
      <c r="O350" s="273"/>
      <c r="P350" s="273"/>
      <c r="Q350" s="274"/>
      <c r="R350" s="80"/>
      <c r="S350" s="80"/>
      <c r="T350" s="241"/>
      <c r="U350" s="80"/>
      <c r="V350" s="80"/>
      <c r="W350" s="80"/>
      <c r="X350" s="80"/>
      <c r="Y350" s="80"/>
      <c r="Z350" s="80"/>
      <c r="AA350" s="80"/>
    </row>
    <row r="351" spans="1:27" ht="15.75" customHeight="1">
      <c r="A351" s="80"/>
      <c r="B351" s="270"/>
      <c r="C351" s="271"/>
      <c r="D351" s="80"/>
      <c r="E351" s="271"/>
      <c r="F351" s="272"/>
      <c r="G351" s="270"/>
      <c r="H351" s="271"/>
      <c r="I351" s="272"/>
      <c r="J351" s="80"/>
      <c r="K351" s="273"/>
      <c r="L351" s="273"/>
      <c r="M351" s="273"/>
      <c r="N351" s="273"/>
      <c r="O351" s="273"/>
      <c r="P351" s="273"/>
      <c r="Q351" s="274"/>
      <c r="R351" s="80"/>
      <c r="S351" s="80"/>
      <c r="T351" s="241"/>
      <c r="U351" s="80"/>
      <c r="V351" s="80"/>
      <c r="W351" s="80"/>
      <c r="X351" s="80"/>
      <c r="Y351" s="80"/>
      <c r="Z351" s="80"/>
      <c r="AA351" s="80"/>
    </row>
    <row r="352" spans="1:27" ht="15.75" customHeight="1">
      <c r="A352" s="80"/>
      <c r="B352" s="270"/>
      <c r="C352" s="271"/>
      <c r="D352" s="80"/>
      <c r="E352" s="271"/>
      <c r="F352" s="272"/>
      <c r="G352" s="270"/>
      <c r="H352" s="271"/>
      <c r="I352" s="272"/>
      <c r="J352" s="80"/>
      <c r="K352" s="273"/>
      <c r="L352" s="273"/>
      <c r="M352" s="273"/>
      <c r="N352" s="273"/>
      <c r="O352" s="273"/>
      <c r="P352" s="273"/>
      <c r="Q352" s="274"/>
      <c r="R352" s="80"/>
      <c r="S352" s="80"/>
      <c r="T352" s="241"/>
      <c r="U352" s="80"/>
      <c r="V352" s="80"/>
      <c r="W352" s="80"/>
      <c r="X352" s="80"/>
      <c r="Y352" s="80"/>
      <c r="Z352" s="80"/>
      <c r="AA352" s="80"/>
    </row>
    <row r="353" spans="1:27" ht="15.75" customHeight="1">
      <c r="A353" s="80"/>
      <c r="B353" s="270"/>
      <c r="C353" s="271"/>
      <c r="D353" s="80"/>
      <c r="E353" s="271"/>
      <c r="F353" s="272"/>
      <c r="G353" s="270"/>
      <c r="H353" s="271"/>
      <c r="I353" s="272"/>
      <c r="J353" s="80"/>
      <c r="K353" s="273"/>
      <c r="L353" s="273"/>
      <c r="M353" s="273"/>
      <c r="N353" s="273"/>
      <c r="O353" s="273"/>
      <c r="P353" s="273"/>
      <c r="Q353" s="274"/>
      <c r="R353" s="80"/>
      <c r="S353" s="80"/>
      <c r="T353" s="241"/>
      <c r="U353" s="80"/>
      <c r="V353" s="80"/>
      <c r="W353" s="80"/>
      <c r="X353" s="80"/>
      <c r="Y353" s="80"/>
      <c r="Z353" s="80"/>
      <c r="AA353" s="80"/>
    </row>
    <row r="354" spans="1:27" ht="15.75" customHeight="1">
      <c r="A354" s="80"/>
      <c r="B354" s="270"/>
      <c r="C354" s="271"/>
      <c r="D354" s="80"/>
      <c r="E354" s="271"/>
      <c r="F354" s="272"/>
      <c r="G354" s="270"/>
      <c r="H354" s="271"/>
      <c r="I354" s="272"/>
      <c r="J354" s="80"/>
      <c r="K354" s="273"/>
      <c r="L354" s="273"/>
      <c r="M354" s="273"/>
      <c r="N354" s="273"/>
      <c r="O354" s="273"/>
      <c r="P354" s="273"/>
      <c r="Q354" s="274"/>
      <c r="R354" s="80"/>
      <c r="S354" s="80"/>
      <c r="T354" s="241"/>
      <c r="U354" s="80"/>
      <c r="V354" s="80"/>
      <c r="W354" s="80"/>
      <c r="X354" s="80"/>
      <c r="Y354" s="80"/>
      <c r="Z354" s="80"/>
      <c r="AA354" s="80"/>
    </row>
    <row r="355" spans="1:27" ht="15.75" customHeight="1">
      <c r="A355" s="80"/>
      <c r="B355" s="270"/>
      <c r="C355" s="271"/>
      <c r="D355" s="80"/>
      <c r="E355" s="271"/>
      <c r="F355" s="272"/>
      <c r="G355" s="270"/>
      <c r="H355" s="271"/>
      <c r="I355" s="272"/>
      <c r="J355" s="80"/>
      <c r="K355" s="273"/>
      <c r="L355" s="273"/>
      <c r="M355" s="273"/>
      <c r="N355" s="273"/>
      <c r="O355" s="273"/>
      <c r="P355" s="273"/>
      <c r="Q355" s="274"/>
      <c r="R355" s="80"/>
      <c r="S355" s="80"/>
      <c r="T355" s="241"/>
      <c r="U355" s="80"/>
      <c r="V355" s="80"/>
      <c r="W355" s="80"/>
      <c r="X355" s="80"/>
      <c r="Y355" s="80"/>
      <c r="Z355" s="80"/>
      <c r="AA355" s="80"/>
    </row>
    <row r="356" spans="1:27" ht="15.75" customHeight="1">
      <c r="A356" s="80"/>
      <c r="B356" s="270"/>
      <c r="C356" s="271"/>
      <c r="D356" s="80"/>
      <c r="E356" s="271"/>
      <c r="F356" s="272"/>
      <c r="G356" s="270"/>
      <c r="H356" s="271"/>
      <c r="I356" s="272"/>
      <c r="J356" s="80"/>
      <c r="K356" s="273"/>
      <c r="L356" s="273"/>
      <c r="M356" s="273"/>
      <c r="N356" s="273"/>
      <c r="O356" s="273"/>
      <c r="P356" s="273"/>
      <c r="Q356" s="274"/>
      <c r="R356" s="80"/>
      <c r="S356" s="80"/>
      <c r="T356" s="241"/>
      <c r="U356" s="80"/>
      <c r="V356" s="80"/>
      <c r="W356" s="80"/>
      <c r="X356" s="80"/>
      <c r="Y356" s="80"/>
      <c r="Z356" s="80"/>
      <c r="AA356" s="80"/>
    </row>
    <row r="357" spans="1:27" ht="15.75" customHeight="1">
      <c r="A357" s="80"/>
      <c r="B357" s="270"/>
      <c r="C357" s="271"/>
      <c r="D357" s="80"/>
      <c r="E357" s="271"/>
      <c r="F357" s="272"/>
      <c r="G357" s="270"/>
      <c r="H357" s="271"/>
      <c r="I357" s="272"/>
      <c r="J357" s="80"/>
      <c r="K357" s="273"/>
      <c r="L357" s="273"/>
      <c r="M357" s="273"/>
      <c r="N357" s="273"/>
      <c r="O357" s="273"/>
      <c r="P357" s="273"/>
      <c r="Q357" s="274"/>
      <c r="R357" s="80"/>
      <c r="S357" s="80"/>
      <c r="T357" s="241"/>
      <c r="U357" s="80"/>
      <c r="V357" s="80"/>
      <c r="W357" s="80"/>
      <c r="X357" s="80"/>
      <c r="Y357" s="80"/>
      <c r="Z357" s="80"/>
      <c r="AA357" s="80"/>
    </row>
    <row r="358" spans="1:27" ht="15.75" customHeight="1">
      <c r="A358" s="80"/>
      <c r="B358" s="270"/>
      <c r="C358" s="271"/>
      <c r="D358" s="80"/>
      <c r="E358" s="271"/>
      <c r="F358" s="272"/>
      <c r="G358" s="270"/>
      <c r="H358" s="271"/>
      <c r="I358" s="272"/>
      <c r="J358" s="80"/>
      <c r="K358" s="273"/>
      <c r="L358" s="273"/>
      <c r="M358" s="273"/>
      <c r="N358" s="273"/>
      <c r="O358" s="273"/>
      <c r="P358" s="273"/>
      <c r="Q358" s="274"/>
      <c r="R358" s="80"/>
      <c r="S358" s="80"/>
      <c r="T358" s="241"/>
      <c r="U358" s="80"/>
      <c r="V358" s="80"/>
      <c r="W358" s="80"/>
      <c r="X358" s="80"/>
      <c r="Y358" s="80"/>
      <c r="Z358" s="80"/>
      <c r="AA358" s="80"/>
    </row>
    <row r="359" spans="1:27" ht="15.75" customHeight="1">
      <c r="A359" s="80"/>
      <c r="B359" s="270"/>
      <c r="C359" s="271"/>
      <c r="D359" s="80"/>
      <c r="E359" s="271"/>
      <c r="F359" s="272"/>
      <c r="G359" s="270"/>
      <c r="H359" s="271"/>
      <c r="I359" s="272"/>
      <c r="J359" s="80"/>
      <c r="K359" s="273"/>
      <c r="L359" s="273"/>
      <c r="M359" s="273"/>
      <c r="N359" s="273"/>
      <c r="O359" s="273"/>
      <c r="P359" s="273"/>
      <c r="Q359" s="274"/>
      <c r="R359" s="80"/>
      <c r="S359" s="80"/>
      <c r="T359" s="241"/>
      <c r="U359" s="80"/>
      <c r="V359" s="80"/>
      <c r="W359" s="80"/>
      <c r="X359" s="80"/>
      <c r="Y359" s="80"/>
      <c r="Z359" s="80"/>
      <c r="AA359" s="80"/>
    </row>
    <row r="360" spans="1:27" ht="15.75" customHeight="1">
      <c r="A360" s="80"/>
      <c r="B360" s="270"/>
      <c r="C360" s="271"/>
      <c r="D360" s="80"/>
      <c r="E360" s="271"/>
      <c r="F360" s="272"/>
      <c r="G360" s="270"/>
      <c r="H360" s="271"/>
      <c r="I360" s="272"/>
      <c r="J360" s="80"/>
      <c r="K360" s="273"/>
      <c r="L360" s="273"/>
      <c r="M360" s="273"/>
      <c r="N360" s="273"/>
      <c r="O360" s="273"/>
      <c r="P360" s="273"/>
      <c r="Q360" s="274"/>
      <c r="R360" s="80"/>
      <c r="S360" s="80"/>
      <c r="T360" s="241"/>
      <c r="U360" s="80"/>
      <c r="V360" s="80"/>
      <c r="W360" s="80"/>
      <c r="X360" s="80"/>
      <c r="Y360" s="80"/>
      <c r="Z360" s="80"/>
      <c r="AA360" s="80"/>
    </row>
    <row r="361" spans="1:27" ht="15.75" customHeight="1">
      <c r="A361" s="80"/>
      <c r="B361" s="270"/>
      <c r="C361" s="271"/>
      <c r="D361" s="80"/>
      <c r="E361" s="271"/>
      <c r="F361" s="272"/>
      <c r="G361" s="270"/>
      <c r="H361" s="271"/>
      <c r="I361" s="272"/>
      <c r="J361" s="80"/>
      <c r="K361" s="273"/>
      <c r="L361" s="273"/>
      <c r="M361" s="273"/>
      <c r="N361" s="273"/>
      <c r="O361" s="273"/>
      <c r="P361" s="273"/>
      <c r="Q361" s="274"/>
      <c r="R361" s="80"/>
      <c r="S361" s="80"/>
      <c r="T361" s="241"/>
      <c r="U361" s="80"/>
      <c r="V361" s="80"/>
      <c r="W361" s="80"/>
      <c r="X361" s="80"/>
      <c r="Y361" s="80"/>
      <c r="Z361" s="80"/>
      <c r="AA361" s="80"/>
    </row>
    <row r="362" spans="1:27" ht="15.75" customHeight="1">
      <c r="A362" s="80"/>
      <c r="B362" s="270"/>
      <c r="C362" s="271"/>
      <c r="D362" s="80"/>
      <c r="E362" s="271"/>
      <c r="F362" s="272"/>
      <c r="G362" s="270"/>
      <c r="H362" s="271"/>
      <c r="I362" s="272"/>
      <c r="J362" s="80"/>
      <c r="K362" s="273"/>
      <c r="L362" s="273"/>
      <c r="M362" s="273"/>
      <c r="N362" s="273"/>
      <c r="O362" s="273"/>
      <c r="P362" s="273"/>
      <c r="Q362" s="274"/>
      <c r="R362" s="80"/>
      <c r="S362" s="80"/>
      <c r="T362" s="241"/>
      <c r="U362" s="80"/>
      <c r="V362" s="80"/>
      <c r="W362" s="80"/>
      <c r="X362" s="80"/>
      <c r="Y362" s="80"/>
      <c r="Z362" s="80"/>
      <c r="AA362" s="80"/>
    </row>
    <row r="363" spans="1:27" ht="15.75" customHeight="1">
      <c r="A363" s="80"/>
      <c r="B363" s="270"/>
      <c r="C363" s="271"/>
      <c r="D363" s="80"/>
      <c r="E363" s="271"/>
      <c r="F363" s="272"/>
      <c r="G363" s="270"/>
      <c r="H363" s="271"/>
      <c r="I363" s="272"/>
      <c r="J363" s="80"/>
      <c r="K363" s="273"/>
      <c r="L363" s="273"/>
      <c r="M363" s="273"/>
      <c r="N363" s="273"/>
      <c r="O363" s="273"/>
      <c r="P363" s="273"/>
      <c r="Q363" s="274"/>
      <c r="R363" s="80"/>
      <c r="S363" s="80"/>
      <c r="T363" s="241"/>
      <c r="U363" s="80"/>
      <c r="V363" s="80"/>
      <c r="W363" s="80"/>
      <c r="X363" s="80"/>
      <c r="Y363" s="80"/>
      <c r="Z363" s="80"/>
      <c r="AA363" s="80"/>
    </row>
    <row r="364" spans="1:27" ht="15.75" customHeight="1">
      <c r="A364" s="80"/>
      <c r="B364" s="270"/>
      <c r="C364" s="271"/>
      <c r="D364" s="80"/>
      <c r="E364" s="271"/>
      <c r="F364" s="272"/>
      <c r="G364" s="270"/>
      <c r="H364" s="271"/>
      <c r="I364" s="272"/>
      <c r="J364" s="80"/>
      <c r="K364" s="273"/>
      <c r="L364" s="273"/>
      <c r="M364" s="273"/>
      <c r="N364" s="273"/>
      <c r="O364" s="273"/>
      <c r="P364" s="273"/>
      <c r="Q364" s="274"/>
      <c r="R364" s="80"/>
      <c r="S364" s="80"/>
      <c r="T364" s="241"/>
      <c r="U364" s="80"/>
      <c r="V364" s="80"/>
      <c r="W364" s="80"/>
      <c r="X364" s="80"/>
      <c r="Y364" s="80"/>
      <c r="Z364" s="80"/>
      <c r="AA364" s="80"/>
    </row>
    <row r="365" spans="1:27" ht="15.75" customHeight="1">
      <c r="A365" s="80"/>
      <c r="B365" s="270"/>
      <c r="C365" s="271"/>
      <c r="D365" s="80"/>
      <c r="E365" s="271"/>
      <c r="F365" s="272"/>
      <c r="G365" s="270"/>
      <c r="H365" s="271"/>
      <c r="I365" s="272"/>
      <c r="J365" s="80"/>
      <c r="K365" s="273"/>
      <c r="L365" s="273"/>
      <c r="M365" s="273"/>
      <c r="N365" s="273"/>
      <c r="O365" s="273"/>
      <c r="P365" s="273"/>
      <c r="Q365" s="274"/>
      <c r="R365" s="80"/>
      <c r="S365" s="80"/>
      <c r="T365" s="241"/>
      <c r="U365" s="80"/>
      <c r="V365" s="80"/>
      <c r="W365" s="80"/>
      <c r="X365" s="80"/>
      <c r="Y365" s="80"/>
      <c r="Z365" s="80"/>
      <c r="AA365" s="80"/>
    </row>
    <row r="366" spans="1:27" ht="15.75" customHeight="1">
      <c r="A366" s="80"/>
      <c r="B366" s="270"/>
      <c r="C366" s="271"/>
      <c r="D366" s="80"/>
      <c r="E366" s="271"/>
      <c r="F366" s="272"/>
      <c r="G366" s="270"/>
      <c r="H366" s="271"/>
      <c r="I366" s="272"/>
      <c r="J366" s="80"/>
      <c r="K366" s="273"/>
      <c r="L366" s="273"/>
      <c r="M366" s="273"/>
      <c r="N366" s="273"/>
      <c r="O366" s="273"/>
      <c r="P366" s="273"/>
      <c r="Q366" s="274"/>
      <c r="R366" s="80"/>
      <c r="S366" s="80"/>
      <c r="T366" s="241"/>
      <c r="U366" s="80"/>
      <c r="V366" s="80"/>
      <c r="W366" s="80"/>
      <c r="X366" s="80"/>
      <c r="Y366" s="80"/>
      <c r="Z366" s="80"/>
      <c r="AA366" s="80"/>
    </row>
    <row r="367" spans="1:27" ht="15.75" customHeight="1">
      <c r="A367" s="80"/>
      <c r="B367" s="270"/>
      <c r="C367" s="271"/>
      <c r="D367" s="80"/>
      <c r="E367" s="271"/>
      <c r="F367" s="272"/>
      <c r="G367" s="270"/>
      <c r="H367" s="271"/>
      <c r="I367" s="272"/>
      <c r="J367" s="80"/>
      <c r="K367" s="273"/>
      <c r="L367" s="273"/>
      <c r="M367" s="273"/>
      <c r="N367" s="273"/>
      <c r="O367" s="273"/>
      <c r="P367" s="273"/>
      <c r="Q367" s="274"/>
      <c r="R367" s="80"/>
      <c r="S367" s="80"/>
      <c r="T367" s="241"/>
      <c r="U367" s="80"/>
      <c r="V367" s="80"/>
      <c r="W367" s="80"/>
      <c r="X367" s="80"/>
      <c r="Y367" s="80"/>
      <c r="Z367" s="80"/>
      <c r="AA367" s="80"/>
    </row>
    <row r="368" spans="1:27" ht="15.75" customHeight="1">
      <c r="A368" s="80"/>
      <c r="B368" s="270"/>
      <c r="C368" s="271"/>
      <c r="D368" s="80"/>
      <c r="E368" s="271"/>
      <c r="F368" s="272"/>
      <c r="G368" s="270"/>
      <c r="H368" s="271"/>
      <c r="I368" s="272"/>
      <c r="J368" s="80"/>
      <c r="K368" s="273"/>
      <c r="L368" s="273"/>
      <c r="M368" s="273"/>
      <c r="N368" s="273"/>
      <c r="O368" s="273"/>
      <c r="P368" s="273"/>
      <c r="Q368" s="274"/>
      <c r="R368" s="80"/>
      <c r="S368" s="80"/>
      <c r="T368" s="241"/>
      <c r="U368" s="80"/>
      <c r="V368" s="80"/>
      <c r="W368" s="80"/>
      <c r="X368" s="80"/>
      <c r="Y368" s="80"/>
      <c r="Z368" s="80"/>
      <c r="AA368" s="80"/>
    </row>
    <row r="369" spans="1:27" ht="15.75" customHeight="1">
      <c r="A369" s="80"/>
      <c r="B369" s="270"/>
      <c r="C369" s="271"/>
      <c r="D369" s="80"/>
      <c r="E369" s="271"/>
      <c r="F369" s="272"/>
      <c r="G369" s="270"/>
      <c r="H369" s="271"/>
      <c r="I369" s="272"/>
      <c r="J369" s="80"/>
      <c r="K369" s="273"/>
      <c r="L369" s="273"/>
      <c r="M369" s="273"/>
      <c r="N369" s="273"/>
      <c r="O369" s="273"/>
      <c r="P369" s="273"/>
      <c r="Q369" s="274"/>
      <c r="R369" s="80"/>
      <c r="S369" s="80"/>
      <c r="T369" s="241"/>
      <c r="U369" s="80"/>
      <c r="V369" s="80"/>
      <c r="W369" s="80"/>
      <c r="X369" s="80"/>
      <c r="Y369" s="80"/>
      <c r="Z369" s="80"/>
      <c r="AA369" s="80"/>
    </row>
    <row r="370" spans="1:27" ht="15.75" customHeight="1">
      <c r="A370" s="80"/>
      <c r="B370" s="270"/>
      <c r="C370" s="271"/>
      <c r="D370" s="80"/>
      <c r="E370" s="271"/>
      <c r="F370" s="272"/>
      <c r="G370" s="270"/>
      <c r="H370" s="271"/>
      <c r="I370" s="272"/>
      <c r="J370" s="80"/>
      <c r="K370" s="273"/>
      <c r="L370" s="273"/>
      <c r="M370" s="273"/>
      <c r="N370" s="273"/>
      <c r="O370" s="273"/>
      <c r="P370" s="273"/>
      <c r="Q370" s="274"/>
      <c r="R370" s="80"/>
      <c r="S370" s="80"/>
      <c r="T370" s="241"/>
      <c r="U370" s="80"/>
      <c r="V370" s="80"/>
      <c r="W370" s="80"/>
      <c r="X370" s="80"/>
      <c r="Y370" s="80"/>
      <c r="Z370" s="80"/>
      <c r="AA370" s="80"/>
    </row>
    <row r="371" spans="1:27" ht="15.75" customHeight="1">
      <c r="A371" s="80"/>
      <c r="B371" s="270"/>
      <c r="C371" s="271"/>
      <c r="D371" s="80"/>
      <c r="E371" s="271"/>
      <c r="F371" s="272"/>
      <c r="G371" s="270"/>
      <c r="H371" s="271"/>
      <c r="I371" s="272"/>
      <c r="J371" s="80"/>
      <c r="K371" s="273"/>
      <c r="L371" s="273"/>
      <c r="M371" s="273"/>
      <c r="N371" s="273"/>
      <c r="O371" s="273"/>
      <c r="P371" s="273"/>
      <c r="Q371" s="274"/>
      <c r="R371" s="80"/>
      <c r="S371" s="80"/>
      <c r="T371" s="241"/>
      <c r="U371" s="80"/>
      <c r="V371" s="80"/>
      <c r="W371" s="80"/>
      <c r="X371" s="80"/>
      <c r="Y371" s="80"/>
      <c r="Z371" s="80"/>
      <c r="AA371" s="80"/>
    </row>
    <row r="372" spans="1:27" ht="15.75" customHeight="1">
      <c r="A372" s="80"/>
      <c r="B372" s="270"/>
      <c r="C372" s="271"/>
      <c r="D372" s="80"/>
      <c r="E372" s="271"/>
      <c r="F372" s="272"/>
      <c r="G372" s="270"/>
      <c r="H372" s="271"/>
      <c r="I372" s="272"/>
      <c r="J372" s="80"/>
      <c r="K372" s="273"/>
      <c r="L372" s="273"/>
      <c r="M372" s="273"/>
      <c r="N372" s="273"/>
      <c r="O372" s="273"/>
      <c r="P372" s="273"/>
      <c r="Q372" s="274"/>
      <c r="R372" s="80"/>
      <c r="S372" s="80"/>
      <c r="T372" s="241"/>
      <c r="U372" s="80"/>
      <c r="V372" s="80"/>
      <c r="W372" s="80"/>
      <c r="X372" s="80"/>
      <c r="Y372" s="80"/>
      <c r="Z372" s="80"/>
      <c r="AA372" s="80"/>
    </row>
    <row r="373" spans="1:27" ht="15.75" customHeight="1">
      <c r="A373" s="80"/>
      <c r="B373" s="270"/>
      <c r="C373" s="271"/>
      <c r="D373" s="80"/>
      <c r="E373" s="271"/>
      <c r="F373" s="272"/>
      <c r="G373" s="270"/>
      <c r="H373" s="271"/>
      <c r="I373" s="272"/>
      <c r="J373" s="80"/>
      <c r="K373" s="273"/>
      <c r="L373" s="273"/>
      <c r="M373" s="273"/>
      <c r="N373" s="273"/>
      <c r="O373" s="273"/>
      <c r="P373" s="273"/>
      <c r="Q373" s="274"/>
      <c r="R373" s="80"/>
      <c r="S373" s="80"/>
      <c r="T373" s="241"/>
      <c r="U373" s="80"/>
      <c r="V373" s="80"/>
      <c r="W373" s="80"/>
      <c r="X373" s="80"/>
      <c r="Y373" s="80"/>
      <c r="Z373" s="80"/>
      <c r="AA373" s="80"/>
    </row>
    <row r="374" spans="1:27" ht="15.75" customHeight="1">
      <c r="A374" s="80"/>
      <c r="B374" s="270"/>
      <c r="C374" s="271"/>
      <c r="D374" s="80"/>
      <c r="E374" s="271"/>
      <c r="F374" s="272"/>
      <c r="G374" s="270"/>
      <c r="H374" s="271"/>
      <c r="I374" s="272"/>
      <c r="J374" s="80"/>
      <c r="K374" s="273"/>
      <c r="L374" s="273"/>
      <c r="M374" s="273"/>
      <c r="N374" s="273"/>
      <c r="O374" s="273"/>
      <c r="P374" s="273"/>
      <c r="Q374" s="274"/>
      <c r="R374" s="80"/>
      <c r="S374" s="80"/>
      <c r="T374" s="241"/>
      <c r="U374" s="80"/>
      <c r="V374" s="80"/>
      <c r="W374" s="80"/>
      <c r="X374" s="80"/>
      <c r="Y374" s="80"/>
      <c r="Z374" s="80"/>
      <c r="AA374" s="80"/>
    </row>
    <row r="375" spans="1:27" ht="15.75" customHeight="1">
      <c r="A375" s="80"/>
      <c r="B375" s="270"/>
      <c r="C375" s="271"/>
      <c r="D375" s="80"/>
      <c r="E375" s="271"/>
      <c r="F375" s="272"/>
      <c r="G375" s="270"/>
      <c r="H375" s="271"/>
      <c r="I375" s="272"/>
      <c r="J375" s="80"/>
      <c r="K375" s="273"/>
      <c r="L375" s="273"/>
      <c r="M375" s="273"/>
      <c r="N375" s="273"/>
      <c r="O375" s="273"/>
      <c r="P375" s="273"/>
      <c r="Q375" s="274"/>
      <c r="R375" s="80"/>
      <c r="S375" s="80"/>
      <c r="T375" s="241"/>
      <c r="U375" s="80"/>
      <c r="V375" s="80"/>
      <c r="W375" s="80"/>
      <c r="X375" s="80"/>
      <c r="Y375" s="80"/>
      <c r="Z375" s="80"/>
      <c r="AA375" s="80"/>
    </row>
    <row r="376" spans="1:27" ht="15.75" customHeight="1">
      <c r="A376" s="80"/>
      <c r="B376" s="270"/>
      <c r="C376" s="271"/>
      <c r="D376" s="80"/>
      <c r="E376" s="271"/>
      <c r="F376" s="272"/>
      <c r="G376" s="270"/>
      <c r="H376" s="271"/>
      <c r="I376" s="272"/>
      <c r="J376" s="80"/>
      <c r="K376" s="273"/>
      <c r="L376" s="273"/>
      <c r="M376" s="273"/>
      <c r="N376" s="273"/>
      <c r="O376" s="273"/>
      <c r="P376" s="273"/>
      <c r="Q376" s="274"/>
      <c r="R376" s="80"/>
      <c r="S376" s="80"/>
      <c r="T376" s="241"/>
      <c r="U376" s="80"/>
      <c r="V376" s="80"/>
      <c r="W376" s="80"/>
      <c r="X376" s="80"/>
      <c r="Y376" s="80"/>
      <c r="Z376" s="80"/>
      <c r="AA376" s="80"/>
    </row>
    <row r="377" spans="1:27" ht="15.75" customHeight="1">
      <c r="A377" s="80"/>
      <c r="B377" s="270"/>
      <c r="C377" s="271"/>
      <c r="D377" s="80"/>
      <c r="E377" s="271"/>
      <c r="F377" s="272"/>
      <c r="G377" s="270"/>
      <c r="H377" s="271"/>
      <c r="I377" s="272"/>
      <c r="J377" s="80"/>
      <c r="K377" s="273"/>
      <c r="L377" s="273"/>
      <c r="M377" s="273"/>
      <c r="N377" s="273"/>
      <c r="O377" s="273"/>
      <c r="P377" s="273"/>
      <c r="Q377" s="274"/>
      <c r="R377" s="80"/>
      <c r="S377" s="80"/>
      <c r="T377" s="241"/>
      <c r="U377" s="80"/>
      <c r="V377" s="80"/>
      <c r="W377" s="80"/>
      <c r="X377" s="80"/>
      <c r="Y377" s="80"/>
      <c r="Z377" s="80"/>
      <c r="AA377" s="80"/>
    </row>
    <row r="378" spans="1:27" ht="15.75" customHeight="1">
      <c r="A378" s="80"/>
      <c r="B378" s="270"/>
      <c r="C378" s="271"/>
      <c r="D378" s="80"/>
      <c r="E378" s="271"/>
      <c r="F378" s="272"/>
      <c r="G378" s="270"/>
      <c r="H378" s="271"/>
      <c r="I378" s="272"/>
      <c r="J378" s="80"/>
      <c r="K378" s="273"/>
      <c r="L378" s="273"/>
      <c r="M378" s="273"/>
      <c r="N378" s="273"/>
      <c r="O378" s="273"/>
      <c r="P378" s="273"/>
      <c r="Q378" s="274"/>
      <c r="R378" s="80"/>
      <c r="S378" s="80"/>
      <c r="T378" s="241"/>
      <c r="U378" s="80"/>
      <c r="V378" s="80"/>
      <c r="W378" s="80"/>
      <c r="X378" s="80"/>
      <c r="Y378" s="80"/>
      <c r="Z378" s="80"/>
      <c r="AA378" s="80"/>
    </row>
    <row r="379" spans="1:27" ht="15.75" customHeight="1">
      <c r="A379" s="80"/>
      <c r="B379" s="270"/>
      <c r="C379" s="271"/>
      <c r="D379" s="80"/>
      <c r="E379" s="271"/>
      <c r="F379" s="272"/>
      <c r="G379" s="270"/>
      <c r="H379" s="271"/>
      <c r="I379" s="272"/>
      <c r="J379" s="80"/>
      <c r="K379" s="273"/>
      <c r="L379" s="273"/>
      <c r="M379" s="273"/>
      <c r="N379" s="273"/>
      <c r="O379" s="273"/>
      <c r="P379" s="273"/>
      <c r="Q379" s="274"/>
      <c r="R379" s="80"/>
      <c r="S379" s="80"/>
      <c r="T379" s="241"/>
      <c r="U379" s="80"/>
      <c r="V379" s="80"/>
      <c r="W379" s="80"/>
      <c r="X379" s="80"/>
      <c r="Y379" s="80"/>
      <c r="Z379" s="80"/>
      <c r="AA379" s="80"/>
    </row>
    <row r="380" spans="1:27" ht="15.75" customHeight="1">
      <c r="A380" s="80"/>
      <c r="B380" s="270"/>
      <c r="C380" s="271"/>
      <c r="D380" s="80"/>
      <c r="E380" s="271"/>
      <c r="F380" s="272"/>
      <c r="G380" s="270"/>
      <c r="H380" s="271"/>
      <c r="I380" s="272"/>
      <c r="J380" s="80"/>
      <c r="K380" s="273"/>
      <c r="L380" s="273"/>
      <c r="M380" s="273"/>
      <c r="N380" s="273"/>
      <c r="O380" s="273"/>
      <c r="P380" s="273"/>
      <c r="Q380" s="274"/>
      <c r="R380" s="80"/>
      <c r="S380" s="80"/>
      <c r="T380" s="241"/>
      <c r="U380" s="80"/>
      <c r="V380" s="80"/>
      <c r="W380" s="80"/>
      <c r="X380" s="80"/>
      <c r="Y380" s="80"/>
      <c r="Z380" s="80"/>
      <c r="AA380" s="80"/>
    </row>
    <row r="381" spans="1:27" ht="15.75" customHeight="1">
      <c r="A381" s="80"/>
      <c r="B381" s="270"/>
      <c r="C381" s="271"/>
      <c r="D381" s="80"/>
      <c r="E381" s="271"/>
      <c r="F381" s="272"/>
      <c r="G381" s="270"/>
      <c r="H381" s="271"/>
      <c r="I381" s="272"/>
      <c r="J381" s="80"/>
      <c r="K381" s="273"/>
      <c r="L381" s="273"/>
      <c r="M381" s="273"/>
      <c r="N381" s="273"/>
      <c r="O381" s="273"/>
      <c r="P381" s="273"/>
      <c r="Q381" s="274"/>
      <c r="R381" s="80"/>
      <c r="S381" s="80"/>
      <c r="T381" s="241"/>
      <c r="U381" s="80"/>
      <c r="V381" s="80"/>
      <c r="W381" s="80"/>
      <c r="X381" s="80"/>
      <c r="Y381" s="80"/>
      <c r="Z381" s="80"/>
      <c r="AA381" s="80"/>
    </row>
    <row r="382" spans="1:27" ht="15.75" customHeight="1">
      <c r="A382" s="80"/>
      <c r="B382" s="270"/>
      <c r="C382" s="271"/>
      <c r="D382" s="80"/>
      <c r="E382" s="271"/>
      <c r="F382" s="272"/>
      <c r="G382" s="270"/>
      <c r="H382" s="271"/>
      <c r="I382" s="272"/>
      <c r="J382" s="80"/>
      <c r="K382" s="273"/>
      <c r="L382" s="273"/>
      <c r="M382" s="273"/>
      <c r="N382" s="273"/>
      <c r="O382" s="273"/>
      <c r="P382" s="273"/>
      <c r="Q382" s="274"/>
      <c r="R382" s="80"/>
      <c r="S382" s="80"/>
      <c r="T382" s="241"/>
      <c r="U382" s="80"/>
      <c r="V382" s="80"/>
      <c r="W382" s="80"/>
      <c r="X382" s="80"/>
      <c r="Y382" s="80"/>
      <c r="Z382" s="80"/>
      <c r="AA382" s="80"/>
    </row>
    <row r="383" spans="1:27" ht="15.75" customHeight="1">
      <c r="A383" s="80"/>
      <c r="B383" s="270"/>
      <c r="C383" s="271"/>
      <c r="D383" s="80"/>
      <c r="E383" s="271"/>
      <c r="F383" s="272"/>
      <c r="G383" s="270"/>
      <c r="H383" s="271"/>
      <c r="I383" s="272"/>
      <c r="J383" s="80"/>
      <c r="K383" s="273"/>
      <c r="L383" s="273"/>
      <c r="M383" s="273"/>
      <c r="N383" s="273"/>
      <c r="O383" s="273"/>
      <c r="P383" s="273"/>
      <c r="Q383" s="274"/>
      <c r="R383" s="80"/>
      <c r="S383" s="80"/>
      <c r="T383" s="241"/>
      <c r="U383" s="80"/>
      <c r="V383" s="80"/>
      <c r="W383" s="80"/>
      <c r="X383" s="80"/>
      <c r="Y383" s="80"/>
      <c r="Z383" s="80"/>
      <c r="AA383" s="80"/>
    </row>
    <row r="384" spans="1:27" ht="15.75" customHeight="1">
      <c r="A384" s="80"/>
      <c r="B384" s="270"/>
      <c r="C384" s="271"/>
      <c r="D384" s="80"/>
      <c r="E384" s="271"/>
      <c r="F384" s="272"/>
      <c r="G384" s="270"/>
      <c r="H384" s="271"/>
      <c r="I384" s="272"/>
      <c r="J384" s="80"/>
      <c r="K384" s="273"/>
      <c r="L384" s="273"/>
      <c r="M384" s="273"/>
      <c r="N384" s="273"/>
      <c r="O384" s="273"/>
      <c r="P384" s="273"/>
      <c r="Q384" s="274"/>
      <c r="R384" s="80"/>
      <c r="S384" s="80"/>
      <c r="T384" s="241"/>
      <c r="U384" s="80"/>
      <c r="V384" s="80"/>
      <c r="W384" s="80"/>
      <c r="X384" s="80"/>
      <c r="Y384" s="80"/>
      <c r="Z384" s="80"/>
      <c r="AA384" s="80"/>
    </row>
    <row r="385" spans="1:27" ht="15.75" customHeight="1">
      <c r="A385" s="80"/>
      <c r="B385" s="270"/>
      <c r="C385" s="271"/>
      <c r="D385" s="80"/>
      <c r="E385" s="271"/>
      <c r="F385" s="272"/>
      <c r="G385" s="270"/>
      <c r="H385" s="271"/>
      <c r="I385" s="272"/>
      <c r="J385" s="80"/>
      <c r="K385" s="273"/>
      <c r="L385" s="273"/>
      <c r="M385" s="273"/>
      <c r="N385" s="273"/>
      <c r="O385" s="273"/>
      <c r="P385" s="273"/>
      <c r="Q385" s="274"/>
      <c r="R385" s="80"/>
      <c r="S385" s="80"/>
      <c r="T385" s="241"/>
      <c r="U385" s="80"/>
      <c r="V385" s="80"/>
      <c r="W385" s="80"/>
      <c r="X385" s="80"/>
      <c r="Y385" s="80"/>
      <c r="Z385" s="80"/>
      <c r="AA385" s="80"/>
    </row>
    <row r="386" spans="1:27" ht="15.75" customHeight="1">
      <c r="A386" s="80"/>
      <c r="B386" s="270"/>
      <c r="C386" s="271"/>
      <c r="D386" s="80"/>
      <c r="E386" s="271"/>
      <c r="F386" s="272"/>
      <c r="G386" s="270"/>
      <c r="H386" s="271"/>
      <c r="I386" s="272"/>
      <c r="J386" s="80"/>
      <c r="K386" s="273"/>
      <c r="L386" s="273"/>
      <c r="M386" s="273"/>
      <c r="N386" s="273"/>
      <c r="O386" s="273"/>
      <c r="P386" s="273"/>
      <c r="Q386" s="274"/>
      <c r="R386" s="80"/>
      <c r="S386" s="80"/>
      <c r="T386" s="241"/>
      <c r="U386" s="80"/>
      <c r="V386" s="80"/>
      <c r="W386" s="80"/>
      <c r="X386" s="80"/>
      <c r="Y386" s="80"/>
      <c r="Z386" s="80"/>
      <c r="AA386" s="80"/>
    </row>
    <row r="387" spans="1:27" ht="15.75" customHeight="1">
      <c r="A387" s="80"/>
      <c r="B387" s="270"/>
      <c r="C387" s="271"/>
      <c r="D387" s="80"/>
      <c r="E387" s="271"/>
      <c r="F387" s="272"/>
      <c r="G387" s="270"/>
      <c r="H387" s="271"/>
      <c r="I387" s="272"/>
      <c r="J387" s="80"/>
      <c r="K387" s="273"/>
      <c r="L387" s="273"/>
      <c r="M387" s="273"/>
      <c r="N387" s="273"/>
      <c r="O387" s="273"/>
      <c r="P387" s="273"/>
      <c r="Q387" s="274"/>
      <c r="R387" s="80"/>
      <c r="S387" s="80"/>
      <c r="T387" s="241"/>
      <c r="U387" s="80"/>
      <c r="V387" s="80"/>
      <c r="W387" s="80"/>
      <c r="X387" s="80"/>
      <c r="Y387" s="80"/>
      <c r="Z387" s="80"/>
      <c r="AA387" s="80"/>
    </row>
    <row r="388" spans="1:27" ht="15.75" customHeight="1">
      <c r="A388" s="80"/>
      <c r="B388" s="270"/>
      <c r="C388" s="271"/>
      <c r="D388" s="80"/>
      <c r="E388" s="271"/>
      <c r="F388" s="272"/>
      <c r="G388" s="270"/>
      <c r="H388" s="271"/>
      <c r="I388" s="272"/>
      <c r="J388" s="80"/>
      <c r="K388" s="273"/>
      <c r="L388" s="273"/>
      <c r="M388" s="273"/>
      <c r="N388" s="273"/>
      <c r="O388" s="273"/>
      <c r="P388" s="273"/>
      <c r="Q388" s="274"/>
      <c r="R388" s="80"/>
      <c r="S388" s="80"/>
      <c r="T388" s="241"/>
      <c r="U388" s="80"/>
      <c r="V388" s="80"/>
      <c r="W388" s="80"/>
      <c r="X388" s="80"/>
      <c r="Y388" s="80"/>
      <c r="Z388" s="80"/>
      <c r="AA388" s="80"/>
    </row>
    <row r="389" spans="1:27" ht="15.75" customHeight="1">
      <c r="A389" s="80"/>
      <c r="B389" s="270"/>
      <c r="C389" s="271"/>
      <c r="D389" s="80"/>
      <c r="E389" s="271"/>
      <c r="F389" s="272"/>
      <c r="G389" s="270"/>
      <c r="H389" s="271"/>
      <c r="I389" s="272"/>
      <c r="J389" s="80"/>
      <c r="K389" s="273"/>
      <c r="L389" s="273"/>
      <c r="M389" s="273"/>
      <c r="N389" s="273"/>
      <c r="O389" s="273"/>
      <c r="P389" s="273"/>
      <c r="Q389" s="274"/>
      <c r="R389" s="80"/>
      <c r="S389" s="80"/>
      <c r="T389" s="241"/>
      <c r="U389" s="80"/>
      <c r="V389" s="80"/>
      <c r="W389" s="80"/>
      <c r="X389" s="80"/>
      <c r="Y389" s="80"/>
      <c r="Z389" s="80"/>
      <c r="AA389" s="80"/>
    </row>
    <row r="390" spans="1:27" ht="15.75" customHeight="1">
      <c r="A390" s="80"/>
      <c r="B390" s="270"/>
      <c r="C390" s="271"/>
      <c r="D390" s="80"/>
      <c r="E390" s="271"/>
      <c r="F390" s="272"/>
      <c r="G390" s="270"/>
      <c r="H390" s="271"/>
      <c r="I390" s="272"/>
      <c r="J390" s="80"/>
      <c r="K390" s="273"/>
      <c r="L390" s="273"/>
      <c r="M390" s="273"/>
      <c r="N390" s="273"/>
      <c r="O390" s="273"/>
      <c r="P390" s="273"/>
      <c r="Q390" s="274"/>
      <c r="R390" s="80"/>
      <c r="S390" s="80"/>
      <c r="T390" s="241"/>
      <c r="U390" s="80"/>
      <c r="V390" s="80"/>
      <c r="W390" s="80"/>
      <c r="X390" s="80"/>
      <c r="Y390" s="80"/>
      <c r="Z390" s="80"/>
      <c r="AA390" s="80"/>
    </row>
    <row r="391" spans="1:27" ht="15.75" customHeight="1">
      <c r="A391" s="80"/>
      <c r="B391" s="270"/>
      <c r="C391" s="271"/>
      <c r="D391" s="80"/>
      <c r="E391" s="271"/>
      <c r="F391" s="272"/>
      <c r="G391" s="270"/>
      <c r="H391" s="271"/>
      <c r="I391" s="272"/>
      <c r="J391" s="80"/>
      <c r="K391" s="273"/>
      <c r="L391" s="273"/>
      <c r="M391" s="273"/>
      <c r="N391" s="273"/>
      <c r="O391" s="273"/>
      <c r="P391" s="273"/>
      <c r="Q391" s="274"/>
      <c r="R391" s="80"/>
      <c r="S391" s="80"/>
      <c r="T391" s="241"/>
      <c r="U391" s="80"/>
      <c r="V391" s="80"/>
      <c r="W391" s="80"/>
      <c r="X391" s="80"/>
      <c r="Y391" s="80"/>
      <c r="Z391" s="80"/>
      <c r="AA391" s="80"/>
    </row>
    <row r="392" spans="1:27" ht="15.75" customHeight="1">
      <c r="A392" s="80"/>
      <c r="B392" s="270"/>
      <c r="C392" s="271"/>
      <c r="D392" s="80"/>
      <c r="E392" s="271"/>
      <c r="F392" s="272"/>
      <c r="G392" s="270"/>
      <c r="H392" s="271"/>
      <c r="I392" s="272"/>
      <c r="J392" s="80"/>
      <c r="K392" s="273"/>
      <c r="L392" s="273"/>
      <c r="M392" s="273"/>
      <c r="N392" s="273"/>
      <c r="O392" s="273"/>
      <c r="P392" s="273"/>
      <c r="Q392" s="274"/>
      <c r="R392" s="80"/>
      <c r="S392" s="80"/>
      <c r="T392" s="241"/>
      <c r="U392" s="80"/>
      <c r="V392" s="80"/>
      <c r="W392" s="80"/>
      <c r="X392" s="80"/>
      <c r="Y392" s="80"/>
      <c r="Z392" s="80"/>
      <c r="AA392" s="80"/>
    </row>
    <row r="393" spans="1:27" ht="15.75" customHeight="1">
      <c r="A393" s="80"/>
      <c r="B393" s="270"/>
      <c r="C393" s="271"/>
      <c r="D393" s="80"/>
      <c r="E393" s="271"/>
      <c r="F393" s="272"/>
      <c r="G393" s="270"/>
      <c r="H393" s="271"/>
      <c r="I393" s="272"/>
      <c r="J393" s="80"/>
      <c r="K393" s="273"/>
      <c r="L393" s="273"/>
      <c r="M393" s="273"/>
      <c r="N393" s="273"/>
      <c r="O393" s="273"/>
      <c r="P393" s="273"/>
      <c r="Q393" s="274"/>
      <c r="R393" s="80"/>
      <c r="S393" s="80"/>
      <c r="T393" s="241"/>
      <c r="U393" s="80"/>
      <c r="V393" s="80"/>
      <c r="W393" s="80"/>
      <c r="X393" s="80"/>
      <c r="Y393" s="80"/>
      <c r="Z393" s="80"/>
      <c r="AA393" s="80"/>
    </row>
    <row r="394" spans="1:27" ht="15.75" customHeight="1">
      <c r="A394" s="80"/>
      <c r="B394" s="270"/>
      <c r="C394" s="271"/>
      <c r="D394" s="80"/>
      <c r="E394" s="271"/>
      <c r="F394" s="272"/>
      <c r="G394" s="270"/>
      <c r="H394" s="271"/>
      <c r="I394" s="272"/>
      <c r="J394" s="80"/>
      <c r="K394" s="273"/>
      <c r="L394" s="273"/>
      <c r="M394" s="273"/>
      <c r="N394" s="273"/>
      <c r="O394" s="273"/>
      <c r="P394" s="273"/>
      <c r="Q394" s="274"/>
      <c r="R394" s="80"/>
      <c r="S394" s="80"/>
      <c r="T394" s="241"/>
      <c r="U394" s="80"/>
      <c r="V394" s="80"/>
      <c r="W394" s="80"/>
      <c r="X394" s="80"/>
      <c r="Y394" s="80"/>
      <c r="Z394" s="80"/>
      <c r="AA394" s="80"/>
    </row>
    <row r="395" spans="1:27" ht="15.75" customHeight="1">
      <c r="A395" s="80"/>
      <c r="B395" s="270"/>
      <c r="C395" s="271"/>
      <c r="D395" s="80"/>
      <c r="E395" s="271"/>
      <c r="F395" s="272"/>
      <c r="G395" s="270"/>
      <c r="H395" s="271"/>
      <c r="I395" s="272"/>
      <c r="J395" s="80"/>
      <c r="K395" s="273"/>
      <c r="L395" s="273"/>
      <c r="M395" s="273"/>
      <c r="N395" s="273"/>
      <c r="O395" s="273"/>
      <c r="P395" s="273"/>
      <c r="Q395" s="274"/>
      <c r="R395" s="80"/>
      <c r="S395" s="80"/>
      <c r="T395" s="241"/>
      <c r="U395" s="80"/>
      <c r="V395" s="80"/>
      <c r="W395" s="80"/>
      <c r="X395" s="80"/>
      <c r="Y395" s="80"/>
      <c r="Z395" s="80"/>
      <c r="AA395" s="80"/>
    </row>
    <row r="396" spans="1:27" ht="15.75" customHeight="1">
      <c r="A396" s="80"/>
      <c r="B396" s="270"/>
      <c r="C396" s="271"/>
      <c r="D396" s="80"/>
      <c r="E396" s="271"/>
      <c r="F396" s="272"/>
      <c r="G396" s="270"/>
      <c r="H396" s="271"/>
      <c r="I396" s="272"/>
      <c r="J396" s="80"/>
      <c r="K396" s="273"/>
      <c r="L396" s="273"/>
      <c r="M396" s="273"/>
      <c r="N396" s="273"/>
      <c r="O396" s="273"/>
      <c r="P396" s="273"/>
      <c r="Q396" s="274"/>
      <c r="R396" s="80"/>
      <c r="S396" s="80"/>
      <c r="T396" s="241"/>
      <c r="U396" s="80"/>
      <c r="V396" s="80"/>
      <c r="W396" s="80"/>
      <c r="X396" s="80"/>
      <c r="Y396" s="80"/>
      <c r="Z396" s="80"/>
      <c r="AA396" s="80"/>
    </row>
    <row r="397" spans="1:27" ht="15.75" customHeight="1">
      <c r="A397" s="80"/>
      <c r="B397" s="270"/>
      <c r="C397" s="271"/>
      <c r="D397" s="80"/>
      <c r="E397" s="271"/>
      <c r="F397" s="272"/>
      <c r="G397" s="270"/>
      <c r="H397" s="271"/>
      <c r="I397" s="272"/>
      <c r="J397" s="80"/>
      <c r="K397" s="273"/>
      <c r="L397" s="273"/>
      <c r="M397" s="273"/>
      <c r="N397" s="273"/>
      <c r="O397" s="273"/>
      <c r="P397" s="273"/>
      <c r="Q397" s="274"/>
      <c r="R397" s="80"/>
      <c r="S397" s="80"/>
      <c r="T397" s="241"/>
      <c r="U397" s="80"/>
      <c r="V397" s="80"/>
      <c r="W397" s="80"/>
      <c r="X397" s="80"/>
      <c r="Y397" s="80"/>
      <c r="Z397" s="80"/>
      <c r="AA397" s="80"/>
    </row>
    <row r="398" spans="1:27" ht="15.75" customHeight="1">
      <c r="A398" s="80"/>
      <c r="B398" s="270"/>
      <c r="C398" s="271"/>
      <c r="D398" s="80"/>
      <c r="E398" s="271"/>
      <c r="F398" s="272"/>
      <c r="G398" s="270"/>
      <c r="H398" s="271"/>
      <c r="I398" s="272"/>
      <c r="J398" s="80"/>
      <c r="K398" s="273"/>
      <c r="L398" s="273"/>
      <c r="M398" s="273"/>
      <c r="N398" s="273"/>
      <c r="O398" s="273"/>
      <c r="P398" s="273"/>
      <c r="Q398" s="274"/>
      <c r="R398" s="80"/>
      <c r="S398" s="80"/>
      <c r="T398" s="241"/>
      <c r="U398" s="80"/>
      <c r="V398" s="80"/>
      <c r="W398" s="80"/>
      <c r="X398" s="80"/>
      <c r="Y398" s="80"/>
      <c r="Z398" s="80"/>
      <c r="AA398" s="80"/>
    </row>
    <row r="399" spans="1:27" ht="15.75" customHeight="1">
      <c r="A399" s="80"/>
      <c r="B399" s="270"/>
      <c r="C399" s="271"/>
      <c r="D399" s="80"/>
      <c r="E399" s="271"/>
      <c r="F399" s="272"/>
      <c r="G399" s="270"/>
      <c r="H399" s="271"/>
      <c r="I399" s="272"/>
      <c r="J399" s="80"/>
      <c r="K399" s="273"/>
      <c r="L399" s="273"/>
      <c r="M399" s="273"/>
      <c r="N399" s="273"/>
      <c r="O399" s="273"/>
      <c r="P399" s="273"/>
      <c r="Q399" s="274"/>
      <c r="R399" s="80"/>
      <c r="S399" s="80"/>
      <c r="T399" s="241"/>
      <c r="U399" s="80"/>
      <c r="V399" s="80"/>
      <c r="W399" s="80"/>
      <c r="X399" s="80"/>
      <c r="Y399" s="80"/>
      <c r="Z399" s="80"/>
      <c r="AA399" s="80"/>
    </row>
    <row r="400" spans="1:27" ht="15.75" customHeight="1">
      <c r="A400" s="80"/>
      <c r="B400" s="270"/>
      <c r="C400" s="271"/>
      <c r="D400" s="80"/>
      <c r="E400" s="271"/>
      <c r="F400" s="272"/>
      <c r="G400" s="270"/>
      <c r="H400" s="271"/>
      <c r="I400" s="272"/>
      <c r="J400" s="80"/>
      <c r="K400" s="273"/>
      <c r="L400" s="273"/>
      <c r="M400" s="273"/>
      <c r="N400" s="273"/>
      <c r="O400" s="273"/>
      <c r="P400" s="273"/>
      <c r="Q400" s="274"/>
      <c r="R400" s="80"/>
      <c r="S400" s="80"/>
      <c r="T400" s="241"/>
      <c r="U400" s="80"/>
      <c r="V400" s="80"/>
      <c r="W400" s="80"/>
      <c r="X400" s="80"/>
      <c r="Y400" s="80"/>
      <c r="Z400" s="80"/>
      <c r="AA400" s="80"/>
    </row>
    <row r="401" spans="1:27" ht="15.75" customHeight="1">
      <c r="A401" s="80"/>
      <c r="B401" s="270"/>
      <c r="C401" s="271"/>
      <c r="D401" s="80"/>
      <c r="E401" s="271"/>
      <c r="F401" s="272"/>
      <c r="G401" s="270"/>
      <c r="H401" s="271"/>
      <c r="I401" s="272"/>
      <c r="J401" s="80"/>
      <c r="K401" s="273"/>
      <c r="L401" s="273"/>
      <c r="M401" s="273"/>
      <c r="N401" s="273"/>
      <c r="O401" s="273"/>
      <c r="P401" s="273"/>
      <c r="Q401" s="274"/>
      <c r="R401" s="80"/>
      <c r="S401" s="80"/>
      <c r="T401" s="241"/>
      <c r="U401" s="80"/>
      <c r="V401" s="80"/>
      <c r="W401" s="80"/>
      <c r="X401" s="80"/>
      <c r="Y401" s="80"/>
      <c r="Z401" s="80"/>
      <c r="AA401" s="80"/>
    </row>
    <row r="402" spans="1:27" ht="15.75" customHeight="1">
      <c r="A402" s="80"/>
      <c r="B402" s="270"/>
      <c r="C402" s="271"/>
      <c r="D402" s="80"/>
      <c r="E402" s="271"/>
      <c r="F402" s="272"/>
      <c r="G402" s="270"/>
      <c r="H402" s="271"/>
      <c r="I402" s="272"/>
      <c r="J402" s="80"/>
      <c r="K402" s="273"/>
      <c r="L402" s="273"/>
      <c r="M402" s="273"/>
      <c r="N402" s="273"/>
      <c r="O402" s="273"/>
      <c r="P402" s="273"/>
      <c r="Q402" s="274"/>
      <c r="R402" s="80"/>
      <c r="S402" s="80"/>
      <c r="T402" s="241"/>
      <c r="U402" s="80"/>
      <c r="V402" s="80"/>
      <c r="W402" s="80"/>
      <c r="X402" s="80"/>
      <c r="Y402" s="80"/>
      <c r="Z402" s="80"/>
      <c r="AA402" s="80"/>
    </row>
    <row r="403" spans="1:27" ht="15.75" customHeight="1">
      <c r="A403" s="80"/>
      <c r="B403" s="270"/>
      <c r="C403" s="271"/>
      <c r="D403" s="80"/>
      <c r="E403" s="271"/>
      <c r="F403" s="272"/>
      <c r="G403" s="270"/>
      <c r="H403" s="271"/>
      <c r="I403" s="272"/>
      <c r="J403" s="80"/>
      <c r="K403" s="273"/>
      <c r="L403" s="273"/>
      <c r="M403" s="273"/>
      <c r="N403" s="273"/>
      <c r="O403" s="273"/>
      <c r="P403" s="273"/>
      <c r="Q403" s="274"/>
      <c r="R403" s="80"/>
      <c r="S403" s="80"/>
      <c r="T403" s="241"/>
      <c r="U403" s="80"/>
      <c r="V403" s="80"/>
      <c r="W403" s="80"/>
      <c r="X403" s="80"/>
      <c r="Y403" s="80"/>
      <c r="Z403" s="80"/>
      <c r="AA403" s="80"/>
    </row>
    <row r="404" spans="1:27" ht="15.75" customHeight="1">
      <c r="A404" s="80"/>
      <c r="B404" s="270"/>
      <c r="C404" s="271"/>
      <c r="D404" s="80"/>
      <c r="E404" s="271"/>
      <c r="F404" s="272"/>
      <c r="G404" s="270"/>
      <c r="H404" s="271"/>
      <c r="I404" s="272"/>
      <c r="J404" s="80"/>
      <c r="K404" s="273"/>
      <c r="L404" s="273"/>
      <c r="M404" s="273"/>
      <c r="N404" s="273"/>
      <c r="O404" s="273"/>
      <c r="P404" s="273"/>
      <c r="Q404" s="274"/>
      <c r="R404" s="80"/>
      <c r="S404" s="80"/>
      <c r="T404" s="241"/>
      <c r="U404" s="80"/>
      <c r="V404" s="80"/>
      <c r="W404" s="80"/>
      <c r="X404" s="80"/>
      <c r="Y404" s="80"/>
      <c r="Z404" s="80"/>
      <c r="AA404" s="80"/>
    </row>
    <row r="405" spans="1:27" ht="15.75" customHeight="1">
      <c r="A405" s="80"/>
      <c r="B405" s="270"/>
      <c r="C405" s="271"/>
      <c r="D405" s="80"/>
      <c r="E405" s="271"/>
      <c r="F405" s="272"/>
      <c r="G405" s="270"/>
      <c r="H405" s="271"/>
      <c r="I405" s="272"/>
      <c r="J405" s="80"/>
      <c r="K405" s="273"/>
      <c r="L405" s="273"/>
      <c r="M405" s="273"/>
      <c r="N405" s="273"/>
      <c r="O405" s="273"/>
      <c r="P405" s="273"/>
      <c r="Q405" s="274"/>
      <c r="R405" s="80"/>
      <c r="S405" s="80"/>
      <c r="T405" s="241"/>
      <c r="U405" s="80"/>
      <c r="V405" s="80"/>
      <c r="W405" s="80"/>
      <c r="X405" s="80"/>
      <c r="Y405" s="80"/>
      <c r="Z405" s="80"/>
      <c r="AA405" s="80"/>
    </row>
    <row r="406" spans="1:27" ht="15.75" customHeight="1">
      <c r="A406" s="80"/>
      <c r="B406" s="270"/>
      <c r="C406" s="271"/>
      <c r="D406" s="80"/>
      <c r="E406" s="271"/>
      <c r="F406" s="272"/>
      <c r="G406" s="270"/>
      <c r="H406" s="271"/>
      <c r="I406" s="272"/>
      <c r="J406" s="80"/>
      <c r="K406" s="273"/>
      <c r="L406" s="273"/>
      <c r="M406" s="273"/>
      <c r="N406" s="273"/>
      <c r="O406" s="273"/>
      <c r="P406" s="273"/>
      <c r="Q406" s="274"/>
      <c r="R406" s="80"/>
      <c r="S406" s="80"/>
      <c r="T406" s="241"/>
      <c r="U406" s="80"/>
      <c r="V406" s="80"/>
      <c r="W406" s="80"/>
      <c r="X406" s="80"/>
      <c r="Y406" s="80"/>
      <c r="Z406" s="80"/>
      <c r="AA406" s="80"/>
    </row>
    <row r="407" spans="1:27" ht="15.75" customHeight="1">
      <c r="A407" s="80"/>
      <c r="B407" s="270"/>
      <c r="C407" s="271"/>
      <c r="D407" s="80"/>
      <c r="E407" s="271"/>
      <c r="F407" s="272"/>
      <c r="G407" s="270"/>
      <c r="H407" s="271"/>
      <c r="I407" s="272"/>
      <c r="J407" s="80"/>
      <c r="K407" s="273"/>
      <c r="L407" s="273"/>
      <c r="M407" s="273"/>
      <c r="N407" s="273"/>
      <c r="O407" s="273"/>
      <c r="P407" s="273"/>
      <c r="Q407" s="274"/>
      <c r="R407" s="80"/>
      <c r="S407" s="80"/>
      <c r="T407" s="241"/>
      <c r="U407" s="80"/>
      <c r="V407" s="80"/>
      <c r="W407" s="80"/>
      <c r="X407" s="80"/>
      <c r="Y407" s="80"/>
      <c r="Z407" s="80"/>
      <c r="AA407" s="80"/>
    </row>
    <row r="408" spans="1:27" ht="15.75" customHeight="1">
      <c r="A408" s="80"/>
      <c r="B408" s="270"/>
      <c r="C408" s="271"/>
      <c r="D408" s="80"/>
      <c r="E408" s="271"/>
      <c r="F408" s="272"/>
      <c r="G408" s="270"/>
      <c r="H408" s="271"/>
      <c r="I408" s="272"/>
      <c r="J408" s="80"/>
      <c r="K408" s="273"/>
      <c r="L408" s="273"/>
      <c r="M408" s="273"/>
      <c r="N408" s="273"/>
      <c r="O408" s="273"/>
      <c r="P408" s="273"/>
      <c r="Q408" s="274"/>
      <c r="R408" s="80"/>
      <c r="S408" s="80"/>
      <c r="T408" s="241"/>
      <c r="U408" s="80"/>
      <c r="V408" s="80"/>
      <c r="W408" s="80"/>
      <c r="X408" s="80"/>
      <c r="Y408" s="80"/>
      <c r="Z408" s="80"/>
      <c r="AA408" s="80"/>
    </row>
    <row r="409" spans="1:27" ht="15.75" customHeight="1">
      <c r="A409" s="80"/>
      <c r="B409" s="270"/>
      <c r="C409" s="271"/>
      <c r="D409" s="80"/>
      <c r="E409" s="271"/>
      <c r="F409" s="272"/>
      <c r="G409" s="270"/>
      <c r="H409" s="271"/>
      <c r="I409" s="272"/>
      <c r="J409" s="80"/>
      <c r="K409" s="273"/>
      <c r="L409" s="273"/>
      <c r="M409" s="273"/>
      <c r="N409" s="273"/>
      <c r="O409" s="273"/>
      <c r="P409" s="273"/>
      <c r="Q409" s="274"/>
      <c r="R409" s="80"/>
      <c r="S409" s="80"/>
      <c r="T409" s="241"/>
      <c r="U409" s="80"/>
      <c r="V409" s="80"/>
      <c r="W409" s="80"/>
      <c r="X409" s="80"/>
      <c r="Y409" s="80"/>
      <c r="Z409" s="80"/>
      <c r="AA409" s="80"/>
    </row>
    <row r="410" spans="1:27" ht="15.75" customHeight="1">
      <c r="A410" s="80"/>
      <c r="B410" s="270"/>
      <c r="C410" s="271"/>
      <c r="D410" s="80"/>
      <c r="E410" s="271"/>
      <c r="F410" s="272"/>
      <c r="G410" s="270"/>
      <c r="H410" s="271"/>
      <c r="I410" s="272"/>
      <c r="J410" s="80"/>
      <c r="K410" s="273"/>
      <c r="L410" s="273"/>
      <c r="M410" s="273"/>
      <c r="N410" s="273"/>
      <c r="O410" s="273"/>
      <c r="P410" s="273"/>
      <c r="Q410" s="274"/>
      <c r="R410" s="80"/>
      <c r="S410" s="80"/>
      <c r="T410" s="241"/>
      <c r="U410" s="80"/>
      <c r="V410" s="80"/>
      <c r="W410" s="80"/>
      <c r="X410" s="80"/>
      <c r="Y410" s="80"/>
      <c r="Z410" s="80"/>
      <c r="AA410" s="80"/>
    </row>
    <row r="411" spans="1:27" ht="15.75" customHeight="1">
      <c r="A411" s="80"/>
      <c r="B411" s="270"/>
      <c r="C411" s="271"/>
      <c r="D411" s="80"/>
      <c r="E411" s="271"/>
      <c r="F411" s="272"/>
      <c r="G411" s="270"/>
      <c r="H411" s="271"/>
      <c r="I411" s="272"/>
      <c r="J411" s="80"/>
      <c r="K411" s="273"/>
      <c r="L411" s="273"/>
      <c r="M411" s="273"/>
      <c r="N411" s="273"/>
      <c r="O411" s="273"/>
      <c r="P411" s="273"/>
      <c r="Q411" s="274"/>
      <c r="R411" s="80"/>
      <c r="S411" s="80"/>
      <c r="T411" s="241"/>
      <c r="U411" s="80"/>
      <c r="V411" s="80"/>
      <c r="W411" s="80"/>
      <c r="X411" s="80"/>
      <c r="Y411" s="80"/>
      <c r="Z411" s="80"/>
      <c r="AA411" s="80"/>
    </row>
    <row r="412" spans="1:27" ht="15.75" customHeight="1">
      <c r="A412" s="80"/>
      <c r="B412" s="270"/>
      <c r="C412" s="271"/>
      <c r="D412" s="80"/>
      <c r="E412" s="271"/>
      <c r="F412" s="272"/>
      <c r="G412" s="270"/>
      <c r="H412" s="271"/>
      <c r="I412" s="272"/>
      <c r="J412" s="80"/>
      <c r="K412" s="273"/>
      <c r="L412" s="273"/>
      <c r="M412" s="273"/>
      <c r="N412" s="273"/>
      <c r="O412" s="273"/>
      <c r="P412" s="273"/>
      <c r="Q412" s="274"/>
      <c r="R412" s="80"/>
      <c r="S412" s="80"/>
      <c r="T412" s="241"/>
      <c r="U412" s="80"/>
      <c r="V412" s="80"/>
      <c r="W412" s="80"/>
      <c r="X412" s="80"/>
      <c r="Y412" s="80"/>
      <c r="Z412" s="80"/>
      <c r="AA412" s="80"/>
    </row>
    <row r="413" spans="1:27" ht="15.75" customHeight="1">
      <c r="A413" s="80"/>
      <c r="B413" s="270"/>
      <c r="C413" s="271"/>
      <c r="D413" s="80"/>
      <c r="E413" s="271"/>
      <c r="F413" s="272"/>
      <c r="G413" s="270"/>
      <c r="H413" s="271"/>
      <c r="I413" s="272"/>
      <c r="J413" s="80"/>
      <c r="K413" s="273"/>
      <c r="L413" s="273"/>
      <c r="M413" s="273"/>
      <c r="N413" s="273"/>
      <c r="O413" s="273"/>
      <c r="P413" s="273"/>
      <c r="Q413" s="274"/>
      <c r="R413" s="80"/>
      <c r="S413" s="80"/>
      <c r="T413" s="241"/>
      <c r="U413" s="80"/>
      <c r="V413" s="80"/>
      <c r="W413" s="80"/>
      <c r="X413" s="80"/>
      <c r="Y413" s="80"/>
      <c r="Z413" s="80"/>
      <c r="AA413" s="80"/>
    </row>
    <row r="414" spans="1:27" ht="15.75" customHeight="1">
      <c r="A414" s="80"/>
      <c r="B414" s="270"/>
      <c r="C414" s="271"/>
      <c r="D414" s="80"/>
      <c r="E414" s="271"/>
      <c r="F414" s="272"/>
      <c r="G414" s="270"/>
      <c r="H414" s="271"/>
      <c r="I414" s="272"/>
      <c r="J414" s="80"/>
      <c r="K414" s="273"/>
      <c r="L414" s="273"/>
      <c r="M414" s="273"/>
      <c r="N414" s="273"/>
      <c r="O414" s="273"/>
      <c r="P414" s="273"/>
      <c r="Q414" s="274"/>
      <c r="R414" s="80"/>
      <c r="S414" s="80"/>
      <c r="T414" s="241"/>
      <c r="U414" s="80"/>
      <c r="V414" s="80"/>
      <c r="W414" s="80"/>
      <c r="X414" s="80"/>
      <c r="Y414" s="80"/>
      <c r="Z414" s="80"/>
      <c r="AA414" s="80"/>
    </row>
    <row r="415" spans="1:27" ht="15.75" customHeight="1">
      <c r="A415" s="80"/>
      <c r="B415" s="270"/>
      <c r="C415" s="271"/>
      <c r="D415" s="80"/>
      <c r="E415" s="271"/>
      <c r="F415" s="272"/>
      <c r="G415" s="270"/>
      <c r="H415" s="271"/>
      <c r="I415" s="272"/>
      <c r="J415" s="80"/>
      <c r="K415" s="273"/>
      <c r="L415" s="273"/>
      <c r="M415" s="273"/>
      <c r="N415" s="273"/>
      <c r="O415" s="273"/>
      <c r="P415" s="273"/>
      <c r="Q415" s="274"/>
      <c r="R415" s="80"/>
      <c r="S415" s="80"/>
      <c r="T415" s="241"/>
      <c r="U415" s="80"/>
      <c r="V415" s="80"/>
      <c r="W415" s="80"/>
      <c r="X415" s="80"/>
      <c r="Y415" s="80"/>
      <c r="Z415" s="80"/>
      <c r="AA415" s="80"/>
    </row>
    <row r="416" spans="1:27" ht="15.75" customHeight="1">
      <c r="A416" s="80"/>
      <c r="B416" s="270"/>
      <c r="C416" s="271"/>
      <c r="D416" s="80"/>
      <c r="E416" s="271"/>
      <c r="F416" s="272"/>
      <c r="G416" s="270"/>
      <c r="H416" s="271"/>
      <c r="I416" s="272"/>
      <c r="J416" s="80"/>
      <c r="K416" s="273"/>
      <c r="L416" s="273"/>
      <c r="M416" s="273"/>
      <c r="N416" s="273"/>
      <c r="O416" s="273"/>
      <c r="P416" s="273"/>
      <c r="Q416" s="274"/>
      <c r="R416" s="80"/>
      <c r="S416" s="80"/>
      <c r="T416" s="241"/>
      <c r="U416" s="80"/>
      <c r="V416" s="80"/>
      <c r="W416" s="80"/>
      <c r="X416" s="80"/>
      <c r="Y416" s="80"/>
      <c r="Z416" s="80"/>
      <c r="AA416" s="80"/>
    </row>
    <row r="417" spans="1:27" ht="15.75" customHeight="1">
      <c r="A417" s="80"/>
      <c r="B417" s="270"/>
      <c r="C417" s="271"/>
      <c r="D417" s="80"/>
      <c r="E417" s="271"/>
      <c r="F417" s="272"/>
      <c r="G417" s="270"/>
      <c r="H417" s="271"/>
      <c r="I417" s="272"/>
      <c r="J417" s="80"/>
      <c r="K417" s="273"/>
      <c r="L417" s="273"/>
      <c r="M417" s="273"/>
      <c r="N417" s="273"/>
      <c r="O417" s="273"/>
      <c r="P417" s="273"/>
      <c r="Q417" s="274"/>
      <c r="R417" s="80"/>
      <c r="S417" s="80"/>
      <c r="T417" s="241"/>
      <c r="U417" s="80"/>
      <c r="V417" s="80"/>
      <c r="W417" s="80"/>
      <c r="X417" s="80"/>
      <c r="Y417" s="80"/>
      <c r="Z417" s="80"/>
      <c r="AA417" s="80"/>
    </row>
    <row r="418" spans="1:27" ht="15.75" customHeight="1">
      <c r="A418" s="80"/>
      <c r="B418" s="270"/>
      <c r="C418" s="271"/>
      <c r="D418" s="80"/>
      <c r="E418" s="271"/>
      <c r="F418" s="272"/>
      <c r="G418" s="270"/>
      <c r="H418" s="271"/>
      <c r="I418" s="272"/>
      <c r="J418" s="80"/>
      <c r="K418" s="273"/>
      <c r="L418" s="273"/>
      <c r="M418" s="273"/>
      <c r="N418" s="273"/>
      <c r="O418" s="273"/>
      <c r="P418" s="273"/>
      <c r="Q418" s="274"/>
      <c r="R418" s="80"/>
      <c r="S418" s="80"/>
      <c r="T418" s="241"/>
      <c r="U418" s="80"/>
      <c r="V418" s="80"/>
      <c r="W418" s="80"/>
      <c r="X418" s="80"/>
      <c r="Y418" s="80"/>
      <c r="Z418" s="80"/>
      <c r="AA418" s="80"/>
    </row>
    <row r="419" spans="1:27" ht="15.75" customHeight="1">
      <c r="A419" s="80"/>
      <c r="B419" s="270"/>
      <c r="C419" s="271"/>
      <c r="D419" s="80"/>
      <c r="E419" s="271"/>
      <c r="F419" s="272"/>
      <c r="G419" s="270"/>
      <c r="H419" s="271"/>
      <c r="I419" s="272"/>
      <c r="J419" s="80"/>
      <c r="K419" s="273"/>
      <c r="L419" s="273"/>
      <c r="M419" s="273"/>
      <c r="N419" s="273"/>
      <c r="O419" s="273"/>
      <c r="P419" s="273"/>
      <c r="Q419" s="274"/>
      <c r="R419" s="80"/>
      <c r="S419" s="80"/>
      <c r="T419" s="241"/>
      <c r="U419" s="80"/>
      <c r="V419" s="80"/>
      <c r="W419" s="80"/>
      <c r="X419" s="80"/>
      <c r="Y419" s="80"/>
      <c r="Z419" s="80"/>
      <c r="AA419" s="80"/>
    </row>
    <row r="420" spans="1:27" ht="15.75" customHeight="1">
      <c r="A420" s="80"/>
      <c r="B420" s="270"/>
      <c r="C420" s="271"/>
      <c r="D420" s="80"/>
      <c r="E420" s="271"/>
      <c r="F420" s="272"/>
      <c r="G420" s="270"/>
      <c r="H420" s="271"/>
      <c r="I420" s="272"/>
      <c r="J420" s="80"/>
      <c r="K420" s="273"/>
      <c r="L420" s="273"/>
      <c r="M420" s="273"/>
      <c r="N420" s="273"/>
      <c r="O420" s="273"/>
      <c r="P420" s="273"/>
      <c r="Q420" s="274"/>
      <c r="R420" s="80"/>
      <c r="S420" s="80"/>
      <c r="T420" s="241"/>
      <c r="U420" s="80"/>
      <c r="V420" s="80"/>
      <c r="W420" s="80"/>
      <c r="X420" s="80"/>
      <c r="Y420" s="80"/>
      <c r="Z420" s="80"/>
      <c r="AA420" s="80"/>
    </row>
    <row r="421" spans="1:27" ht="15.75" customHeight="1">
      <c r="A421" s="80"/>
      <c r="B421" s="270"/>
      <c r="C421" s="271"/>
      <c r="D421" s="80"/>
      <c r="E421" s="271"/>
      <c r="F421" s="272"/>
      <c r="G421" s="270"/>
      <c r="H421" s="271"/>
      <c r="I421" s="272"/>
      <c r="J421" s="80"/>
      <c r="K421" s="273"/>
      <c r="L421" s="273"/>
      <c r="M421" s="273"/>
      <c r="N421" s="273"/>
      <c r="O421" s="273"/>
      <c r="P421" s="273"/>
      <c r="Q421" s="274"/>
      <c r="R421" s="80"/>
      <c r="S421" s="80"/>
      <c r="T421" s="241"/>
      <c r="U421" s="80"/>
      <c r="V421" s="80"/>
      <c r="W421" s="80"/>
      <c r="X421" s="80"/>
      <c r="Y421" s="80"/>
      <c r="Z421" s="80"/>
      <c r="AA421" s="80"/>
    </row>
    <row r="422" spans="1:27" ht="15.75" customHeight="1">
      <c r="A422" s="80"/>
      <c r="B422" s="270"/>
      <c r="C422" s="271"/>
      <c r="D422" s="80"/>
      <c r="E422" s="271"/>
      <c r="F422" s="272"/>
      <c r="G422" s="270"/>
      <c r="H422" s="271"/>
      <c r="I422" s="272"/>
      <c r="J422" s="80"/>
      <c r="K422" s="273"/>
      <c r="L422" s="273"/>
      <c r="M422" s="273"/>
      <c r="N422" s="273"/>
      <c r="O422" s="273"/>
      <c r="P422" s="273"/>
      <c r="Q422" s="274"/>
      <c r="R422" s="80"/>
      <c r="S422" s="80"/>
      <c r="T422" s="241"/>
      <c r="U422" s="80"/>
      <c r="V422" s="80"/>
      <c r="W422" s="80"/>
      <c r="X422" s="80"/>
      <c r="Y422" s="80"/>
      <c r="Z422" s="80"/>
      <c r="AA422" s="80"/>
    </row>
    <row r="423" spans="1:27" ht="15.75" customHeight="1">
      <c r="A423" s="80"/>
      <c r="B423" s="270"/>
      <c r="C423" s="271"/>
      <c r="D423" s="80"/>
      <c r="E423" s="271"/>
      <c r="F423" s="272"/>
      <c r="G423" s="270"/>
      <c r="H423" s="271"/>
      <c r="I423" s="272"/>
      <c r="J423" s="80"/>
      <c r="K423" s="273"/>
      <c r="L423" s="273"/>
      <c r="M423" s="273"/>
      <c r="N423" s="273"/>
      <c r="O423" s="273"/>
      <c r="P423" s="273"/>
      <c r="Q423" s="274"/>
      <c r="R423" s="80"/>
      <c r="S423" s="80"/>
      <c r="T423" s="241"/>
      <c r="U423" s="80"/>
      <c r="V423" s="80"/>
      <c r="W423" s="80"/>
      <c r="X423" s="80"/>
      <c r="Y423" s="80"/>
      <c r="Z423" s="80"/>
      <c r="AA423" s="80"/>
    </row>
    <row r="424" spans="1:27" ht="15.75" customHeight="1">
      <c r="A424" s="80"/>
      <c r="B424" s="270"/>
      <c r="C424" s="271"/>
      <c r="D424" s="80"/>
      <c r="E424" s="271"/>
      <c r="F424" s="272"/>
      <c r="G424" s="270"/>
      <c r="H424" s="271"/>
      <c r="I424" s="272"/>
      <c r="J424" s="80"/>
      <c r="K424" s="273"/>
      <c r="L424" s="273"/>
      <c r="M424" s="273"/>
      <c r="N424" s="273"/>
      <c r="O424" s="273"/>
      <c r="P424" s="273"/>
      <c r="Q424" s="274"/>
      <c r="R424" s="80"/>
      <c r="S424" s="80"/>
      <c r="T424" s="241"/>
      <c r="U424" s="80"/>
      <c r="V424" s="80"/>
      <c r="W424" s="80"/>
      <c r="X424" s="80"/>
      <c r="Y424" s="80"/>
      <c r="Z424" s="80"/>
      <c r="AA424" s="80"/>
    </row>
    <row r="425" spans="1:27" ht="15.75" customHeight="1">
      <c r="A425" s="80"/>
      <c r="B425" s="270"/>
      <c r="C425" s="271"/>
      <c r="D425" s="80"/>
      <c r="E425" s="271"/>
      <c r="F425" s="272"/>
      <c r="G425" s="270"/>
      <c r="H425" s="271"/>
      <c r="I425" s="272"/>
      <c r="J425" s="80"/>
      <c r="K425" s="273"/>
      <c r="L425" s="273"/>
      <c r="M425" s="273"/>
      <c r="N425" s="273"/>
      <c r="O425" s="273"/>
      <c r="P425" s="273"/>
      <c r="Q425" s="274"/>
      <c r="R425" s="80"/>
      <c r="S425" s="80"/>
      <c r="T425" s="241"/>
      <c r="U425" s="80"/>
      <c r="V425" s="80"/>
      <c r="W425" s="80"/>
      <c r="X425" s="80"/>
      <c r="Y425" s="80"/>
      <c r="Z425" s="80"/>
      <c r="AA425" s="80"/>
    </row>
    <row r="426" spans="1:27" ht="15.75" customHeight="1">
      <c r="A426" s="80"/>
      <c r="B426" s="270"/>
      <c r="C426" s="271"/>
      <c r="D426" s="80"/>
      <c r="E426" s="271"/>
      <c r="F426" s="272"/>
      <c r="G426" s="270"/>
      <c r="H426" s="271"/>
      <c r="I426" s="272"/>
      <c r="J426" s="80"/>
      <c r="K426" s="273"/>
      <c r="L426" s="273"/>
      <c r="M426" s="273"/>
      <c r="N426" s="273"/>
      <c r="O426" s="273"/>
      <c r="P426" s="273"/>
      <c r="Q426" s="274"/>
      <c r="R426" s="80"/>
      <c r="S426" s="80"/>
      <c r="T426" s="241"/>
      <c r="U426" s="80"/>
      <c r="V426" s="80"/>
      <c r="W426" s="80"/>
      <c r="X426" s="80"/>
      <c r="Y426" s="80"/>
      <c r="Z426" s="80"/>
      <c r="AA426" s="80"/>
    </row>
    <row r="427" spans="1:27" ht="15.75" customHeight="1">
      <c r="A427" s="80"/>
      <c r="B427" s="270"/>
      <c r="C427" s="271"/>
      <c r="D427" s="80"/>
      <c r="E427" s="271"/>
      <c r="F427" s="272"/>
      <c r="G427" s="270"/>
      <c r="H427" s="271"/>
      <c r="I427" s="272"/>
      <c r="J427" s="80"/>
      <c r="K427" s="273"/>
      <c r="L427" s="273"/>
      <c r="M427" s="273"/>
      <c r="N427" s="273"/>
      <c r="O427" s="273"/>
      <c r="P427" s="273"/>
      <c r="Q427" s="274"/>
      <c r="R427" s="80"/>
      <c r="S427" s="80"/>
      <c r="T427" s="241"/>
      <c r="U427" s="80"/>
      <c r="V427" s="80"/>
      <c r="W427" s="80"/>
      <c r="X427" s="80"/>
      <c r="Y427" s="80"/>
      <c r="Z427" s="80"/>
      <c r="AA427" s="80"/>
    </row>
    <row r="428" spans="1:27" ht="15.75" customHeight="1">
      <c r="A428" s="80"/>
      <c r="B428" s="270"/>
      <c r="C428" s="271"/>
      <c r="D428" s="80"/>
      <c r="E428" s="271"/>
      <c r="F428" s="272"/>
      <c r="G428" s="270"/>
      <c r="H428" s="271"/>
      <c r="I428" s="272"/>
      <c r="J428" s="80"/>
      <c r="K428" s="273"/>
      <c r="L428" s="273"/>
      <c r="M428" s="273"/>
      <c r="N428" s="273"/>
      <c r="O428" s="273"/>
      <c r="P428" s="273"/>
      <c r="Q428" s="274"/>
      <c r="R428" s="80"/>
      <c r="S428" s="80"/>
      <c r="T428" s="241"/>
      <c r="U428" s="80"/>
      <c r="V428" s="80"/>
      <c r="W428" s="80"/>
      <c r="X428" s="80"/>
      <c r="Y428" s="80"/>
      <c r="Z428" s="80"/>
      <c r="AA428" s="80"/>
    </row>
    <row r="429" spans="1:27" ht="15.75" customHeight="1">
      <c r="A429" s="80"/>
      <c r="B429" s="270"/>
      <c r="C429" s="271"/>
      <c r="D429" s="80"/>
      <c r="E429" s="271"/>
      <c r="F429" s="272"/>
      <c r="G429" s="270"/>
      <c r="H429" s="271"/>
      <c r="I429" s="272"/>
      <c r="J429" s="80"/>
      <c r="K429" s="273"/>
      <c r="L429" s="273"/>
      <c r="M429" s="273"/>
      <c r="N429" s="273"/>
      <c r="O429" s="273"/>
      <c r="P429" s="273"/>
      <c r="Q429" s="274"/>
      <c r="R429" s="80"/>
      <c r="S429" s="80"/>
      <c r="T429" s="241"/>
      <c r="U429" s="80"/>
      <c r="V429" s="80"/>
      <c r="W429" s="80"/>
      <c r="X429" s="80"/>
      <c r="Y429" s="80"/>
      <c r="Z429" s="80"/>
      <c r="AA429" s="80"/>
    </row>
    <row r="430" spans="1:27" ht="15.75" customHeight="1">
      <c r="A430" s="80"/>
      <c r="B430" s="270"/>
      <c r="C430" s="271"/>
      <c r="D430" s="80"/>
      <c r="E430" s="271"/>
      <c r="F430" s="272"/>
      <c r="G430" s="270"/>
      <c r="H430" s="271"/>
      <c r="I430" s="272"/>
      <c r="J430" s="80"/>
      <c r="K430" s="273"/>
      <c r="L430" s="273"/>
      <c r="M430" s="273"/>
      <c r="N430" s="273"/>
      <c r="O430" s="273"/>
      <c r="P430" s="273"/>
      <c r="Q430" s="274"/>
      <c r="R430" s="80"/>
      <c r="S430" s="80"/>
      <c r="T430" s="241"/>
      <c r="U430" s="80"/>
      <c r="V430" s="80"/>
      <c r="W430" s="80"/>
      <c r="X430" s="80"/>
      <c r="Y430" s="80"/>
      <c r="Z430" s="80"/>
      <c r="AA430" s="80"/>
    </row>
    <row r="431" spans="1:27" ht="15.75" customHeight="1">
      <c r="A431" s="80"/>
      <c r="B431" s="270"/>
      <c r="C431" s="271"/>
      <c r="D431" s="80"/>
      <c r="E431" s="271"/>
      <c r="F431" s="272"/>
      <c r="G431" s="270"/>
      <c r="H431" s="271"/>
      <c r="I431" s="272"/>
      <c r="J431" s="80"/>
      <c r="K431" s="273"/>
      <c r="L431" s="273"/>
      <c r="M431" s="273"/>
      <c r="N431" s="273"/>
      <c r="O431" s="273"/>
      <c r="P431" s="273"/>
      <c r="Q431" s="274"/>
      <c r="R431" s="80"/>
      <c r="S431" s="80"/>
      <c r="T431" s="241"/>
      <c r="U431" s="80"/>
      <c r="V431" s="80"/>
      <c r="W431" s="80"/>
      <c r="X431" s="80"/>
      <c r="Y431" s="80"/>
      <c r="Z431" s="80"/>
      <c r="AA431" s="80"/>
    </row>
    <row r="432" spans="1:27" ht="15.75" customHeight="1">
      <c r="A432" s="80"/>
      <c r="B432" s="270"/>
      <c r="C432" s="271"/>
      <c r="D432" s="80"/>
      <c r="E432" s="271"/>
      <c r="F432" s="272"/>
      <c r="G432" s="270"/>
      <c r="H432" s="271"/>
      <c r="I432" s="272"/>
      <c r="J432" s="80"/>
      <c r="K432" s="273"/>
      <c r="L432" s="273"/>
      <c r="M432" s="273"/>
      <c r="N432" s="273"/>
      <c r="O432" s="273"/>
      <c r="P432" s="273"/>
      <c r="Q432" s="274"/>
      <c r="R432" s="80"/>
      <c r="S432" s="80"/>
      <c r="T432" s="241"/>
      <c r="U432" s="80"/>
      <c r="V432" s="80"/>
      <c r="W432" s="80"/>
      <c r="X432" s="80"/>
      <c r="Y432" s="80"/>
      <c r="Z432" s="80"/>
      <c r="AA432" s="80"/>
    </row>
    <row r="433" spans="1:27" ht="15.75" customHeight="1">
      <c r="A433" s="80"/>
      <c r="B433" s="270"/>
      <c r="C433" s="271"/>
      <c r="D433" s="80"/>
      <c r="E433" s="271"/>
      <c r="F433" s="272"/>
      <c r="G433" s="270"/>
      <c r="H433" s="271"/>
      <c r="I433" s="272"/>
      <c r="J433" s="80"/>
      <c r="K433" s="273"/>
      <c r="L433" s="273"/>
      <c r="M433" s="273"/>
      <c r="N433" s="273"/>
      <c r="O433" s="273"/>
      <c r="P433" s="273"/>
      <c r="Q433" s="274"/>
      <c r="R433" s="80"/>
      <c r="S433" s="80"/>
      <c r="T433" s="241"/>
      <c r="U433" s="80"/>
      <c r="V433" s="80"/>
      <c r="W433" s="80"/>
      <c r="X433" s="80"/>
      <c r="Y433" s="80"/>
      <c r="Z433" s="80"/>
      <c r="AA433" s="80"/>
    </row>
    <row r="434" spans="1:27" ht="15.75" customHeight="1">
      <c r="A434" s="80"/>
      <c r="B434" s="270"/>
      <c r="C434" s="271"/>
      <c r="D434" s="80"/>
      <c r="E434" s="271"/>
      <c r="F434" s="272"/>
      <c r="G434" s="270"/>
      <c r="H434" s="271"/>
      <c r="I434" s="272"/>
      <c r="J434" s="80"/>
      <c r="K434" s="273"/>
      <c r="L434" s="273"/>
      <c r="M434" s="273"/>
      <c r="N434" s="273"/>
      <c r="O434" s="273"/>
      <c r="P434" s="273"/>
      <c r="Q434" s="274"/>
      <c r="R434" s="80"/>
      <c r="S434" s="80"/>
      <c r="T434" s="241"/>
      <c r="U434" s="80"/>
      <c r="V434" s="80"/>
      <c r="W434" s="80"/>
      <c r="X434" s="80"/>
      <c r="Y434" s="80"/>
      <c r="Z434" s="80"/>
      <c r="AA434" s="80"/>
    </row>
    <row r="435" spans="1:27" ht="15.75" customHeight="1">
      <c r="A435" s="80"/>
      <c r="B435" s="270"/>
      <c r="C435" s="271"/>
      <c r="D435" s="80"/>
      <c r="E435" s="271"/>
      <c r="F435" s="272"/>
      <c r="G435" s="270"/>
      <c r="H435" s="271"/>
      <c r="I435" s="272"/>
      <c r="J435" s="80"/>
      <c r="K435" s="273"/>
      <c r="L435" s="273"/>
      <c r="M435" s="273"/>
      <c r="N435" s="273"/>
      <c r="O435" s="273"/>
      <c r="P435" s="273"/>
      <c r="Q435" s="274"/>
      <c r="R435" s="80"/>
      <c r="S435" s="80"/>
      <c r="T435" s="241"/>
      <c r="U435" s="80"/>
      <c r="V435" s="80"/>
      <c r="W435" s="80"/>
      <c r="X435" s="80"/>
      <c r="Y435" s="80"/>
      <c r="Z435" s="80"/>
      <c r="AA435" s="80"/>
    </row>
    <row r="436" spans="1:27" ht="15.75" customHeight="1">
      <c r="A436" s="80"/>
      <c r="B436" s="270"/>
      <c r="C436" s="271"/>
      <c r="D436" s="80"/>
      <c r="E436" s="271"/>
      <c r="F436" s="272"/>
      <c r="G436" s="270"/>
      <c r="H436" s="271"/>
      <c r="I436" s="272"/>
      <c r="J436" s="80"/>
      <c r="K436" s="273"/>
      <c r="L436" s="273"/>
      <c r="M436" s="273"/>
      <c r="N436" s="273"/>
      <c r="O436" s="273"/>
      <c r="P436" s="273"/>
      <c r="Q436" s="274"/>
      <c r="R436" s="80"/>
      <c r="S436" s="80"/>
      <c r="T436" s="241"/>
      <c r="U436" s="80"/>
      <c r="V436" s="80"/>
      <c r="W436" s="80"/>
      <c r="X436" s="80"/>
      <c r="Y436" s="80"/>
      <c r="Z436" s="80"/>
      <c r="AA436" s="80"/>
    </row>
    <row r="437" spans="1:27" ht="15.75" customHeight="1">
      <c r="A437" s="80"/>
      <c r="B437" s="270"/>
      <c r="C437" s="271"/>
      <c r="D437" s="80"/>
      <c r="E437" s="271"/>
      <c r="F437" s="272"/>
      <c r="G437" s="270"/>
      <c r="H437" s="271"/>
      <c r="I437" s="272"/>
      <c r="J437" s="80"/>
      <c r="K437" s="273"/>
      <c r="L437" s="273"/>
      <c r="M437" s="273"/>
      <c r="N437" s="273"/>
      <c r="O437" s="273"/>
      <c r="P437" s="273"/>
      <c r="Q437" s="274"/>
      <c r="R437" s="80"/>
      <c r="S437" s="80"/>
      <c r="T437" s="241"/>
      <c r="U437" s="80"/>
      <c r="V437" s="80"/>
      <c r="W437" s="80"/>
      <c r="X437" s="80"/>
      <c r="Y437" s="80"/>
      <c r="Z437" s="80"/>
      <c r="AA437" s="80"/>
    </row>
    <row r="438" spans="1:27" ht="15.75" customHeight="1">
      <c r="A438" s="80"/>
      <c r="B438" s="270"/>
      <c r="C438" s="271"/>
      <c r="D438" s="80"/>
      <c r="E438" s="271"/>
      <c r="F438" s="272"/>
      <c r="G438" s="270"/>
      <c r="H438" s="271"/>
      <c r="I438" s="272"/>
      <c r="J438" s="80"/>
      <c r="K438" s="273"/>
      <c r="L438" s="273"/>
      <c r="M438" s="273"/>
      <c r="N438" s="273"/>
      <c r="O438" s="273"/>
      <c r="P438" s="273"/>
      <c r="Q438" s="274"/>
      <c r="R438" s="80"/>
      <c r="S438" s="80"/>
      <c r="T438" s="241"/>
      <c r="U438" s="80"/>
      <c r="V438" s="80"/>
      <c r="W438" s="80"/>
      <c r="X438" s="80"/>
      <c r="Y438" s="80"/>
      <c r="Z438" s="80"/>
      <c r="AA438" s="80"/>
    </row>
    <row r="439" spans="1:27" ht="15.75" customHeight="1">
      <c r="A439" s="80"/>
      <c r="B439" s="270"/>
      <c r="C439" s="271"/>
      <c r="D439" s="80"/>
      <c r="E439" s="271"/>
      <c r="F439" s="272"/>
      <c r="G439" s="270"/>
      <c r="H439" s="271"/>
      <c r="I439" s="272"/>
      <c r="J439" s="80"/>
      <c r="K439" s="273"/>
      <c r="L439" s="273"/>
      <c r="M439" s="273"/>
      <c r="N439" s="273"/>
      <c r="O439" s="273"/>
      <c r="P439" s="273"/>
      <c r="Q439" s="274"/>
      <c r="R439" s="80"/>
      <c r="S439" s="80"/>
      <c r="T439" s="241"/>
      <c r="U439" s="80"/>
      <c r="V439" s="80"/>
      <c r="W439" s="80"/>
      <c r="X439" s="80"/>
      <c r="Y439" s="80"/>
      <c r="Z439" s="80"/>
      <c r="AA439" s="80"/>
    </row>
    <row r="440" spans="1:27" ht="15.75" customHeight="1">
      <c r="A440" s="80"/>
      <c r="B440" s="270"/>
      <c r="C440" s="271"/>
      <c r="D440" s="80"/>
      <c r="E440" s="271"/>
      <c r="F440" s="272"/>
      <c r="G440" s="270"/>
      <c r="H440" s="271"/>
      <c r="I440" s="272"/>
      <c r="J440" s="80"/>
      <c r="K440" s="273"/>
      <c r="L440" s="273"/>
      <c r="M440" s="273"/>
      <c r="N440" s="273"/>
      <c r="O440" s="273"/>
      <c r="P440" s="273"/>
      <c r="Q440" s="274"/>
      <c r="R440" s="80"/>
      <c r="S440" s="80"/>
      <c r="T440" s="241"/>
      <c r="U440" s="80"/>
      <c r="V440" s="80"/>
      <c r="W440" s="80"/>
      <c r="X440" s="80"/>
      <c r="Y440" s="80"/>
      <c r="Z440" s="80"/>
      <c r="AA440" s="80"/>
    </row>
    <row r="441" spans="1:27" ht="15.75" customHeight="1">
      <c r="A441" s="80"/>
      <c r="B441" s="270"/>
      <c r="C441" s="271"/>
      <c r="D441" s="80"/>
      <c r="E441" s="271"/>
      <c r="F441" s="272"/>
      <c r="G441" s="270"/>
      <c r="H441" s="271"/>
      <c r="I441" s="272"/>
      <c r="J441" s="80"/>
      <c r="K441" s="273"/>
      <c r="L441" s="273"/>
      <c r="M441" s="273"/>
      <c r="N441" s="273"/>
      <c r="O441" s="273"/>
      <c r="P441" s="273"/>
      <c r="Q441" s="274"/>
      <c r="R441" s="80"/>
      <c r="S441" s="80"/>
      <c r="T441" s="241"/>
      <c r="U441" s="80"/>
      <c r="V441" s="80"/>
      <c r="W441" s="80"/>
      <c r="X441" s="80"/>
      <c r="Y441" s="80"/>
      <c r="Z441" s="80"/>
      <c r="AA441" s="80"/>
    </row>
    <row r="442" spans="1:27" ht="15.75" customHeight="1">
      <c r="A442" s="80"/>
      <c r="B442" s="270"/>
      <c r="C442" s="271"/>
      <c r="D442" s="80"/>
      <c r="E442" s="271"/>
      <c r="F442" s="272"/>
      <c r="G442" s="270"/>
      <c r="H442" s="271"/>
      <c r="I442" s="272"/>
      <c r="J442" s="80"/>
      <c r="K442" s="273"/>
      <c r="L442" s="273"/>
      <c r="M442" s="273"/>
      <c r="N442" s="273"/>
      <c r="O442" s="273"/>
      <c r="P442" s="273"/>
      <c r="Q442" s="274"/>
      <c r="R442" s="80"/>
      <c r="S442" s="80"/>
      <c r="T442" s="241"/>
      <c r="U442" s="80"/>
      <c r="V442" s="80"/>
      <c r="W442" s="80"/>
      <c r="X442" s="80"/>
      <c r="Y442" s="80"/>
      <c r="Z442" s="80"/>
      <c r="AA442" s="80"/>
    </row>
    <row r="443" spans="1:27" ht="15.75" customHeight="1">
      <c r="A443" s="80"/>
      <c r="B443" s="270"/>
      <c r="C443" s="271"/>
      <c r="D443" s="80"/>
      <c r="E443" s="271"/>
      <c r="F443" s="272"/>
      <c r="G443" s="270"/>
      <c r="H443" s="271"/>
      <c r="I443" s="272"/>
      <c r="J443" s="80"/>
      <c r="K443" s="273"/>
      <c r="L443" s="273"/>
      <c r="M443" s="273"/>
      <c r="N443" s="273"/>
      <c r="O443" s="273"/>
      <c r="P443" s="273"/>
      <c r="Q443" s="274"/>
      <c r="R443" s="80"/>
      <c r="S443" s="80"/>
      <c r="T443" s="241"/>
      <c r="U443" s="80"/>
      <c r="V443" s="80"/>
      <c r="W443" s="80"/>
      <c r="X443" s="80"/>
      <c r="Y443" s="80"/>
      <c r="Z443" s="80"/>
      <c r="AA443" s="80"/>
    </row>
    <row r="444" spans="1:27" ht="15.75" customHeight="1">
      <c r="A444" s="80"/>
      <c r="B444" s="270"/>
      <c r="C444" s="271"/>
      <c r="D444" s="80"/>
      <c r="E444" s="271"/>
      <c r="F444" s="272"/>
      <c r="G444" s="270"/>
      <c r="H444" s="271"/>
      <c r="I444" s="272"/>
      <c r="J444" s="80"/>
      <c r="K444" s="273"/>
      <c r="L444" s="273"/>
      <c r="M444" s="273"/>
      <c r="N444" s="273"/>
      <c r="O444" s="273"/>
      <c r="P444" s="273"/>
      <c r="Q444" s="274"/>
      <c r="R444" s="80"/>
      <c r="S444" s="80"/>
      <c r="T444" s="241"/>
      <c r="U444" s="80"/>
      <c r="V444" s="80"/>
      <c r="W444" s="80"/>
      <c r="X444" s="80"/>
      <c r="Y444" s="80"/>
      <c r="Z444" s="80"/>
      <c r="AA444" s="80"/>
    </row>
    <row r="445" spans="1:27" ht="15.75" customHeight="1">
      <c r="A445" s="80"/>
      <c r="B445" s="270"/>
      <c r="C445" s="271"/>
      <c r="D445" s="80"/>
      <c r="E445" s="271"/>
      <c r="F445" s="272"/>
      <c r="G445" s="270"/>
      <c r="H445" s="271"/>
      <c r="I445" s="272"/>
      <c r="J445" s="80"/>
      <c r="K445" s="273"/>
      <c r="L445" s="273"/>
      <c r="M445" s="273"/>
      <c r="N445" s="273"/>
      <c r="O445" s="273"/>
      <c r="P445" s="273"/>
      <c r="Q445" s="274"/>
      <c r="R445" s="80"/>
      <c r="S445" s="80"/>
      <c r="T445" s="241"/>
      <c r="U445" s="80"/>
      <c r="V445" s="80"/>
      <c r="W445" s="80"/>
      <c r="X445" s="80"/>
      <c r="Y445" s="80"/>
      <c r="Z445" s="80"/>
      <c r="AA445" s="80"/>
    </row>
    <row r="446" spans="1:27" ht="15.75" customHeight="1">
      <c r="A446" s="80"/>
      <c r="B446" s="270"/>
      <c r="C446" s="271"/>
      <c r="D446" s="80"/>
      <c r="E446" s="271"/>
      <c r="F446" s="272"/>
      <c r="G446" s="270"/>
      <c r="H446" s="271"/>
      <c r="I446" s="272"/>
      <c r="J446" s="80"/>
      <c r="K446" s="273"/>
      <c r="L446" s="273"/>
      <c r="M446" s="273"/>
      <c r="N446" s="273"/>
      <c r="O446" s="273"/>
      <c r="P446" s="273"/>
      <c r="Q446" s="274"/>
      <c r="R446" s="80"/>
      <c r="S446" s="80"/>
      <c r="T446" s="241"/>
      <c r="U446" s="80"/>
      <c r="V446" s="80"/>
      <c r="W446" s="80"/>
      <c r="X446" s="80"/>
      <c r="Y446" s="80"/>
      <c r="Z446" s="80"/>
      <c r="AA446" s="80"/>
    </row>
    <row r="447" spans="1:27" ht="15.75" customHeight="1">
      <c r="A447" s="80"/>
      <c r="B447" s="270"/>
      <c r="C447" s="271"/>
      <c r="D447" s="80"/>
      <c r="E447" s="271"/>
      <c r="F447" s="272"/>
      <c r="G447" s="270"/>
      <c r="H447" s="271"/>
      <c r="I447" s="272"/>
      <c r="J447" s="80"/>
      <c r="K447" s="273"/>
      <c r="L447" s="273"/>
      <c r="M447" s="273"/>
      <c r="N447" s="273"/>
      <c r="O447" s="273"/>
      <c r="P447" s="273"/>
      <c r="Q447" s="274"/>
      <c r="R447" s="80"/>
      <c r="S447" s="80"/>
      <c r="T447" s="241"/>
      <c r="U447" s="80"/>
      <c r="V447" s="80"/>
      <c r="W447" s="80"/>
      <c r="X447" s="80"/>
      <c r="Y447" s="80"/>
      <c r="Z447" s="80"/>
      <c r="AA447" s="80"/>
    </row>
    <row r="448" spans="1:27" ht="15.75" customHeight="1">
      <c r="A448" s="80"/>
      <c r="B448" s="270"/>
      <c r="C448" s="271"/>
      <c r="D448" s="80"/>
      <c r="E448" s="271"/>
      <c r="F448" s="272"/>
      <c r="G448" s="270"/>
      <c r="H448" s="271"/>
      <c r="I448" s="272"/>
      <c r="J448" s="80"/>
      <c r="K448" s="273"/>
      <c r="L448" s="273"/>
      <c r="M448" s="273"/>
      <c r="N448" s="273"/>
      <c r="O448" s="273"/>
      <c r="P448" s="273"/>
      <c r="Q448" s="274"/>
      <c r="R448" s="80"/>
      <c r="S448" s="80"/>
      <c r="T448" s="241"/>
      <c r="U448" s="80"/>
      <c r="V448" s="80"/>
      <c r="W448" s="80"/>
      <c r="X448" s="80"/>
      <c r="Y448" s="80"/>
      <c r="Z448" s="80"/>
      <c r="AA448" s="80"/>
    </row>
    <row r="449" spans="1:27" ht="15.75" customHeight="1">
      <c r="A449" s="80"/>
      <c r="B449" s="270"/>
      <c r="C449" s="271"/>
      <c r="D449" s="80"/>
      <c r="E449" s="271"/>
      <c r="F449" s="272"/>
      <c r="G449" s="270"/>
      <c r="H449" s="271"/>
      <c r="I449" s="272"/>
      <c r="J449" s="80"/>
      <c r="K449" s="273"/>
      <c r="L449" s="273"/>
      <c r="M449" s="273"/>
      <c r="N449" s="273"/>
      <c r="O449" s="273"/>
      <c r="P449" s="273"/>
      <c r="Q449" s="274"/>
      <c r="R449" s="80"/>
      <c r="S449" s="80"/>
      <c r="T449" s="241"/>
      <c r="U449" s="80"/>
      <c r="V449" s="80"/>
      <c r="W449" s="80"/>
      <c r="X449" s="80"/>
      <c r="Y449" s="80"/>
      <c r="Z449" s="80"/>
      <c r="AA449" s="80"/>
    </row>
    <row r="450" spans="1:27" ht="15.75" customHeight="1">
      <c r="A450" s="80"/>
      <c r="B450" s="270"/>
      <c r="C450" s="271"/>
      <c r="D450" s="80"/>
      <c r="E450" s="271"/>
      <c r="F450" s="272"/>
      <c r="G450" s="270"/>
      <c r="H450" s="271"/>
      <c r="I450" s="272"/>
      <c r="J450" s="80"/>
      <c r="K450" s="273"/>
      <c r="L450" s="273"/>
      <c r="M450" s="273"/>
      <c r="N450" s="273"/>
      <c r="O450" s="273"/>
      <c r="P450" s="273"/>
      <c r="Q450" s="274"/>
      <c r="R450" s="80"/>
      <c r="S450" s="80"/>
      <c r="T450" s="241"/>
      <c r="U450" s="80"/>
      <c r="V450" s="80"/>
      <c r="W450" s="80"/>
      <c r="X450" s="80"/>
      <c r="Y450" s="80"/>
      <c r="Z450" s="80"/>
      <c r="AA450" s="80"/>
    </row>
    <row r="451" spans="1:27" ht="15.75" customHeight="1">
      <c r="A451" s="80"/>
      <c r="B451" s="270"/>
      <c r="C451" s="271"/>
      <c r="D451" s="80"/>
      <c r="E451" s="271"/>
      <c r="F451" s="272"/>
      <c r="G451" s="270"/>
      <c r="H451" s="271"/>
      <c r="I451" s="272"/>
      <c r="J451" s="80"/>
      <c r="K451" s="273"/>
      <c r="L451" s="273"/>
      <c r="M451" s="273"/>
      <c r="N451" s="273"/>
      <c r="O451" s="273"/>
      <c r="P451" s="273"/>
      <c r="Q451" s="274"/>
      <c r="R451" s="80"/>
      <c r="S451" s="80"/>
      <c r="T451" s="241"/>
      <c r="U451" s="80"/>
      <c r="V451" s="80"/>
      <c r="W451" s="80"/>
      <c r="X451" s="80"/>
      <c r="Y451" s="80"/>
      <c r="Z451" s="80"/>
      <c r="AA451" s="80"/>
    </row>
    <row r="452" spans="1:27" ht="15.75" customHeight="1">
      <c r="A452" s="80"/>
      <c r="B452" s="270"/>
      <c r="C452" s="271"/>
      <c r="D452" s="80"/>
      <c r="E452" s="271"/>
      <c r="F452" s="272"/>
      <c r="G452" s="270"/>
      <c r="H452" s="271"/>
      <c r="I452" s="272"/>
      <c r="J452" s="80"/>
      <c r="K452" s="273"/>
      <c r="L452" s="273"/>
      <c r="M452" s="273"/>
      <c r="N452" s="273"/>
      <c r="O452" s="273"/>
      <c r="P452" s="273"/>
      <c r="Q452" s="274"/>
      <c r="R452" s="80"/>
      <c r="S452" s="80"/>
      <c r="T452" s="241"/>
      <c r="U452" s="80"/>
      <c r="V452" s="80"/>
      <c r="W452" s="80"/>
      <c r="X452" s="80"/>
      <c r="Y452" s="80"/>
      <c r="Z452" s="80"/>
      <c r="AA452" s="80"/>
    </row>
    <row r="453" spans="1:27" ht="15.75" customHeight="1">
      <c r="A453" s="80"/>
      <c r="B453" s="270"/>
      <c r="C453" s="271"/>
      <c r="D453" s="80"/>
      <c r="E453" s="271"/>
      <c r="F453" s="272"/>
      <c r="G453" s="270"/>
      <c r="H453" s="271"/>
      <c r="I453" s="272"/>
      <c r="J453" s="80"/>
      <c r="K453" s="273"/>
      <c r="L453" s="273"/>
      <c r="M453" s="273"/>
      <c r="N453" s="273"/>
      <c r="O453" s="273"/>
      <c r="P453" s="273"/>
      <c r="Q453" s="274"/>
      <c r="R453" s="80"/>
      <c r="S453" s="80"/>
      <c r="T453" s="241"/>
      <c r="U453" s="80"/>
      <c r="V453" s="80"/>
      <c r="W453" s="80"/>
      <c r="X453" s="80"/>
      <c r="Y453" s="80"/>
      <c r="Z453" s="80"/>
      <c r="AA453" s="80"/>
    </row>
    <row r="454" spans="1:27" ht="15.75" customHeight="1">
      <c r="A454" s="80"/>
      <c r="B454" s="270"/>
      <c r="C454" s="271"/>
      <c r="D454" s="80"/>
      <c r="E454" s="271"/>
      <c r="F454" s="272"/>
      <c r="G454" s="270"/>
      <c r="H454" s="271"/>
      <c r="I454" s="272"/>
      <c r="J454" s="80"/>
      <c r="K454" s="273"/>
      <c r="L454" s="273"/>
      <c r="M454" s="273"/>
      <c r="N454" s="273"/>
      <c r="O454" s="273"/>
      <c r="P454" s="273"/>
      <c r="Q454" s="274"/>
      <c r="R454" s="80"/>
      <c r="S454" s="80"/>
      <c r="T454" s="241"/>
      <c r="U454" s="80"/>
      <c r="V454" s="80"/>
      <c r="W454" s="80"/>
      <c r="X454" s="80"/>
      <c r="Y454" s="80"/>
      <c r="Z454" s="80"/>
      <c r="AA454" s="80"/>
    </row>
    <row r="455" spans="1:27" ht="15.75" customHeight="1">
      <c r="A455" s="80"/>
      <c r="B455" s="270"/>
      <c r="C455" s="271"/>
      <c r="D455" s="80"/>
      <c r="E455" s="271"/>
      <c r="F455" s="272"/>
      <c r="G455" s="270"/>
      <c r="H455" s="271"/>
      <c r="I455" s="272"/>
      <c r="J455" s="80"/>
      <c r="K455" s="273"/>
      <c r="L455" s="273"/>
      <c r="M455" s="273"/>
      <c r="N455" s="273"/>
      <c r="O455" s="273"/>
      <c r="P455" s="273"/>
      <c r="Q455" s="274"/>
      <c r="R455" s="80"/>
      <c r="S455" s="80"/>
      <c r="T455" s="241"/>
      <c r="U455" s="80"/>
      <c r="V455" s="80"/>
      <c r="W455" s="80"/>
      <c r="X455" s="80"/>
      <c r="Y455" s="80"/>
      <c r="Z455" s="80"/>
      <c r="AA455" s="80"/>
    </row>
    <row r="456" spans="1:27" ht="15.75" customHeight="1">
      <c r="A456" s="80"/>
      <c r="B456" s="270"/>
      <c r="C456" s="271"/>
      <c r="D456" s="80"/>
      <c r="E456" s="271"/>
      <c r="F456" s="272"/>
      <c r="G456" s="270"/>
      <c r="H456" s="271"/>
      <c r="I456" s="272"/>
      <c r="J456" s="80"/>
      <c r="K456" s="273"/>
      <c r="L456" s="273"/>
      <c r="M456" s="273"/>
      <c r="N456" s="273"/>
      <c r="O456" s="273"/>
      <c r="P456" s="273"/>
      <c r="Q456" s="274"/>
      <c r="R456" s="80"/>
      <c r="S456" s="80"/>
      <c r="T456" s="241"/>
      <c r="U456" s="80"/>
      <c r="V456" s="80"/>
      <c r="W456" s="80"/>
      <c r="X456" s="80"/>
      <c r="Y456" s="80"/>
      <c r="Z456" s="80"/>
      <c r="AA456" s="80"/>
    </row>
    <row r="457" spans="1:27" ht="15.75" customHeight="1">
      <c r="A457" s="80"/>
      <c r="B457" s="270"/>
      <c r="C457" s="271"/>
      <c r="D457" s="80"/>
      <c r="E457" s="271"/>
      <c r="F457" s="272"/>
      <c r="G457" s="270"/>
      <c r="H457" s="271"/>
      <c r="I457" s="272"/>
      <c r="J457" s="80"/>
      <c r="K457" s="273"/>
      <c r="L457" s="273"/>
      <c r="M457" s="273"/>
      <c r="N457" s="273"/>
      <c r="O457" s="273"/>
      <c r="P457" s="273"/>
      <c r="Q457" s="274"/>
      <c r="R457" s="80"/>
      <c r="S457" s="80"/>
      <c r="T457" s="241"/>
      <c r="U457" s="80"/>
      <c r="V457" s="80"/>
      <c r="W457" s="80"/>
      <c r="X457" s="80"/>
      <c r="Y457" s="80"/>
      <c r="Z457" s="80"/>
      <c r="AA457" s="80"/>
    </row>
    <row r="458" spans="1:27" ht="15.75" customHeight="1">
      <c r="A458" s="80"/>
      <c r="B458" s="270"/>
      <c r="C458" s="271"/>
      <c r="D458" s="80"/>
      <c r="E458" s="271"/>
      <c r="F458" s="272"/>
      <c r="G458" s="270"/>
      <c r="H458" s="271"/>
      <c r="I458" s="272"/>
      <c r="J458" s="80"/>
      <c r="K458" s="273"/>
      <c r="L458" s="273"/>
      <c r="M458" s="273"/>
      <c r="N458" s="273"/>
      <c r="O458" s="273"/>
      <c r="P458" s="273"/>
      <c r="Q458" s="274"/>
      <c r="R458" s="80"/>
      <c r="S458" s="80"/>
      <c r="T458" s="241"/>
      <c r="U458" s="80"/>
      <c r="V458" s="80"/>
      <c r="W458" s="80"/>
      <c r="X458" s="80"/>
      <c r="Y458" s="80"/>
      <c r="Z458" s="80"/>
      <c r="AA458" s="80"/>
    </row>
    <row r="459" spans="1:27" ht="15.75" customHeight="1">
      <c r="A459" s="80"/>
      <c r="B459" s="270"/>
      <c r="C459" s="271"/>
      <c r="D459" s="80"/>
      <c r="E459" s="271"/>
      <c r="F459" s="272"/>
      <c r="G459" s="270"/>
      <c r="H459" s="271"/>
      <c r="I459" s="272"/>
      <c r="J459" s="80"/>
      <c r="K459" s="273"/>
      <c r="L459" s="273"/>
      <c r="M459" s="273"/>
      <c r="N459" s="273"/>
      <c r="O459" s="273"/>
      <c r="P459" s="273"/>
      <c r="Q459" s="274"/>
      <c r="R459" s="80"/>
      <c r="S459" s="80"/>
      <c r="T459" s="241"/>
      <c r="U459" s="80"/>
      <c r="V459" s="80"/>
      <c r="W459" s="80"/>
      <c r="X459" s="80"/>
      <c r="Y459" s="80"/>
      <c r="Z459" s="80"/>
      <c r="AA459" s="80"/>
    </row>
    <row r="460" spans="1:27" ht="15.75" customHeight="1">
      <c r="A460" s="80"/>
      <c r="B460" s="270"/>
      <c r="C460" s="271"/>
      <c r="D460" s="80"/>
      <c r="E460" s="271"/>
      <c r="F460" s="272"/>
      <c r="G460" s="270"/>
      <c r="H460" s="271"/>
      <c r="I460" s="272"/>
      <c r="J460" s="80"/>
      <c r="K460" s="273"/>
      <c r="L460" s="273"/>
      <c r="M460" s="273"/>
      <c r="N460" s="273"/>
      <c r="O460" s="273"/>
      <c r="P460" s="273"/>
      <c r="Q460" s="274"/>
      <c r="R460" s="80"/>
      <c r="S460" s="80"/>
      <c r="T460" s="241"/>
      <c r="U460" s="80"/>
      <c r="V460" s="80"/>
      <c r="W460" s="80"/>
      <c r="X460" s="80"/>
      <c r="Y460" s="80"/>
      <c r="Z460" s="80"/>
      <c r="AA460" s="80"/>
    </row>
    <row r="461" spans="1:27" ht="15.75" customHeight="1">
      <c r="A461" s="80"/>
      <c r="B461" s="270"/>
      <c r="C461" s="271"/>
      <c r="D461" s="80"/>
      <c r="E461" s="271"/>
      <c r="F461" s="272"/>
      <c r="G461" s="270"/>
      <c r="H461" s="271"/>
      <c r="I461" s="272"/>
      <c r="J461" s="80"/>
      <c r="K461" s="273"/>
      <c r="L461" s="273"/>
      <c r="M461" s="273"/>
      <c r="N461" s="273"/>
      <c r="O461" s="273"/>
      <c r="P461" s="273"/>
      <c r="Q461" s="274"/>
      <c r="R461" s="80"/>
      <c r="S461" s="80"/>
      <c r="T461" s="241"/>
      <c r="U461" s="80"/>
      <c r="V461" s="80"/>
      <c r="W461" s="80"/>
      <c r="X461" s="80"/>
      <c r="Y461" s="80"/>
      <c r="Z461" s="80"/>
      <c r="AA461" s="80"/>
    </row>
    <row r="462" spans="1:27" ht="15.75" customHeight="1">
      <c r="A462" s="80"/>
      <c r="B462" s="270"/>
      <c r="C462" s="271"/>
      <c r="D462" s="80"/>
      <c r="E462" s="271"/>
      <c r="F462" s="272"/>
      <c r="G462" s="270"/>
      <c r="H462" s="271"/>
      <c r="I462" s="272"/>
      <c r="J462" s="80"/>
      <c r="K462" s="273"/>
      <c r="L462" s="273"/>
      <c r="M462" s="273"/>
      <c r="N462" s="273"/>
      <c r="O462" s="273"/>
      <c r="P462" s="273"/>
      <c r="Q462" s="274"/>
      <c r="R462" s="80"/>
      <c r="S462" s="80"/>
      <c r="T462" s="241"/>
      <c r="U462" s="80"/>
      <c r="V462" s="80"/>
      <c r="W462" s="80"/>
      <c r="X462" s="80"/>
      <c r="Y462" s="80"/>
      <c r="Z462" s="80"/>
      <c r="AA462" s="80"/>
    </row>
    <row r="463" spans="1:27" ht="15.75" customHeight="1">
      <c r="A463" s="80"/>
      <c r="B463" s="270"/>
      <c r="C463" s="271"/>
      <c r="D463" s="80"/>
      <c r="E463" s="271"/>
      <c r="F463" s="272"/>
      <c r="G463" s="270"/>
      <c r="H463" s="271"/>
      <c r="I463" s="272"/>
      <c r="J463" s="80"/>
      <c r="K463" s="273"/>
      <c r="L463" s="273"/>
      <c r="M463" s="273"/>
      <c r="N463" s="273"/>
      <c r="O463" s="273"/>
      <c r="P463" s="273"/>
      <c r="Q463" s="274"/>
      <c r="R463" s="80"/>
      <c r="S463" s="80"/>
      <c r="T463" s="241"/>
      <c r="U463" s="80"/>
      <c r="V463" s="80"/>
      <c r="W463" s="80"/>
      <c r="X463" s="80"/>
      <c r="Y463" s="80"/>
      <c r="Z463" s="80"/>
      <c r="AA463" s="80"/>
    </row>
    <row r="464" spans="1:27" ht="15.75" customHeight="1">
      <c r="A464" s="80"/>
      <c r="B464" s="270"/>
      <c r="C464" s="271"/>
      <c r="D464" s="80"/>
      <c r="E464" s="271"/>
      <c r="F464" s="272"/>
      <c r="G464" s="270"/>
      <c r="H464" s="271"/>
      <c r="I464" s="272"/>
      <c r="J464" s="80"/>
      <c r="K464" s="273"/>
      <c r="L464" s="273"/>
      <c r="M464" s="273"/>
      <c r="N464" s="273"/>
      <c r="O464" s="273"/>
      <c r="P464" s="273"/>
      <c r="Q464" s="274"/>
      <c r="R464" s="80"/>
      <c r="S464" s="80"/>
      <c r="T464" s="241"/>
      <c r="U464" s="80"/>
      <c r="V464" s="80"/>
      <c r="W464" s="80"/>
      <c r="X464" s="80"/>
      <c r="Y464" s="80"/>
      <c r="Z464" s="80"/>
      <c r="AA464" s="80"/>
    </row>
    <row r="465" spans="1:27" ht="15.75" customHeight="1">
      <c r="A465" s="80"/>
      <c r="B465" s="270"/>
      <c r="C465" s="271"/>
      <c r="D465" s="80"/>
      <c r="E465" s="271"/>
      <c r="F465" s="272"/>
      <c r="G465" s="270"/>
      <c r="H465" s="271"/>
      <c r="I465" s="272"/>
      <c r="J465" s="80"/>
      <c r="K465" s="273"/>
      <c r="L465" s="273"/>
      <c r="M465" s="273"/>
      <c r="N465" s="273"/>
      <c r="O465" s="273"/>
      <c r="P465" s="273"/>
      <c r="Q465" s="274"/>
      <c r="R465" s="80"/>
      <c r="S465" s="80"/>
      <c r="T465" s="241"/>
      <c r="U465" s="80"/>
      <c r="V465" s="80"/>
      <c r="W465" s="80"/>
      <c r="X465" s="80"/>
      <c r="Y465" s="80"/>
      <c r="Z465" s="80"/>
      <c r="AA465" s="80"/>
    </row>
    <row r="466" spans="1:27" ht="15.75" customHeight="1">
      <c r="A466" s="80"/>
      <c r="B466" s="270"/>
      <c r="C466" s="271"/>
      <c r="D466" s="80"/>
      <c r="E466" s="271"/>
      <c r="F466" s="272"/>
      <c r="G466" s="270"/>
      <c r="H466" s="271"/>
      <c r="I466" s="272"/>
      <c r="J466" s="80"/>
      <c r="K466" s="273"/>
      <c r="L466" s="273"/>
      <c r="M466" s="273"/>
      <c r="N466" s="273"/>
      <c r="O466" s="273"/>
      <c r="P466" s="273"/>
      <c r="Q466" s="274"/>
      <c r="R466" s="80"/>
      <c r="S466" s="80"/>
      <c r="T466" s="241"/>
      <c r="U466" s="80"/>
      <c r="V466" s="80"/>
      <c r="W466" s="80"/>
      <c r="X466" s="80"/>
      <c r="Y466" s="80"/>
      <c r="Z466" s="80"/>
      <c r="AA466" s="80"/>
    </row>
    <row r="467" spans="1:27" ht="15.75" customHeight="1">
      <c r="A467" s="80"/>
      <c r="B467" s="270"/>
      <c r="C467" s="271"/>
      <c r="D467" s="80"/>
      <c r="E467" s="271"/>
      <c r="F467" s="272"/>
      <c r="G467" s="270"/>
      <c r="H467" s="271"/>
      <c r="I467" s="272"/>
      <c r="J467" s="80"/>
      <c r="K467" s="273"/>
      <c r="L467" s="273"/>
      <c r="M467" s="273"/>
      <c r="N467" s="273"/>
      <c r="O467" s="273"/>
      <c r="P467" s="273"/>
      <c r="Q467" s="274"/>
      <c r="R467" s="80"/>
      <c r="S467" s="80"/>
      <c r="T467" s="241"/>
      <c r="U467" s="80"/>
      <c r="V467" s="80"/>
      <c r="W467" s="80"/>
      <c r="X467" s="80"/>
      <c r="Y467" s="80"/>
      <c r="Z467" s="80"/>
      <c r="AA467" s="80"/>
    </row>
    <row r="468" spans="1:27" ht="15.75" customHeight="1">
      <c r="A468" s="80"/>
      <c r="B468" s="270"/>
      <c r="C468" s="271"/>
      <c r="D468" s="80"/>
      <c r="E468" s="271"/>
      <c r="F468" s="272"/>
      <c r="G468" s="270"/>
      <c r="H468" s="271"/>
      <c r="I468" s="272"/>
      <c r="J468" s="80"/>
      <c r="K468" s="273"/>
      <c r="L468" s="273"/>
      <c r="M468" s="273"/>
      <c r="N468" s="273"/>
      <c r="O468" s="273"/>
      <c r="P468" s="273"/>
      <c r="Q468" s="274"/>
      <c r="R468" s="80"/>
      <c r="S468" s="80"/>
      <c r="T468" s="241"/>
      <c r="U468" s="80"/>
      <c r="V468" s="80"/>
      <c r="W468" s="80"/>
      <c r="X468" s="80"/>
      <c r="Y468" s="80"/>
      <c r="Z468" s="80"/>
      <c r="AA468" s="80"/>
    </row>
    <row r="469" spans="1:27" ht="15.75" customHeight="1">
      <c r="A469" s="80"/>
      <c r="B469" s="270"/>
      <c r="C469" s="271"/>
      <c r="D469" s="80"/>
      <c r="E469" s="271"/>
      <c r="F469" s="272"/>
      <c r="G469" s="270"/>
      <c r="H469" s="271"/>
      <c r="I469" s="272"/>
      <c r="J469" s="80"/>
      <c r="K469" s="273"/>
      <c r="L469" s="273"/>
      <c r="M469" s="273"/>
      <c r="N469" s="273"/>
      <c r="O469" s="273"/>
      <c r="P469" s="273"/>
      <c r="Q469" s="274"/>
      <c r="R469" s="80"/>
      <c r="S469" s="80"/>
      <c r="T469" s="241"/>
      <c r="U469" s="80"/>
      <c r="V469" s="80"/>
      <c r="W469" s="80"/>
      <c r="X469" s="80"/>
      <c r="Y469" s="80"/>
      <c r="Z469" s="80"/>
      <c r="AA469" s="80"/>
    </row>
    <row r="470" spans="1:27" ht="15.75" customHeight="1">
      <c r="A470" s="80"/>
      <c r="B470" s="270"/>
      <c r="C470" s="271"/>
      <c r="D470" s="80"/>
      <c r="E470" s="271"/>
      <c r="F470" s="272"/>
      <c r="G470" s="270"/>
      <c r="H470" s="271"/>
      <c r="I470" s="272"/>
      <c r="J470" s="80"/>
      <c r="K470" s="273"/>
      <c r="L470" s="273"/>
      <c r="M470" s="273"/>
      <c r="N470" s="273"/>
      <c r="O470" s="273"/>
      <c r="P470" s="273"/>
      <c r="Q470" s="274"/>
      <c r="R470" s="80"/>
      <c r="S470" s="80"/>
      <c r="T470" s="241"/>
      <c r="U470" s="80"/>
      <c r="V470" s="80"/>
      <c r="W470" s="80"/>
      <c r="X470" s="80"/>
      <c r="Y470" s="80"/>
      <c r="Z470" s="80"/>
      <c r="AA470" s="80"/>
    </row>
    <row r="471" spans="1:27" ht="15.75" customHeight="1">
      <c r="A471" s="80"/>
      <c r="B471" s="270"/>
      <c r="C471" s="271"/>
      <c r="D471" s="80"/>
      <c r="E471" s="271"/>
      <c r="F471" s="272"/>
      <c r="G471" s="270"/>
      <c r="H471" s="271"/>
      <c r="I471" s="272"/>
      <c r="J471" s="80"/>
      <c r="K471" s="273"/>
      <c r="L471" s="273"/>
      <c r="M471" s="273"/>
      <c r="N471" s="273"/>
      <c r="O471" s="273"/>
      <c r="P471" s="273"/>
      <c r="Q471" s="274"/>
      <c r="R471" s="80"/>
      <c r="S471" s="80"/>
      <c r="T471" s="241"/>
      <c r="U471" s="80"/>
      <c r="V471" s="80"/>
      <c r="W471" s="80"/>
      <c r="X471" s="80"/>
      <c r="Y471" s="80"/>
      <c r="Z471" s="80"/>
      <c r="AA471" s="80"/>
    </row>
    <row r="472" spans="1:27" ht="15.75" customHeight="1">
      <c r="A472" s="80"/>
      <c r="B472" s="270"/>
      <c r="C472" s="271"/>
      <c r="D472" s="80"/>
      <c r="E472" s="271"/>
      <c r="F472" s="272"/>
      <c r="G472" s="270"/>
      <c r="H472" s="271"/>
      <c r="I472" s="272"/>
      <c r="J472" s="80"/>
      <c r="K472" s="273"/>
      <c r="L472" s="273"/>
      <c r="M472" s="273"/>
      <c r="N472" s="273"/>
      <c r="O472" s="273"/>
      <c r="P472" s="273"/>
      <c r="Q472" s="274"/>
      <c r="R472" s="80"/>
      <c r="S472" s="80"/>
      <c r="T472" s="241"/>
      <c r="U472" s="80"/>
      <c r="V472" s="80"/>
      <c r="W472" s="80"/>
      <c r="X472" s="80"/>
      <c r="Y472" s="80"/>
      <c r="Z472" s="80"/>
      <c r="AA472" s="80"/>
    </row>
    <row r="473" spans="1:27" ht="15.75" customHeight="1">
      <c r="A473" s="80"/>
      <c r="B473" s="270"/>
      <c r="C473" s="271"/>
      <c r="D473" s="80"/>
      <c r="E473" s="271"/>
      <c r="F473" s="272"/>
      <c r="G473" s="270"/>
      <c r="H473" s="271"/>
      <c r="I473" s="272"/>
      <c r="J473" s="80"/>
      <c r="K473" s="273"/>
      <c r="L473" s="273"/>
      <c r="M473" s="273"/>
      <c r="N473" s="273"/>
      <c r="O473" s="273"/>
      <c r="P473" s="273"/>
      <c r="Q473" s="274"/>
      <c r="R473" s="80"/>
      <c r="S473" s="80"/>
      <c r="T473" s="241"/>
      <c r="U473" s="80"/>
      <c r="V473" s="80"/>
      <c r="W473" s="80"/>
      <c r="X473" s="80"/>
      <c r="Y473" s="80"/>
      <c r="Z473" s="80"/>
      <c r="AA473" s="80"/>
    </row>
    <row r="474" spans="1:27" ht="15.75" customHeight="1">
      <c r="A474" s="80"/>
      <c r="B474" s="270"/>
      <c r="C474" s="271"/>
      <c r="D474" s="80"/>
      <c r="E474" s="271"/>
      <c r="F474" s="272"/>
      <c r="G474" s="270"/>
      <c r="H474" s="271"/>
      <c r="I474" s="272"/>
      <c r="J474" s="80"/>
      <c r="K474" s="273"/>
      <c r="L474" s="273"/>
      <c r="M474" s="273"/>
      <c r="N474" s="273"/>
      <c r="O474" s="273"/>
      <c r="P474" s="273"/>
      <c r="Q474" s="274"/>
      <c r="R474" s="80"/>
      <c r="S474" s="80"/>
      <c r="T474" s="241"/>
      <c r="U474" s="80"/>
      <c r="V474" s="80"/>
      <c r="W474" s="80"/>
      <c r="X474" s="80"/>
      <c r="Y474" s="80"/>
      <c r="Z474" s="80"/>
      <c r="AA474" s="80"/>
    </row>
    <row r="475" spans="1:27" ht="15.75" customHeight="1">
      <c r="A475" s="80"/>
      <c r="B475" s="270"/>
      <c r="C475" s="271"/>
      <c r="D475" s="80"/>
      <c r="E475" s="271"/>
      <c r="F475" s="272"/>
      <c r="G475" s="270"/>
      <c r="H475" s="271"/>
      <c r="I475" s="272"/>
      <c r="J475" s="80"/>
      <c r="K475" s="273"/>
      <c r="L475" s="273"/>
      <c r="M475" s="273"/>
      <c r="N475" s="273"/>
      <c r="O475" s="273"/>
      <c r="P475" s="273"/>
      <c r="Q475" s="274"/>
      <c r="R475" s="80"/>
      <c r="S475" s="80"/>
      <c r="T475" s="241"/>
      <c r="U475" s="80"/>
      <c r="V475" s="80"/>
      <c r="W475" s="80"/>
      <c r="X475" s="80"/>
      <c r="Y475" s="80"/>
      <c r="Z475" s="80"/>
      <c r="AA475" s="80"/>
    </row>
    <row r="476" spans="1:27" ht="15.75" customHeight="1">
      <c r="A476" s="80"/>
      <c r="B476" s="270"/>
      <c r="C476" s="271"/>
      <c r="D476" s="80"/>
      <c r="E476" s="271"/>
      <c r="F476" s="272"/>
      <c r="G476" s="270"/>
      <c r="H476" s="271"/>
      <c r="I476" s="272"/>
      <c r="J476" s="80"/>
      <c r="K476" s="273"/>
      <c r="L476" s="273"/>
      <c r="M476" s="273"/>
      <c r="N476" s="273"/>
      <c r="O476" s="273"/>
      <c r="P476" s="273"/>
      <c r="Q476" s="274"/>
      <c r="R476" s="80"/>
      <c r="S476" s="80"/>
      <c r="T476" s="241"/>
      <c r="U476" s="80"/>
      <c r="V476" s="80"/>
      <c r="W476" s="80"/>
      <c r="X476" s="80"/>
      <c r="Y476" s="80"/>
      <c r="Z476" s="80"/>
      <c r="AA476" s="80"/>
    </row>
    <row r="477" spans="1:27" ht="15.75" customHeight="1">
      <c r="A477" s="80"/>
      <c r="B477" s="270"/>
      <c r="C477" s="271"/>
      <c r="D477" s="80"/>
      <c r="E477" s="271"/>
      <c r="F477" s="272"/>
      <c r="G477" s="270"/>
      <c r="H477" s="271"/>
      <c r="I477" s="272"/>
      <c r="J477" s="80"/>
      <c r="K477" s="273"/>
      <c r="L477" s="273"/>
      <c r="M477" s="273"/>
      <c r="N477" s="273"/>
      <c r="O477" s="273"/>
      <c r="P477" s="273"/>
      <c r="Q477" s="274"/>
      <c r="R477" s="80"/>
      <c r="S477" s="80"/>
      <c r="T477" s="241"/>
      <c r="U477" s="80"/>
      <c r="V477" s="80"/>
      <c r="W477" s="80"/>
      <c r="X477" s="80"/>
      <c r="Y477" s="80"/>
      <c r="Z477" s="80"/>
      <c r="AA477" s="80"/>
    </row>
    <row r="478" spans="1:27" ht="15.75" customHeight="1">
      <c r="A478" s="80"/>
      <c r="B478" s="270"/>
      <c r="C478" s="271"/>
      <c r="D478" s="80"/>
      <c r="E478" s="271"/>
      <c r="F478" s="272"/>
      <c r="G478" s="270"/>
      <c r="H478" s="271"/>
      <c r="I478" s="272"/>
      <c r="J478" s="80"/>
      <c r="K478" s="273"/>
      <c r="L478" s="273"/>
      <c r="M478" s="273"/>
      <c r="N478" s="273"/>
      <c r="O478" s="273"/>
      <c r="P478" s="273"/>
      <c r="Q478" s="274"/>
      <c r="R478" s="80"/>
      <c r="S478" s="80"/>
      <c r="T478" s="241"/>
      <c r="U478" s="80"/>
      <c r="V478" s="80"/>
      <c r="W478" s="80"/>
      <c r="X478" s="80"/>
      <c r="Y478" s="80"/>
      <c r="Z478" s="80"/>
      <c r="AA478" s="80"/>
    </row>
    <row r="479" spans="1:27" ht="15.75" customHeight="1">
      <c r="A479" s="80"/>
      <c r="B479" s="270"/>
      <c r="C479" s="271"/>
      <c r="D479" s="80"/>
      <c r="E479" s="271"/>
      <c r="F479" s="272"/>
      <c r="G479" s="270"/>
      <c r="H479" s="271"/>
      <c r="I479" s="272"/>
      <c r="J479" s="80"/>
      <c r="K479" s="273"/>
      <c r="L479" s="273"/>
      <c r="M479" s="273"/>
      <c r="N479" s="273"/>
      <c r="O479" s="273"/>
      <c r="P479" s="273"/>
      <c r="Q479" s="274"/>
      <c r="R479" s="80"/>
      <c r="S479" s="80"/>
      <c r="T479" s="241"/>
      <c r="U479" s="80"/>
      <c r="V479" s="80"/>
      <c r="W479" s="80"/>
      <c r="X479" s="80"/>
      <c r="Y479" s="80"/>
      <c r="Z479" s="80"/>
      <c r="AA479" s="80"/>
    </row>
    <row r="480" spans="1:27" ht="15.75" customHeight="1">
      <c r="A480" s="80"/>
      <c r="B480" s="270"/>
      <c r="C480" s="271"/>
      <c r="D480" s="80"/>
      <c r="E480" s="271"/>
      <c r="F480" s="272"/>
      <c r="G480" s="270"/>
      <c r="H480" s="271"/>
      <c r="I480" s="272"/>
      <c r="J480" s="80"/>
      <c r="K480" s="273"/>
      <c r="L480" s="273"/>
      <c r="M480" s="273"/>
      <c r="N480" s="273"/>
      <c r="O480" s="273"/>
      <c r="P480" s="273"/>
      <c r="Q480" s="274"/>
      <c r="R480" s="80"/>
      <c r="S480" s="80"/>
      <c r="T480" s="241"/>
      <c r="U480" s="80"/>
      <c r="V480" s="80"/>
      <c r="W480" s="80"/>
      <c r="X480" s="80"/>
      <c r="Y480" s="80"/>
      <c r="Z480" s="80"/>
      <c r="AA480" s="80"/>
    </row>
    <row r="481" spans="1:27" ht="15.75" customHeight="1">
      <c r="A481" s="80"/>
      <c r="B481" s="270"/>
      <c r="C481" s="271"/>
      <c r="D481" s="80"/>
      <c r="E481" s="271"/>
      <c r="F481" s="272"/>
      <c r="G481" s="270"/>
      <c r="H481" s="271"/>
      <c r="I481" s="272"/>
      <c r="J481" s="80"/>
      <c r="K481" s="273"/>
      <c r="L481" s="273"/>
      <c r="M481" s="273"/>
      <c r="N481" s="273"/>
      <c r="O481" s="273"/>
      <c r="P481" s="273"/>
      <c r="Q481" s="274"/>
      <c r="R481" s="80"/>
      <c r="S481" s="80"/>
      <c r="T481" s="241"/>
      <c r="U481" s="80"/>
      <c r="V481" s="80"/>
      <c r="W481" s="80"/>
      <c r="X481" s="80"/>
      <c r="Y481" s="80"/>
      <c r="Z481" s="80"/>
      <c r="AA481" s="80"/>
    </row>
    <row r="482" spans="1:27" ht="15.75" customHeight="1">
      <c r="A482" s="80"/>
      <c r="B482" s="270"/>
      <c r="C482" s="271"/>
      <c r="D482" s="80"/>
      <c r="E482" s="271"/>
      <c r="F482" s="272"/>
      <c r="G482" s="270"/>
      <c r="H482" s="271"/>
      <c r="I482" s="272"/>
      <c r="J482" s="80"/>
      <c r="K482" s="273"/>
      <c r="L482" s="273"/>
      <c r="M482" s="273"/>
      <c r="N482" s="273"/>
      <c r="O482" s="273"/>
      <c r="P482" s="273"/>
      <c r="Q482" s="274"/>
      <c r="R482" s="80"/>
      <c r="S482" s="80"/>
      <c r="T482" s="241"/>
      <c r="U482" s="80"/>
      <c r="V482" s="80"/>
      <c r="W482" s="80"/>
      <c r="X482" s="80"/>
      <c r="Y482" s="80"/>
      <c r="Z482" s="80"/>
      <c r="AA482" s="80"/>
    </row>
    <row r="483" spans="1:27" ht="15.75" customHeight="1">
      <c r="A483" s="80"/>
      <c r="B483" s="270"/>
      <c r="C483" s="271"/>
      <c r="D483" s="80"/>
      <c r="E483" s="271"/>
      <c r="F483" s="272"/>
      <c r="G483" s="270"/>
      <c r="H483" s="271"/>
      <c r="I483" s="272"/>
      <c r="J483" s="80"/>
      <c r="K483" s="273"/>
      <c r="L483" s="273"/>
      <c r="M483" s="273"/>
      <c r="N483" s="273"/>
      <c r="O483" s="273"/>
      <c r="P483" s="273"/>
      <c r="Q483" s="274"/>
      <c r="R483" s="80"/>
      <c r="S483" s="80"/>
      <c r="T483" s="241"/>
      <c r="U483" s="80"/>
      <c r="V483" s="80"/>
      <c r="W483" s="80"/>
      <c r="X483" s="80"/>
      <c r="Y483" s="80"/>
      <c r="Z483" s="80"/>
      <c r="AA483" s="80"/>
    </row>
    <row r="484" spans="1:27" ht="15.75" customHeight="1">
      <c r="A484" s="80"/>
      <c r="B484" s="270"/>
      <c r="C484" s="271"/>
      <c r="D484" s="80"/>
      <c r="E484" s="271"/>
      <c r="F484" s="272"/>
      <c r="G484" s="270"/>
      <c r="H484" s="271"/>
      <c r="I484" s="272"/>
      <c r="J484" s="80"/>
      <c r="K484" s="273"/>
      <c r="L484" s="273"/>
      <c r="M484" s="273"/>
      <c r="N484" s="273"/>
      <c r="O484" s="273"/>
      <c r="P484" s="273"/>
      <c r="Q484" s="274"/>
      <c r="R484" s="80"/>
      <c r="S484" s="80"/>
      <c r="T484" s="241"/>
      <c r="U484" s="80"/>
      <c r="V484" s="80"/>
      <c r="W484" s="80"/>
      <c r="X484" s="80"/>
      <c r="Y484" s="80"/>
      <c r="Z484" s="80"/>
      <c r="AA484" s="80"/>
    </row>
    <row r="485" spans="1:27" ht="15.75" customHeight="1">
      <c r="A485" s="80"/>
      <c r="B485" s="270"/>
      <c r="C485" s="271"/>
      <c r="D485" s="80"/>
      <c r="E485" s="271"/>
      <c r="F485" s="272"/>
      <c r="G485" s="270"/>
      <c r="H485" s="271"/>
      <c r="I485" s="272"/>
      <c r="J485" s="80"/>
      <c r="K485" s="273"/>
      <c r="L485" s="273"/>
      <c r="M485" s="273"/>
      <c r="N485" s="273"/>
      <c r="O485" s="273"/>
      <c r="P485" s="273"/>
      <c r="Q485" s="274"/>
      <c r="R485" s="80"/>
      <c r="S485" s="80"/>
      <c r="T485" s="241"/>
      <c r="U485" s="80"/>
      <c r="V485" s="80"/>
      <c r="W485" s="80"/>
      <c r="X485" s="80"/>
      <c r="Y485" s="80"/>
      <c r="Z485" s="80"/>
      <c r="AA485" s="80"/>
    </row>
    <row r="486" spans="1:27" ht="15.75" customHeight="1">
      <c r="A486" s="80"/>
      <c r="B486" s="270"/>
      <c r="C486" s="271"/>
      <c r="D486" s="80"/>
      <c r="E486" s="271"/>
      <c r="F486" s="272"/>
      <c r="G486" s="270"/>
      <c r="H486" s="271"/>
      <c r="I486" s="272"/>
      <c r="J486" s="80"/>
      <c r="K486" s="273"/>
      <c r="L486" s="273"/>
      <c r="M486" s="273"/>
      <c r="N486" s="273"/>
      <c r="O486" s="273"/>
      <c r="P486" s="273"/>
      <c r="Q486" s="274"/>
      <c r="R486" s="80"/>
      <c r="S486" s="80"/>
      <c r="T486" s="241"/>
      <c r="U486" s="80"/>
      <c r="V486" s="80"/>
      <c r="W486" s="80"/>
      <c r="X486" s="80"/>
      <c r="Y486" s="80"/>
      <c r="Z486" s="80"/>
      <c r="AA486" s="80"/>
    </row>
    <row r="487" spans="1:27" ht="15.75" customHeight="1">
      <c r="A487" s="80"/>
      <c r="B487" s="270"/>
      <c r="C487" s="271"/>
      <c r="D487" s="80"/>
      <c r="E487" s="271"/>
      <c r="F487" s="272"/>
      <c r="G487" s="270"/>
      <c r="H487" s="271"/>
      <c r="I487" s="272"/>
      <c r="J487" s="80"/>
      <c r="K487" s="273"/>
      <c r="L487" s="273"/>
      <c r="M487" s="273"/>
      <c r="N487" s="273"/>
      <c r="O487" s="273"/>
      <c r="P487" s="273"/>
      <c r="Q487" s="274"/>
      <c r="R487" s="80"/>
      <c r="S487" s="80"/>
      <c r="T487" s="241"/>
      <c r="U487" s="80"/>
      <c r="V487" s="80"/>
      <c r="W487" s="80"/>
      <c r="X487" s="80"/>
      <c r="Y487" s="80"/>
      <c r="Z487" s="80"/>
      <c r="AA487" s="80"/>
    </row>
    <row r="488" spans="1:27" ht="15.75" customHeight="1">
      <c r="A488" s="80"/>
      <c r="B488" s="270"/>
      <c r="C488" s="271"/>
      <c r="D488" s="80"/>
      <c r="E488" s="271"/>
      <c r="F488" s="272"/>
      <c r="G488" s="270"/>
      <c r="H488" s="271"/>
      <c r="I488" s="272"/>
      <c r="J488" s="80"/>
      <c r="K488" s="273"/>
      <c r="L488" s="273"/>
      <c r="M488" s="273"/>
      <c r="N488" s="273"/>
      <c r="O488" s="273"/>
      <c r="P488" s="273"/>
      <c r="Q488" s="274"/>
      <c r="R488" s="80"/>
      <c r="S488" s="80"/>
      <c r="T488" s="241"/>
      <c r="U488" s="80"/>
      <c r="V488" s="80"/>
      <c r="W488" s="80"/>
      <c r="X488" s="80"/>
      <c r="Y488" s="80"/>
      <c r="Z488" s="80"/>
      <c r="AA488" s="80"/>
    </row>
    <row r="489" spans="1:27" ht="15.75" customHeight="1">
      <c r="A489" s="80"/>
      <c r="B489" s="270"/>
      <c r="C489" s="271"/>
      <c r="D489" s="80"/>
      <c r="E489" s="271"/>
      <c r="F489" s="272"/>
      <c r="G489" s="270"/>
      <c r="H489" s="271"/>
      <c r="I489" s="272"/>
      <c r="J489" s="80"/>
      <c r="K489" s="273"/>
      <c r="L489" s="273"/>
      <c r="M489" s="273"/>
      <c r="N489" s="273"/>
      <c r="O489" s="273"/>
      <c r="P489" s="273"/>
      <c r="Q489" s="274"/>
      <c r="R489" s="80"/>
      <c r="S489" s="80"/>
      <c r="T489" s="241"/>
      <c r="U489" s="80"/>
      <c r="V489" s="80"/>
      <c r="W489" s="80"/>
      <c r="X489" s="80"/>
      <c r="Y489" s="80"/>
      <c r="Z489" s="80"/>
      <c r="AA489" s="80"/>
    </row>
    <row r="490" spans="1:27" ht="15.75" customHeight="1">
      <c r="A490" s="80"/>
      <c r="B490" s="270"/>
      <c r="C490" s="271"/>
      <c r="D490" s="80"/>
      <c r="E490" s="271"/>
      <c r="F490" s="272"/>
      <c r="G490" s="270"/>
      <c r="H490" s="271"/>
      <c r="I490" s="272"/>
      <c r="J490" s="80"/>
      <c r="K490" s="273"/>
      <c r="L490" s="273"/>
      <c r="M490" s="273"/>
      <c r="N490" s="273"/>
      <c r="O490" s="273"/>
      <c r="P490" s="273"/>
      <c r="Q490" s="274"/>
      <c r="R490" s="80"/>
      <c r="S490" s="80"/>
      <c r="T490" s="241"/>
      <c r="U490" s="80"/>
      <c r="V490" s="80"/>
      <c r="W490" s="80"/>
      <c r="X490" s="80"/>
      <c r="Y490" s="80"/>
      <c r="Z490" s="80"/>
      <c r="AA490" s="80"/>
    </row>
    <row r="491" spans="1:27" ht="15.75" customHeight="1">
      <c r="A491" s="80"/>
      <c r="B491" s="270"/>
      <c r="C491" s="271"/>
      <c r="D491" s="80"/>
      <c r="E491" s="271"/>
      <c r="F491" s="272"/>
      <c r="G491" s="270"/>
      <c r="H491" s="271"/>
      <c r="I491" s="272"/>
      <c r="J491" s="80"/>
      <c r="K491" s="273"/>
      <c r="L491" s="273"/>
      <c r="M491" s="273"/>
      <c r="N491" s="273"/>
      <c r="O491" s="273"/>
      <c r="P491" s="273"/>
      <c r="Q491" s="274"/>
      <c r="R491" s="80"/>
      <c r="S491" s="80"/>
      <c r="T491" s="241"/>
      <c r="U491" s="80"/>
      <c r="V491" s="80"/>
      <c r="W491" s="80"/>
      <c r="X491" s="80"/>
      <c r="Y491" s="80"/>
      <c r="Z491" s="80"/>
      <c r="AA491" s="80"/>
    </row>
    <row r="492" spans="1:27" ht="15.75" customHeight="1">
      <c r="A492" s="80"/>
      <c r="B492" s="270"/>
      <c r="C492" s="271"/>
      <c r="D492" s="80"/>
      <c r="E492" s="271"/>
      <c r="F492" s="272"/>
      <c r="G492" s="270"/>
      <c r="H492" s="271"/>
      <c r="I492" s="272"/>
      <c r="J492" s="80"/>
      <c r="K492" s="273"/>
      <c r="L492" s="273"/>
      <c r="M492" s="273"/>
      <c r="N492" s="273"/>
      <c r="O492" s="273"/>
      <c r="P492" s="273"/>
      <c r="Q492" s="274"/>
      <c r="R492" s="80"/>
      <c r="S492" s="80"/>
      <c r="T492" s="241"/>
      <c r="U492" s="80"/>
      <c r="V492" s="80"/>
      <c r="W492" s="80"/>
      <c r="X492" s="80"/>
      <c r="Y492" s="80"/>
      <c r="Z492" s="80"/>
      <c r="AA492" s="80"/>
    </row>
    <row r="493" spans="1:27" ht="15.75" customHeight="1">
      <c r="A493" s="80"/>
      <c r="B493" s="270"/>
      <c r="C493" s="271"/>
      <c r="D493" s="80"/>
      <c r="E493" s="271"/>
      <c r="F493" s="272"/>
      <c r="G493" s="270"/>
      <c r="H493" s="271"/>
      <c r="I493" s="272"/>
      <c r="J493" s="80"/>
      <c r="K493" s="273"/>
      <c r="L493" s="273"/>
      <c r="M493" s="273"/>
      <c r="N493" s="273"/>
      <c r="O493" s="273"/>
      <c r="P493" s="273"/>
      <c r="Q493" s="274"/>
      <c r="R493" s="80"/>
      <c r="S493" s="80"/>
      <c r="T493" s="241"/>
      <c r="U493" s="80"/>
      <c r="V493" s="80"/>
      <c r="W493" s="80"/>
      <c r="X493" s="80"/>
      <c r="Y493" s="80"/>
      <c r="Z493" s="80"/>
      <c r="AA493" s="80"/>
    </row>
    <row r="494" spans="1:27" ht="15.75" customHeight="1">
      <c r="A494" s="80"/>
      <c r="B494" s="270"/>
      <c r="C494" s="271"/>
      <c r="D494" s="80"/>
      <c r="E494" s="271"/>
      <c r="F494" s="272"/>
      <c r="G494" s="270"/>
      <c r="H494" s="271"/>
      <c r="I494" s="272"/>
      <c r="J494" s="80"/>
      <c r="K494" s="273"/>
      <c r="L494" s="273"/>
      <c r="M494" s="273"/>
      <c r="N494" s="273"/>
      <c r="O494" s="273"/>
      <c r="P494" s="273"/>
      <c r="Q494" s="274"/>
      <c r="R494" s="80"/>
      <c r="S494" s="80"/>
      <c r="T494" s="241"/>
      <c r="U494" s="80"/>
      <c r="V494" s="80"/>
      <c r="W494" s="80"/>
      <c r="X494" s="80"/>
      <c r="Y494" s="80"/>
      <c r="Z494" s="80"/>
      <c r="AA494" s="80"/>
    </row>
    <row r="495" spans="1:27" ht="15.75" customHeight="1">
      <c r="A495" s="80"/>
      <c r="B495" s="270"/>
      <c r="C495" s="271"/>
      <c r="D495" s="80"/>
      <c r="E495" s="271"/>
      <c r="F495" s="272"/>
      <c r="G495" s="270"/>
      <c r="H495" s="271"/>
      <c r="I495" s="272"/>
      <c r="J495" s="80"/>
      <c r="K495" s="273"/>
      <c r="L495" s="273"/>
      <c r="M495" s="273"/>
      <c r="N495" s="273"/>
      <c r="O495" s="273"/>
      <c r="P495" s="273"/>
      <c r="Q495" s="274"/>
      <c r="R495" s="80"/>
      <c r="S495" s="80"/>
      <c r="T495" s="241"/>
      <c r="U495" s="80"/>
      <c r="V495" s="80"/>
      <c r="W495" s="80"/>
      <c r="X495" s="80"/>
      <c r="Y495" s="80"/>
      <c r="Z495" s="80"/>
      <c r="AA495" s="80"/>
    </row>
    <row r="496" spans="1:27" ht="15.75" customHeight="1">
      <c r="A496" s="80"/>
      <c r="B496" s="270"/>
      <c r="C496" s="271"/>
      <c r="D496" s="80"/>
      <c r="E496" s="271"/>
      <c r="F496" s="272"/>
      <c r="G496" s="270"/>
      <c r="H496" s="271"/>
      <c r="I496" s="272"/>
      <c r="J496" s="80"/>
      <c r="K496" s="273"/>
      <c r="L496" s="273"/>
      <c r="M496" s="273"/>
      <c r="N496" s="273"/>
      <c r="O496" s="273"/>
      <c r="P496" s="273"/>
      <c r="Q496" s="274"/>
      <c r="R496" s="80"/>
      <c r="S496" s="80"/>
      <c r="T496" s="241"/>
      <c r="U496" s="80"/>
      <c r="V496" s="80"/>
      <c r="W496" s="80"/>
      <c r="X496" s="80"/>
      <c r="Y496" s="80"/>
      <c r="Z496" s="80"/>
      <c r="AA496" s="80"/>
    </row>
    <row r="497" spans="1:27" ht="15.75" customHeight="1">
      <c r="A497" s="80"/>
      <c r="B497" s="270"/>
      <c r="C497" s="271"/>
      <c r="D497" s="80"/>
      <c r="E497" s="271"/>
      <c r="F497" s="272"/>
      <c r="G497" s="270"/>
      <c r="H497" s="271"/>
      <c r="I497" s="272"/>
      <c r="J497" s="80"/>
      <c r="K497" s="273"/>
      <c r="L497" s="273"/>
      <c r="M497" s="273"/>
      <c r="N497" s="273"/>
      <c r="O497" s="273"/>
      <c r="P497" s="273"/>
      <c r="Q497" s="274"/>
      <c r="R497" s="80"/>
      <c r="S497" s="80"/>
      <c r="T497" s="241"/>
      <c r="U497" s="80"/>
      <c r="V497" s="80"/>
      <c r="W497" s="80"/>
      <c r="X497" s="80"/>
      <c r="Y497" s="80"/>
      <c r="Z497" s="80"/>
      <c r="AA497" s="80"/>
    </row>
    <row r="498" spans="1:27" ht="15.75" customHeight="1">
      <c r="A498" s="80"/>
      <c r="B498" s="270"/>
      <c r="C498" s="271"/>
      <c r="D498" s="80"/>
      <c r="E498" s="271"/>
      <c r="F498" s="272"/>
      <c r="G498" s="270"/>
      <c r="H498" s="271"/>
      <c r="I498" s="272"/>
      <c r="J498" s="80"/>
      <c r="K498" s="273"/>
      <c r="L498" s="273"/>
      <c r="M498" s="273"/>
      <c r="N498" s="273"/>
      <c r="O498" s="273"/>
      <c r="P498" s="273"/>
      <c r="Q498" s="274"/>
      <c r="R498" s="80"/>
      <c r="S498" s="80"/>
      <c r="T498" s="241"/>
      <c r="U498" s="80"/>
      <c r="V498" s="80"/>
      <c r="W498" s="80"/>
      <c r="X498" s="80"/>
      <c r="Y498" s="80"/>
      <c r="Z498" s="80"/>
      <c r="AA498" s="80"/>
    </row>
    <row r="499" spans="1:27" ht="15.75" customHeight="1">
      <c r="A499" s="80"/>
      <c r="B499" s="270"/>
      <c r="C499" s="271"/>
      <c r="D499" s="80"/>
      <c r="E499" s="271"/>
      <c r="F499" s="272"/>
      <c r="G499" s="270"/>
      <c r="H499" s="271"/>
      <c r="I499" s="272"/>
      <c r="J499" s="80"/>
      <c r="K499" s="273"/>
      <c r="L499" s="273"/>
      <c r="M499" s="273"/>
      <c r="N499" s="273"/>
      <c r="O499" s="273"/>
      <c r="P499" s="273"/>
      <c r="Q499" s="274"/>
      <c r="R499" s="80"/>
      <c r="S499" s="80"/>
      <c r="T499" s="241"/>
      <c r="U499" s="80"/>
      <c r="V499" s="80"/>
      <c r="W499" s="80"/>
      <c r="X499" s="80"/>
      <c r="Y499" s="80"/>
      <c r="Z499" s="80"/>
      <c r="AA499" s="80"/>
    </row>
    <row r="500" spans="1:27" ht="15.75" customHeight="1">
      <c r="A500" s="80"/>
      <c r="B500" s="270"/>
      <c r="C500" s="271"/>
      <c r="D500" s="80"/>
      <c r="E500" s="271"/>
      <c r="F500" s="272"/>
      <c r="G500" s="270"/>
      <c r="H500" s="271"/>
      <c r="I500" s="272"/>
      <c r="J500" s="80"/>
      <c r="K500" s="273"/>
      <c r="L500" s="273"/>
      <c r="M500" s="273"/>
      <c r="N500" s="273"/>
      <c r="O500" s="273"/>
      <c r="P500" s="273"/>
      <c r="Q500" s="274"/>
      <c r="R500" s="80"/>
      <c r="S500" s="80"/>
      <c r="T500" s="241"/>
      <c r="U500" s="80"/>
      <c r="V500" s="80"/>
      <c r="W500" s="80"/>
      <c r="X500" s="80"/>
      <c r="Y500" s="80"/>
      <c r="Z500" s="80"/>
      <c r="AA500" s="80"/>
    </row>
    <row r="501" spans="1:27" ht="15.75" customHeight="1">
      <c r="A501" s="80"/>
      <c r="B501" s="270"/>
      <c r="C501" s="271"/>
      <c r="D501" s="80"/>
      <c r="E501" s="271"/>
      <c r="F501" s="272"/>
      <c r="G501" s="270"/>
      <c r="H501" s="271"/>
      <c r="I501" s="272"/>
      <c r="J501" s="80"/>
      <c r="K501" s="273"/>
      <c r="L501" s="273"/>
      <c r="M501" s="273"/>
      <c r="N501" s="273"/>
      <c r="O501" s="273"/>
      <c r="P501" s="273"/>
      <c r="Q501" s="274"/>
      <c r="R501" s="80"/>
      <c r="S501" s="80"/>
      <c r="T501" s="241"/>
      <c r="U501" s="80"/>
      <c r="V501" s="80"/>
      <c r="W501" s="80"/>
      <c r="X501" s="80"/>
      <c r="Y501" s="80"/>
      <c r="Z501" s="80"/>
      <c r="AA501" s="80"/>
    </row>
    <row r="502" spans="1:27" ht="15.75" customHeight="1">
      <c r="A502" s="80"/>
      <c r="B502" s="270"/>
      <c r="C502" s="271"/>
      <c r="D502" s="80"/>
      <c r="E502" s="271"/>
      <c r="F502" s="272"/>
      <c r="G502" s="270"/>
      <c r="H502" s="271"/>
      <c r="I502" s="272"/>
      <c r="J502" s="80"/>
      <c r="K502" s="273"/>
      <c r="L502" s="273"/>
      <c r="M502" s="273"/>
      <c r="N502" s="273"/>
      <c r="O502" s="273"/>
      <c r="P502" s="273"/>
      <c r="Q502" s="274"/>
      <c r="R502" s="80"/>
      <c r="S502" s="80"/>
      <c r="T502" s="241"/>
      <c r="U502" s="80"/>
      <c r="V502" s="80"/>
      <c r="W502" s="80"/>
      <c r="X502" s="80"/>
      <c r="Y502" s="80"/>
      <c r="Z502" s="80"/>
      <c r="AA502" s="80"/>
    </row>
    <row r="503" spans="1:27" ht="15.75" customHeight="1">
      <c r="A503" s="80"/>
      <c r="B503" s="270"/>
      <c r="C503" s="271"/>
      <c r="D503" s="80"/>
      <c r="E503" s="271"/>
      <c r="F503" s="272"/>
      <c r="G503" s="270"/>
      <c r="H503" s="271"/>
      <c r="I503" s="272"/>
      <c r="J503" s="80"/>
      <c r="K503" s="273"/>
      <c r="L503" s="273"/>
      <c r="M503" s="273"/>
      <c r="N503" s="273"/>
      <c r="O503" s="273"/>
      <c r="P503" s="273"/>
      <c r="Q503" s="274"/>
      <c r="R503" s="80"/>
      <c r="S503" s="80"/>
      <c r="T503" s="241"/>
      <c r="U503" s="80"/>
      <c r="V503" s="80"/>
      <c r="W503" s="80"/>
      <c r="X503" s="80"/>
      <c r="Y503" s="80"/>
      <c r="Z503" s="80"/>
      <c r="AA503" s="80"/>
    </row>
    <row r="504" spans="1:27" ht="15.75" customHeight="1">
      <c r="A504" s="80"/>
      <c r="B504" s="270"/>
      <c r="C504" s="271"/>
      <c r="D504" s="80"/>
      <c r="E504" s="271"/>
      <c r="F504" s="272"/>
      <c r="G504" s="270"/>
      <c r="H504" s="271"/>
      <c r="I504" s="272"/>
      <c r="J504" s="80"/>
      <c r="K504" s="273"/>
      <c r="L504" s="273"/>
      <c r="M504" s="273"/>
      <c r="N504" s="273"/>
      <c r="O504" s="273"/>
      <c r="P504" s="273"/>
      <c r="Q504" s="274"/>
      <c r="R504" s="80"/>
      <c r="S504" s="80"/>
      <c r="T504" s="241"/>
      <c r="U504" s="80"/>
      <c r="V504" s="80"/>
      <c r="W504" s="80"/>
      <c r="X504" s="80"/>
      <c r="Y504" s="80"/>
      <c r="Z504" s="80"/>
      <c r="AA504" s="80"/>
    </row>
    <row r="505" spans="1:27" ht="15.75" customHeight="1">
      <c r="A505" s="80"/>
      <c r="B505" s="270"/>
      <c r="C505" s="271"/>
      <c r="D505" s="80"/>
      <c r="E505" s="271"/>
      <c r="F505" s="272"/>
      <c r="G505" s="270"/>
      <c r="H505" s="271"/>
      <c r="I505" s="272"/>
      <c r="J505" s="80"/>
      <c r="K505" s="273"/>
      <c r="L505" s="273"/>
      <c r="M505" s="273"/>
      <c r="N505" s="273"/>
      <c r="O505" s="273"/>
      <c r="P505" s="273"/>
      <c r="Q505" s="274"/>
      <c r="R505" s="80"/>
      <c r="S505" s="80"/>
      <c r="T505" s="241"/>
      <c r="U505" s="80"/>
      <c r="V505" s="80"/>
      <c r="W505" s="80"/>
      <c r="X505" s="80"/>
      <c r="Y505" s="80"/>
      <c r="Z505" s="80"/>
      <c r="AA505" s="80"/>
    </row>
    <row r="506" spans="1:27" ht="15.75" customHeight="1">
      <c r="A506" s="80"/>
      <c r="B506" s="270"/>
      <c r="C506" s="271"/>
      <c r="D506" s="80"/>
      <c r="E506" s="271"/>
      <c r="F506" s="272"/>
      <c r="G506" s="270"/>
      <c r="H506" s="271"/>
      <c r="I506" s="272"/>
      <c r="J506" s="80"/>
      <c r="K506" s="273"/>
      <c r="L506" s="273"/>
      <c r="M506" s="273"/>
      <c r="N506" s="273"/>
      <c r="O506" s="273"/>
      <c r="P506" s="273"/>
      <c r="Q506" s="274"/>
      <c r="R506" s="80"/>
      <c r="S506" s="80"/>
      <c r="T506" s="241"/>
      <c r="U506" s="80"/>
      <c r="V506" s="80"/>
      <c r="W506" s="80"/>
      <c r="X506" s="80"/>
      <c r="Y506" s="80"/>
      <c r="Z506" s="80"/>
      <c r="AA506" s="80"/>
    </row>
    <row r="507" spans="1:27" ht="15.75" customHeight="1">
      <c r="A507" s="80"/>
      <c r="B507" s="270"/>
      <c r="C507" s="271"/>
      <c r="D507" s="80"/>
      <c r="E507" s="271"/>
      <c r="F507" s="272"/>
      <c r="G507" s="270"/>
      <c r="H507" s="271"/>
      <c r="I507" s="272"/>
      <c r="J507" s="80"/>
      <c r="K507" s="273"/>
      <c r="L507" s="273"/>
      <c r="M507" s="273"/>
      <c r="N507" s="273"/>
      <c r="O507" s="273"/>
      <c r="P507" s="273"/>
      <c r="Q507" s="274"/>
      <c r="R507" s="80"/>
      <c r="S507" s="80"/>
      <c r="T507" s="241"/>
      <c r="U507" s="80"/>
      <c r="V507" s="80"/>
      <c r="W507" s="80"/>
      <c r="X507" s="80"/>
      <c r="Y507" s="80"/>
      <c r="Z507" s="80"/>
      <c r="AA507" s="80"/>
    </row>
    <row r="508" spans="1:27" ht="15.75" customHeight="1">
      <c r="A508" s="80"/>
      <c r="B508" s="270"/>
      <c r="C508" s="271"/>
      <c r="D508" s="80"/>
      <c r="E508" s="271"/>
      <c r="F508" s="272"/>
      <c r="G508" s="270"/>
      <c r="H508" s="271"/>
      <c r="I508" s="272"/>
      <c r="J508" s="80"/>
      <c r="K508" s="273"/>
      <c r="L508" s="273"/>
      <c r="M508" s="273"/>
      <c r="N508" s="273"/>
      <c r="O508" s="273"/>
      <c r="P508" s="273"/>
      <c r="Q508" s="274"/>
      <c r="R508" s="80"/>
      <c r="S508" s="80"/>
      <c r="T508" s="241"/>
      <c r="U508" s="80"/>
      <c r="V508" s="80"/>
      <c r="W508" s="80"/>
      <c r="X508" s="80"/>
      <c r="Y508" s="80"/>
      <c r="Z508" s="80"/>
      <c r="AA508" s="80"/>
    </row>
    <row r="509" spans="1:27" ht="15.75" customHeight="1">
      <c r="A509" s="80"/>
      <c r="B509" s="270"/>
      <c r="C509" s="271"/>
      <c r="D509" s="80"/>
      <c r="E509" s="271"/>
      <c r="F509" s="272"/>
      <c r="G509" s="270"/>
      <c r="H509" s="271"/>
      <c r="I509" s="272"/>
      <c r="J509" s="80"/>
      <c r="K509" s="273"/>
      <c r="L509" s="273"/>
      <c r="M509" s="273"/>
      <c r="N509" s="273"/>
      <c r="O509" s="273"/>
      <c r="P509" s="273"/>
      <c r="Q509" s="274"/>
      <c r="R509" s="80"/>
      <c r="S509" s="80"/>
      <c r="T509" s="241"/>
      <c r="U509" s="80"/>
      <c r="V509" s="80"/>
      <c r="W509" s="80"/>
      <c r="X509" s="80"/>
      <c r="Y509" s="80"/>
      <c r="Z509" s="80"/>
      <c r="AA509" s="80"/>
    </row>
    <row r="510" spans="1:27" ht="15.75" customHeight="1">
      <c r="A510" s="80"/>
      <c r="B510" s="270"/>
      <c r="C510" s="271"/>
      <c r="D510" s="80"/>
      <c r="E510" s="271"/>
      <c r="F510" s="272"/>
      <c r="G510" s="270"/>
      <c r="H510" s="271"/>
      <c r="I510" s="272"/>
      <c r="J510" s="80"/>
      <c r="K510" s="273"/>
      <c r="L510" s="273"/>
      <c r="M510" s="273"/>
      <c r="N510" s="273"/>
      <c r="O510" s="273"/>
      <c r="P510" s="273"/>
      <c r="Q510" s="274"/>
      <c r="R510" s="80"/>
      <c r="S510" s="80"/>
      <c r="T510" s="241"/>
      <c r="U510" s="80"/>
      <c r="V510" s="80"/>
      <c r="W510" s="80"/>
      <c r="X510" s="80"/>
      <c r="Y510" s="80"/>
      <c r="Z510" s="80"/>
      <c r="AA510" s="80"/>
    </row>
    <row r="511" spans="1:27" ht="15.75" customHeight="1">
      <c r="A511" s="80"/>
      <c r="B511" s="270"/>
      <c r="C511" s="271"/>
      <c r="D511" s="80"/>
      <c r="E511" s="271"/>
      <c r="F511" s="272"/>
      <c r="G511" s="270"/>
      <c r="H511" s="271"/>
      <c r="I511" s="272"/>
      <c r="J511" s="80"/>
      <c r="K511" s="273"/>
      <c r="L511" s="273"/>
      <c r="M511" s="273"/>
      <c r="N511" s="273"/>
      <c r="O511" s="273"/>
      <c r="P511" s="273"/>
      <c r="Q511" s="274"/>
      <c r="R511" s="80"/>
      <c r="S511" s="80"/>
      <c r="T511" s="241"/>
      <c r="U511" s="80"/>
      <c r="V511" s="80"/>
      <c r="W511" s="80"/>
      <c r="X511" s="80"/>
      <c r="Y511" s="80"/>
      <c r="Z511" s="80"/>
      <c r="AA511" s="80"/>
    </row>
    <row r="512" spans="1:27" ht="15.75" customHeight="1">
      <c r="A512" s="80"/>
      <c r="B512" s="270"/>
      <c r="C512" s="271"/>
      <c r="D512" s="80"/>
      <c r="E512" s="271"/>
      <c r="F512" s="272"/>
      <c r="G512" s="270"/>
      <c r="H512" s="271"/>
      <c r="I512" s="272"/>
      <c r="J512" s="80"/>
      <c r="K512" s="273"/>
      <c r="L512" s="273"/>
      <c r="M512" s="273"/>
      <c r="N512" s="273"/>
      <c r="O512" s="273"/>
      <c r="P512" s="273"/>
      <c r="Q512" s="274"/>
      <c r="R512" s="80"/>
      <c r="S512" s="80"/>
      <c r="T512" s="241"/>
      <c r="U512" s="80"/>
      <c r="V512" s="80"/>
      <c r="W512" s="80"/>
      <c r="X512" s="80"/>
      <c r="Y512" s="80"/>
      <c r="Z512" s="80"/>
      <c r="AA512" s="80"/>
    </row>
    <row r="513" spans="1:27" ht="15.75" customHeight="1">
      <c r="A513" s="80"/>
      <c r="B513" s="270"/>
      <c r="C513" s="271"/>
      <c r="D513" s="80"/>
      <c r="E513" s="271"/>
      <c r="F513" s="272"/>
      <c r="G513" s="270"/>
      <c r="H513" s="271"/>
      <c r="I513" s="272"/>
      <c r="J513" s="80"/>
      <c r="K513" s="273"/>
      <c r="L513" s="273"/>
      <c r="M513" s="273"/>
      <c r="N513" s="273"/>
      <c r="O513" s="273"/>
      <c r="P513" s="273"/>
      <c r="Q513" s="274"/>
      <c r="R513" s="80"/>
      <c r="S513" s="80"/>
      <c r="T513" s="241"/>
      <c r="U513" s="80"/>
      <c r="V513" s="80"/>
      <c r="W513" s="80"/>
      <c r="X513" s="80"/>
      <c r="Y513" s="80"/>
      <c r="Z513" s="80"/>
      <c r="AA513" s="80"/>
    </row>
    <row r="514" spans="1:27" ht="15.75" customHeight="1">
      <c r="A514" s="80"/>
      <c r="B514" s="270"/>
      <c r="C514" s="271"/>
      <c r="D514" s="80"/>
      <c r="E514" s="271"/>
      <c r="F514" s="272"/>
      <c r="G514" s="270"/>
      <c r="H514" s="271"/>
      <c r="I514" s="272"/>
      <c r="J514" s="80"/>
      <c r="K514" s="273"/>
      <c r="L514" s="273"/>
      <c r="M514" s="273"/>
      <c r="N514" s="273"/>
      <c r="O514" s="273"/>
      <c r="P514" s="273"/>
      <c r="Q514" s="274"/>
      <c r="R514" s="80"/>
      <c r="S514" s="80"/>
      <c r="T514" s="241"/>
      <c r="U514" s="80"/>
      <c r="V514" s="80"/>
      <c r="W514" s="80"/>
      <c r="X514" s="80"/>
      <c r="Y514" s="80"/>
      <c r="Z514" s="80"/>
      <c r="AA514" s="80"/>
    </row>
    <row r="515" spans="1:27" ht="15.75" customHeight="1">
      <c r="A515" s="80"/>
      <c r="B515" s="270"/>
      <c r="C515" s="271"/>
      <c r="D515" s="80"/>
      <c r="E515" s="271"/>
      <c r="F515" s="272"/>
      <c r="G515" s="270"/>
      <c r="H515" s="271"/>
      <c r="I515" s="272"/>
      <c r="J515" s="80"/>
      <c r="K515" s="273"/>
      <c r="L515" s="273"/>
      <c r="M515" s="273"/>
      <c r="N515" s="273"/>
      <c r="O515" s="273"/>
      <c r="P515" s="273"/>
      <c r="Q515" s="274"/>
      <c r="R515" s="80"/>
      <c r="S515" s="80"/>
      <c r="T515" s="241"/>
      <c r="U515" s="80"/>
      <c r="V515" s="80"/>
      <c r="W515" s="80"/>
      <c r="X515" s="80"/>
      <c r="Y515" s="80"/>
      <c r="Z515" s="80"/>
      <c r="AA515" s="80"/>
    </row>
    <row r="516" spans="1:27" ht="15.75" customHeight="1">
      <c r="A516" s="80"/>
      <c r="B516" s="270"/>
      <c r="C516" s="271"/>
      <c r="D516" s="80"/>
      <c r="E516" s="271"/>
      <c r="F516" s="272"/>
      <c r="G516" s="270"/>
      <c r="H516" s="271"/>
      <c r="I516" s="272"/>
      <c r="J516" s="80"/>
      <c r="K516" s="273"/>
      <c r="L516" s="273"/>
      <c r="M516" s="273"/>
      <c r="N516" s="273"/>
      <c r="O516" s="273"/>
      <c r="P516" s="273"/>
      <c r="Q516" s="274"/>
      <c r="R516" s="80"/>
      <c r="S516" s="80"/>
      <c r="T516" s="241"/>
      <c r="U516" s="80"/>
      <c r="V516" s="80"/>
      <c r="W516" s="80"/>
      <c r="X516" s="80"/>
      <c r="Y516" s="80"/>
      <c r="Z516" s="80"/>
      <c r="AA516" s="80"/>
    </row>
    <row r="517" spans="1:27" ht="15.75" customHeight="1">
      <c r="A517" s="80"/>
      <c r="B517" s="270"/>
      <c r="C517" s="271"/>
      <c r="D517" s="80"/>
      <c r="E517" s="271"/>
      <c r="F517" s="272"/>
      <c r="G517" s="270"/>
      <c r="H517" s="271"/>
      <c r="I517" s="272"/>
      <c r="J517" s="80"/>
      <c r="K517" s="273"/>
      <c r="L517" s="273"/>
      <c r="M517" s="273"/>
      <c r="N517" s="273"/>
      <c r="O517" s="273"/>
      <c r="P517" s="273"/>
      <c r="Q517" s="274"/>
      <c r="R517" s="80"/>
      <c r="S517" s="80"/>
      <c r="T517" s="241"/>
      <c r="U517" s="80"/>
      <c r="V517" s="80"/>
      <c r="W517" s="80"/>
      <c r="X517" s="80"/>
      <c r="Y517" s="80"/>
      <c r="Z517" s="80"/>
      <c r="AA517" s="80"/>
    </row>
    <row r="518" spans="1:27" ht="15.75" customHeight="1">
      <c r="A518" s="80"/>
      <c r="B518" s="270"/>
      <c r="C518" s="271"/>
      <c r="D518" s="80"/>
      <c r="E518" s="271"/>
      <c r="F518" s="272"/>
      <c r="G518" s="270"/>
      <c r="H518" s="271"/>
      <c r="I518" s="272"/>
      <c r="J518" s="80"/>
      <c r="K518" s="273"/>
      <c r="L518" s="273"/>
      <c r="M518" s="273"/>
      <c r="N518" s="273"/>
      <c r="O518" s="273"/>
      <c r="P518" s="273"/>
      <c r="Q518" s="274"/>
      <c r="R518" s="80"/>
      <c r="S518" s="80"/>
      <c r="T518" s="241"/>
      <c r="U518" s="80"/>
      <c r="V518" s="80"/>
      <c r="W518" s="80"/>
      <c r="X518" s="80"/>
      <c r="Y518" s="80"/>
      <c r="Z518" s="80"/>
      <c r="AA518" s="80"/>
    </row>
    <row r="519" spans="1:27" ht="15.75" customHeight="1">
      <c r="A519" s="80"/>
      <c r="B519" s="270"/>
      <c r="C519" s="271"/>
      <c r="D519" s="80"/>
      <c r="E519" s="271"/>
      <c r="F519" s="272"/>
      <c r="G519" s="270"/>
      <c r="H519" s="271"/>
      <c r="I519" s="272"/>
      <c r="J519" s="80"/>
      <c r="K519" s="273"/>
      <c r="L519" s="273"/>
      <c r="M519" s="273"/>
      <c r="N519" s="273"/>
      <c r="O519" s="273"/>
      <c r="P519" s="273"/>
      <c r="Q519" s="274"/>
      <c r="R519" s="80"/>
      <c r="S519" s="80"/>
      <c r="T519" s="241"/>
      <c r="U519" s="80"/>
      <c r="V519" s="80"/>
      <c r="W519" s="80"/>
      <c r="X519" s="80"/>
      <c r="Y519" s="80"/>
      <c r="Z519" s="80"/>
      <c r="AA519" s="80"/>
    </row>
    <row r="520" spans="1:27" ht="15.75" customHeight="1">
      <c r="A520" s="80"/>
      <c r="B520" s="270"/>
      <c r="C520" s="271"/>
      <c r="D520" s="80"/>
      <c r="E520" s="271"/>
      <c r="F520" s="272"/>
      <c r="G520" s="270"/>
      <c r="H520" s="271"/>
      <c r="I520" s="272"/>
      <c r="J520" s="80"/>
      <c r="K520" s="273"/>
      <c r="L520" s="273"/>
      <c r="M520" s="273"/>
      <c r="N520" s="273"/>
      <c r="O520" s="273"/>
      <c r="P520" s="273"/>
      <c r="Q520" s="274"/>
      <c r="R520" s="80"/>
      <c r="S520" s="80"/>
      <c r="T520" s="241"/>
      <c r="U520" s="80"/>
      <c r="V520" s="80"/>
      <c r="W520" s="80"/>
      <c r="X520" s="80"/>
      <c r="Y520" s="80"/>
      <c r="Z520" s="80"/>
      <c r="AA520" s="80"/>
    </row>
    <row r="521" spans="1:27" ht="15.75" customHeight="1">
      <c r="A521" s="80"/>
      <c r="B521" s="270"/>
      <c r="C521" s="271"/>
      <c r="D521" s="80"/>
      <c r="E521" s="271"/>
      <c r="F521" s="272"/>
      <c r="G521" s="270"/>
      <c r="H521" s="271"/>
      <c r="I521" s="272"/>
      <c r="J521" s="80"/>
      <c r="K521" s="273"/>
      <c r="L521" s="273"/>
      <c r="M521" s="273"/>
      <c r="N521" s="273"/>
      <c r="O521" s="273"/>
      <c r="P521" s="273"/>
      <c r="Q521" s="274"/>
      <c r="R521" s="80"/>
      <c r="S521" s="80"/>
      <c r="T521" s="241"/>
      <c r="U521" s="80"/>
      <c r="V521" s="80"/>
      <c r="W521" s="80"/>
      <c r="X521" s="80"/>
      <c r="Y521" s="80"/>
      <c r="Z521" s="80"/>
      <c r="AA521" s="80"/>
    </row>
    <row r="522" spans="1:27" ht="15.75" customHeight="1">
      <c r="A522" s="80"/>
      <c r="B522" s="270"/>
      <c r="C522" s="271"/>
      <c r="D522" s="80"/>
      <c r="E522" s="271"/>
      <c r="F522" s="272"/>
      <c r="G522" s="270"/>
      <c r="H522" s="271"/>
      <c r="I522" s="272"/>
      <c r="J522" s="80"/>
      <c r="K522" s="273"/>
      <c r="L522" s="273"/>
      <c r="M522" s="273"/>
      <c r="N522" s="273"/>
      <c r="O522" s="273"/>
      <c r="P522" s="273"/>
      <c r="Q522" s="274"/>
      <c r="R522" s="80"/>
      <c r="S522" s="80"/>
      <c r="T522" s="241"/>
      <c r="U522" s="80"/>
      <c r="V522" s="80"/>
      <c r="W522" s="80"/>
      <c r="X522" s="80"/>
      <c r="Y522" s="80"/>
      <c r="Z522" s="80"/>
      <c r="AA522" s="80"/>
    </row>
    <row r="523" spans="1:27" ht="15.75" customHeight="1">
      <c r="A523" s="80"/>
      <c r="B523" s="270"/>
      <c r="C523" s="271"/>
      <c r="D523" s="80"/>
      <c r="E523" s="271"/>
      <c r="F523" s="272"/>
      <c r="G523" s="270"/>
      <c r="H523" s="271"/>
      <c r="I523" s="272"/>
      <c r="J523" s="80"/>
      <c r="K523" s="273"/>
      <c r="L523" s="273"/>
      <c r="M523" s="273"/>
      <c r="N523" s="273"/>
      <c r="O523" s="273"/>
      <c r="P523" s="273"/>
      <c r="Q523" s="274"/>
      <c r="R523" s="80"/>
      <c r="S523" s="80"/>
      <c r="T523" s="241"/>
      <c r="U523" s="80"/>
      <c r="V523" s="80"/>
      <c r="W523" s="80"/>
      <c r="X523" s="80"/>
      <c r="Y523" s="80"/>
      <c r="Z523" s="80"/>
      <c r="AA523" s="80"/>
    </row>
    <row r="524" spans="1:27" ht="15.75" customHeight="1">
      <c r="A524" s="80"/>
      <c r="B524" s="270"/>
      <c r="C524" s="271"/>
      <c r="D524" s="80"/>
      <c r="E524" s="271"/>
      <c r="F524" s="272"/>
      <c r="G524" s="270"/>
      <c r="H524" s="271"/>
      <c r="I524" s="272"/>
      <c r="J524" s="80"/>
      <c r="K524" s="273"/>
      <c r="L524" s="273"/>
      <c r="M524" s="273"/>
      <c r="N524" s="273"/>
      <c r="O524" s="273"/>
      <c r="P524" s="273"/>
      <c r="Q524" s="274"/>
      <c r="R524" s="80"/>
      <c r="S524" s="80"/>
      <c r="T524" s="241"/>
      <c r="U524" s="80"/>
      <c r="V524" s="80"/>
      <c r="W524" s="80"/>
      <c r="X524" s="80"/>
      <c r="Y524" s="80"/>
      <c r="Z524" s="80"/>
      <c r="AA524" s="80"/>
    </row>
    <row r="525" spans="1:27" ht="15.75" customHeight="1">
      <c r="A525" s="80"/>
      <c r="B525" s="270"/>
      <c r="C525" s="271"/>
      <c r="D525" s="80"/>
      <c r="E525" s="271"/>
      <c r="F525" s="272"/>
      <c r="G525" s="270"/>
      <c r="H525" s="271"/>
      <c r="I525" s="272"/>
      <c r="J525" s="80"/>
      <c r="K525" s="273"/>
      <c r="L525" s="273"/>
      <c r="M525" s="273"/>
      <c r="N525" s="273"/>
      <c r="O525" s="273"/>
      <c r="P525" s="273"/>
      <c r="Q525" s="274"/>
      <c r="R525" s="80"/>
      <c r="S525" s="80"/>
      <c r="T525" s="241"/>
      <c r="U525" s="80"/>
      <c r="V525" s="80"/>
      <c r="W525" s="80"/>
      <c r="X525" s="80"/>
      <c r="Y525" s="80"/>
      <c r="Z525" s="80"/>
      <c r="AA525" s="80"/>
    </row>
    <row r="526" spans="1:27" ht="15.75" customHeight="1">
      <c r="A526" s="80"/>
      <c r="B526" s="270"/>
      <c r="C526" s="271"/>
      <c r="D526" s="80"/>
      <c r="E526" s="271"/>
      <c r="F526" s="272"/>
      <c r="G526" s="270"/>
      <c r="H526" s="271"/>
      <c r="I526" s="272"/>
      <c r="J526" s="80"/>
      <c r="K526" s="273"/>
      <c r="L526" s="273"/>
      <c r="M526" s="273"/>
      <c r="N526" s="273"/>
      <c r="O526" s="273"/>
      <c r="P526" s="273"/>
      <c r="Q526" s="274"/>
      <c r="R526" s="80"/>
      <c r="S526" s="80"/>
      <c r="T526" s="241"/>
      <c r="U526" s="80"/>
      <c r="V526" s="80"/>
      <c r="W526" s="80"/>
      <c r="X526" s="80"/>
      <c r="Y526" s="80"/>
      <c r="Z526" s="80"/>
      <c r="AA526" s="80"/>
    </row>
    <row r="527" spans="1:27" ht="15.75" customHeight="1">
      <c r="A527" s="80"/>
      <c r="B527" s="270"/>
      <c r="C527" s="271"/>
      <c r="D527" s="80"/>
      <c r="E527" s="271"/>
      <c r="F527" s="272"/>
      <c r="G527" s="270"/>
      <c r="H527" s="271"/>
      <c r="I527" s="272"/>
      <c r="J527" s="80"/>
      <c r="K527" s="273"/>
      <c r="L527" s="273"/>
      <c r="M527" s="273"/>
      <c r="N527" s="273"/>
      <c r="O527" s="273"/>
      <c r="P527" s="273"/>
      <c r="Q527" s="274"/>
      <c r="R527" s="80"/>
      <c r="S527" s="80"/>
      <c r="T527" s="241"/>
      <c r="U527" s="80"/>
      <c r="V527" s="80"/>
      <c r="W527" s="80"/>
      <c r="X527" s="80"/>
      <c r="Y527" s="80"/>
      <c r="Z527" s="80"/>
      <c r="AA527" s="80"/>
    </row>
    <row r="528" spans="1:27" ht="15.75" customHeight="1">
      <c r="A528" s="80"/>
      <c r="B528" s="270"/>
      <c r="C528" s="271"/>
      <c r="D528" s="80"/>
      <c r="E528" s="271"/>
      <c r="F528" s="272"/>
      <c r="G528" s="270"/>
      <c r="H528" s="271"/>
      <c r="I528" s="272"/>
      <c r="J528" s="80"/>
      <c r="K528" s="273"/>
      <c r="L528" s="273"/>
      <c r="M528" s="273"/>
      <c r="N528" s="273"/>
      <c r="O528" s="273"/>
      <c r="P528" s="273"/>
      <c r="Q528" s="274"/>
      <c r="R528" s="80"/>
      <c r="S528" s="80"/>
      <c r="T528" s="241"/>
      <c r="U528" s="80"/>
      <c r="V528" s="80"/>
      <c r="W528" s="80"/>
      <c r="X528" s="80"/>
      <c r="Y528" s="80"/>
      <c r="Z528" s="80"/>
      <c r="AA528" s="80"/>
    </row>
    <row r="529" spans="1:27" ht="15.75" customHeight="1">
      <c r="A529" s="80"/>
      <c r="B529" s="270"/>
      <c r="C529" s="271"/>
      <c r="D529" s="80"/>
      <c r="E529" s="271"/>
      <c r="F529" s="272"/>
      <c r="G529" s="270"/>
      <c r="H529" s="271"/>
      <c r="I529" s="272"/>
      <c r="J529" s="80"/>
      <c r="K529" s="273"/>
      <c r="L529" s="273"/>
      <c r="M529" s="273"/>
      <c r="N529" s="273"/>
      <c r="O529" s="273"/>
      <c r="P529" s="273"/>
      <c r="Q529" s="274"/>
      <c r="R529" s="80"/>
      <c r="S529" s="80"/>
      <c r="T529" s="241"/>
      <c r="U529" s="80"/>
      <c r="V529" s="80"/>
      <c r="W529" s="80"/>
      <c r="X529" s="80"/>
      <c r="Y529" s="80"/>
      <c r="Z529" s="80"/>
      <c r="AA529" s="80"/>
    </row>
    <row r="530" spans="1:27" ht="15.75" customHeight="1">
      <c r="A530" s="80"/>
      <c r="B530" s="270"/>
      <c r="C530" s="271"/>
      <c r="D530" s="80"/>
      <c r="E530" s="271"/>
      <c r="F530" s="272"/>
      <c r="G530" s="270"/>
      <c r="H530" s="271"/>
      <c r="I530" s="272"/>
      <c r="J530" s="80"/>
      <c r="K530" s="273"/>
      <c r="L530" s="273"/>
      <c r="M530" s="273"/>
      <c r="N530" s="273"/>
      <c r="O530" s="273"/>
      <c r="P530" s="273"/>
      <c r="Q530" s="274"/>
      <c r="R530" s="80"/>
      <c r="S530" s="80"/>
      <c r="T530" s="241"/>
      <c r="U530" s="80"/>
      <c r="V530" s="80"/>
      <c r="W530" s="80"/>
      <c r="X530" s="80"/>
      <c r="Y530" s="80"/>
      <c r="Z530" s="80"/>
      <c r="AA530" s="80"/>
    </row>
    <row r="531" spans="1:27" ht="15.75" customHeight="1">
      <c r="A531" s="80"/>
      <c r="B531" s="270"/>
      <c r="C531" s="271"/>
      <c r="D531" s="80"/>
      <c r="E531" s="271"/>
      <c r="F531" s="272"/>
      <c r="G531" s="270"/>
      <c r="H531" s="271"/>
      <c r="I531" s="272"/>
      <c r="J531" s="80"/>
      <c r="K531" s="273"/>
      <c r="L531" s="273"/>
      <c r="M531" s="273"/>
      <c r="N531" s="273"/>
      <c r="O531" s="273"/>
      <c r="P531" s="273"/>
      <c r="Q531" s="274"/>
      <c r="R531" s="80"/>
      <c r="S531" s="80"/>
      <c r="T531" s="241"/>
      <c r="U531" s="80"/>
      <c r="V531" s="80"/>
      <c r="W531" s="80"/>
      <c r="X531" s="80"/>
      <c r="Y531" s="80"/>
      <c r="Z531" s="80"/>
      <c r="AA531" s="80"/>
    </row>
    <row r="532" spans="1:27" ht="15.75" customHeight="1">
      <c r="A532" s="80"/>
      <c r="B532" s="270"/>
      <c r="C532" s="271"/>
      <c r="D532" s="80"/>
      <c r="E532" s="271"/>
      <c r="F532" s="272"/>
      <c r="G532" s="270"/>
      <c r="H532" s="271"/>
      <c r="I532" s="272"/>
      <c r="J532" s="80"/>
      <c r="K532" s="273"/>
      <c r="L532" s="273"/>
      <c r="M532" s="273"/>
      <c r="N532" s="273"/>
      <c r="O532" s="273"/>
      <c r="P532" s="273"/>
      <c r="Q532" s="274"/>
      <c r="R532" s="80"/>
      <c r="S532" s="80"/>
      <c r="T532" s="241"/>
      <c r="U532" s="80"/>
      <c r="V532" s="80"/>
      <c r="W532" s="80"/>
      <c r="X532" s="80"/>
      <c r="Y532" s="80"/>
      <c r="Z532" s="80"/>
      <c r="AA532" s="80"/>
    </row>
    <row r="533" spans="1:27" ht="15.75" customHeight="1">
      <c r="A533" s="80"/>
      <c r="B533" s="270"/>
      <c r="C533" s="271"/>
      <c r="D533" s="80"/>
      <c r="E533" s="271"/>
      <c r="F533" s="272"/>
      <c r="G533" s="270"/>
      <c r="H533" s="271"/>
      <c r="I533" s="272"/>
      <c r="J533" s="80"/>
      <c r="K533" s="273"/>
      <c r="L533" s="273"/>
      <c r="M533" s="273"/>
      <c r="N533" s="273"/>
      <c r="O533" s="273"/>
      <c r="P533" s="273"/>
      <c r="Q533" s="274"/>
      <c r="R533" s="80"/>
      <c r="S533" s="80"/>
      <c r="T533" s="241"/>
      <c r="U533" s="80"/>
      <c r="V533" s="80"/>
      <c r="W533" s="80"/>
      <c r="X533" s="80"/>
      <c r="Y533" s="80"/>
      <c r="Z533" s="80"/>
      <c r="AA533" s="80"/>
    </row>
    <row r="534" spans="1:27" ht="15.75" customHeight="1">
      <c r="A534" s="80"/>
      <c r="B534" s="270"/>
      <c r="C534" s="271"/>
      <c r="D534" s="80"/>
      <c r="E534" s="271"/>
      <c r="F534" s="272"/>
      <c r="G534" s="270"/>
      <c r="H534" s="271"/>
      <c r="I534" s="272"/>
      <c r="J534" s="80"/>
      <c r="K534" s="273"/>
      <c r="L534" s="273"/>
      <c r="M534" s="273"/>
      <c r="N534" s="273"/>
      <c r="O534" s="273"/>
      <c r="P534" s="273"/>
      <c r="Q534" s="274"/>
      <c r="R534" s="80"/>
      <c r="S534" s="80"/>
      <c r="T534" s="241"/>
      <c r="U534" s="80"/>
      <c r="V534" s="80"/>
      <c r="W534" s="80"/>
      <c r="X534" s="80"/>
      <c r="Y534" s="80"/>
      <c r="Z534" s="80"/>
      <c r="AA534" s="80"/>
    </row>
    <row r="535" spans="1:27" ht="15.75" customHeight="1">
      <c r="A535" s="80"/>
      <c r="B535" s="270"/>
      <c r="C535" s="271"/>
      <c r="D535" s="80"/>
      <c r="E535" s="271"/>
      <c r="F535" s="272"/>
      <c r="G535" s="270"/>
      <c r="H535" s="271"/>
      <c r="I535" s="272"/>
      <c r="J535" s="80"/>
      <c r="K535" s="273"/>
      <c r="L535" s="273"/>
      <c r="M535" s="273"/>
      <c r="N535" s="273"/>
      <c r="O535" s="273"/>
      <c r="P535" s="273"/>
      <c r="Q535" s="274"/>
      <c r="R535" s="80"/>
      <c r="S535" s="80"/>
      <c r="T535" s="241"/>
      <c r="U535" s="80"/>
      <c r="V535" s="80"/>
      <c r="W535" s="80"/>
      <c r="X535" s="80"/>
      <c r="Y535" s="80"/>
      <c r="Z535" s="80"/>
      <c r="AA535" s="80"/>
    </row>
    <row r="536" spans="1:27" ht="15.75" customHeight="1">
      <c r="A536" s="80"/>
      <c r="B536" s="270"/>
      <c r="C536" s="271"/>
      <c r="D536" s="80"/>
      <c r="E536" s="271"/>
      <c r="F536" s="272"/>
      <c r="G536" s="270"/>
      <c r="H536" s="271"/>
      <c r="I536" s="272"/>
      <c r="J536" s="80"/>
      <c r="K536" s="273"/>
      <c r="L536" s="273"/>
      <c r="M536" s="273"/>
      <c r="N536" s="273"/>
      <c r="O536" s="273"/>
      <c r="P536" s="273"/>
      <c r="Q536" s="274"/>
      <c r="R536" s="80"/>
      <c r="S536" s="80"/>
      <c r="T536" s="241"/>
      <c r="U536" s="80"/>
      <c r="V536" s="80"/>
      <c r="W536" s="80"/>
      <c r="X536" s="80"/>
      <c r="Y536" s="80"/>
      <c r="Z536" s="80"/>
      <c r="AA536" s="80"/>
    </row>
    <row r="537" spans="1:27" ht="15.75" customHeight="1">
      <c r="A537" s="80"/>
      <c r="B537" s="270"/>
      <c r="C537" s="271"/>
      <c r="D537" s="80"/>
      <c r="E537" s="271"/>
      <c r="F537" s="272"/>
      <c r="G537" s="270"/>
      <c r="H537" s="271"/>
      <c r="I537" s="272"/>
      <c r="J537" s="80"/>
      <c r="K537" s="273"/>
      <c r="L537" s="273"/>
      <c r="M537" s="273"/>
      <c r="N537" s="273"/>
      <c r="O537" s="273"/>
      <c r="P537" s="273"/>
      <c r="Q537" s="274"/>
      <c r="R537" s="80"/>
      <c r="S537" s="80"/>
      <c r="T537" s="241"/>
      <c r="U537" s="80"/>
      <c r="V537" s="80"/>
      <c r="W537" s="80"/>
      <c r="X537" s="80"/>
      <c r="Y537" s="80"/>
      <c r="Z537" s="80"/>
      <c r="AA537" s="80"/>
    </row>
    <row r="538" spans="1:27" ht="15.75" customHeight="1">
      <c r="A538" s="80"/>
      <c r="B538" s="270"/>
      <c r="C538" s="271"/>
      <c r="D538" s="80"/>
      <c r="E538" s="271"/>
      <c r="F538" s="272"/>
      <c r="G538" s="270"/>
      <c r="H538" s="271"/>
      <c r="I538" s="272"/>
      <c r="J538" s="80"/>
      <c r="K538" s="273"/>
      <c r="L538" s="273"/>
      <c r="M538" s="273"/>
      <c r="N538" s="273"/>
      <c r="O538" s="273"/>
      <c r="P538" s="273"/>
      <c r="Q538" s="274"/>
      <c r="R538" s="80"/>
      <c r="S538" s="80"/>
      <c r="T538" s="241"/>
      <c r="U538" s="80"/>
      <c r="V538" s="80"/>
      <c r="W538" s="80"/>
      <c r="X538" s="80"/>
      <c r="Y538" s="80"/>
      <c r="Z538" s="80"/>
      <c r="AA538" s="80"/>
    </row>
    <row r="539" spans="1:27" ht="15.75" customHeight="1">
      <c r="A539" s="80"/>
      <c r="B539" s="270"/>
      <c r="C539" s="271"/>
      <c r="D539" s="80"/>
      <c r="E539" s="271"/>
      <c r="F539" s="272"/>
      <c r="G539" s="270"/>
      <c r="H539" s="271"/>
      <c r="I539" s="272"/>
      <c r="J539" s="80"/>
      <c r="K539" s="273"/>
      <c r="L539" s="273"/>
      <c r="M539" s="273"/>
      <c r="N539" s="273"/>
      <c r="O539" s="273"/>
      <c r="P539" s="273"/>
      <c r="Q539" s="274"/>
      <c r="R539" s="80"/>
      <c r="S539" s="80"/>
      <c r="T539" s="241"/>
      <c r="U539" s="80"/>
      <c r="V539" s="80"/>
      <c r="W539" s="80"/>
      <c r="X539" s="80"/>
      <c r="Y539" s="80"/>
      <c r="Z539" s="80"/>
      <c r="AA539" s="80"/>
    </row>
    <row r="540" spans="1:27" ht="15.75" customHeight="1">
      <c r="A540" s="80"/>
      <c r="B540" s="270"/>
      <c r="C540" s="271"/>
      <c r="D540" s="80"/>
      <c r="E540" s="271"/>
      <c r="F540" s="272"/>
      <c r="G540" s="270"/>
      <c r="H540" s="271"/>
      <c r="I540" s="272"/>
      <c r="J540" s="80"/>
      <c r="K540" s="273"/>
      <c r="L540" s="273"/>
      <c r="M540" s="273"/>
      <c r="N540" s="273"/>
      <c r="O540" s="273"/>
      <c r="P540" s="273"/>
      <c r="Q540" s="274"/>
      <c r="R540" s="80"/>
      <c r="S540" s="80"/>
      <c r="T540" s="241"/>
      <c r="U540" s="80"/>
      <c r="V540" s="80"/>
      <c r="W540" s="80"/>
      <c r="X540" s="80"/>
      <c r="Y540" s="80"/>
      <c r="Z540" s="80"/>
      <c r="AA540" s="80"/>
    </row>
    <row r="541" spans="1:27" ht="15.75" customHeight="1">
      <c r="A541" s="80"/>
      <c r="B541" s="270"/>
      <c r="C541" s="271"/>
      <c r="D541" s="80"/>
      <c r="E541" s="271"/>
      <c r="F541" s="272"/>
      <c r="G541" s="270"/>
      <c r="H541" s="271"/>
      <c r="I541" s="272"/>
      <c r="J541" s="80"/>
      <c r="K541" s="273"/>
      <c r="L541" s="273"/>
      <c r="M541" s="273"/>
      <c r="N541" s="273"/>
      <c r="O541" s="273"/>
      <c r="P541" s="273"/>
      <c r="Q541" s="274"/>
      <c r="R541" s="80"/>
      <c r="S541" s="80"/>
      <c r="T541" s="241"/>
      <c r="U541" s="80"/>
      <c r="V541" s="80"/>
      <c r="W541" s="80"/>
      <c r="X541" s="80"/>
      <c r="Y541" s="80"/>
      <c r="Z541" s="80"/>
      <c r="AA541" s="80"/>
    </row>
    <row r="542" spans="1:27" ht="15.75" customHeight="1">
      <c r="A542" s="80"/>
      <c r="B542" s="270"/>
      <c r="C542" s="271"/>
      <c r="D542" s="80"/>
      <c r="E542" s="271"/>
      <c r="F542" s="272"/>
      <c r="G542" s="270"/>
      <c r="H542" s="271"/>
      <c r="I542" s="272"/>
      <c r="J542" s="80"/>
      <c r="K542" s="273"/>
      <c r="L542" s="273"/>
      <c r="M542" s="273"/>
      <c r="N542" s="273"/>
      <c r="O542" s="273"/>
      <c r="P542" s="273"/>
      <c r="Q542" s="274"/>
      <c r="R542" s="80"/>
      <c r="S542" s="80"/>
      <c r="T542" s="241"/>
      <c r="U542" s="80"/>
      <c r="V542" s="80"/>
      <c r="W542" s="80"/>
      <c r="X542" s="80"/>
      <c r="Y542" s="80"/>
      <c r="Z542" s="80"/>
      <c r="AA542" s="80"/>
    </row>
    <row r="543" spans="1:27" ht="15.75" customHeight="1">
      <c r="A543" s="80"/>
      <c r="B543" s="270"/>
      <c r="C543" s="271"/>
      <c r="D543" s="80"/>
      <c r="E543" s="271"/>
      <c r="F543" s="272"/>
      <c r="G543" s="270"/>
      <c r="H543" s="271"/>
      <c r="I543" s="272"/>
      <c r="J543" s="80"/>
      <c r="K543" s="273"/>
      <c r="L543" s="273"/>
      <c r="M543" s="273"/>
      <c r="N543" s="273"/>
      <c r="O543" s="273"/>
      <c r="P543" s="273"/>
      <c r="Q543" s="274"/>
      <c r="R543" s="80"/>
      <c r="S543" s="80"/>
      <c r="T543" s="241"/>
      <c r="U543" s="80"/>
      <c r="V543" s="80"/>
      <c r="W543" s="80"/>
      <c r="X543" s="80"/>
      <c r="Y543" s="80"/>
      <c r="Z543" s="80"/>
      <c r="AA543" s="80"/>
    </row>
    <row r="544" spans="1:27" ht="15.75" customHeight="1">
      <c r="A544" s="80"/>
      <c r="B544" s="270"/>
      <c r="C544" s="271"/>
      <c r="D544" s="80"/>
      <c r="E544" s="271"/>
      <c r="F544" s="272"/>
      <c r="G544" s="270"/>
      <c r="H544" s="271"/>
      <c r="I544" s="272"/>
      <c r="J544" s="80"/>
      <c r="K544" s="273"/>
      <c r="L544" s="273"/>
      <c r="M544" s="273"/>
      <c r="N544" s="273"/>
      <c r="O544" s="273"/>
      <c r="P544" s="273"/>
      <c r="Q544" s="274"/>
      <c r="R544" s="80"/>
      <c r="S544" s="80"/>
      <c r="T544" s="241"/>
      <c r="U544" s="80"/>
      <c r="V544" s="80"/>
      <c r="W544" s="80"/>
      <c r="X544" s="80"/>
      <c r="Y544" s="80"/>
      <c r="Z544" s="80"/>
      <c r="AA544" s="80"/>
    </row>
    <row r="545" spans="1:27" ht="15.75" customHeight="1">
      <c r="A545" s="80"/>
      <c r="B545" s="270"/>
      <c r="C545" s="271"/>
      <c r="D545" s="80"/>
      <c r="E545" s="271"/>
      <c r="F545" s="272"/>
      <c r="G545" s="270"/>
      <c r="H545" s="271"/>
      <c r="I545" s="272"/>
      <c r="J545" s="80"/>
      <c r="K545" s="273"/>
      <c r="L545" s="273"/>
      <c r="M545" s="273"/>
      <c r="N545" s="273"/>
      <c r="O545" s="273"/>
      <c r="P545" s="273"/>
      <c r="Q545" s="274"/>
      <c r="R545" s="80"/>
      <c r="S545" s="80"/>
      <c r="T545" s="241"/>
      <c r="U545" s="80"/>
      <c r="V545" s="80"/>
      <c r="W545" s="80"/>
      <c r="X545" s="80"/>
      <c r="Y545" s="80"/>
      <c r="Z545" s="80"/>
      <c r="AA545" s="80"/>
    </row>
    <row r="546" spans="1:27" ht="15.75" customHeight="1">
      <c r="A546" s="80"/>
      <c r="B546" s="270"/>
      <c r="C546" s="271"/>
      <c r="D546" s="80"/>
      <c r="E546" s="271"/>
      <c r="F546" s="272"/>
      <c r="G546" s="270"/>
      <c r="H546" s="271"/>
      <c r="I546" s="272"/>
      <c r="J546" s="80"/>
      <c r="K546" s="273"/>
      <c r="L546" s="273"/>
      <c r="M546" s="273"/>
      <c r="N546" s="273"/>
      <c r="O546" s="273"/>
      <c r="P546" s="273"/>
      <c r="Q546" s="274"/>
      <c r="R546" s="80"/>
      <c r="S546" s="80"/>
      <c r="T546" s="241"/>
      <c r="U546" s="80"/>
      <c r="V546" s="80"/>
      <c r="W546" s="80"/>
      <c r="X546" s="80"/>
      <c r="Y546" s="80"/>
      <c r="Z546" s="80"/>
      <c r="AA546" s="80"/>
    </row>
    <row r="547" spans="1:27" ht="15.75" customHeight="1">
      <c r="A547" s="80"/>
      <c r="B547" s="270"/>
      <c r="C547" s="271"/>
      <c r="D547" s="80"/>
      <c r="E547" s="271"/>
      <c r="F547" s="272"/>
      <c r="G547" s="270"/>
      <c r="H547" s="271"/>
      <c r="I547" s="272"/>
      <c r="J547" s="80"/>
      <c r="K547" s="273"/>
      <c r="L547" s="273"/>
      <c r="M547" s="273"/>
      <c r="N547" s="273"/>
      <c r="O547" s="273"/>
      <c r="P547" s="273"/>
      <c r="Q547" s="274"/>
      <c r="R547" s="80"/>
      <c r="S547" s="80"/>
      <c r="T547" s="241"/>
      <c r="U547" s="80"/>
      <c r="V547" s="80"/>
      <c r="W547" s="80"/>
      <c r="X547" s="80"/>
      <c r="Y547" s="80"/>
      <c r="Z547" s="80"/>
      <c r="AA547" s="80"/>
    </row>
    <row r="548" spans="1:27" ht="15.75" customHeight="1">
      <c r="A548" s="80"/>
      <c r="B548" s="270"/>
      <c r="C548" s="271"/>
      <c r="D548" s="80"/>
      <c r="E548" s="271"/>
      <c r="F548" s="272"/>
      <c r="G548" s="270"/>
      <c r="H548" s="271"/>
      <c r="I548" s="272"/>
      <c r="J548" s="80"/>
      <c r="K548" s="273"/>
      <c r="L548" s="273"/>
      <c r="M548" s="273"/>
      <c r="N548" s="273"/>
      <c r="O548" s="273"/>
      <c r="P548" s="273"/>
      <c r="Q548" s="274"/>
      <c r="R548" s="80"/>
      <c r="S548" s="80"/>
      <c r="T548" s="241"/>
      <c r="U548" s="80"/>
      <c r="V548" s="80"/>
      <c r="W548" s="80"/>
      <c r="X548" s="80"/>
      <c r="Y548" s="80"/>
      <c r="Z548" s="80"/>
      <c r="AA548" s="80"/>
    </row>
    <row r="549" spans="1:27" ht="15.75" customHeight="1">
      <c r="A549" s="80"/>
      <c r="B549" s="270"/>
      <c r="C549" s="271"/>
      <c r="D549" s="80"/>
      <c r="E549" s="271"/>
      <c r="F549" s="272"/>
      <c r="G549" s="270"/>
      <c r="H549" s="271"/>
      <c r="I549" s="272"/>
      <c r="J549" s="80"/>
      <c r="K549" s="273"/>
      <c r="L549" s="273"/>
      <c r="M549" s="273"/>
      <c r="N549" s="273"/>
      <c r="O549" s="273"/>
      <c r="P549" s="273"/>
      <c r="Q549" s="274"/>
      <c r="R549" s="80"/>
      <c r="S549" s="80"/>
      <c r="T549" s="241"/>
      <c r="U549" s="80"/>
      <c r="V549" s="80"/>
      <c r="W549" s="80"/>
      <c r="X549" s="80"/>
      <c r="Y549" s="80"/>
      <c r="Z549" s="80"/>
      <c r="AA549" s="80"/>
    </row>
    <row r="550" spans="1:27" ht="15.75" customHeight="1">
      <c r="A550" s="80"/>
      <c r="B550" s="270"/>
      <c r="C550" s="271"/>
      <c r="D550" s="80"/>
      <c r="E550" s="271"/>
      <c r="F550" s="272"/>
      <c r="G550" s="270"/>
      <c r="H550" s="271"/>
      <c r="I550" s="272"/>
      <c r="J550" s="80"/>
      <c r="K550" s="273"/>
      <c r="L550" s="273"/>
      <c r="M550" s="273"/>
      <c r="N550" s="273"/>
      <c r="O550" s="273"/>
      <c r="P550" s="273"/>
      <c r="Q550" s="274"/>
      <c r="R550" s="80"/>
      <c r="S550" s="80"/>
      <c r="T550" s="241"/>
      <c r="U550" s="80"/>
      <c r="V550" s="80"/>
      <c r="W550" s="80"/>
      <c r="X550" s="80"/>
      <c r="Y550" s="80"/>
      <c r="Z550" s="80"/>
      <c r="AA550" s="80"/>
    </row>
    <row r="551" spans="1:27" ht="15.75" customHeight="1">
      <c r="A551" s="80"/>
      <c r="B551" s="270"/>
      <c r="C551" s="271"/>
      <c r="D551" s="80"/>
      <c r="E551" s="271"/>
      <c r="F551" s="272"/>
      <c r="G551" s="270"/>
      <c r="H551" s="271"/>
      <c r="I551" s="272"/>
      <c r="J551" s="80"/>
      <c r="K551" s="273"/>
      <c r="L551" s="273"/>
      <c r="M551" s="273"/>
      <c r="N551" s="273"/>
      <c r="O551" s="273"/>
      <c r="P551" s="273"/>
      <c r="Q551" s="274"/>
      <c r="R551" s="80"/>
      <c r="S551" s="80"/>
      <c r="T551" s="241"/>
      <c r="U551" s="80"/>
      <c r="V551" s="80"/>
      <c r="W551" s="80"/>
      <c r="X551" s="80"/>
      <c r="Y551" s="80"/>
      <c r="Z551" s="80"/>
      <c r="AA551" s="80"/>
    </row>
    <row r="552" spans="1:27" ht="15.75" customHeight="1">
      <c r="A552" s="80"/>
      <c r="B552" s="270"/>
      <c r="C552" s="271"/>
      <c r="D552" s="80"/>
      <c r="E552" s="271"/>
      <c r="F552" s="272"/>
      <c r="G552" s="270"/>
      <c r="H552" s="271"/>
      <c r="I552" s="272"/>
      <c r="J552" s="80"/>
      <c r="K552" s="273"/>
      <c r="L552" s="273"/>
      <c r="M552" s="273"/>
      <c r="N552" s="273"/>
      <c r="O552" s="273"/>
      <c r="P552" s="273"/>
      <c r="Q552" s="274"/>
      <c r="R552" s="80"/>
      <c r="S552" s="80"/>
      <c r="T552" s="241"/>
      <c r="U552" s="80"/>
      <c r="V552" s="80"/>
      <c r="W552" s="80"/>
      <c r="X552" s="80"/>
      <c r="Y552" s="80"/>
      <c r="Z552" s="80"/>
      <c r="AA552" s="80"/>
    </row>
    <row r="553" spans="1:27" ht="15.75" customHeight="1">
      <c r="A553" s="80"/>
      <c r="B553" s="270"/>
      <c r="C553" s="271"/>
      <c r="D553" s="80"/>
      <c r="E553" s="271"/>
      <c r="F553" s="272"/>
      <c r="G553" s="270"/>
      <c r="H553" s="271"/>
      <c r="I553" s="272"/>
      <c r="J553" s="80"/>
      <c r="K553" s="273"/>
      <c r="L553" s="273"/>
      <c r="M553" s="273"/>
      <c r="N553" s="273"/>
      <c r="O553" s="273"/>
      <c r="P553" s="273"/>
      <c r="Q553" s="274"/>
      <c r="R553" s="80"/>
      <c r="S553" s="80"/>
      <c r="T553" s="241"/>
      <c r="U553" s="80"/>
      <c r="V553" s="80"/>
      <c r="W553" s="80"/>
      <c r="X553" s="80"/>
      <c r="Y553" s="80"/>
      <c r="Z553" s="80"/>
      <c r="AA553" s="80"/>
    </row>
    <row r="554" spans="1:27" ht="15.75" customHeight="1">
      <c r="A554" s="80"/>
      <c r="B554" s="270"/>
      <c r="C554" s="271"/>
      <c r="D554" s="80"/>
      <c r="E554" s="271"/>
      <c r="F554" s="272"/>
      <c r="G554" s="270"/>
      <c r="H554" s="271"/>
      <c r="I554" s="272"/>
      <c r="J554" s="80"/>
      <c r="K554" s="273"/>
      <c r="L554" s="273"/>
      <c r="M554" s="273"/>
      <c r="N554" s="273"/>
      <c r="O554" s="273"/>
      <c r="P554" s="273"/>
      <c r="Q554" s="274"/>
      <c r="R554" s="80"/>
      <c r="S554" s="80"/>
      <c r="T554" s="241"/>
      <c r="U554" s="80"/>
      <c r="V554" s="80"/>
      <c r="W554" s="80"/>
      <c r="X554" s="80"/>
      <c r="Y554" s="80"/>
      <c r="Z554" s="80"/>
      <c r="AA554" s="80"/>
    </row>
    <row r="555" spans="1:27" ht="15.75" customHeight="1">
      <c r="A555" s="80"/>
      <c r="B555" s="270"/>
      <c r="C555" s="271"/>
      <c r="D555" s="80"/>
      <c r="E555" s="271"/>
      <c r="F555" s="272"/>
      <c r="G555" s="270"/>
      <c r="H555" s="271"/>
      <c r="I555" s="272"/>
      <c r="J555" s="80"/>
      <c r="K555" s="273"/>
      <c r="L555" s="273"/>
      <c r="M555" s="273"/>
      <c r="N555" s="273"/>
      <c r="O555" s="273"/>
      <c r="P555" s="273"/>
      <c r="Q555" s="274"/>
      <c r="R555" s="80"/>
      <c r="S555" s="80"/>
      <c r="T555" s="241"/>
      <c r="U555" s="80"/>
      <c r="V555" s="80"/>
      <c r="W555" s="80"/>
      <c r="X555" s="80"/>
      <c r="Y555" s="80"/>
      <c r="Z555" s="80"/>
      <c r="AA555" s="80"/>
    </row>
    <row r="556" spans="1:27" ht="15.75" customHeight="1">
      <c r="A556" s="80"/>
      <c r="B556" s="270"/>
      <c r="C556" s="271"/>
      <c r="D556" s="80"/>
      <c r="E556" s="271"/>
      <c r="F556" s="272"/>
      <c r="G556" s="270"/>
      <c r="H556" s="271"/>
      <c r="I556" s="272"/>
      <c r="J556" s="80"/>
      <c r="K556" s="273"/>
      <c r="L556" s="273"/>
      <c r="M556" s="273"/>
      <c r="N556" s="273"/>
      <c r="O556" s="273"/>
      <c r="P556" s="273"/>
      <c r="Q556" s="274"/>
      <c r="R556" s="80"/>
      <c r="S556" s="80"/>
      <c r="T556" s="241"/>
      <c r="U556" s="80"/>
      <c r="V556" s="80"/>
      <c r="W556" s="80"/>
      <c r="X556" s="80"/>
      <c r="Y556" s="80"/>
      <c r="Z556" s="80"/>
      <c r="AA556" s="80"/>
    </row>
    <row r="557" spans="1:27" ht="15.75" customHeight="1">
      <c r="A557" s="80"/>
      <c r="B557" s="270"/>
      <c r="C557" s="271"/>
      <c r="D557" s="80"/>
      <c r="E557" s="271"/>
      <c r="F557" s="272"/>
      <c r="G557" s="270"/>
      <c r="H557" s="271"/>
      <c r="I557" s="272"/>
      <c r="J557" s="80"/>
      <c r="K557" s="273"/>
      <c r="L557" s="273"/>
      <c r="M557" s="273"/>
      <c r="N557" s="273"/>
      <c r="O557" s="273"/>
      <c r="P557" s="273"/>
      <c r="Q557" s="274"/>
      <c r="R557" s="80"/>
      <c r="S557" s="80"/>
      <c r="T557" s="241"/>
      <c r="U557" s="80"/>
      <c r="V557" s="80"/>
      <c r="W557" s="80"/>
      <c r="X557" s="80"/>
      <c r="Y557" s="80"/>
      <c r="Z557" s="80"/>
      <c r="AA557" s="80"/>
    </row>
    <row r="558" spans="1:27" ht="15.75" customHeight="1">
      <c r="A558" s="80"/>
      <c r="B558" s="270"/>
      <c r="C558" s="271"/>
      <c r="D558" s="80"/>
      <c r="E558" s="271"/>
      <c r="F558" s="272"/>
      <c r="G558" s="270"/>
      <c r="H558" s="271"/>
      <c r="I558" s="272"/>
      <c r="J558" s="80"/>
      <c r="K558" s="273"/>
      <c r="L558" s="273"/>
      <c r="M558" s="273"/>
      <c r="N558" s="273"/>
      <c r="O558" s="273"/>
      <c r="P558" s="273"/>
      <c r="Q558" s="274"/>
      <c r="R558" s="80"/>
      <c r="S558" s="80"/>
      <c r="T558" s="241"/>
      <c r="U558" s="80"/>
      <c r="V558" s="80"/>
      <c r="W558" s="80"/>
      <c r="X558" s="80"/>
      <c r="Y558" s="80"/>
      <c r="Z558" s="80"/>
      <c r="AA558" s="80"/>
    </row>
    <row r="559" spans="1:27" ht="15.75" customHeight="1">
      <c r="A559" s="80"/>
      <c r="B559" s="270"/>
      <c r="C559" s="271"/>
      <c r="D559" s="80"/>
      <c r="E559" s="271"/>
      <c r="F559" s="272"/>
      <c r="G559" s="270"/>
      <c r="H559" s="271"/>
      <c r="I559" s="272"/>
      <c r="J559" s="80"/>
      <c r="K559" s="273"/>
      <c r="L559" s="273"/>
      <c r="M559" s="273"/>
      <c r="N559" s="273"/>
      <c r="O559" s="273"/>
      <c r="P559" s="273"/>
      <c r="Q559" s="274"/>
      <c r="R559" s="80"/>
      <c r="S559" s="80"/>
      <c r="T559" s="241"/>
      <c r="U559" s="80"/>
      <c r="V559" s="80"/>
      <c r="W559" s="80"/>
      <c r="X559" s="80"/>
      <c r="Y559" s="80"/>
      <c r="Z559" s="80"/>
      <c r="AA559" s="80"/>
    </row>
    <row r="560" spans="1:27" ht="15.75" customHeight="1">
      <c r="A560" s="80"/>
      <c r="B560" s="270"/>
      <c r="C560" s="271"/>
      <c r="D560" s="80"/>
      <c r="E560" s="271"/>
      <c r="F560" s="272"/>
      <c r="G560" s="270"/>
      <c r="H560" s="271"/>
      <c r="I560" s="272"/>
      <c r="J560" s="80"/>
      <c r="K560" s="273"/>
      <c r="L560" s="273"/>
      <c r="M560" s="273"/>
      <c r="N560" s="273"/>
      <c r="O560" s="273"/>
      <c r="P560" s="273"/>
      <c r="Q560" s="274"/>
      <c r="R560" s="80"/>
      <c r="S560" s="80"/>
      <c r="T560" s="241"/>
      <c r="U560" s="80"/>
      <c r="V560" s="80"/>
      <c r="W560" s="80"/>
      <c r="X560" s="80"/>
      <c r="Y560" s="80"/>
      <c r="Z560" s="80"/>
      <c r="AA560" s="80"/>
    </row>
    <row r="561" spans="1:27" ht="15.75" customHeight="1">
      <c r="A561" s="80"/>
      <c r="B561" s="270"/>
      <c r="C561" s="271"/>
      <c r="D561" s="80"/>
      <c r="E561" s="271"/>
      <c r="F561" s="272"/>
      <c r="G561" s="270"/>
      <c r="H561" s="271"/>
      <c r="I561" s="272"/>
      <c r="J561" s="80"/>
      <c r="K561" s="273"/>
      <c r="L561" s="273"/>
      <c r="M561" s="273"/>
      <c r="N561" s="273"/>
      <c r="O561" s="273"/>
      <c r="P561" s="273"/>
      <c r="Q561" s="274"/>
      <c r="R561" s="80"/>
      <c r="S561" s="80"/>
      <c r="T561" s="241"/>
      <c r="U561" s="80"/>
      <c r="V561" s="80"/>
      <c r="W561" s="80"/>
      <c r="X561" s="80"/>
      <c r="Y561" s="80"/>
      <c r="Z561" s="80"/>
      <c r="AA561" s="80"/>
    </row>
    <row r="562" spans="1:27" ht="15.75" customHeight="1">
      <c r="A562" s="80"/>
      <c r="B562" s="270"/>
      <c r="C562" s="271"/>
      <c r="D562" s="80"/>
      <c r="E562" s="271"/>
      <c r="F562" s="272"/>
      <c r="G562" s="270"/>
      <c r="H562" s="271"/>
      <c r="I562" s="272"/>
      <c r="J562" s="80"/>
      <c r="K562" s="273"/>
      <c r="L562" s="273"/>
      <c r="M562" s="273"/>
      <c r="N562" s="273"/>
      <c r="O562" s="273"/>
      <c r="P562" s="273"/>
      <c r="Q562" s="274"/>
      <c r="R562" s="80"/>
      <c r="S562" s="80"/>
      <c r="T562" s="241"/>
      <c r="U562" s="80"/>
      <c r="V562" s="80"/>
      <c r="W562" s="80"/>
      <c r="X562" s="80"/>
      <c r="Y562" s="80"/>
      <c r="Z562" s="80"/>
      <c r="AA562" s="80"/>
    </row>
    <row r="563" spans="1:27" ht="15.75" customHeight="1">
      <c r="A563" s="80"/>
      <c r="B563" s="270"/>
      <c r="C563" s="271"/>
      <c r="D563" s="80"/>
      <c r="E563" s="271"/>
      <c r="F563" s="272"/>
      <c r="G563" s="270"/>
      <c r="H563" s="271"/>
      <c r="I563" s="272"/>
      <c r="J563" s="80"/>
      <c r="K563" s="273"/>
      <c r="L563" s="273"/>
      <c r="M563" s="273"/>
      <c r="N563" s="273"/>
      <c r="O563" s="273"/>
      <c r="P563" s="273"/>
      <c r="Q563" s="274"/>
      <c r="R563" s="80"/>
      <c r="S563" s="80"/>
      <c r="T563" s="241"/>
      <c r="U563" s="80"/>
      <c r="V563" s="80"/>
      <c r="W563" s="80"/>
      <c r="X563" s="80"/>
      <c r="Y563" s="80"/>
      <c r="Z563" s="80"/>
      <c r="AA563" s="80"/>
    </row>
    <row r="564" spans="1:27" ht="15.75" customHeight="1">
      <c r="A564" s="80"/>
      <c r="B564" s="270"/>
      <c r="C564" s="271"/>
      <c r="D564" s="80"/>
      <c r="E564" s="271"/>
      <c r="F564" s="272"/>
      <c r="G564" s="270"/>
      <c r="H564" s="271"/>
      <c r="I564" s="272"/>
      <c r="J564" s="80"/>
      <c r="K564" s="273"/>
      <c r="L564" s="273"/>
      <c r="M564" s="273"/>
      <c r="N564" s="273"/>
      <c r="O564" s="273"/>
      <c r="P564" s="273"/>
      <c r="Q564" s="274"/>
      <c r="R564" s="80"/>
      <c r="S564" s="80"/>
      <c r="T564" s="241"/>
      <c r="U564" s="80"/>
      <c r="V564" s="80"/>
      <c r="W564" s="80"/>
      <c r="X564" s="80"/>
      <c r="Y564" s="80"/>
      <c r="Z564" s="80"/>
      <c r="AA564" s="80"/>
    </row>
    <row r="565" spans="1:27" ht="15.75" customHeight="1">
      <c r="A565" s="80"/>
      <c r="B565" s="270"/>
      <c r="C565" s="271"/>
      <c r="D565" s="80"/>
      <c r="E565" s="271"/>
      <c r="F565" s="272"/>
      <c r="G565" s="270"/>
      <c r="H565" s="271"/>
      <c r="I565" s="272"/>
      <c r="J565" s="80"/>
      <c r="K565" s="273"/>
      <c r="L565" s="273"/>
      <c r="M565" s="273"/>
      <c r="N565" s="273"/>
      <c r="O565" s="273"/>
      <c r="P565" s="273"/>
      <c r="Q565" s="274"/>
      <c r="R565" s="80"/>
      <c r="S565" s="80"/>
      <c r="T565" s="241"/>
      <c r="U565" s="80"/>
      <c r="V565" s="80"/>
      <c r="W565" s="80"/>
      <c r="X565" s="80"/>
      <c r="Y565" s="80"/>
      <c r="Z565" s="80"/>
      <c r="AA565" s="80"/>
    </row>
    <row r="566" spans="1:27" ht="15.75" customHeight="1">
      <c r="A566" s="80"/>
      <c r="B566" s="270"/>
      <c r="C566" s="271"/>
      <c r="D566" s="80"/>
      <c r="E566" s="271"/>
      <c r="F566" s="272"/>
      <c r="G566" s="270"/>
      <c r="H566" s="271"/>
      <c r="I566" s="272"/>
      <c r="J566" s="80"/>
      <c r="K566" s="273"/>
      <c r="L566" s="273"/>
      <c r="M566" s="273"/>
      <c r="N566" s="273"/>
      <c r="O566" s="273"/>
      <c r="P566" s="273"/>
      <c r="Q566" s="274"/>
      <c r="R566" s="80"/>
      <c r="S566" s="80"/>
      <c r="T566" s="241"/>
      <c r="U566" s="80"/>
      <c r="V566" s="80"/>
      <c r="W566" s="80"/>
      <c r="X566" s="80"/>
      <c r="Y566" s="80"/>
      <c r="Z566" s="80"/>
      <c r="AA566" s="80"/>
    </row>
    <row r="567" spans="1:27" ht="15.75" customHeight="1">
      <c r="A567" s="80"/>
      <c r="B567" s="270"/>
      <c r="C567" s="271"/>
      <c r="D567" s="80"/>
      <c r="E567" s="271"/>
      <c r="F567" s="272"/>
      <c r="G567" s="270"/>
      <c r="H567" s="271"/>
      <c r="I567" s="272"/>
      <c r="J567" s="80"/>
      <c r="K567" s="273"/>
      <c r="L567" s="273"/>
      <c r="M567" s="273"/>
      <c r="N567" s="273"/>
      <c r="O567" s="273"/>
      <c r="P567" s="273"/>
      <c r="Q567" s="274"/>
      <c r="R567" s="80"/>
      <c r="S567" s="80"/>
      <c r="T567" s="241"/>
      <c r="U567" s="80"/>
      <c r="V567" s="80"/>
      <c r="W567" s="80"/>
      <c r="X567" s="80"/>
      <c r="Y567" s="80"/>
      <c r="Z567" s="80"/>
      <c r="AA567" s="80"/>
    </row>
    <row r="568" spans="1:27" ht="15.75" customHeight="1">
      <c r="A568" s="80"/>
      <c r="B568" s="270"/>
      <c r="C568" s="271"/>
      <c r="D568" s="80"/>
      <c r="E568" s="271"/>
      <c r="F568" s="272"/>
      <c r="G568" s="270"/>
      <c r="H568" s="271"/>
      <c r="I568" s="272"/>
      <c r="J568" s="80"/>
      <c r="K568" s="273"/>
      <c r="L568" s="273"/>
      <c r="M568" s="273"/>
      <c r="N568" s="273"/>
      <c r="O568" s="273"/>
      <c r="P568" s="273"/>
      <c r="Q568" s="274"/>
      <c r="R568" s="80"/>
      <c r="S568" s="80"/>
      <c r="T568" s="241"/>
      <c r="U568" s="80"/>
      <c r="V568" s="80"/>
      <c r="W568" s="80"/>
      <c r="X568" s="80"/>
      <c r="Y568" s="80"/>
      <c r="Z568" s="80"/>
      <c r="AA568" s="80"/>
    </row>
    <row r="569" spans="1:27" ht="15.75" customHeight="1">
      <c r="A569" s="80"/>
      <c r="B569" s="270"/>
      <c r="C569" s="271"/>
      <c r="D569" s="80"/>
      <c r="E569" s="271"/>
      <c r="F569" s="272"/>
      <c r="G569" s="270"/>
      <c r="H569" s="271"/>
      <c r="I569" s="272"/>
      <c r="J569" s="80"/>
      <c r="K569" s="273"/>
      <c r="L569" s="273"/>
      <c r="M569" s="273"/>
      <c r="N569" s="273"/>
      <c r="O569" s="273"/>
      <c r="P569" s="273"/>
      <c r="Q569" s="274"/>
      <c r="R569" s="80"/>
      <c r="S569" s="80"/>
      <c r="T569" s="241"/>
      <c r="U569" s="80"/>
      <c r="V569" s="80"/>
      <c r="W569" s="80"/>
      <c r="X569" s="80"/>
      <c r="Y569" s="80"/>
      <c r="Z569" s="80"/>
      <c r="AA569" s="80"/>
    </row>
    <row r="570" spans="1:27" ht="15.75" customHeight="1">
      <c r="A570" s="80"/>
      <c r="B570" s="270"/>
      <c r="C570" s="271"/>
      <c r="D570" s="80"/>
      <c r="E570" s="271"/>
      <c r="F570" s="272"/>
      <c r="G570" s="270"/>
      <c r="H570" s="271"/>
      <c r="I570" s="272"/>
      <c r="J570" s="80"/>
      <c r="K570" s="273"/>
      <c r="L570" s="273"/>
      <c r="M570" s="273"/>
      <c r="N570" s="273"/>
      <c r="O570" s="273"/>
      <c r="P570" s="273"/>
      <c r="Q570" s="274"/>
      <c r="R570" s="80"/>
      <c r="S570" s="80"/>
      <c r="T570" s="241"/>
      <c r="U570" s="80"/>
      <c r="V570" s="80"/>
      <c r="W570" s="80"/>
      <c r="X570" s="80"/>
      <c r="Y570" s="80"/>
      <c r="Z570" s="80"/>
      <c r="AA570" s="80"/>
    </row>
    <row r="571" spans="1:27" ht="15.75" customHeight="1">
      <c r="A571" s="80"/>
      <c r="B571" s="270"/>
      <c r="C571" s="271"/>
      <c r="D571" s="80"/>
      <c r="E571" s="271"/>
      <c r="F571" s="272"/>
      <c r="G571" s="270"/>
      <c r="H571" s="271"/>
      <c r="I571" s="272"/>
      <c r="J571" s="80"/>
      <c r="K571" s="273"/>
      <c r="L571" s="273"/>
      <c r="M571" s="273"/>
      <c r="N571" s="273"/>
      <c r="O571" s="273"/>
      <c r="P571" s="273"/>
      <c r="Q571" s="274"/>
      <c r="R571" s="80"/>
      <c r="S571" s="80"/>
      <c r="T571" s="241"/>
      <c r="U571" s="80"/>
      <c r="V571" s="80"/>
      <c r="W571" s="80"/>
      <c r="X571" s="80"/>
      <c r="Y571" s="80"/>
      <c r="Z571" s="80"/>
      <c r="AA571" s="80"/>
    </row>
    <row r="572" spans="1:27" ht="15.75" customHeight="1">
      <c r="A572" s="80"/>
      <c r="B572" s="270"/>
      <c r="C572" s="271"/>
      <c r="D572" s="80"/>
      <c r="E572" s="271"/>
      <c r="F572" s="272"/>
      <c r="G572" s="270"/>
      <c r="H572" s="271"/>
      <c r="I572" s="272"/>
      <c r="J572" s="80"/>
      <c r="K572" s="273"/>
      <c r="L572" s="273"/>
      <c r="M572" s="273"/>
      <c r="N572" s="273"/>
      <c r="O572" s="273"/>
      <c r="P572" s="273"/>
      <c r="Q572" s="274"/>
      <c r="R572" s="80"/>
      <c r="S572" s="80"/>
      <c r="T572" s="241"/>
      <c r="U572" s="80"/>
      <c r="V572" s="80"/>
      <c r="W572" s="80"/>
      <c r="X572" s="80"/>
      <c r="Y572" s="80"/>
      <c r="Z572" s="80"/>
      <c r="AA572" s="80"/>
    </row>
    <row r="573" spans="1:27" ht="15.75" customHeight="1">
      <c r="A573" s="80"/>
      <c r="B573" s="270"/>
      <c r="C573" s="271"/>
      <c r="D573" s="80"/>
      <c r="E573" s="271"/>
      <c r="F573" s="272"/>
      <c r="G573" s="270"/>
      <c r="H573" s="271"/>
      <c r="I573" s="272"/>
      <c r="J573" s="80"/>
      <c r="K573" s="273"/>
      <c r="L573" s="273"/>
      <c r="M573" s="273"/>
      <c r="N573" s="273"/>
      <c r="O573" s="273"/>
      <c r="P573" s="273"/>
      <c r="Q573" s="274"/>
      <c r="R573" s="80"/>
      <c r="S573" s="80"/>
      <c r="T573" s="241"/>
      <c r="U573" s="80"/>
      <c r="V573" s="80"/>
      <c r="W573" s="80"/>
      <c r="X573" s="80"/>
      <c r="Y573" s="80"/>
      <c r="Z573" s="80"/>
      <c r="AA573" s="80"/>
    </row>
    <row r="574" spans="1:27" ht="15.75" customHeight="1">
      <c r="A574" s="80"/>
      <c r="B574" s="270"/>
      <c r="C574" s="271"/>
      <c r="D574" s="80"/>
      <c r="E574" s="271"/>
      <c r="F574" s="272"/>
      <c r="G574" s="270"/>
      <c r="H574" s="271"/>
      <c r="I574" s="272"/>
      <c r="J574" s="80"/>
      <c r="K574" s="273"/>
      <c r="L574" s="273"/>
      <c r="M574" s="273"/>
      <c r="N574" s="273"/>
      <c r="O574" s="273"/>
      <c r="P574" s="273"/>
      <c r="Q574" s="274"/>
      <c r="R574" s="80"/>
      <c r="S574" s="80"/>
      <c r="T574" s="241"/>
      <c r="U574" s="80"/>
      <c r="V574" s="80"/>
      <c r="W574" s="80"/>
      <c r="X574" s="80"/>
      <c r="Y574" s="80"/>
      <c r="Z574" s="80"/>
      <c r="AA574" s="80"/>
    </row>
    <row r="575" spans="1:27" ht="15.75" customHeight="1">
      <c r="A575" s="80"/>
      <c r="B575" s="270"/>
      <c r="C575" s="271"/>
      <c r="D575" s="80"/>
      <c r="E575" s="271"/>
      <c r="F575" s="272"/>
      <c r="G575" s="270"/>
      <c r="H575" s="271"/>
      <c r="I575" s="272"/>
      <c r="J575" s="80"/>
      <c r="K575" s="273"/>
      <c r="L575" s="273"/>
      <c r="M575" s="273"/>
      <c r="N575" s="273"/>
      <c r="O575" s="273"/>
      <c r="P575" s="273"/>
      <c r="Q575" s="274"/>
      <c r="R575" s="80"/>
      <c r="S575" s="80"/>
      <c r="T575" s="241"/>
      <c r="U575" s="80"/>
      <c r="V575" s="80"/>
      <c r="W575" s="80"/>
      <c r="X575" s="80"/>
      <c r="Y575" s="80"/>
      <c r="Z575" s="80"/>
      <c r="AA575" s="80"/>
    </row>
    <row r="576" spans="1:27" ht="15.75" customHeight="1">
      <c r="A576" s="80"/>
      <c r="B576" s="270"/>
      <c r="C576" s="271"/>
      <c r="D576" s="80"/>
      <c r="E576" s="271"/>
      <c r="F576" s="272"/>
      <c r="G576" s="270"/>
      <c r="H576" s="271"/>
      <c r="I576" s="272"/>
      <c r="J576" s="80"/>
      <c r="K576" s="273"/>
      <c r="L576" s="273"/>
      <c r="M576" s="273"/>
      <c r="N576" s="273"/>
      <c r="O576" s="273"/>
      <c r="P576" s="273"/>
      <c r="Q576" s="274"/>
      <c r="R576" s="80"/>
      <c r="S576" s="80"/>
      <c r="T576" s="241"/>
      <c r="U576" s="80"/>
      <c r="V576" s="80"/>
      <c r="W576" s="80"/>
      <c r="X576" s="80"/>
      <c r="Y576" s="80"/>
      <c r="Z576" s="80"/>
      <c r="AA576" s="80"/>
    </row>
    <row r="577" spans="1:27" ht="15.75" customHeight="1">
      <c r="A577" s="80"/>
      <c r="B577" s="270"/>
      <c r="C577" s="271"/>
      <c r="D577" s="80"/>
      <c r="E577" s="271"/>
      <c r="F577" s="272"/>
      <c r="G577" s="270"/>
      <c r="H577" s="271"/>
      <c r="I577" s="272"/>
      <c r="J577" s="80"/>
      <c r="K577" s="273"/>
      <c r="L577" s="273"/>
      <c r="M577" s="273"/>
      <c r="N577" s="273"/>
      <c r="O577" s="273"/>
      <c r="P577" s="273"/>
      <c r="Q577" s="274"/>
      <c r="R577" s="80"/>
      <c r="S577" s="80"/>
      <c r="T577" s="241"/>
      <c r="U577" s="80"/>
      <c r="V577" s="80"/>
      <c r="W577" s="80"/>
      <c r="X577" s="80"/>
      <c r="Y577" s="80"/>
      <c r="Z577" s="80"/>
      <c r="AA577" s="80"/>
    </row>
    <row r="578" spans="1:27" ht="15.75" customHeight="1">
      <c r="A578" s="80"/>
      <c r="B578" s="270"/>
      <c r="C578" s="271"/>
      <c r="D578" s="80"/>
      <c r="E578" s="271"/>
      <c r="F578" s="272"/>
      <c r="G578" s="270"/>
      <c r="H578" s="271"/>
      <c r="I578" s="272"/>
      <c r="J578" s="80"/>
      <c r="K578" s="273"/>
      <c r="L578" s="273"/>
      <c r="M578" s="273"/>
      <c r="N578" s="273"/>
      <c r="O578" s="273"/>
      <c r="P578" s="273"/>
      <c r="Q578" s="274"/>
      <c r="R578" s="80"/>
      <c r="S578" s="80"/>
      <c r="T578" s="241"/>
      <c r="U578" s="80"/>
      <c r="V578" s="80"/>
      <c r="W578" s="80"/>
      <c r="X578" s="80"/>
      <c r="Y578" s="80"/>
      <c r="Z578" s="80"/>
      <c r="AA578" s="80"/>
    </row>
    <row r="579" spans="1:27" ht="15.75" customHeight="1">
      <c r="A579" s="80"/>
      <c r="B579" s="270"/>
      <c r="C579" s="271"/>
      <c r="D579" s="80"/>
      <c r="E579" s="271"/>
      <c r="F579" s="272"/>
      <c r="G579" s="270"/>
      <c r="H579" s="271"/>
      <c r="I579" s="272"/>
      <c r="J579" s="80"/>
      <c r="K579" s="273"/>
      <c r="L579" s="273"/>
      <c r="M579" s="273"/>
      <c r="N579" s="273"/>
      <c r="O579" s="273"/>
      <c r="P579" s="273"/>
      <c r="Q579" s="274"/>
      <c r="R579" s="80"/>
      <c r="S579" s="80"/>
      <c r="T579" s="241"/>
      <c r="U579" s="80"/>
      <c r="V579" s="80"/>
      <c r="W579" s="80"/>
      <c r="X579" s="80"/>
      <c r="Y579" s="80"/>
      <c r="Z579" s="80"/>
      <c r="AA579" s="80"/>
    </row>
    <row r="580" spans="1:27" ht="15.75" customHeight="1">
      <c r="A580" s="80"/>
      <c r="B580" s="270"/>
      <c r="C580" s="271"/>
      <c r="D580" s="80"/>
      <c r="E580" s="271"/>
      <c r="F580" s="272"/>
      <c r="G580" s="270"/>
      <c r="H580" s="271"/>
      <c r="I580" s="272"/>
      <c r="J580" s="80"/>
      <c r="K580" s="273"/>
      <c r="L580" s="273"/>
      <c r="M580" s="273"/>
      <c r="N580" s="273"/>
      <c r="O580" s="273"/>
      <c r="P580" s="273"/>
      <c r="Q580" s="274"/>
      <c r="R580" s="80"/>
      <c r="S580" s="80"/>
      <c r="T580" s="241"/>
      <c r="U580" s="80"/>
      <c r="V580" s="80"/>
      <c r="W580" s="80"/>
      <c r="X580" s="80"/>
      <c r="Y580" s="80"/>
      <c r="Z580" s="80"/>
      <c r="AA580" s="80"/>
    </row>
    <row r="581" spans="1:27" ht="15.75" customHeight="1">
      <c r="A581" s="80"/>
      <c r="B581" s="270"/>
      <c r="C581" s="271"/>
      <c r="D581" s="80"/>
      <c r="E581" s="271"/>
      <c r="F581" s="272"/>
      <c r="G581" s="270"/>
      <c r="H581" s="271"/>
      <c r="I581" s="272"/>
      <c r="J581" s="80"/>
      <c r="K581" s="273"/>
      <c r="L581" s="273"/>
      <c r="M581" s="273"/>
      <c r="N581" s="273"/>
      <c r="O581" s="273"/>
      <c r="P581" s="273"/>
      <c r="Q581" s="274"/>
      <c r="R581" s="80"/>
      <c r="S581" s="80"/>
      <c r="T581" s="241"/>
      <c r="U581" s="80"/>
      <c r="V581" s="80"/>
      <c r="W581" s="80"/>
      <c r="X581" s="80"/>
      <c r="Y581" s="80"/>
      <c r="Z581" s="80"/>
      <c r="AA581" s="80"/>
    </row>
    <row r="582" spans="1:27" ht="15.75" customHeight="1">
      <c r="A582" s="80"/>
      <c r="B582" s="270"/>
      <c r="C582" s="271"/>
      <c r="D582" s="80"/>
      <c r="E582" s="271"/>
      <c r="F582" s="272"/>
      <c r="G582" s="270"/>
      <c r="H582" s="271"/>
      <c r="I582" s="272"/>
      <c r="J582" s="80"/>
      <c r="K582" s="273"/>
      <c r="L582" s="273"/>
      <c r="M582" s="273"/>
      <c r="N582" s="273"/>
      <c r="O582" s="273"/>
      <c r="P582" s="273"/>
      <c r="Q582" s="274"/>
      <c r="R582" s="80"/>
      <c r="S582" s="80"/>
      <c r="T582" s="241"/>
      <c r="U582" s="80"/>
      <c r="V582" s="80"/>
      <c r="W582" s="80"/>
      <c r="X582" s="80"/>
      <c r="Y582" s="80"/>
      <c r="Z582" s="80"/>
      <c r="AA582" s="80"/>
    </row>
    <row r="583" spans="1:27" ht="15.75" customHeight="1">
      <c r="A583" s="80"/>
      <c r="B583" s="270"/>
      <c r="C583" s="271"/>
      <c r="D583" s="80"/>
      <c r="E583" s="271"/>
      <c r="F583" s="272"/>
      <c r="G583" s="270"/>
      <c r="H583" s="271"/>
      <c r="I583" s="272"/>
      <c r="J583" s="80"/>
      <c r="K583" s="273"/>
      <c r="L583" s="273"/>
      <c r="M583" s="273"/>
      <c r="N583" s="273"/>
      <c r="O583" s="273"/>
      <c r="P583" s="273"/>
      <c r="Q583" s="274"/>
      <c r="R583" s="80"/>
      <c r="S583" s="80"/>
      <c r="T583" s="241"/>
      <c r="U583" s="80"/>
      <c r="V583" s="80"/>
      <c r="W583" s="80"/>
      <c r="X583" s="80"/>
      <c r="Y583" s="80"/>
      <c r="Z583" s="80"/>
      <c r="AA583" s="80"/>
    </row>
    <row r="584" spans="1:27" ht="15.75" customHeight="1">
      <c r="A584" s="80"/>
      <c r="B584" s="270"/>
      <c r="C584" s="271"/>
      <c r="D584" s="80"/>
      <c r="E584" s="271"/>
      <c r="F584" s="272"/>
      <c r="G584" s="270"/>
      <c r="H584" s="271"/>
      <c r="I584" s="272"/>
      <c r="J584" s="80"/>
      <c r="K584" s="273"/>
      <c r="L584" s="273"/>
      <c r="M584" s="273"/>
      <c r="N584" s="273"/>
      <c r="O584" s="273"/>
      <c r="P584" s="273"/>
      <c r="Q584" s="274"/>
      <c r="R584" s="80"/>
      <c r="S584" s="80"/>
      <c r="T584" s="241"/>
      <c r="U584" s="80"/>
      <c r="V584" s="80"/>
      <c r="W584" s="80"/>
      <c r="X584" s="80"/>
      <c r="Y584" s="80"/>
      <c r="Z584" s="80"/>
      <c r="AA584" s="80"/>
    </row>
    <row r="585" spans="1:27" ht="15.75" customHeight="1">
      <c r="A585" s="80"/>
      <c r="B585" s="270"/>
      <c r="C585" s="271"/>
      <c r="D585" s="80"/>
      <c r="E585" s="271"/>
      <c r="F585" s="272"/>
      <c r="G585" s="270"/>
      <c r="H585" s="271"/>
      <c r="I585" s="272"/>
      <c r="J585" s="80"/>
      <c r="K585" s="273"/>
      <c r="L585" s="273"/>
      <c r="M585" s="273"/>
      <c r="N585" s="273"/>
      <c r="O585" s="273"/>
      <c r="P585" s="273"/>
      <c r="Q585" s="274"/>
      <c r="R585" s="80"/>
      <c r="S585" s="80"/>
      <c r="T585" s="241"/>
      <c r="U585" s="80"/>
      <c r="V585" s="80"/>
      <c r="W585" s="80"/>
      <c r="X585" s="80"/>
      <c r="Y585" s="80"/>
      <c r="Z585" s="80"/>
      <c r="AA585" s="80"/>
    </row>
    <row r="586" spans="1:27" ht="15.75" customHeight="1">
      <c r="A586" s="80"/>
      <c r="B586" s="270"/>
      <c r="C586" s="271"/>
      <c r="D586" s="80"/>
      <c r="E586" s="271"/>
      <c r="F586" s="272"/>
      <c r="G586" s="270"/>
      <c r="H586" s="271"/>
      <c r="I586" s="272"/>
      <c r="J586" s="80"/>
      <c r="K586" s="273"/>
      <c r="L586" s="273"/>
      <c r="M586" s="273"/>
      <c r="N586" s="273"/>
      <c r="O586" s="273"/>
      <c r="P586" s="273"/>
      <c r="Q586" s="274"/>
      <c r="R586" s="80"/>
      <c r="S586" s="80"/>
      <c r="T586" s="241"/>
      <c r="U586" s="80"/>
      <c r="V586" s="80"/>
      <c r="W586" s="80"/>
      <c r="X586" s="80"/>
      <c r="Y586" s="80"/>
      <c r="Z586" s="80"/>
      <c r="AA586" s="80"/>
    </row>
    <row r="587" spans="1:27" ht="15.75" customHeight="1">
      <c r="A587" s="80"/>
      <c r="B587" s="270"/>
      <c r="C587" s="271"/>
      <c r="D587" s="80"/>
      <c r="E587" s="271"/>
      <c r="F587" s="272"/>
      <c r="G587" s="270"/>
      <c r="H587" s="271"/>
      <c r="I587" s="272"/>
      <c r="J587" s="80"/>
      <c r="K587" s="273"/>
      <c r="L587" s="273"/>
      <c r="M587" s="273"/>
      <c r="N587" s="273"/>
      <c r="O587" s="273"/>
      <c r="P587" s="273"/>
      <c r="Q587" s="274"/>
      <c r="R587" s="80"/>
      <c r="S587" s="80"/>
      <c r="T587" s="241"/>
      <c r="U587" s="80"/>
      <c r="V587" s="80"/>
      <c r="W587" s="80"/>
      <c r="X587" s="80"/>
      <c r="Y587" s="80"/>
      <c r="Z587" s="80"/>
      <c r="AA587" s="80"/>
    </row>
    <row r="588" spans="1:27" ht="15.75" customHeight="1">
      <c r="A588" s="80"/>
      <c r="B588" s="270"/>
      <c r="C588" s="271"/>
      <c r="D588" s="80"/>
      <c r="E588" s="271"/>
      <c r="F588" s="272"/>
      <c r="G588" s="270"/>
      <c r="H588" s="271"/>
      <c r="I588" s="272"/>
      <c r="J588" s="80"/>
      <c r="K588" s="273"/>
      <c r="L588" s="273"/>
      <c r="M588" s="273"/>
      <c r="N588" s="273"/>
      <c r="O588" s="273"/>
      <c r="P588" s="273"/>
      <c r="Q588" s="274"/>
      <c r="R588" s="80"/>
      <c r="S588" s="80"/>
      <c r="T588" s="241"/>
      <c r="U588" s="80"/>
      <c r="V588" s="80"/>
      <c r="W588" s="80"/>
      <c r="X588" s="80"/>
      <c r="Y588" s="80"/>
      <c r="Z588" s="80"/>
      <c r="AA588" s="80"/>
    </row>
    <row r="589" spans="1:27" ht="15.75" customHeight="1">
      <c r="A589" s="80"/>
      <c r="B589" s="270"/>
      <c r="C589" s="271"/>
      <c r="D589" s="80"/>
      <c r="E589" s="271"/>
      <c r="F589" s="272"/>
      <c r="G589" s="270"/>
      <c r="H589" s="271"/>
      <c r="I589" s="272"/>
      <c r="J589" s="80"/>
      <c r="K589" s="273"/>
      <c r="L589" s="273"/>
      <c r="M589" s="273"/>
      <c r="N589" s="273"/>
      <c r="O589" s="273"/>
      <c r="P589" s="273"/>
      <c r="Q589" s="274"/>
      <c r="R589" s="80"/>
      <c r="S589" s="80"/>
      <c r="T589" s="241"/>
      <c r="U589" s="80"/>
      <c r="V589" s="80"/>
      <c r="W589" s="80"/>
      <c r="X589" s="80"/>
      <c r="Y589" s="80"/>
      <c r="Z589" s="80"/>
      <c r="AA589" s="80"/>
    </row>
    <row r="590" spans="1:27" ht="15.75" customHeight="1">
      <c r="A590" s="80"/>
      <c r="B590" s="270"/>
      <c r="C590" s="271"/>
      <c r="D590" s="80"/>
      <c r="E590" s="271"/>
      <c r="F590" s="272"/>
      <c r="G590" s="270"/>
      <c r="H590" s="271"/>
      <c r="I590" s="272"/>
      <c r="J590" s="80"/>
      <c r="K590" s="273"/>
      <c r="L590" s="273"/>
      <c r="M590" s="273"/>
      <c r="N590" s="273"/>
      <c r="O590" s="273"/>
      <c r="P590" s="273"/>
      <c r="Q590" s="274"/>
      <c r="R590" s="80"/>
      <c r="S590" s="80"/>
      <c r="T590" s="241"/>
      <c r="U590" s="80"/>
      <c r="V590" s="80"/>
      <c r="W590" s="80"/>
      <c r="X590" s="80"/>
      <c r="Y590" s="80"/>
      <c r="Z590" s="80"/>
      <c r="AA590" s="80"/>
    </row>
    <row r="591" spans="1:27" ht="15.75" customHeight="1">
      <c r="A591" s="80"/>
      <c r="B591" s="270"/>
      <c r="C591" s="271"/>
      <c r="D591" s="80"/>
      <c r="E591" s="271"/>
      <c r="F591" s="272"/>
      <c r="G591" s="270"/>
      <c r="H591" s="271"/>
      <c r="I591" s="272"/>
      <c r="J591" s="80"/>
      <c r="K591" s="273"/>
      <c r="L591" s="273"/>
      <c r="M591" s="273"/>
      <c r="N591" s="273"/>
      <c r="O591" s="273"/>
      <c r="P591" s="273"/>
      <c r="Q591" s="274"/>
      <c r="R591" s="80"/>
      <c r="S591" s="80"/>
      <c r="T591" s="241"/>
      <c r="U591" s="80"/>
      <c r="V591" s="80"/>
      <c r="W591" s="80"/>
      <c r="X591" s="80"/>
      <c r="Y591" s="80"/>
      <c r="Z591" s="80"/>
      <c r="AA591" s="80"/>
    </row>
    <row r="592" spans="1:27" ht="15.75" customHeight="1">
      <c r="A592" s="80"/>
      <c r="B592" s="270"/>
      <c r="C592" s="271"/>
      <c r="D592" s="80"/>
      <c r="E592" s="271"/>
      <c r="F592" s="272"/>
      <c r="G592" s="270"/>
      <c r="H592" s="271"/>
      <c r="I592" s="272"/>
      <c r="J592" s="80"/>
      <c r="K592" s="273"/>
      <c r="L592" s="273"/>
      <c r="M592" s="273"/>
      <c r="N592" s="273"/>
      <c r="O592" s="273"/>
      <c r="P592" s="273"/>
      <c r="Q592" s="274"/>
      <c r="R592" s="80"/>
      <c r="S592" s="80"/>
      <c r="T592" s="241"/>
      <c r="U592" s="80"/>
      <c r="V592" s="80"/>
      <c r="W592" s="80"/>
      <c r="X592" s="80"/>
      <c r="Y592" s="80"/>
      <c r="Z592" s="80"/>
      <c r="AA592" s="80"/>
    </row>
    <row r="593" spans="1:27" ht="15.75" customHeight="1">
      <c r="A593" s="80"/>
      <c r="B593" s="270"/>
      <c r="C593" s="271"/>
      <c r="D593" s="80"/>
      <c r="E593" s="271"/>
      <c r="F593" s="272"/>
      <c r="G593" s="270"/>
      <c r="H593" s="271"/>
      <c r="I593" s="272"/>
      <c r="J593" s="80"/>
      <c r="K593" s="273"/>
      <c r="L593" s="273"/>
      <c r="M593" s="273"/>
      <c r="N593" s="273"/>
      <c r="O593" s="273"/>
      <c r="P593" s="273"/>
      <c r="Q593" s="274"/>
      <c r="R593" s="80"/>
      <c r="S593" s="80"/>
      <c r="T593" s="241"/>
      <c r="U593" s="80"/>
      <c r="V593" s="80"/>
      <c r="W593" s="80"/>
      <c r="X593" s="80"/>
      <c r="Y593" s="80"/>
      <c r="Z593" s="80"/>
      <c r="AA593" s="80"/>
    </row>
    <row r="594" spans="1:27" ht="15.75" customHeight="1">
      <c r="A594" s="80"/>
      <c r="B594" s="270"/>
      <c r="C594" s="271"/>
      <c r="D594" s="80"/>
      <c r="E594" s="271"/>
      <c r="F594" s="272"/>
      <c r="G594" s="270"/>
      <c r="H594" s="271"/>
      <c r="I594" s="272"/>
      <c r="J594" s="80"/>
      <c r="K594" s="273"/>
      <c r="L594" s="273"/>
      <c r="M594" s="273"/>
      <c r="N594" s="273"/>
      <c r="O594" s="273"/>
      <c r="P594" s="273"/>
      <c r="Q594" s="274"/>
      <c r="R594" s="80"/>
      <c r="S594" s="80"/>
      <c r="T594" s="241"/>
      <c r="U594" s="80"/>
      <c r="V594" s="80"/>
      <c r="W594" s="80"/>
      <c r="X594" s="80"/>
      <c r="Y594" s="80"/>
      <c r="Z594" s="80"/>
      <c r="AA594" s="80"/>
    </row>
    <row r="595" spans="1:27" ht="15.75" customHeight="1">
      <c r="A595" s="80"/>
      <c r="B595" s="270"/>
      <c r="C595" s="271"/>
      <c r="D595" s="80"/>
      <c r="E595" s="271"/>
      <c r="F595" s="272"/>
      <c r="G595" s="270"/>
      <c r="H595" s="271"/>
      <c r="I595" s="272"/>
      <c r="J595" s="80"/>
      <c r="K595" s="273"/>
      <c r="L595" s="273"/>
      <c r="M595" s="273"/>
      <c r="N595" s="273"/>
      <c r="O595" s="273"/>
      <c r="P595" s="273"/>
      <c r="Q595" s="274"/>
      <c r="R595" s="80"/>
      <c r="S595" s="80"/>
      <c r="T595" s="241"/>
      <c r="U595" s="80"/>
      <c r="V595" s="80"/>
      <c r="W595" s="80"/>
      <c r="X595" s="80"/>
      <c r="Y595" s="80"/>
      <c r="Z595" s="80"/>
      <c r="AA595" s="80"/>
    </row>
    <row r="596" spans="1:27" ht="15.75" customHeight="1">
      <c r="A596" s="80"/>
      <c r="B596" s="270"/>
      <c r="C596" s="271"/>
      <c r="D596" s="80"/>
      <c r="E596" s="271"/>
      <c r="F596" s="272"/>
      <c r="G596" s="270"/>
      <c r="H596" s="271"/>
      <c r="I596" s="272"/>
      <c r="J596" s="80"/>
      <c r="K596" s="273"/>
      <c r="L596" s="273"/>
      <c r="M596" s="273"/>
      <c r="N596" s="273"/>
      <c r="O596" s="273"/>
      <c r="P596" s="273"/>
      <c r="Q596" s="274"/>
      <c r="R596" s="80"/>
      <c r="S596" s="80"/>
      <c r="T596" s="241"/>
      <c r="U596" s="80"/>
      <c r="V596" s="80"/>
      <c r="W596" s="80"/>
      <c r="X596" s="80"/>
      <c r="Y596" s="80"/>
      <c r="Z596" s="80"/>
      <c r="AA596" s="80"/>
    </row>
    <row r="597" spans="1:27" ht="15.75" customHeight="1">
      <c r="A597" s="80"/>
      <c r="B597" s="270"/>
      <c r="C597" s="271"/>
      <c r="D597" s="80"/>
      <c r="E597" s="271"/>
      <c r="F597" s="272"/>
      <c r="G597" s="270"/>
      <c r="H597" s="271"/>
      <c r="I597" s="272"/>
      <c r="J597" s="80"/>
      <c r="K597" s="273"/>
      <c r="L597" s="273"/>
      <c r="M597" s="273"/>
      <c r="N597" s="273"/>
      <c r="O597" s="273"/>
      <c r="P597" s="273"/>
      <c r="Q597" s="274"/>
      <c r="R597" s="80"/>
      <c r="S597" s="80"/>
      <c r="T597" s="241"/>
      <c r="U597" s="80"/>
      <c r="V597" s="80"/>
      <c r="W597" s="80"/>
      <c r="X597" s="80"/>
      <c r="Y597" s="80"/>
      <c r="Z597" s="80"/>
      <c r="AA597" s="80"/>
    </row>
    <row r="598" spans="1:27" ht="15.75" customHeight="1">
      <c r="A598" s="80"/>
      <c r="B598" s="270"/>
      <c r="C598" s="271"/>
      <c r="D598" s="80"/>
      <c r="E598" s="271"/>
      <c r="F598" s="272"/>
      <c r="G598" s="270"/>
      <c r="H598" s="271"/>
      <c r="I598" s="272"/>
      <c r="J598" s="80"/>
      <c r="K598" s="273"/>
      <c r="L598" s="273"/>
      <c r="M598" s="273"/>
      <c r="N598" s="273"/>
      <c r="O598" s="273"/>
      <c r="P598" s="273"/>
      <c r="Q598" s="274"/>
      <c r="R598" s="80"/>
      <c r="S598" s="80"/>
      <c r="T598" s="241"/>
      <c r="U598" s="80"/>
      <c r="V598" s="80"/>
      <c r="W598" s="80"/>
      <c r="X598" s="80"/>
      <c r="Y598" s="80"/>
      <c r="Z598" s="80"/>
      <c r="AA598" s="80"/>
    </row>
    <row r="599" spans="1:27" ht="15.75" customHeight="1">
      <c r="A599" s="80"/>
      <c r="B599" s="270"/>
      <c r="C599" s="271"/>
      <c r="D599" s="80"/>
      <c r="E599" s="271"/>
      <c r="F599" s="272"/>
      <c r="G599" s="270"/>
      <c r="H599" s="271"/>
      <c r="I599" s="272"/>
      <c r="J599" s="80"/>
      <c r="K599" s="273"/>
      <c r="L599" s="273"/>
      <c r="M599" s="273"/>
      <c r="N599" s="273"/>
      <c r="O599" s="273"/>
      <c r="P599" s="273"/>
      <c r="Q599" s="274"/>
      <c r="R599" s="80"/>
      <c r="S599" s="80"/>
      <c r="T599" s="241"/>
      <c r="U599" s="80"/>
      <c r="V599" s="80"/>
      <c r="W599" s="80"/>
      <c r="X599" s="80"/>
      <c r="Y599" s="80"/>
      <c r="Z599" s="80"/>
      <c r="AA599" s="80"/>
    </row>
    <row r="600" spans="1:27" ht="15.75" customHeight="1">
      <c r="A600" s="80"/>
      <c r="B600" s="270"/>
      <c r="C600" s="271"/>
      <c r="D600" s="80"/>
      <c r="E600" s="271"/>
      <c r="F600" s="272"/>
      <c r="G600" s="270"/>
      <c r="H600" s="271"/>
      <c r="I600" s="272"/>
      <c r="J600" s="80"/>
      <c r="K600" s="273"/>
      <c r="L600" s="273"/>
      <c r="M600" s="273"/>
      <c r="N600" s="273"/>
      <c r="O600" s="273"/>
      <c r="P600" s="273"/>
      <c r="Q600" s="274"/>
      <c r="R600" s="80"/>
      <c r="S600" s="80"/>
      <c r="T600" s="241"/>
      <c r="U600" s="80"/>
      <c r="V600" s="80"/>
      <c r="W600" s="80"/>
      <c r="X600" s="80"/>
      <c r="Y600" s="80"/>
      <c r="Z600" s="80"/>
      <c r="AA600" s="80"/>
    </row>
    <row r="601" spans="1:27" ht="15.75" customHeight="1">
      <c r="A601" s="80"/>
      <c r="B601" s="270"/>
      <c r="C601" s="271"/>
      <c r="D601" s="80"/>
      <c r="E601" s="271"/>
      <c r="F601" s="272"/>
      <c r="G601" s="270"/>
      <c r="H601" s="271"/>
      <c r="I601" s="272"/>
      <c r="J601" s="80"/>
      <c r="K601" s="273"/>
      <c r="L601" s="273"/>
      <c r="M601" s="273"/>
      <c r="N601" s="273"/>
      <c r="O601" s="273"/>
      <c r="P601" s="273"/>
      <c r="Q601" s="274"/>
      <c r="R601" s="80"/>
      <c r="S601" s="80"/>
      <c r="T601" s="241"/>
      <c r="U601" s="80"/>
      <c r="V601" s="80"/>
      <c r="W601" s="80"/>
      <c r="X601" s="80"/>
      <c r="Y601" s="80"/>
      <c r="Z601" s="80"/>
      <c r="AA601" s="80"/>
    </row>
    <row r="602" spans="1:27" ht="15.75" customHeight="1">
      <c r="A602" s="80"/>
      <c r="B602" s="270"/>
      <c r="C602" s="271"/>
      <c r="D602" s="80"/>
      <c r="E602" s="271"/>
      <c r="F602" s="272"/>
      <c r="G602" s="270"/>
      <c r="H602" s="271"/>
      <c r="I602" s="272"/>
      <c r="J602" s="80"/>
      <c r="K602" s="273"/>
      <c r="L602" s="273"/>
      <c r="M602" s="273"/>
      <c r="N602" s="273"/>
      <c r="O602" s="273"/>
      <c r="P602" s="273"/>
      <c r="Q602" s="274"/>
      <c r="R602" s="80"/>
      <c r="S602" s="80"/>
      <c r="T602" s="241"/>
      <c r="U602" s="80"/>
      <c r="V602" s="80"/>
      <c r="W602" s="80"/>
      <c r="X602" s="80"/>
      <c r="Y602" s="80"/>
      <c r="Z602" s="80"/>
      <c r="AA602" s="80"/>
    </row>
    <row r="603" spans="1:27" ht="15.75" customHeight="1">
      <c r="A603" s="80"/>
      <c r="B603" s="270"/>
      <c r="C603" s="271"/>
      <c r="D603" s="80"/>
      <c r="E603" s="271"/>
      <c r="F603" s="272"/>
      <c r="G603" s="270"/>
      <c r="H603" s="271"/>
      <c r="I603" s="272"/>
      <c r="J603" s="80"/>
      <c r="K603" s="273"/>
      <c r="L603" s="273"/>
      <c r="M603" s="273"/>
      <c r="N603" s="273"/>
      <c r="O603" s="273"/>
      <c r="P603" s="273"/>
      <c r="Q603" s="274"/>
      <c r="R603" s="80"/>
      <c r="S603" s="80"/>
      <c r="T603" s="241"/>
      <c r="U603" s="80"/>
      <c r="V603" s="80"/>
      <c r="W603" s="80"/>
      <c r="X603" s="80"/>
      <c r="Y603" s="80"/>
      <c r="Z603" s="80"/>
      <c r="AA603" s="80"/>
    </row>
    <row r="604" spans="1:27" ht="15.75" customHeight="1">
      <c r="A604" s="80"/>
      <c r="B604" s="270"/>
      <c r="C604" s="271"/>
      <c r="D604" s="80"/>
      <c r="E604" s="271"/>
      <c r="F604" s="272"/>
      <c r="G604" s="270"/>
      <c r="H604" s="271"/>
      <c r="I604" s="272"/>
      <c r="J604" s="80"/>
      <c r="K604" s="273"/>
      <c r="L604" s="273"/>
      <c r="M604" s="273"/>
      <c r="N604" s="273"/>
      <c r="O604" s="273"/>
      <c r="P604" s="273"/>
      <c r="Q604" s="274"/>
      <c r="R604" s="80"/>
      <c r="S604" s="80"/>
      <c r="T604" s="241"/>
      <c r="U604" s="80"/>
      <c r="V604" s="80"/>
      <c r="W604" s="80"/>
      <c r="X604" s="80"/>
      <c r="Y604" s="80"/>
      <c r="Z604" s="80"/>
      <c r="AA604" s="80"/>
    </row>
    <row r="605" spans="1:27" ht="15.75" customHeight="1">
      <c r="A605" s="80"/>
      <c r="B605" s="270"/>
      <c r="C605" s="271"/>
      <c r="D605" s="80"/>
      <c r="E605" s="271"/>
      <c r="F605" s="272"/>
      <c r="G605" s="270"/>
      <c r="H605" s="271"/>
      <c r="I605" s="272"/>
      <c r="J605" s="80"/>
      <c r="K605" s="273"/>
      <c r="L605" s="273"/>
      <c r="M605" s="273"/>
      <c r="N605" s="273"/>
      <c r="O605" s="273"/>
      <c r="P605" s="273"/>
      <c r="Q605" s="274"/>
      <c r="R605" s="80"/>
      <c r="S605" s="80"/>
      <c r="T605" s="241"/>
      <c r="U605" s="80"/>
      <c r="V605" s="80"/>
      <c r="W605" s="80"/>
      <c r="X605" s="80"/>
      <c r="Y605" s="80"/>
      <c r="Z605" s="80"/>
      <c r="AA605" s="80"/>
    </row>
    <row r="606" spans="1:27" ht="15.75" customHeight="1">
      <c r="A606" s="80"/>
      <c r="B606" s="270"/>
      <c r="C606" s="271"/>
      <c r="D606" s="80"/>
      <c r="E606" s="271"/>
      <c r="F606" s="272"/>
      <c r="G606" s="270"/>
      <c r="H606" s="271"/>
      <c r="I606" s="272"/>
      <c r="J606" s="80"/>
      <c r="K606" s="273"/>
      <c r="L606" s="273"/>
      <c r="M606" s="273"/>
      <c r="N606" s="273"/>
      <c r="O606" s="273"/>
      <c r="P606" s="273"/>
      <c r="Q606" s="274"/>
      <c r="R606" s="80"/>
      <c r="S606" s="80"/>
      <c r="T606" s="241"/>
      <c r="U606" s="80"/>
      <c r="V606" s="80"/>
      <c r="W606" s="80"/>
      <c r="X606" s="80"/>
      <c r="Y606" s="80"/>
      <c r="Z606" s="80"/>
      <c r="AA606" s="80"/>
    </row>
    <row r="607" spans="1:27" ht="15.75" customHeight="1">
      <c r="A607" s="80"/>
      <c r="B607" s="270"/>
      <c r="C607" s="271"/>
      <c r="D607" s="80"/>
      <c r="E607" s="271"/>
      <c r="F607" s="272"/>
      <c r="G607" s="270"/>
      <c r="H607" s="271"/>
      <c r="I607" s="272"/>
      <c r="J607" s="80"/>
      <c r="K607" s="273"/>
      <c r="L607" s="273"/>
      <c r="M607" s="273"/>
      <c r="N607" s="273"/>
      <c r="O607" s="273"/>
      <c r="P607" s="273"/>
      <c r="Q607" s="274"/>
      <c r="R607" s="80"/>
      <c r="S607" s="80"/>
      <c r="T607" s="241"/>
      <c r="U607" s="80"/>
      <c r="V607" s="80"/>
      <c r="W607" s="80"/>
      <c r="X607" s="80"/>
      <c r="Y607" s="80"/>
      <c r="Z607" s="80"/>
      <c r="AA607" s="80"/>
    </row>
    <row r="608" spans="1:27" ht="15.75" customHeight="1">
      <c r="A608" s="80"/>
      <c r="B608" s="270"/>
      <c r="C608" s="271"/>
      <c r="D608" s="80"/>
      <c r="E608" s="271"/>
      <c r="F608" s="272"/>
      <c r="G608" s="270"/>
      <c r="H608" s="271"/>
      <c r="I608" s="272"/>
      <c r="J608" s="80"/>
      <c r="K608" s="273"/>
      <c r="L608" s="273"/>
      <c r="M608" s="273"/>
      <c r="N608" s="273"/>
      <c r="O608" s="273"/>
      <c r="P608" s="273"/>
      <c r="Q608" s="274"/>
      <c r="R608" s="80"/>
      <c r="S608" s="80"/>
      <c r="T608" s="241"/>
      <c r="U608" s="80"/>
      <c r="V608" s="80"/>
      <c r="W608" s="80"/>
      <c r="X608" s="80"/>
      <c r="Y608" s="80"/>
      <c r="Z608" s="80"/>
      <c r="AA608" s="80"/>
    </row>
    <row r="609" spans="1:27" ht="15.75" customHeight="1">
      <c r="A609" s="80"/>
      <c r="B609" s="270"/>
      <c r="C609" s="271"/>
      <c r="D609" s="80"/>
      <c r="E609" s="271"/>
      <c r="F609" s="272"/>
      <c r="G609" s="270"/>
      <c r="H609" s="271"/>
      <c r="I609" s="272"/>
      <c r="J609" s="80"/>
      <c r="K609" s="273"/>
      <c r="L609" s="273"/>
      <c r="M609" s="273"/>
      <c r="N609" s="273"/>
      <c r="O609" s="273"/>
      <c r="P609" s="273"/>
      <c r="Q609" s="274"/>
      <c r="R609" s="80"/>
      <c r="S609" s="80"/>
      <c r="T609" s="241"/>
      <c r="U609" s="80"/>
      <c r="V609" s="80"/>
      <c r="W609" s="80"/>
      <c r="X609" s="80"/>
      <c r="Y609" s="80"/>
      <c r="Z609" s="80"/>
      <c r="AA609" s="80"/>
    </row>
    <row r="610" spans="1:27" ht="15.75" customHeight="1">
      <c r="A610" s="80"/>
      <c r="B610" s="270"/>
      <c r="C610" s="271"/>
      <c r="D610" s="80"/>
      <c r="E610" s="271"/>
      <c r="F610" s="272"/>
      <c r="G610" s="270"/>
      <c r="H610" s="271"/>
      <c r="I610" s="272"/>
      <c r="J610" s="80"/>
      <c r="K610" s="273"/>
      <c r="L610" s="273"/>
      <c r="M610" s="273"/>
      <c r="N610" s="273"/>
      <c r="O610" s="273"/>
      <c r="P610" s="273"/>
      <c r="Q610" s="274"/>
      <c r="R610" s="80"/>
      <c r="S610" s="80"/>
      <c r="T610" s="241"/>
      <c r="U610" s="80"/>
      <c r="V610" s="80"/>
      <c r="W610" s="80"/>
      <c r="X610" s="80"/>
      <c r="Y610" s="80"/>
      <c r="Z610" s="80"/>
      <c r="AA610" s="80"/>
    </row>
    <row r="611" spans="1:27" ht="15.75" customHeight="1">
      <c r="A611" s="80"/>
      <c r="B611" s="270"/>
      <c r="C611" s="271"/>
      <c r="D611" s="80"/>
      <c r="E611" s="271"/>
      <c r="F611" s="272"/>
      <c r="G611" s="270"/>
      <c r="H611" s="271"/>
      <c r="I611" s="272"/>
      <c r="J611" s="80"/>
      <c r="K611" s="273"/>
      <c r="L611" s="273"/>
      <c r="M611" s="273"/>
      <c r="N611" s="273"/>
      <c r="O611" s="273"/>
      <c r="P611" s="273"/>
      <c r="Q611" s="274"/>
      <c r="R611" s="80"/>
      <c r="S611" s="80"/>
      <c r="T611" s="241"/>
      <c r="U611" s="80"/>
      <c r="V611" s="80"/>
      <c r="W611" s="80"/>
      <c r="X611" s="80"/>
      <c r="Y611" s="80"/>
      <c r="Z611" s="80"/>
      <c r="AA611" s="80"/>
    </row>
    <row r="612" spans="1:27" ht="15.75" customHeight="1">
      <c r="A612" s="80"/>
      <c r="B612" s="270"/>
      <c r="C612" s="271"/>
      <c r="D612" s="80"/>
      <c r="E612" s="271"/>
      <c r="F612" s="272"/>
      <c r="G612" s="270"/>
      <c r="H612" s="271"/>
      <c r="I612" s="272"/>
      <c r="J612" s="80"/>
      <c r="K612" s="273"/>
      <c r="L612" s="273"/>
      <c r="M612" s="273"/>
      <c r="N612" s="273"/>
      <c r="O612" s="273"/>
      <c r="P612" s="273"/>
      <c r="Q612" s="274"/>
      <c r="R612" s="80"/>
      <c r="S612" s="80"/>
      <c r="T612" s="241"/>
      <c r="U612" s="80"/>
      <c r="V612" s="80"/>
      <c r="W612" s="80"/>
      <c r="X612" s="80"/>
      <c r="Y612" s="80"/>
      <c r="Z612" s="80"/>
      <c r="AA612" s="80"/>
    </row>
    <row r="613" spans="1:27" ht="15.75" customHeight="1">
      <c r="A613" s="80"/>
      <c r="B613" s="270"/>
      <c r="C613" s="271"/>
      <c r="D613" s="80"/>
      <c r="E613" s="271"/>
      <c r="F613" s="272"/>
      <c r="G613" s="270"/>
      <c r="H613" s="271"/>
      <c r="I613" s="272"/>
      <c r="J613" s="80"/>
      <c r="K613" s="273"/>
      <c r="L613" s="273"/>
      <c r="M613" s="273"/>
      <c r="N613" s="273"/>
      <c r="O613" s="273"/>
      <c r="P613" s="273"/>
      <c r="Q613" s="274"/>
      <c r="R613" s="80"/>
      <c r="S613" s="80"/>
      <c r="T613" s="241"/>
      <c r="U613" s="80"/>
      <c r="V613" s="80"/>
      <c r="W613" s="80"/>
      <c r="X613" s="80"/>
      <c r="Y613" s="80"/>
      <c r="Z613" s="80"/>
      <c r="AA613" s="80"/>
    </row>
    <row r="614" spans="1:27" ht="15.75" customHeight="1">
      <c r="A614" s="80"/>
      <c r="B614" s="270"/>
      <c r="C614" s="271"/>
      <c r="D614" s="80"/>
      <c r="E614" s="271"/>
      <c r="F614" s="272"/>
      <c r="G614" s="270"/>
      <c r="H614" s="271"/>
      <c r="I614" s="272"/>
      <c r="J614" s="80"/>
      <c r="K614" s="273"/>
      <c r="L614" s="273"/>
      <c r="M614" s="273"/>
      <c r="N614" s="273"/>
      <c r="O614" s="273"/>
      <c r="P614" s="273"/>
      <c r="Q614" s="274"/>
      <c r="R614" s="80"/>
      <c r="S614" s="80"/>
      <c r="T614" s="241"/>
      <c r="U614" s="80"/>
      <c r="V614" s="80"/>
      <c r="W614" s="80"/>
      <c r="X614" s="80"/>
      <c r="Y614" s="80"/>
      <c r="Z614" s="80"/>
      <c r="AA614" s="80"/>
    </row>
    <row r="615" spans="1:27" ht="15.75" customHeight="1">
      <c r="A615" s="80"/>
      <c r="B615" s="270"/>
      <c r="C615" s="271"/>
      <c r="D615" s="80"/>
      <c r="E615" s="271"/>
      <c r="F615" s="272"/>
      <c r="G615" s="270"/>
      <c r="H615" s="271"/>
      <c r="I615" s="272"/>
      <c r="J615" s="80"/>
      <c r="K615" s="273"/>
      <c r="L615" s="273"/>
      <c r="M615" s="273"/>
      <c r="N615" s="273"/>
      <c r="O615" s="273"/>
      <c r="P615" s="273"/>
      <c r="Q615" s="274"/>
      <c r="R615" s="80"/>
      <c r="S615" s="80"/>
      <c r="T615" s="241"/>
      <c r="U615" s="80"/>
      <c r="V615" s="80"/>
      <c r="W615" s="80"/>
      <c r="X615" s="80"/>
      <c r="Y615" s="80"/>
      <c r="Z615" s="80"/>
      <c r="AA615" s="80"/>
    </row>
    <row r="616" spans="1:27" ht="15.75" customHeight="1">
      <c r="A616" s="80"/>
      <c r="B616" s="270"/>
      <c r="C616" s="271"/>
      <c r="D616" s="80"/>
      <c r="E616" s="271"/>
      <c r="F616" s="272"/>
      <c r="G616" s="270"/>
      <c r="H616" s="271"/>
      <c r="I616" s="272"/>
      <c r="J616" s="80"/>
      <c r="K616" s="273"/>
      <c r="L616" s="273"/>
      <c r="M616" s="273"/>
      <c r="N616" s="273"/>
      <c r="O616" s="273"/>
      <c r="P616" s="273"/>
      <c r="Q616" s="274"/>
      <c r="R616" s="80"/>
      <c r="S616" s="80"/>
      <c r="T616" s="241"/>
      <c r="U616" s="80"/>
      <c r="V616" s="80"/>
      <c r="W616" s="80"/>
      <c r="X616" s="80"/>
      <c r="Y616" s="80"/>
      <c r="Z616" s="80"/>
      <c r="AA616" s="80"/>
    </row>
    <row r="617" spans="1:27" ht="15.75" customHeight="1">
      <c r="A617" s="80"/>
      <c r="B617" s="270"/>
      <c r="C617" s="271"/>
      <c r="D617" s="80"/>
      <c r="E617" s="271"/>
      <c r="F617" s="272"/>
      <c r="G617" s="270"/>
      <c r="H617" s="271"/>
      <c r="I617" s="272"/>
      <c r="J617" s="80"/>
      <c r="K617" s="273"/>
      <c r="L617" s="273"/>
      <c r="M617" s="273"/>
      <c r="N617" s="273"/>
      <c r="O617" s="273"/>
      <c r="P617" s="273"/>
      <c r="Q617" s="274"/>
      <c r="R617" s="80"/>
      <c r="S617" s="80"/>
      <c r="T617" s="241"/>
      <c r="U617" s="80"/>
      <c r="V617" s="80"/>
      <c r="W617" s="80"/>
      <c r="X617" s="80"/>
      <c r="Y617" s="80"/>
      <c r="Z617" s="80"/>
      <c r="AA617" s="80"/>
    </row>
    <row r="618" spans="1:27" ht="15.75" customHeight="1">
      <c r="A618" s="80"/>
      <c r="B618" s="270"/>
      <c r="C618" s="271"/>
      <c r="D618" s="80"/>
      <c r="E618" s="271"/>
      <c r="F618" s="272"/>
      <c r="G618" s="270"/>
      <c r="H618" s="271"/>
      <c r="I618" s="272"/>
      <c r="J618" s="80"/>
      <c r="K618" s="273"/>
      <c r="L618" s="273"/>
      <c r="M618" s="273"/>
      <c r="N618" s="273"/>
      <c r="O618" s="273"/>
      <c r="P618" s="273"/>
      <c r="Q618" s="274"/>
      <c r="R618" s="80"/>
      <c r="S618" s="80"/>
      <c r="T618" s="241"/>
      <c r="U618" s="80"/>
      <c r="V618" s="80"/>
      <c r="W618" s="80"/>
      <c r="X618" s="80"/>
      <c r="Y618" s="80"/>
      <c r="Z618" s="80"/>
      <c r="AA618" s="80"/>
    </row>
    <row r="619" spans="1:27" ht="15.75" customHeight="1">
      <c r="A619" s="80"/>
      <c r="B619" s="270"/>
      <c r="C619" s="271"/>
      <c r="D619" s="80"/>
      <c r="E619" s="271"/>
      <c r="F619" s="272"/>
      <c r="G619" s="270"/>
      <c r="H619" s="271"/>
      <c r="I619" s="272"/>
      <c r="J619" s="80"/>
      <c r="K619" s="273"/>
      <c r="L619" s="273"/>
      <c r="M619" s="273"/>
      <c r="N619" s="273"/>
      <c r="O619" s="273"/>
      <c r="P619" s="273"/>
      <c r="Q619" s="274"/>
      <c r="R619" s="80"/>
      <c r="S619" s="80"/>
      <c r="T619" s="241"/>
      <c r="U619" s="80"/>
      <c r="V619" s="80"/>
      <c r="W619" s="80"/>
      <c r="X619" s="80"/>
      <c r="Y619" s="80"/>
      <c r="Z619" s="80"/>
      <c r="AA619" s="80"/>
    </row>
    <row r="620" spans="1:27" ht="15.75" customHeight="1">
      <c r="A620" s="80"/>
      <c r="B620" s="270"/>
      <c r="C620" s="271"/>
      <c r="D620" s="80"/>
      <c r="E620" s="271"/>
      <c r="F620" s="272"/>
      <c r="G620" s="270"/>
      <c r="H620" s="271"/>
      <c r="I620" s="272"/>
      <c r="J620" s="80"/>
      <c r="K620" s="273"/>
      <c r="L620" s="273"/>
      <c r="M620" s="273"/>
      <c r="N620" s="273"/>
      <c r="O620" s="273"/>
      <c r="P620" s="273"/>
      <c r="Q620" s="274"/>
      <c r="R620" s="80"/>
      <c r="S620" s="80"/>
      <c r="T620" s="241"/>
      <c r="U620" s="80"/>
      <c r="V620" s="80"/>
      <c r="W620" s="80"/>
      <c r="X620" s="80"/>
      <c r="Y620" s="80"/>
      <c r="Z620" s="80"/>
      <c r="AA620" s="80"/>
    </row>
    <row r="621" spans="1:27" ht="15.75" customHeight="1">
      <c r="A621" s="80"/>
      <c r="B621" s="270"/>
      <c r="C621" s="271"/>
      <c r="D621" s="80"/>
      <c r="E621" s="271"/>
      <c r="F621" s="272"/>
      <c r="G621" s="270"/>
      <c r="H621" s="271"/>
      <c r="I621" s="272"/>
      <c r="J621" s="80"/>
      <c r="K621" s="273"/>
      <c r="L621" s="273"/>
      <c r="M621" s="273"/>
      <c r="N621" s="273"/>
      <c r="O621" s="273"/>
      <c r="P621" s="273"/>
      <c r="Q621" s="274"/>
      <c r="R621" s="80"/>
      <c r="S621" s="80"/>
      <c r="T621" s="241"/>
      <c r="U621" s="80"/>
      <c r="V621" s="80"/>
      <c r="W621" s="80"/>
      <c r="X621" s="80"/>
      <c r="Y621" s="80"/>
      <c r="Z621" s="80"/>
      <c r="AA621" s="80"/>
    </row>
    <row r="622" spans="1:27" ht="15.75" customHeight="1">
      <c r="A622" s="80"/>
      <c r="B622" s="270"/>
      <c r="C622" s="271"/>
      <c r="D622" s="80"/>
      <c r="E622" s="271"/>
      <c r="F622" s="272"/>
      <c r="G622" s="270"/>
      <c r="H622" s="271"/>
      <c r="I622" s="272"/>
      <c r="J622" s="80"/>
      <c r="K622" s="273"/>
      <c r="L622" s="273"/>
      <c r="M622" s="273"/>
      <c r="N622" s="273"/>
      <c r="O622" s="273"/>
      <c r="P622" s="273"/>
      <c r="Q622" s="274"/>
      <c r="R622" s="80"/>
      <c r="S622" s="80"/>
      <c r="T622" s="241"/>
      <c r="U622" s="80"/>
      <c r="V622" s="80"/>
      <c r="W622" s="80"/>
      <c r="X622" s="80"/>
      <c r="Y622" s="80"/>
      <c r="Z622" s="80"/>
      <c r="AA622" s="80"/>
    </row>
    <row r="623" spans="1:27" ht="15.75" customHeight="1">
      <c r="A623" s="80"/>
      <c r="B623" s="270"/>
      <c r="C623" s="271"/>
      <c r="D623" s="80"/>
      <c r="E623" s="271"/>
      <c r="F623" s="272"/>
      <c r="G623" s="270"/>
      <c r="H623" s="271"/>
      <c r="I623" s="272"/>
      <c r="J623" s="80"/>
      <c r="K623" s="273"/>
      <c r="L623" s="273"/>
      <c r="M623" s="273"/>
      <c r="N623" s="273"/>
      <c r="O623" s="273"/>
      <c r="P623" s="273"/>
      <c r="Q623" s="274"/>
      <c r="R623" s="80"/>
      <c r="S623" s="80"/>
      <c r="T623" s="241"/>
      <c r="U623" s="80"/>
      <c r="V623" s="80"/>
      <c r="W623" s="80"/>
      <c r="X623" s="80"/>
      <c r="Y623" s="80"/>
      <c r="Z623" s="80"/>
      <c r="AA623" s="80"/>
    </row>
    <row r="624" spans="1:27" ht="15.75" customHeight="1">
      <c r="A624" s="80"/>
      <c r="B624" s="270"/>
      <c r="C624" s="271"/>
      <c r="D624" s="80"/>
      <c r="E624" s="271"/>
      <c r="F624" s="272"/>
      <c r="G624" s="270"/>
      <c r="H624" s="271"/>
      <c r="I624" s="272"/>
      <c r="J624" s="80"/>
      <c r="K624" s="273"/>
      <c r="L624" s="273"/>
      <c r="M624" s="273"/>
      <c r="N624" s="273"/>
      <c r="O624" s="273"/>
      <c r="P624" s="273"/>
      <c r="Q624" s="274"/>
      <c r="R624" s="80"/>
      <c r="S624" s="80"/>
      <c r="T624" s="241"/>
      <c r="U624" s="80"/>
      <c r="V624" s="80"/>
      <c r="W624" s="80"/>
      <c r="X624" s="80"/>
      <c r="Y624" s="80"/>
      <c r="Z624" s="80"/>
      <c r="AA624" s="80"/>
    </row>
    <row r="625" spans="1:27" ht="15.75" customHeight="1">
      <c r="A625" s="80"/>
      <c r="B625" s="270"/>
      <c r="C625" s="271"/>
      <c r="D625" s="80"/>
      <c r="E625" s="271"/>
      <c r="F625" s="272"/>
      <c r="G625" s="270"/>
      <c r="H625" s="271"/>
      <c r="I625" s="272"/>
      <c r="J625" s="80"/>
      <c r="K625" s="273"/>
      <c r="L625" s="273"/>
      <c r="M625" s="273"/>
      <c r="N625" s="273"/>
      <c r="O625" s="273"/>
      <c r="P625" s="273"/>
      <c r="Q625" s="274"/>
      <c r="R625" s="80"/>
      <c r="S625" s="80"/>
      <c r="T625" s="241"/>
      <c r="U625" s="80"/>
      <c r="V625" s="80"/>
      <c r="W625" s="80"/>
      <c r="X625" s="80"/>
      <c r="Y625" s="80"/>
      <c r="Z625" s="80"/>
      <c r="AA625" s="80"/>
    </row>
    <row r="626" spans="1:27" ht="15.75" customHeight="1">
      <c r="A626" s="80"/>
      <c r="B626" s="270"/>
      <c r="C626" s="271"/>
      <c r="D626" s="80"/>
      <c r="E626" s="271"/>
      <c r="F626" s="272"/>
      <c r="G626" s="270"/>
      <c r="H626" s="271"/>
      <c r="I626" s="272"/>
      <c r="J626" s="80"/>
      <c r="K626" s="273"/>
      <c r="L626" s="273"/>
      <c r="M626" s="273"/>
      <c r="N626" s="273"/>
      <c r="O626" s="273"/>
      <c r="P626" s="273"/>
      <c r="Q626" s="274"/>
      <c r="R626" s="80"/>
      <c r="S626" s="80"/>
      <c r="T626" s="241"/>
      <c r="U626" s="80"/>
      <c r="V626" s="80"/>
      <c r="W626" s="80"/>
      <c r="X626" s="80"/>
      <c r="Y626" s="80"/>
      <c r="Z626" s="80"/>
      <c r="AA626" s="80"/>
    </row>
    <row r="627" spans="1:27" ht="15.75" customHeight="1">
      <c r="A627" s="80"/>
      <c r="B627" s="270"/>
      <c r="C627" s="271"/>
      <c r="D627" s="80"/>
      <c r="E627" s="271"/>
      <c r="F627" s="272"/>
      <c r="G627" s="270"/>
      <c r="H627" s="271"/>
      <c r="I627" s="272"/>
      <c r="J627" s="80"/>
      <c r="K627" s="273"/>
      <c r="L627" s="273"/>
      <c r="M627" s="273"/>
      <c r="N627" s="273"/>
      <c r="O627" s="273"/>
      <c r="P627" s="273"/>
      <c r="Q627" s="274"/>
      <c r="R627" s="80"/>
      <c r="S627" s="80"/>
      <c r="T627" s="241"/>
      <c r="U627" s="80"/>
      <c r="V627" s="80"/>
      <c r="W627" s="80"/>
      <c r="X627" s="80"/>
      <c r="Y627" s="80"/>
      <c r="Z627" s="80"/>
      <c r="AA627" s="80"/>
    </row>
    <row r="628" spans="1:27" ht="15.75" customHeight="1">
      <c r="A628" s="80"/>
      <c r="B628" s="270"/>
      <c r="C628" s="271"/>
      <c r="D628" s="80"/>
      <c r="E628" s="271"/>
      <c r="F628" s="272"/>
      <c r="G628" s="270"/>
      <c r="H628" s="271"/>
      <c r="I628" s="272"/>
      <c r="J628" s="80"/>
      <c r="K628" s="273"/>
      <c r="L628" s="273"/>
      <c r="M628" s="273"/>
      <c r="N628" s="273"/>
      <c r="O628" s="273"/>
      <c r="P628" s="273"/>
      <c r="Q628" s="274"/>
      <c r="R628" s="80"/>
      <c r="S628" s="80"/>
      <c r="T628" s="241"/>
      <c r="U628" s="80"/>
      <c r="V628" s="80"/>
      <c r="W628" s="80"/>
      <c r="X628" s="80"/>
      <c r="Y628" s="80"/>
      <c r="Z628" s="80"/>
      <c r="AA628" s="80"/>
    </row>
    <row r="629" spans="1:27" ht="15.75" customHeight="1">
      <c r="A629" s="80"/>
      <c r="B629" s="270"/>
      <c r="C629" s="271"/>
      <c r="D629" s="80"/>
      <c r="E629" s="271"/>
      <c r="F629" s="272"/>
      <c r="G629" s="270"/>
      <c r="H629" s="271"/>
      <c r="I629" s="272"/>
      <c r="J629" s="80"/>
      <c r="K629" s="273"/>
      <c r="L629" s="273"/>
      <c r="M629" s="273"/>
      <c r="N629" s="273"/>
      <c r="O629" s="273"/>
      <c r="P629" s="273"/>
      <c r="Q629" s="274"/>
      <c r="R629" s="80"/>
      <c r="S629" s="80"/>
      <c r="T629" s="241"/>
      <c r="U629" s="80"/>
      <c r="V629" s="80"/>
      <c r="W629" s="80"/>
      <c r="X629" s="80"/>
      <c r="Y629" s="80"/>
      <c r="Z629" s="80"/>
      <c r="AA629" s="80"/>
    </row>
    <row r="630" spans="1:27" ht="15.75" customHeight="1">
      <c r="A630" s="80"/>
      <c r="B630" s="270"/>
      <c r="C630" s="271"/>
      <c r="D630" s="80"/>
      <c r="E630" s="271"/>
      <c r="F630" s="272"/>
      <c r="G630" s="270"/>
      <c r="H630" s="271"/>
      <c r="I630" s="272"/>
      <c r="J630" s="80"/>
      <c r="K630" s="273"/>
      <c r="L630" s="273"/>
      <c r="M630" s="273"/>
      <c r="N630" s="273"/>
      <c r="O630" s="273"/>
      <c r="P630" s="273"/>
      <c r="Q630" s="274"/>
      <c r="R630" s="80"/>
      <c r="S630" s="80"/>
      <c r="T630" s="241"/>
      <c r="U630" s="80"/>
      <c r="V630" s="80"/>
      <c r="W630" s="80"/>
      <c r="X630" s="80"/>
      <c r="Y630" s="80"/>
      <c r="Z630" s="80"/>
      <c r="AA630" s="80"/>
    </row>
    <row r="631" spans="1:27" ht="15.75" customHeight="1">
      <c r="A631" s="80"/>
      <c r="B631" s="270"/>
      <c r="C631" s="271"/>
      <c r="D631" s="80"/>
      <c r="E631" s="271"/>
      <c r="F631" s="272"/>
      <c r="G631" s="270"/>
      <c r="H631" s="271"/>
      <c r="I631" s="272"/>
      <c r="J631" s="80"/>
      <c r="K631" s="273"/>
      <c r="L631" s="273"/>
      <c r="M631" s="273"/>
      <c r="N631" s="273"/>
      <c r="O631" s="273"/>
      <c r="P631" s="273"/>
      <c r="Q631" s="274"/>
      <c r="R631" s="80"/>
      <c r="S631" s="80"/>
      <c r="T631" s="241"/>
      <c r="U631" s="80"/>
      <c r="V631" s="80"/>
      <c r="W631" s="80"/>
      <c r="X631" s="80"/>
      <c r="Y631" s="80"/>
      <c r="Z631" s="80"/>
      <c r="AA631" s="80"/>
    </row>
    <row r="632" spans="1:27" ht="15.75" customHeight="1">
      <c r="A632" s="80"/>
      <c r="B632" s="270"/>
      <c r="C632" s="271"/>
      <c r="D632" s="80"/>
      <c r="E632" s="271"/>
      <c r="F632" s="272"/>
      <c r="G632" s="270"/>
      <c r="H632" s="271"/>
      <c r="I632" s="272"/>
      <c r="J632" s="80"/>
      <c r="K632" s="273"/>
      <c r="L632" s="273"/>
      <c r="M632" s="273"/>
      <c r="N632" s="273"/>
      <c r="O632" s="273"/>
      <c r="P632" s="273"/>
      <c r="Q632" s="274"/>
      <c r="R632" s="80"/>
      <c r="S632" s="80"/>
      <c r="T632" s="241"/>
      <c r="U632" s="80"/>
      <c r="V632" s="80"/>
      <c r="W632" s="80"/>
      <c r="X632" s="80"/>
      <c r="Y632" s="80"/>
      <c r="Z632" s="80"/>
      <c r="AA632" s="80"/>
    </row>
    <row r="633" spans="1:27" ht="15.75" customHeight="1">
      <c r="A633" s="80"/>
      <c r="B633" s="270"/>
      <c r="C633" s="271"/>
      <c r="D633" s="80"/>
      <c r="E633" s="271"/>
      <c r="F633" s="272"/>
      <c r="G633" s="270"/>
      <c r="H633" s="271"/>
      <c r="I633" s="272"/>
      <c r="J633" s="80"/>
      <c r="K633" s="273"/>
      <c r="L633" s="273"/>
      <c r="M633" s="273"/>
      <c r="N633" s="273"/>
      <c r="O633" s="273"/>
      <c r="P633" s="273"/>
      <c r="Q633" s="274"/>
      <c r="R633" s="80"/>
      <c r="S633" s="80"/>
      <c r="T633" s="241"/>
      <c r="U633" s="80"/>
      <c r="V633" s="80"/>
      <c r="W633" s="80"/>
      <c r="X633" s="80"/>
      <c r="Y633" s="80"/>
      <c r="Z633" s="80"/>
      <c r="AA633" s="80"/>
    </row>
    <row r="634" spans="1:27" ht="15.75" customHeight="1">
      <c r="A634" s="80"/>
      <c r="B634" s="270"/>
      <c r="C634" s="271"/>
      <c r="D634" s="80"/>
      <c r="E634" s="271"/>
      <c r="F634" s="272"/>
      <c r="G634" s="270"/>
      <c r="H634" s="271"/>
      <c r="I634" s="272"/>
      <c r="J634" s="80"/>
      <c r="K634" s="273"/>
      <c r="L634" s="273"/>
      <c r="M634" s="273"/>
      <c r="N634" s="273"/>
      <c r="O634" s="273"/>
      <c r="P634" s="273"/>
      <c r="Q634" s="274"/>
      <c r="R634" s="80"/>
      <c r="S634" s="80"/>
      <c r="T634" s="241"/>
      <c r="U634" s="80"/>
      <c r="V634" s="80"/>
      <c r="W634" s="80"/>
      <c r="X634" s="80"/>
      <c r="Y634" s="80"/>
      <c r="Z634" s="80"/>
      <c r="AA634" s="80"/>
    </row>
    <row r="635" spans="1:27" ht="15.75" customHeight="1">
      <c r="A635" s="80"/>
      <c r="B635" s="270"/>
      <c r="C635" s="271"/>
      <c r="D635" s="80"/>
      <c r="E635" s="271"/>
      <c r="F635" s="272"/>
      <c r="G635" s="270"/>
      <c r="H635" s="271"/>
      <c r="I635" s="272"/>
      <c r="J635" s="80"/>
      <c r="K635" s="273"/>
      <c r="L635" s="273"/>
      <c r="M635" s="273"/>
      <c r="N635" s="273"/>
      <c r="O635" s="273"/>
      <c r="P635" s="273"/>
      <c r="Q635" s="274"/>
      <c r="R635" s="80"/>
      <c r="S635" s="80"/>
      <c r="T635" s="241"/>
      <c r="U635" s="80"/>
      <c r="V635" s="80"/>
      <c r="W635" s="80"/>
      <c r="X635" s="80"/>
      <c r="Y635" s="80"/>
      <c r="Z635" s="80"/>
      <c r="AA635" s="80"/>
    </row>
    <row r="636" spans="1:27" ht="15.75" customHeight="1">
      <c r="A636" s="80"/>
      <c r="B636" s="270"/>
      <c r="C636" s="271"/>
      <c r="D636" s="80"/>
      <c r="E636" s="271"/>
      <c r="F636" s="272"/>
      <c r="G636" s="270"/>
      <c r="H636" s="271"/>
      <c r="I636" s="272"/>
      <c r="J636" s="80"/>
      <c r="K636" s="273"/>
      <c r="L636" s="273"/>
      <c r="M636" s="273"/>
      <c r="N636" s="273"/>
      <c r="O636" s="273"/>
      <c r="P636" s="273"/>
      <c r="Q636" s="274"/>
      <c r="R636" s="80"/>
      <c r="S636" s="80"/>
      <c r="T636" s="241"/>
      <c r="U636" s="80"/>
      <c r="V636" s="80"/>
      <c r="W636" s="80"/>
      <c r="X636" s="80"/>
      <c r="Y636" s="80"/>
      <c r="Z636" s="80"/>
      <c r="AA636" s="80"/>
    </row>
    <row r="637" spans="1:27" ht="15.75" customHeight="1">
      <c r="A637" s="80"/>
      <c r="B637" s="270"/>
      <c r="C637" s="271"/>
      <c r="D637" s="80"/>
      <c r="E637" s="271"/>
      <c r="F637" s="272"/>
      <c r="G637" s="270"/>
      <c r="H637" s="271"/>
      <c r="I637" s="272"/>
      <c r="J637" s="80"/>
      <c r="K637" s="273"/>
      <c r="L637" s="273"/>
      <c r="M637" s="273"/>
      <c r="N637" s="273"/>
      <c r="O637" s="273"/>
      <c r="P637" s="273"/>
      <c r="Q637" s="274"/>
      <c r="R637" s="80"/>
      <c r="S637" s="80"/>
      <c r="T637" s="241"/>
      <c r="U637" s="80"/>
      <c r="V637" s="80"/>
      <c r="W637" s="80"/>
      <c r="X637" s="80"/>
      <c r="Y637" s="80"/>
      <c r="Z637" s="80"/>
      <c r="AA637" s="80"/>
    </row>
    <row r="638" spans="1:27" ht="15.75" customHeight="1">
      <c r="A638" s="80"/>
      <c r="B638" s="270"/>
      <c r="C638" s="271"/>
      <c r="D638" s="80"/>
      <c r="E638" s="271"/>
      <c r="F638" s="272"/>
      <c r="G638" s="270"/>
      <c r="H638" s="271"/>
      <c r="I638" s="272"/>
      <c r="J638" s="80"/>
      <c r="K638" s="273"/>
      <c r="L638" s="273"/>
      <c r="M638" s="273"/>
      <c r="N638" s="273"/>
      <c r="O638" s="273"/>
      <c r="P638" s="273"/>
      <c r="Q638" s="274"/>
      <c r="R638" s="80"/>
      <c r="S638" s="80"/>
      <c r="T638" s="241"/>
      <c r="U638" s="80"/>
      <c r="V638" s="80"/>
      <c r="W638" s="80"/>
      <c r="X638" s="80"/>
      <c r="Y638" s="80"/>
      <c r="Z638" s="80"/>
      <c r="AA638" s="80"/>
    </row>
    <row r="639" spans="1:27" ht="15.75" customHeight="1">
      <c r="A639" s="80"/>
      <c r="B639" s="270"/>
      <c r="C639" s="271"/>
      <c r="D639" s="80"/>
      <c r="E639" s="271"/>
      <c r="F639" s="272"/>
      <c r="G639" s="270"/>
      <c r="H639" s="271"/>
      <c r="I639" s="272"/>
      <c r="J639" s="80"/>
      <c r="K639" s="273"/>
      <c r="L639" s="273"/>
      <c r="M639" s="273"/>
      <c r="N639" s="273"/>
      <c r="O639" s="273"/>
      <c r="P639" s="273"/>
      <c r="Q639" s="274"/>
      <c r="R639" s="80"/>
      <c r="S639" s="80"/>
      <c r="T639" s="241"/>
      <c r="U639" s="80"/>
      <c r="V639" s="80"/>
      <c r="W639" s="80"/>
      <c r="X639" s="80"/>
      <c r="Y639" s="80"/>
      <c r="Z639" s="80"/>
      <c r="AA639" s="80"/>
    </row>
    <row r="640" spans="1:27" ht="15.75" customHeight="1">
      <c r="A640" s="80"/>
      <c r="B640" s="270"/>
      <c r="C640" s="271"/>
      <c r="D640" s="80"/>
      <c r="E640" s="271"/>
      <c r="F640" s="272"/>
      <c r="G640" s="270"/>
      <c r="H640" s="271"/>
      <c r="I640" s="272"/>
      <c r="J640" s="80"/>
      <c r="K640" s="273"/>
      <c r="L640" s="273"/>
      <c r="M640" s="273"/>
      <c r="N640" s="273"/>
      <c r="O640" s="273"/>
      <c r="P640" s="273"/>
      <c r="Q640" s="274"/>
      <c r="R640" s="80"/>
      <c r="S640" s="80"/>
      <c r="T640" s="241"/>
      <c r="U640" s="80"/>
      <c r="V640" s="80"/>
      <c r="W640" s="80"/>
      <c r="X640" s="80"/>
      <c r="Y640" s="80"/>
      <c r="Z640" s="80"/>
      <c r="AA640" s="80"/>
    </row>
    <row r="641" spans="1:27" ht="15.75" customHeight="1">
      <c r="A641" s="80"/>
      <c r="B641" s="270"/>
      <c r="C641" s="271"/>
      <c r="D641" s="80"/>
      <c r="E641" s="271"/>
      <c r="F641" s="272"/>
      <c r="G641" s="270"/>
      <c r="H641" s="271"/>
      <c r="I641" s="272"/>
      <c r="J641" s="80"/>
      <c r="K641" s="273"/>
      <c r="L641" s="273"/>
      <c r="M641" s="273"/>
      <c r="N641" s="273"/>
      <c r="O641" s="273"/>
      <c r="P641" s="273"/>
      <c r="Q641" s="274"/>
      <c r="R641" s="80"/>
      <c r="S641" s="80"/>
      <c r="T641" s="241"/>
      <c r="U641" s="80"/>
      <c r="V641" s="80"/>
      <c r="W641" s="80"/>
      <c r="X641" s="80"/>
      <c r="Y641" s="80"/>
      <c r="Z641" s="80"/>
      <c r="AA641" s="80"/>
    </row>
    <row r="642" spans="1:27" ht="15.75" customHeight="1">
      <c r="A642" s="80"/>
      <c r="B642" s="270"/>
      <c r="C642" s="271"/>
      <c r="D642" s="80"/>
      <c r="E642" s="271"/>
      <c r="F642" s="272"/>
      <c r="G642" s="270"/>
      <c r="H642" s="271"/>
      <c r="I642" s="272"/>
      <c r="J642" s="80"/>
      <c r="K642" s="273"/>
      <c r="L642" s="273"/>
      <c r="M642" s="273"/>
      <c r="N642" s="273"/>
      <c r="O642" s="273"/>
      <c r="P642" s="273"/>
      <c r="Q642" s="274"/>
      <c r="R642" s="80"/>
      <c r="S642" s="80"/>
      <c r="T642" s="241"/>
      <c r="U642" s="80"/>
      <c r="V642" s="80"/>
      <c r="W642" s="80"/>
      <c r="X642" s="80"/>
      <c r="Y642" s="80"/>
      <c r="Z642" s="80"/>
      <c r="AA642" s="80"/>
    </row>
    <row r="643" spans="1:27" ht="15.75" customHeight="1">
      <c r="A643" s="80"/>
      <c r="B643" s="270"/>
      <c r="C643" s="271"/>
      <c r="D643" s="80"/>
      <c r="E643" s="271"/>
      <c r="F643" s="272"/>
      <c r="G643" s="270"/>
      <c r="H643" s="271"/>
      <c r="I643" s="272"/>
      <c r="J643" s="80"/>
      <c r="K643" s="273"/>
      <c r="L643" s="273"/>
      <c r="M643" s="273"/>
      <c r="N643" s="273"/>
      <c r="O643" s="273"/>
      <c r="P643" s="273"/>
      <c r="Q643" s="274"/>
      <c r="R643" s="80"/>
      <c r="S643" s="80"/>
      <c r="T643" s="241"/>
      <c r="U643" s="80"/>
      <c r="V643" s="80"/>
      <c r="W643" s="80"/>
      <c r="X643" s="80"/>
      <c r="Y643" s="80"/>
      <c r="Z643" s="80"/>
      <c r="AA643" s="80"/>
    </row>
    <row r="644" spans="1:27" ht="15.75" customHeight="1">
      <c r="A644" s="80"/>
      <c r="B644" s="270"/>
      <c r="C644" s="271"/>
      <c r="D644" s="80"/>
      <c r="E644" s="271"/>
      <c r="F644" s="272"/>
      <c r="G644" s="270"/>
      <c r="H644" s="271"/>
      <c r="I644" s="272"/>
      <c r="J644" s="80"/>
      <c r="K644" s="273"/>
      <c r="L644" s="273"/>
      <c r="M644" s="273"/>
      <c r="N644" s="273"/>
      <c r="O644" s="273"/>
      <c r="P644" s="273"/>
      <c r="Q644" s="274"/>
      <c r="R644" s="80"/>
      <c r="S644" s="80"/>
      <c r="T644" s="241"/>
      <c r="U644" s="80"/>
      <c r="V644" s="80"/>
      <c r="W644" s="80"/>
      <c r="X644" s="80"/>
      <c r="Y644" s="80"/>
      <c r="Z644" s="80"/>
      <c r="AA644" s="80"/>
    </row>
    <row r="645" spans="1:27" ht="15.75" customHeight="1">
      <c r="A645" s="80"/>
      <c r="B645" s="270"/>
      <c r="C645" s="271"/>
      <c r="D645" s="80"/>
      <c r="E645" s="271"/>
      <c r="F645" s="272"/>
      <c r="G645" s="270"/>
      <c r="H645" s="271"/>
      <c r="I645" s="272"/>
      <c r="J645" s="80"/>
      <c r="K645" s="273"/>
      <c r="L645" s="273"/>
      <c r="M645" s="273"/>
      <c r="N645" s="273"/>
      <c r="O645" s="273"/>
      <c r="P645" s="273"/>
      <c r="Q645" s="274"/>
      <c r="R645" s="80"/>
      <c r="S645" s="80"/>
      <c r="T645" s="241"/>
      <c r="U645" s="80"/>
      <c r="V645" s="80"/>
      <c r="W645" s="80"/>
      <c r="X645" s="80"/>
      <c r="Y645" s="80"/>
      <c r="Z645" s="80"/>
      <c r="AA645" s="80"/>
    </row>
    <row r="646" spans="1:27" ht="15.75" customHeight="1">
      <c r="A646" s="80"/>
      <c r="B646" s="270"/>
      <c r="C646" s="271"/>
      <c r="D646" s="80"/>
      <c r="E646" s="271"/>
      <c r="F646" s="272"/>
      <c r="G646" s="270"/>
      <c r="H646" s="271"/>
      <c r="I646" s="272"/>
      <c r="J646" s="80"/>
      <c r="K646" s="273"/>
      <c r="L646" s="273"/>
      <c r="M646" s="273"/>
      <c r="N646" s="273"/>
      <c r="O646" s="273"/>
      <c r="P646" s="273"/>
      <c r="Q646" s="274"/>
      <c r="R646" s="80"/>
      <c r="S646" s="80"/>
      <c r="T646" s="241"/>
      <c r="U646" s="80"/>
      <c r="V646" s="80"/>
      <c r="W646" s="80"/>
      <c r="X646" s="80"/>
      <c r="Y646" s="80"/>
      <c r="Z646" s="80"/>
      <c r="AA646" s="80"/>
    </row>
    <row r="647" spans="1:27" ht="15.75" customHeight="1">
      <c r="A647" s="80"/>
      <c r="B647" s="270"/>
      <c r="C647" s="271"/>
      <c r="D647" s="80"/>
      <c r="E647" s="271"/>
      <c r="F647" s="272"/>
      <c r="G647" s="270"/>
      <c r="H647" s="271"/>
      <c r="I647" s="272"/>
      <c r="J647" s="80"/>
      <c r="K647" s="273"/>
      <c r="L647" s="273"/>
      <c r="M647" s="273"/>
      <c r="N647" s="273"/>
      <c r="O647" s="273"/>
      <c r="P647" s="273"/>
      <c r="Q647" s="274"/>
      <c r="R647" s="80"/>
      <c r="S647" s="80"/>
      <c r="T647" s="241"/>
      <c r="U647" s="80"/>
      <c r="V647" s="80"/>
      <c r="W647" s="80"/>
      <c r="X647" s="80"/>
      <c r="Y647" s="80"/>
      <c r="Z647" s="80"/>
      <c r="AA647" s="80"/>
    </row>
    <row r="648" spans="1:27" ht="15.75" customHeight="1">
      <c r="A648" s="80"/>
      <c r="B648" s="270"/>
      <c r="C648" s="271"/>
      <c r="D648" s="80"/>
      <c r="E648" s="271"/>
      <c r="F648" s="272"/>
      <c r="G648" s="270"/>
      <c r="H648" s="271"/>
      <c r="I648" s="272"/>
      <c r="J648" s="80"/>
      <c r="K648" s="273"/>
      <c r="L648" s="273"/>
      <c r="M648" s="273"/>
      <c r="N648" s="273"/>
      <c r="O648" s="273"/>
      <c r="P648" s="273"/>
      <c r="Q648" s="274"/>
      <c r="R648" s="80"/>
      <c r="S648" s="80"/>
      <c r="T648" s="241"/>
      <c r="U648" s="80"/>
      <c r="V648" s="80"/>
      <c r="W648" s="80"/>
      <c r="X648" s="80"/>
      <c r="Y648" s="80"/>
      <c r="Z648" s="80"/>
      <c r="AA648" s="80"/>
    </row>
    <row r="649" spans="1:27" ht="15.75" customHeight="1">
      <c r="A649" s="80"/>
      <c r="B649" s="270"/>
      <c r="C649" s="271"/>
      <c r="D649" s="80"/>
      <c r="E649" s="271"/>
      <c r="F649" s="272"/>
      <c r="G649" s="270"/>
      <c r="H649" s="271"/>
      <c r="I649" s="272"/>
      <c r="J649" s="80"/>
      <c r="K649" s="273"/>
      <c r="L649" s="273"/>
      <c r="M649" s="273"/>
      <c r="N649" s="273"/>
      <c r="O649" s="273"/>
      <c r="P649" s="273"/>
      <c r="Q649" s="274"/>
      <c r="R649" s="80"/>
      <c r="S649" s="80"/>
      <c r="T649" s="241"/>
      <c r="U649" s="80"/>
      <c r="V649" s="80"/>
      <c r="W649" s="80"/>
      <c r="X649" s="80"/>
      <c r="Y649" s="80"/>
      <c r="Z649" s="80"/>
      <c r="AA649" s="80"/>
    </row>
    <row r="650" spans="1:27" ht="15.75" customHeight="1">
      <c r="A650" s="80"/>
      <c r="B650" s="270"/>
      <c r="C650" s="271"/>
      <c r="D650" s="80"/>
      <c r="E650" s="271"/>
      <c r="F650" s="272"/>
      <c r="G650" s="270"/>
      <c r="H650" s="271"/>
      <c r="I650" s="272"/>
      <c r="J650" s="80"/>
      <c r="K650" s="273"/>
      <c r="L650" s="273"/>
      <c r="M650" s="273"/>
      <c r="N650" s="273"/>
      <c r="O650" s="273"/>
      <c r="P650" s="273"/>
      <c r="Q650" s="274"/>
      <c r="R650" s="80"/>
      <c r="S650" s="80"/>
      <c r="T650" s="241"/>
      <c r="U650" s="80"/>
      <c r="V650" s="80"/>
      <c r="W650" s="80"/>
      <c r="X650" s="80"/>
      <c r="Y650" s="80"/>
      <c r="Z650" s="80"/>
      <c r="AA650" s="80"/>
    </row>
    <row r="651" spans="1:27" ht="15.75" customHeight="1">
      <c r="A651" s="80"/>
      <c r="B651" s="270"/>
      <c r="C651" s="271"/>
      <c r="D651" s="80"/>
      <c r="E651" s="271"/>
      <c r="F651" s="272"/>
      <c r="G651" s="270"/>
      <c r="H651" s="271"/>
      <c r="I651" s="272"/>
      <c r="J651" s="80"/>
      <c r="K651" s="273"/>
      <c r="L651" s="273"/>
      <c r="M651" s="273"/>
      <c r="N651" s="273"/>
      <c r="O651" s="273"/>
      <c r="P651" s="273"/>
      <c r="Q651" s="274"/>
      <c r="R651" s="80"/>
      <c r="S651" s="80"/>
      <c r="T651" s="241"/>
      <c r="U651" s="80"/>
      <c r="V651" s="80"/>
      <c r="W651" s="80"/>
      <c r="X651" s="80"/>
      <c r="Y651" s="80"/>
      <c r="Z651" s="80"/>
      <c r="AA651" s="80"/>
    </row>
    <row r="652" spans="1:27" ht="15.75" customHeight="1">
      <c r="A652" s="80"/>
      <c r="B652" s="270"/>
      <c r="C652" s="271"/>
      <c r="D652" s="80"/>
      <c r="E652" s="271"/>
      <c r="F652" s="272"/>
      <c r="G652" s="270"/>
      <c r="H652" s="271"/>
      <c r="I652" s="272"/>
      <c r="J652" s="80"/>
      <c r="K652" s="273"/>
      <c r="L652" s="273"/>
      <c r="M652" s="273"/>
      <c r="N652" s="273"/>
      <c r="O652" s="273"/>
      <c r="P652" s="273"/>
      <c r="Q652" s="274"/>
      <c r="R652" s="80"/>
      <c r="S652" s="80"/>
      <c r="T652" s="241"/>
      <c r="U652" s="80"/>
      <c r="V652" s="80"/>
      <c r="W652" s="80"/>
      <c r="X652" s="80"/>
      <c r="Y652" s="80"/>
      <c r="Z652" s="80"/>
      <c r="AA652" s="80"/>
    </row>
    <row r="653" spans="1:27" ht="15.75" customHeight="1">
      <c r="A653" s="80"/>
      <c r="B653" s="270"/>
      <c r="C653" s="271"/>
      <c r="D653" s="80"/>
      <c r="E653" s="271"/>
      <c r="F653" s="272"/>
      <c r="G653" s="270"/>
      <c r="H653" s="271"/>
      <c r="I653" s="272"/>
      <c r="J653" s="80"/>
      <c r="K653" s="273"/>
      <c r="L653" s="273"/>
      <c r="M653" s="273"/>
      <c r="N653" s="273"/>
      <c r="O653" s="273"/>
      <c r="P653" s="273"/>
      <c r="Q653" s="274"/>
      <c r="R653" s="80"/>
      <c r="S653" s="80"/>
      <c r="T653" s="241"/>
      <c r="U653" s="80"/>
      <c r="V653" s="80"/>
      <c r="W653" s="80"/>
      <c r="X653" s="80"/>
      <c r="Y653" s="80"/>
      <c r="Z653" s="80"/>
      <c r="AA653" s="80"/>
    </row>
    <row r="654" spans="1:27" ht="15.75" customHeight="1">
      <c r="A654" s="80"/>
      <c r="B654" s="270"/>
      <c r="C654" s="271"/>
      <c r="D654" s="80"/>
      <c r="E654" s="271"/>
      <c r="F654" s="272"/>
      <c r="G654" s="270"/>
      <c r="H654" s="271"/>
      <c r="I654" s="272"/>
      <c r="J654" s="80"/>
      <c r="K654" s="273"/>
      <c r="L654" s="273"/>
      <c r="M654" s="273"/>
      <c r="N654" s="273"/>
      <c r="O654" s="273"/>
      <c r="P654" s="273"/>
      <c r="Q654" s="274"/>
      <c r="R654" s="80"/>
      <c r="S654" s="80"/>
      <c r="T654" s="241"/>
      <c r="U654" s="80"/>
      <c r="V654" s="80"/>
      <c r="W654" s="80"/>
      <c r="X654" s="80"/>
      <c r="Y654" s="80"/>
      <c r="Z654" s="80"/>
      <c r="AA654" s="80"/>
    </row>
    <row r="655" spans="1:27" ht="15.75" customHeight="1">
      <c r="A655" s="80"/>
      <c r="B655" s="270"/>
      <c r="C655" s="271"/>
      <c r="D655" s="80"/>
      <c r="E655" s="271"/>
      <c r="F655" s="272"/>
      <c r="G655" s="270"/>
      <c r="H655" s="271"/>
      <c r="I655" s="272"/>
      <c r="J655" s="80"/>
      <c r="K655" s="273"/>
      <c r="L655" s="273"/>
      <c r="M655" s="273"/>
      <c r="N655" s="273"/>
      <c r="O655" s="273"/>
      <c r="P655" s="273"/>
      <c r="Q655" s="274"/>
      <c r="R655" s="80"/>
      <c r="S655" s="80"/>
      <c r="T655" s="241"/>
      <c r="U655" s="80"/>
      <c r="V655" s="80"/>
      <c r="W655" s="80"/>
      <c r="X655" s="80"/>
      <c r="Y655" s="80"/>
      <c r="Z655" s="80"/>
      <c r="AA655" s="80"/>
    </row>
    <row r="656" spans="1:27" ht="15.75" customHeight="1">
      <c r="A656" s="80"/>
      <c r="B656" s="270"/>
      <c r="C656" s="271"/>
      <c r="D656" s="80"/>
      <c r="E656" s="271"/>
      <c r="F656" s="272"/>
      <c r="G656" s="270"/>
      <c r="H656" s="271"/>
      <c r="I656" s="272"/>
      <c r="J656" s="80"/>
      <c r="K656" s="273"/>
      <c r="L656" s="273"/>
      <c r="M656" s="273"/>
      <c r="N656" s="273"/>
      <c r="O656" s="273"/>
      <c r="P656" s="273"/>
      <c r="Q656" s="274"/>
      <c r="R656" s="80"/>
      <c r="S656" s="80"/>
      <c r="T656" s="241"/>
      <c r="U656" s="80"/>
      <c r="V656" s="80"/>
      <c r="W656" s="80"/>
      <c r="X656" s="80"/>
      <c r="Y656" s="80"/>
      <c r="Z656" s="80"/>
      <c r="AA656" s="80"/>
    </row>
    <row r="657" spans="1:27" ht="15.75" customHeight="1">
      <c r="A657" s="80"/>
      <c r="B657" s="270"/>
      <c r="C657" s="271"/>
      <c r="D657" s="80"/>
      <c r="E657" s="271"/>
      <c r="F657" s="272"/>
      <c r="G657" s="270"/>
      <c r="H657" s="271"/>
      <c r="I657" s="272"/>
      <c r="J657" s="80"/>
      <c r="K657" s="273"/>
      <c r="L657" s="273"/>
      <c r="M657" s="273"/>
      <c r="N657" s="273"/>
      <c r="O657" s="273"/>
      <c r="P657" s="273"/>
      <c r="Q657" s="274"/>
      <c r="R657" s="80"/>
      <c r="S657" s="80"/>
      <c r="T657" s="241"/>
      <c r="U657" s="80"/>
      <c r="V657" s="80"/>
      <c r="W657" s="80"/>
      <c r="X657" s="80"/>
      <c r="Y657" s="80"/>
      <c r="Z657" s="80"/>
      <c r="AA657" s="80"/>
    </row>
    <row r="658" spans="1:27" ht="15.75" customHeight="1">
      <c r="A658" s="80"/>
      <c r="B658" s="270"/>
      <c r="C658" s="271"/>
      <c r="D658" s="80"/>
      <c r="E658" s="271"/>
      <c r="F658" s="272"/>
      <c r="G658" s="270"/>
      <c r="H658" s="271"/>
      <c r="I658" s="272"/>
      <c r="J658" s="80"/>
      <c r="K658" s="273"/>
      <c r="L658" s="273"/>
      <c r="M658" s="273"/>
      <c r="N658" s="273"/>
      <c r="O658" s="273"/>
      <c r="P658" s="273"/>
      <c r="Q658" s="274"/>
      <c r="R658" s="80"/>
      <c r="S658" s="80"/>
      <c r="T658" s="241"/>
      <c r="U658" s="80"/>
      <c r="V658" s="80"/>
      <c r="W658" s="80"/>
      <c r="X658" s="80"/>
      <c r="Y658" s="80"/>
      <c r="Z658" s="80"/>
      <c r="AA658" s="80"/>
    </row>
    <row r="659" spans="1:27" ht="15.75" customHeight="1">
      <c r="A659" s="80"/>
      <c r="B659" s="270"/>
      <c r="C659" s="271"/>
      <c r="D659" s="80"/>
      <c r="E659" s="271"/>
      <c r="F659" s="272"/>
      <c r="G659" s="270"/>
      <c r="H659" s="271"/>
      <c r="I659" s="272"/>
      <c r="J659" s="80"/>
      <c r="K659" s="273"/>
      <c r="L659" s="273"/>
      <c r="M659" s="273"/>
      <c r="N659" s="273"/>
      <c r="O659" s="273"/>
      <c r="P659" s="273"/>
      <c r="Q659" s="274"/>
      <c r="R659" s="80"/>
      <c r="S659" s="80"/>
      <c r="T659" s="241"/>
      <c r="U659" s="80"/>
      <c r="V659" s="80"/>
      <c r="W659" s="80"/>
      <c r="X659" s="80"/>
      <c r="Y659" s="80"/>
      <c r="Z659" s="80"/>
      <c r="AA659" s="80"/>
    </row>
    <row r="660" spans="1:27" ht="15.75" customHeight="1">
      <c r="A660" s="80"/>
      <c r="B660" s="270"/>
      <c r="C660" s="271"/>
      <c r="D660" s="80"/>
      <c r="E660" s="271"/>
      <c r="F660" s="272"/>
      <c r="G660" s="270"/>
      <c r="H660" s="271"/>
      <c r="I660" s="272"/>
      <c r="J660" s="80"/>
      <c r="K660" s="273"/>
      <c r="L660" s="273"/>
      <c r="M660" s="273"/>
      <c r="N660" s="273"/>
      <c r="O660" s="273"/>
      <c r="P660" s="273"/>
      <c r="Q660" s="274"/>
      <c r="R660" s="80"/>
      <c r="S660" s="80"/>
      <c r="T660" s="241"/>
      <c r="U660" s="80"/>
      <c r="V660" s="80"/>
      <c r="W660" s="80"/>
      <c r="X660" s="80"/>
      <c r="Y660" s="80"/>
      <c r="Z660" s="80"/>
      <c r="AA660" s="80"/>
    </row>
    <row r="661" spans="1:27" ht="15.75" customHeight="1">
      <c r="A661" s="80"/>
      <c r="B661" s="270"/>
      <c r="C661" s="271"/>
      <c r="D661" s="80"/>
      <c r="E661" s="271"/>
      <c r="F661" s="272"/>
      <c r="G661" s="270"/>
      <c r="H661" s="271"/>
      <c r="I661" s="272"/>
      <c r="J661" s="80"/>
      <c r="K661" s="273"/>
      <c r="L661" s="273"/>
      <c r="M661" s="273"/>
      <c r="N661" s="273"/>
      <c r="O661" s="273"/>
      <c r="P661" s="273"/>
      <c r="Q661" s="274"/>
      <c r="R661" s="80"/>
      <c r="S661" s="80"/>
      <c r="T661" s="241"/>
      <c r="U661" s="80"/>
      <c r="V661" s="80"/>
      <c r="W661" s="80"/>
      <c r="X661" s="80"/>
      <c r="Y661" s="80"/>
      <c r="Z661" s="80"/>
      <c r="AA661" s="80"/>
    </row>
    <row r="662" spans="1:27" ht="15.75" customHeight="1">
      <c r="A662" s="80"/>
      <c r="B662" s="270"/>
      <c r="C662" s="271"/>
      <c r="D662" s="80"/>
      <c r="E662" s="271"/>
      <c r="F662" s="272"/>
      <c r="G662" s="270"/>
      <c r="H662" s="271"/>
      <c r="I662" s="272"/>
      <c r="J662" s="80"/>
      <c r="K662" s="273"/>
      <c r="L662" s="273"/>
      <c r="M662" s="273"/>
      <c r="N662" s="273"/>
      <c r="O662" s="273"/>
      <c r="P662" s="273"/>
      <c r="Q662" s="274"/>
      <c r="R662" s="80"/>
      <c r="S662" s="80"/>
      <c r="T662" s="241"/>
      <c r="U662" s="80"/>
      <c r="V662" s="80"/>
      <c r="W662" s="80"/>
      <c r="X662" s="80"/>
      <c r="Y662" s="80"/>
      <c r="Z662" s="80"/>
      <c r="AA662" s="80"/>
    </row>
    <row r="663" spans="1:27" ht="15.75" customHeight="1">
      <c r="A663" s="80"/>
      <c r="B663" s="270"/>
      <c r="C663" s="271"/>
      <c r="D663" s="80"/>
      <c r="E663" s="271"/>
      <c r="F663" s="272"/>
      <c r="G663" s="270"/>
      <c r="H663" s="271"/>
      <c r="I663" s="272"/>
      <c r="J663" s="80"/>
      <c r="K663" s="273"/>
      <c r="L663" s="273"/>
      <c r="M663" s="273"/>
      <c r="N663" s="273"/>
      <c r="O663" s="273"/>
      <c r="P663" s="273"/>
      <c r="Q663" s="274"/>
      <c r="R663" s="80"/>
      <c r="S663" s="80"/>
      <c r="T663" s="241"/>
      <c r="U663" s="80"/>
      <c r="V663" s="80"/>
      <c r="W663" s="80"/>
      <c r="X663" s="80"/>
      <c r="Y663" s="80"/>
      <c r="Z663" s="80"/>
      <c r="AA663" s="80"/>
    </row>
    <row r="664" spans="1:27" ht="15.75" customHeight="1">
      <c r="A664" s="80"/>
      <c r="B664" s="270"/>
      <c r="C664" s="271"/>
      <c r="D664" s="80"/>
      <c r="E664" s="271"/>
      <c r="F664" s="272"/>
      <c r="G664" s="270"/>
      <c r="H664" s="271"/>
      <c r="I664" s="272"/>
      <c r="J664" s="80"/>
      <c r="K664" s="273"/>
      <c r="L664" s="273"/>
      <c r="M664" s="273"/>
      <c r="N664" s="273"/>
      <c r="O664" s="273"/>
      <c r="P664" s="273"/>
      <c r="Q664" s="274"/>
      <c r="R664" s="80"/>
      <c r="S664" s="80"/>
      <c r="T664" s="241"/>
      <c r="U664" s="80"/>
      <c r="V664" s="80"/>
      <c r="W664" s="80"/>
      <c r="X664" s="80"/>
      <c r="Y664" s="80"/>
      <c r="Z664" s="80"/>
      <c r="AA664" s="80"/>
    </row>
    <row r="665" spans="1:27" ht="15.75" customHeight="1">
      <c r="A665" s="80"/>
      <c r="B665" s="270"/>
      <c r="C665" s="271"/>
      <c r="D665" s="80"/>
      <c r="E665" s="271"/>
      <c r="F665" s="272"/>
      <c r="G665" s="270"/>
      <c r="H665" s="271"/>
      <c r="I665" s="272"/>
      <c r="J665" s="80"/>
      <c r="K665" s="273"/>
      <c r="L665" s="273"/>
      <c r="M665" s="273"/>
      <c r="N665" s="273"/>
      <c r="O665" s="273"/>
      <c r="P665" s="273"/>
      <c r="Q665" s="274"/>
      <c r="R665" s="80"/>
      <c r="S665" s="80"/>
      <c r="T665" s="241"/>
      <c r="U665" s="80"/>
      <c r="V665" s="80"/>
      <c r="W665" s="80"/>
      <c r="X665" s="80"/>
      <c r="Y665" s="80"/>
      <c r="Z665" s="80"/>
      <c r="AA665" s="80"/>
    </row>
    <row r="666" spans="1:27" ht="15.75" customHeight="1">
      <c r="A666" s="80"/>
      <c r="B666" s="270"/>
      <c r="C666" s="271"/>
      <c r="D666" s="80"/>
      <c r="E666" s="271"/>
      <c r="F666" s="272"/>
      <c r="G666" s="270"/>
      <c r="H666" s="271"/>
      <c r="I666" s="272"/>
      <c r="J666" s="80"/>
      <c r="K666" s="273"/>
      <c r="L666" s="273"/>
      <c r="M666" s="273"/>
      <c r="N666" s="273"/>
      <c r="O666" s="273"/>
      <c r="P666" s="273"/>
      <c r="Q666" s="274"/>
      <c r="R666" s="80"/>
      <c r="S666" s="80"/>
      <c r="T666" s="241"/>
      <c r="U666" s="80"/>
      <c r="V666" s="80"/>
      <c r="W666" s="80"/>
      <c r="X666" s="80"/>
      <c r="Y666" s="80"/>
      <c r="Z666" s="80"/>
      <c r="AA666" s="80"/>
    </row>
    <row r="667" spans="1:27" ht="15.75" customHeight="1">
      <c r="A667" s="80"/>
      <c r="B667" s="270"/>
      <c r="C667" s="271"/>
      <c r="D667" s="80"/>
      <c r="E667" s="271"/>
      <c r="F667" s="272"/>
      <c r="G667" s="270"/>
      <c r="H667" s="271"/>
      <c r="I667" s="272"/>
      <c r="J667" s="80"/>
      <c r="K667" s="273"/>
      <c r="L667" s="273"/>
      <c r="M667" s="273"/>
      <c r="N667" s="273"/>
      <c r="O667" s="273"/>
      <c r="P667" s="273"/>
      <c r="Q667" s="274"/>
      <c r="R667" s="80"/>
      <c r="S667" s="80"/>
      <c r="T667" s="241"/>
      <c r="U667" s="80"/>
      <c r="V667" s="80"/>
      <c r="W667" s="80"/>
      <c r="X667" s="80"/>
      <c r="Y667" s="80"/>
      <c r="Z667" s="80"/>
      <c r="AA667" s="80"/>
    </row>
    <row r="668" spans="1:27" ht="15.75" customHeight="1">
      <c r="A668" s="80"/>
      <c r="B668" s="270"/>
      <c r="C668" s="271"/>
      <c r="D668" s="80"/>
      <c r="E668" s="271"/>
      <c r="F668" s="272"/>
      <c r="G668" s="270"/>
      <c r="H668" s="271"/>
      <c r="I668" s="272"/>
      <c r="J668" s="80"/>
      <c r="K668" s="273"/>
      <c r="L668" s="273"/>
      <c r="M668" s="273"/>
      <c r="N668" s="273"/>
      <c r="O668" s="273"/>
      <c r="P668" s="273"/>
      <c r="Q668" s="274"/>
      <c r="R668" s="80"/>
      <c r="S668" s="80"/>
      <c r="T668" s="241"/>
      <c r="U668" s="80"/>
      <c r="V668" s="80"/>
      <c r="W668" s="80"/>
      <c r="X668" s="80"/>
      <c r="Y668" s="80"/>
      <c r="Z668" s="80"/>
      <c r="AA668" s="80"/>
    </row>
    <row r="669" spans="1:27" ht="15.75" customHeight="1">
      <c r="A669" s="80"/>
      <c r="B669" s="270"/>
      <c r="C669" s="271"/>
      <c r="D669" s="80"/>
      <c r="E669" s="271"/>
      <c r="F669" s="272"/>
      <c r="G669" s="270"/>
      <c r="H669" s="271"/>
      <c r="I669" s="272"/>
      <c r="J669" s="80"/>
      <c r="K669" s="273"/>
      <c r="L669" s="273"/>
      <c r="M669" s="273"/>
      <c r="N669" s="273"/>
      <c r="O669" s="273"/>
      <c r="P669" s="273"/>
      <c r="Q669" s="274"/>
      <c r="R669" s="80"/>
      <c r="S669" s="80"/>
      <c r="T669" s="241"/>
      <c r="U669" s="80"/>
      <c r="V669" s="80"/>
      <c r="W669" s="80"/>
      <c r="X669" s="80"/>
      <c r="Y669" s="80"/>
      <c r="Z669" s="80"/>
      <c r="AA669" s="80"/>
    </row>
    <row r="670" spans="1:27" ht="15.75" customHeight="1">
      <c r="A670" s="80"/>
      <c r="B670" s="270"/>
      <c r="C670" s="271"/>
      <c r="D670" s="80"/>
      <c r="E670" s="271"/>
      <c r="F670" s="272"/>
      <c r="G670" s="270"/>
      <c r="H670" s="271"/>
      <c r="I670" s="272"/>
      <c r="J670" s="80"/>
      <c r="K670" s="273"/>
      <c r="L670" s="273"/>
      <c r="M670" s="273"/>
      <c r="N670" s="273"/>
      <c r="O670" s="273"/>
      <c r="P670" s="273"/>
      <c r="Q670" s="274"/>
      <c r="R670" s="80"/>
      <c r="S670" s="80"/>
      <c r="T670" s="241"/>
      <c r="U670" s="80"/>
      <c r="V670" s="80"/>
      <c r="W670" s="80"/>
      <c r="X670" s="80"/>
      <c r="Y670" s="80"/>
      <c r="Z670" s="80"/>
      <c r="AA670" s="80"/>
    </row>
    <row r="671" spans="1:27" ht="15.75" customHeight="1">
      <c r="A671" s="80"/>
      <c r="B671" s="270"/>
      <c r="C671" s="271"/>
      <c r="D671" s="80"/>
      <c r="E671" s="271"/>
      <c r="F671" s="272"/>
      <c r="G671" s="270"/>
      <c r="H671" s="271"/>
      <c r="I671" s="272"/>
      <c r="J671" s="80"/>
      <c r="K671" s="273"/>
      <c r="L671" s="273"/>
      <c r="M671" s="273"/>
      <c r="N671" s="273"/>
      <c r="O671" s="273"/>
      <c r="P671" s="273"/>
      <c r="Q671" s="274"/>
      <c r="R671" s="80"/>
      <c r="S671" s="80"/>
      <c r="T671" s="241"/>
      <c r="U671" s="80"/>
      <c r="V671" s="80"/>
      <c r="W671" s="80"/>
      <c r="X671" s="80"/>
      <c r="Y671" s="80"/>
      <c r="Z671" s="80"/>
      <c r="AA671" s="80"/>
    </row>
    <row r="672" spans="1:27" ht="15.75" customHeight="1">
      <c r="A672" s="80"/>
      <c r="B672" s="270"/>
      <c r="C672" s="271"/>
      <c r="D672" s="80"/>
      <c r="E672" s="271"/>
      <c r="F672" s="272"/>
      <c r="G672" s="270"/>
      <c r="H672" s="271"/>
      <c r="I672" s="272"/>
      <c r="J672" s="80"/>
      <c r="K672" s="273"/>
      <c r="L672" s="273"/>
      <c r="M672" s="273"/>
      <c r="N672" s="273"/>
      <c r="O672" s="273"/>
      <c r="P672" s="273"/>
      <c r="Q672" s="274"/>
      <c r="R672" s="80"/>
      <c r="S672" s="80"/>
      <c r="T672" s="241"/>
      <c r="U672" s="80"/>
      <c r="V672" s="80"/>
      <c r="W672" s="80"/>
      <c r="X672" s="80"/>
      <c r="Y672" s="80"/>
      <c r="Z672" s="80"/>
      <c r="AA672" s="80"/>
    </row>
    <row r="673" spans="1:27" ht="15.75" customHeight="1">
      <c r="A673" s="80"/>
      <c r="B673" s="270"/>
      <c r="C673" s="271"/>
      <c r="D673" s="80"/>
      <c r="E673" s="271"/>
      <c r="F673" s="272"/>
      <c r="G673" s="270"/>
      <c r="H673" s="271"/>
      <c r="I673" s="272"/>
      <c r="J673" s="80"/>
      <c r="K673" s="273"/>
      <c r="L673" s="273"/>
      <c r="M673" s="273"/>
      <c r="N673" s="273"/>
      <c r="O673" s="273"/>
      <c r="P673" s="273"/>
      <c r="Q673" s="274"/>
      <c r="R673" s="80"/>
      <c r="S673" s="80"/>
      <c r="T673" s="241"/>
      <c r="U673" s="80"/>
      <c r="V673" s="80"/>
      <c r="W673" s="80"/>
      <c r="X673" s="80"/>
      <c r="Y673" s="80"/>
      <c r="Z673" s="80"/>
      <c r="AA673" s="80"/>
    </row>
    <row r="674" spans="1:27" ht="15.75" customHeight="1">
      <c r="A674" s="80"/>
      <c r="B674" s="270"/>
      <c r="C674" s="271"/>
      <c r="D674" s="80"/>
      <c r="E674" s="271"/>
      <c r="F674" s="272"/>
      <c r="G674" s="270"/>
      <c r="H674" s="271"/>
      <c r="I674" s="272"/>
      <c r="J674" s="80"/>
      <c r="K674" s="273"/>
      <c r="L674" s="273"/>
      <c r="M674" s="273"/>
      <c r="N674" s="273"/>
      <c r="O674" s="273"/>
      <c r="P674" s="273"/>
      <c r="Q674" s="274"/>
      <c r="R674" s="80"/>
      <c r="S674" s="80"/>
      <c r="T674" s="241"/>
      <c r="U674" s="80"/>
      <c r="V674" s="80"/>
      <c r="W674" s="80"/>
      <c r="X674" s="80"/>
      <c r="Y674" s="80"/>
      <c r="Z674" s="80"/>
      <c r="AA674" s="80"/>
    </row>
    <row r="675" spans="1:27" ht="15.75" customHeight="1">
      <c r="A675" s="80"/>
      <c r="B675" s="270"/>
      <c r="C675" s="271"/>
      <c r="D675" s="80"/>
      <c r="E675" s="271"/>
      <c r="F675" s="272"/>
      <c r="G675" s="270"/>
      <c r="H675" s="271"/>
      <c r="I675" s="272"/>
      <c r="J675" s="80"/>
      <c r="K675" s="273"/>
      <c r="L675" s="273"/>
      <c r="M675" s="273"/>
      <c r="N675" s="273"/>
      <c r="O675" s="273"/>
      <c r="P675" s="273"/>
      <c r="Q675" s="274"/>
      <c r="R675" s="80"/>
      <c r="S675" s="80"/>
      <c r="T675" s="241"/>
      <c r="U675" s="80"/>
      <c r="V675" s="80"/>
      <c r="W675" s="80"/>
      <c r="X675" s="80"/>
      <c r="Y675" s="80"/>
      <c r="Z675" s="80"/>
      <c r="AA675" s="80"/>
    </row>
    <row r="676" spans="1:27" ht="15.75" customHeight="1">
      <c r="A676" s="80"/>
      <c r="B676" s="270"/>
      <c r="C676" s="271"/>
      <c r="D676" s="80"/>
      <c r="E676" s="271"/>
      <c r="F676" s="272"/>
      <c r="G676" s="270"/>
      <c r="H676" s="271"/>
      <c r="I676" s="272"/>
      <c r="J676" s="80"/>
      <c r="K676" s="273"/>
      <c r="L676" s="273"/>
      <c r="M676" s="273"/>
      <c r="N676" s="273"/>
      <c r="O676" s="273"/>
      <c r="P676" s="273"/>
      <c r="Q676" s="274"/>
      <c r="R676" s="80"/>
      <c r="S676" s="80"/>
      <c r="T676" s="241"/>
      <c r="U676" s="80"/>
      <c r="V676" s="80"/>
      <c r="W676" s="80"/>
      <c r="X676" s="80"/>
      <c r="Y676" s="80"/>
      <c r="Z676" s="80"/>
      <c r="AA676" s="80"/>
    </row>
    <row r="677" spans="1:27" ht="15.75" customHeight="1">
      <c r="A677" s="80"/>
      <c r="B677" s="270"/>
      <c r="C677" s="271"/>
      <c r="D677" s="80"/>
      <c r="E677" s="271"/>
      <c r="F677" s="272"/>
      <c r="G677" s="270"/>
      <c r="H677" s="271"/>
      <c r="I677" s="272"/>
      <c r="J677" s="80"/>
      <c r="K677" s="273"/>
      <c r="L677" s="273"/>
      <c r="M677" s="273"/>
      <c r="N677" s="273"/>
      <c r="O677" s="273"/>
      <c r="P677" s="273"/>
      <c r="Q677" s="274"/>
      <c r="R677" s="80"/>
      <c r="S677" s="80"/>
      <c r="T677" s="241"/>
      <c r="U677" s="80"/>
      <c r="V677" s="80"/>
      <c r="W677" s="80"/>
      <c r="X677" s="80"/>
      <c r="Y677" s="80"/>
      <c r="Z677" s="80"/>
      <c r="AA677" s="80"/>
    </row>
    <row r="678" spans="1:27" ht="15.75" customHeight="1">
      <c r="A678" s="80"/>
      <c r="B678" s="270"/>
      <c r="C678" s="271"/>
      <c r="D678" s="80"/>
      <c r="E678" s="271"/>
      <c r="F678" s="272"/>
      <c r="G678" s="270"/>
      <c r="H678" s="271"/>
      <c r="I678" s="272"/>
      <c r="J678" s="80"/>
      <c r="K678" s="273"/>
      <c r="L678" s="273"/>
      <c r="M678" s="273"/>
      <c r="N678" s="273"/>
      <c r="O678" s="273"/>
      <c r="P678" s="273"/>
      <c r="Q678" s="274"/>
      <c r="R678" s="80"/>
      <c r="S678" s="80"/>
      <c r="T678" s="241"/>
      <c r="U678" s="80"/>
      <c r="V678" s="80"/>
      <c r="W678" s="80"/>
      <c r="X678" s="80"/>
      <c r="Y678" s="80"/>
      <c r="Z678" s="80"/>
      <c r="AA678" s="80"/>
    </row>
    <row r="679" spans="1:27" ht="15.75" customHeight="1">
      <c r="A679" s="80"/>
      <c r="B679" s="270"/>
      <c r="C679" s="271"/>
      <c r="D679" s="80"/>
      <c r="E679" s="271"/>
      <c r="F679" s="272"/>
      <c r="G679" s="270"/>
      <c r="H679" s="271"/>
      <c r="I679" s="272"/>
      <c r="J679" s="80"/>
      <c r="K679" s="273"/>
      <c r="L679" s="273"/>
      <c r="M679" s="273"/>
      <c r="N679" s="273"/>
      <c r="O679" s="273"/>
      <c r="P679" s="273"/>
      <c r="Q679" s="274"/>
      <c r="R679" s="80"/>
      <c r="S679" s="80"/>
      <c r="T679" s="241"/>
      <c r="U679" s="80"/>
      <c r="V679" s="80"/>
      <c r="W679" s="80"/>
      <c r="X679" s="80"/>
      <c r="Y679" s="80"/>
      <c r="Z679" s="80"/>
      <c r="AA679" s="80"/>
    </row>
    <row r="680" spans="1:27" ht="15.75" customHeight="1">
      <c r="A680" s="80"/>
      <c r="B680" s="270"/>
      <c r="C680" s="271"/>
      <c r="D680" s="80"/>
      <c r="E680" s="271"/>
      <c r="F680" s="272"/>
      <c r="G680" s="270"/>
      <c r="H680" s="271"/>
      <c r="I680" s="272"/>
      <c r="J680" s="80"/>
      <c r="K680" s="273"/>
      <c r="L680" s="273"/>
      <c r="M680" s="273"/>
      <c r="N680" s="273"/>
      <c r="O680" s="273"/>
      <c r="P680" s="273"/>
      <c r="Q680" s="274"/>
      <c r="R680" s="80"/>
      <c r="S680" s="80"/>
      <c r="T680" s="241"/>
      <c r="U680" s="80"/>
      <c r="V680" s="80"/>
      <c r="W680" s="80"/>
      <c r="X680" s="80"/>
      <c r="Y680" s="80"/>
      <c r="Z680" s="80"/>
      <c r="AA680" s="80"/>
    </row>
    <row r="681" spans="1:27" ht="15.75" customHeight="1">
      <c r="A681" s="80"/>
      <c r="B681" s="270"/>
      <c r="C681" s="271"/>
      <c r="D681" s="80"/>
      <c r="E681" s="271"/>
      <c r="F681" s="272"/>
      <c r="G681" s="270"/>
      <c r="H681" s="271"/>
      <c r="I681" s="272"/>
      <c r="J681" s="80"/>
      <c r="K681" s="273"/>
      <c r="L681" s="273"/>
      <c r="M681" s="273"/>
      <c r="N681" s="273"/>
      <c r="O681" s="273"/>
      <c r="P681" s="273"/>
      <c r="Q681" s="274"/>
      <c r="R681" s="80"/>
      <c r="S681" s="80"/>
      <c r="T681" s="241"/>
      <c r="U681" s="80"/>
      <c r="V681" s="80"/>
      <c r="W681" s="80"/>
      <c r="X681" s="80"/>
      <c r="Y681" s="80"/>
      <c r="Z681" s="80"/>
      <c r="AA681" s="80"/>
    </row>
    <row r="682" spans="1:27" ht="15.75" customHeight="1">
      <c r="A682" s="80"/>
      <c r="B682" s="270"/>
      <c r="C682" s="271"/>
      <c r="D682" s="80"/>
      <c r="E682" s="271"/>
      <c r="F682" s="272"/>
      <c r="G682" s="270"/>
      <c r="H682" s="271"/>
      <c r="I682" s="272"/>
      <c r="J682" s="80"/>
      <c r="K682" s="273"/>
      <c r="L682" s="273"/>
      <c r="M682" s="273"/>
      <c r="N682" s="273"/>
      <c r="O682" s="273"/>
      <c r="P682" s="273"/>
      <c r="Q682" s="274"/>
      <c r="R682" s="80"/>
      <c r="S682" s="80"/>
      <c r="T682" s="241"/>
      <c r="U682" s="80"/>
      <c r="V682" s="80"/>
      <c r="W682" s="80"/>
      <c r="X682" s="80"/>
      <c r="Y682" s="80"/>
      <c r="Z682" s="80"/>
      <c r="AA682" s="80"/>
    </row>
    <row r="683" spans="1:27" ht="15.75" customHeight="1">
      <c r="A683" s="80"/>
      <c r="B683" s="270"/>
      <c r="C683" s="271"/>
      <c r="D683" s="80"/>
      <c r="E683" s="271"/>
      <c r="F683" s="272"/>
      <c r="G683" s="270"/>
      <c r="H683" s="271"/>
      <c r="I683" s="272"/>
      <c r="J683" s="80"/>
      <c r="K683" s="273"/>
      <c r="L683" s="273"/>
      <c r="M683" s="273"/>
      <c r="N683" s="273"/>
      <c r="O683" s="273"/>
      <c r="P683" s="273"/>
      <c r="Q683" s="274"/>
      <c r="R683" s="80"/>
      <c r="S683" s="80"/>
      <c r="T683" s="241"/>
      <c r="U683" s="80"/>
      <c r="V683" s="80"/>
      <c r="W683" s="80"/>
      <c r="X683" s="80"/>
      <c r="Y683" s="80"/>
      <c r="Z683" s="80"/>
      <c r="AA683" s="80"/>
    </row>
    <row r="684" spans="1:27" ht="15.75" customHeight="1">
      <c r="A684" s="80"/>
      <c r="B684" s="270"/>
      <c r="C684" s="271"/>
      <c r="D684" s="80"/>
      <c r="E684" s="271"/>
      <c r="F684" s="272"/>
      <c r="G684" s="270"/>
      <c r="H684" s="271"/>
      <c r="I684" s="272"/>
      <c r="J684" s="80"/>
      <c r="K684" s="273"/>
      <c r="L684" s="273"/>
      <c r="M684" s="273"/>
      <c r="N684" s="273"/>
      <c r="O684" s="273"/>
      <c r="P684" s="273"/>
      <c r="Q684" s="274"/>
      <c r="R684" s="80"/>
      <c r="S684" s="80"/>
      <c r="T684" s="241"/>
      <c r="U684" s="80"/>
      <c r="V684" s="80"/>
      <c r="W684" s="80"/>
      <c r="X684" s="80"/>
      <c r="Y684" s="80"/>
      <c r="Z684" s="80"/>
      <c r="AA684" s="80"/>
    </row>
    <row r="685" spans="1:27" ht="15.75" customHeight="1">
      <c r="A685" s="80"/>
      <c r="B685" s="270"/>
      <c r="C685" s="271"/>
      <c r="D685" s="80"/>
      <c r="E685" s="271"/>
      <c r="F685" s="272"/>
      <c r="G685" s="270"/>
      <c r="H685" s="271"/>
      <c r="I685" s="272"/>
      <c r="J685" s="80"/>
      <c r="K685" s="273"/>
      <c r="L685" s="273"/>
      <c r="M685" s="273"/>
      <c r="N685" s="273"/>
      <c r="O685" s="273"/>
      <c r="P685" s="273"/>
      <c r="Q685" s="274"/>
      <c r="R685" s="80"/>
      <c r="S685" s="80"/>
      <c r="T685" s="241"/>
      <c r="U685" s="80"/>
      <c r="V685" s="80"/>
      <c r="W685" s="80"/>
      <c r="X685" s="80"/>
      <c r="Y685" s="80"/>
      <c r="Z685" s="80"/>
      <c r="AA685" s="80"/>
    </row>
    <row r="686" spans="1:27" ht="15.75" customHeight="1">
      <c r="A686" s="80"/>
      <c r="B686" s="270"/>
      <c r="C686" s="271"/>
      <c r="D686" s="80"/>
      <c r="E686" s="271"/>
      <c r="F686" s="272"/>
      <c r="G686" s="270"/>
      <c r="H686" s="271"/>
      <c r="I686" s="272"/>
      <c r="J686" s="80"/>
      <c r="K686" s="273"/>
      <c r="L686" s="273"/>
      <c r="M686" s="273"/>
      <c r="N686" s="273"/>
      <c r="O686" s="273"/>
      <c r="P686" s="273"/>
      <c r="Q686" s="274"/>
      <c r="R686" s="80"/>
      <c r="S686" s="80"/>
      <c r="T686" s="241"/>
      <c r="U686" s="80"/>
      <c r="V686" s="80"/>
      <c r="W686" s="80"/>
      <c r="X686" s="80"/>
      <c r="Y686" s="80"/>
      <c r="Z686" s="80"/>
      <c r="AA686" s="80"/>
    </row>
    <row r="687" spans="1:27" ht="15.75" customHeight="1">
      <c r="A687" s="80"/>
      <c r="B687" s="270"/>
      <c r="C687" s="271"/>
      <c r="D687" s="80"/>
      <c r="E687" s="271"/>
      <c r="F687" s="272"/>
      <c r="G687" s="270"/>
      <c r="H687" s="271"/>
      <c r="I687" s="272"/>
      <c r="J687" s="80"/>
      <c r="K687" s="273"/>
      <c r="L687" s="273"/>
      <c r="M687" s="273"/>
      <c r="N687" s="273"/>
      <c r="O687" s="273"/>
      <c r="P687" s="273"/>
      <c r="Q687" s="274"/>
      <c r="R687" s="80"/>
      <c r="S687" s="80"/>
      <c r="T687" s="241"/>
      <c r="U687" s="80"/>
      <c r="V687" s="80"/>
      <c r="W687" s="80"/>
      <c r="X687" s="80"/>
      <c r="Y687" s="80"/>
      <c r="Z687" s="80"/>
      <c r="AA687" s="80"/>
    </row>
    <row r="688" spans="1:27" ht="15.75" customHeight="1">
      <c r="A688" s="80"/>
      <c r="B688" s="270"/>
      <c r="C688" s="271"/>
      <c r="D688" s="80"/>
      <c r="E688" s="271"/>
      <c r="F688" s="272"/>
      <c r="G688" s="270"/>
      <c r="H688" s="271"/>
      <c r="I688" s="272"/>
      <c r="J688" s="80"/>
      <c r="K688" s="273"/>
      <c r="L688" s="273"/>
      <c r="M688" s="273"/>
      <c r="N688" s="273"/>
      <c r="O688" s="273"/>
      <c r="P688" s="273"/>
      <c r="Q688" s="274"/>
      <c r="R688" s="80"/>
      <c r="S688" s="80"/>
      <c r="T688" s="241"/>
      <c r="U688" s="80"/>
      <c r="V688" s="80"/>
      <c r="W688" s="80"/>
      <c r="X688" s="80"/>
      <c r="Y688" s="80"/>
      <c r="Z688" s="80"/>
      <c r="AA688" s="80"/>
    </row>
    <row r="689" spans="1:27" ht="15.75" customHeight="1">
      <c r="A689" s="80"/>
      <c r="B689" s="270"/>
      <c r="C689" s="271"/>
      <c r="D689" s="80"/>
      <c r="E689" s="271"/>
      <c r="F689" s="272"/>
      <c r="G689" s="270"/>
      <c r="H689" s="271"/>
      <c r="I689" s="272"/>
      <c r="J689" s="80"/>
      <c r="K689" s="273"/>
      <c r="L689" s="273"/>
      <c r="M689" s="273"/>
      <c r="N689" s="273"/>
      <c r="O689" s="273"/>
      <c r="P689" s="273"/>
      <c r="Q689" s="274"/>
      <c r="R689" s="80"/>
      <c r="S689" s="80"/>
      <c r="T689" s="241"/>
      <c r="U689" s="80"/>
      <c r="V689" s="80"/>
      <c r="W689" s="80"/>
      <c r="X689" s="80"/>
      <c r="Y689" s="80"/>
      <c r="Z689" s="80"/>
      <c r="AA689" s="80"/>
    </row>
    <row r="690" spans="1:27" ht="15.75" customHeight="1">
      <c r="A690" s="80"/>
      <c r="B690" s="270"/>
      <c r="C690" s="271"/>
      <c r="D690" s="80"/>
      <c r="E690" s="271"/>
      <c r="F690" s="272"/>
      <c r="G690" s="270"/>
      <c r="H690" s="271"/>
      <c r="I690" s="272"/>
      <c r="J690" s="80"/>
      <c r="K690" s="273"/>
      <c r="L690" s="273"/>
      <c r="M690" s="273"/>
      <c r="N690" s="273"/>
      <c r="O690" s="273"/>
      <c r="P690" s="273"/>
      <c r="Q690" s="274"/>
      <c r="R690" s="80"/>
      <c r="S690" s="80"/>
      <c r="T690" s="241"/>
      <c r="U690" s="80"/>
      <c r="V690" s="80"/>
      <c r="W690" s="80"/>
      <c r="X690" s="80"/>
      <c r="Y690" s="80"/>
      <c r="Z690" s="80"/>
      <c r="AA690" s="80"/>
    </row>
    <row r="691" spans="1:27" ht="15.75" customHeight="1">
      <c r="A691" s="80"/>
      <c r="B691" s="270"/>
      <c r="C691" s="271"/>
      <c r="D691" s="80"/>
      <c r="E691" s="271"/>
      <c r="F691" s="272"/>
      <c r="G691" s="270"/>
      <c r="H691" s="271"/>
      <c r="I691" s="272"/>
      <c r="J691" s="80"/>
      <c r="K691" s="273"/>
      <c r="L691" s="273"/>
      <c r="M691" s="273"/>
      <c r="N691" s="273"/>
      <c r="O691" s="273"/>
      <c r="P691" s="273"/>
      <c r="Q691" s="274"/>
      <c r="R691" s="80"/>
      <c r="S691" s="80"/>
      <c r="T691" s="241"/>
      <c r="U691" s="80"/>
      <c r="V691" s="80"/>
      <c r="W691" s="80"/>
      <c r="X691" s="80"/>
      <c r="Y691" s="80"/>
      <c r="Z691" s="80"/>
      <c r="AA691" s="80"/>
    </row>
    <row r="692" spans="1:27" ht="15.75" customHeight="1">
      <c r="A692" s="80"/>
      <c r="B692" s="270"/>
      <c r="C692" s="271"/>
      <c r="D692" s="80"/>
      <c r="E692" s="271"/>
      <c r="F692" s="272"/>
      <c r="G692" s="270"/>
      <c r="H692" s="271"/>
      <c r="I692" s="272"/>
      <c r="J692" s="80"/>
      <c r="K692" s="273"/>
      <c r="L692" s="273"/>
      <c r="M692" s="273"/>
      <c r="N692" s="273"/>
      <c r="O692" s="273"/>
      <c r="P692" s="273"/>
      <c r="Q692" s="274"/>
      <c r="R692" s="80"/>
      <c r="S692" s="80"/>
      <c r="T692" s="241"/>
      <c r="U692" s="80"/>
      <c r="V692" s="80"/>
      <c r="W692" s="80"/>
      <c r="X692" s="80"/>
      <c r="Y692" s="80"/>
      <c r="Z692" s="80"/>
      <c r="AA692" s="80"/>
    </row>
    <row r="693" spans="1:27" ht="15.75" customHeight="1">
      <c r="A693" s="80"/>
      <c r="B693" s="270"/>
      <c r="C693" s="271"/>
      <c r="D693" s="80"/>
      <c r="E693" s="271"/>
      <c r="F693" s="272"/>
      <c r="G693" s="270"/>
      <c r="H693" s="271"/>
      <c r="I693" s="272"/>
      <c r="J693" s="80"/>
      <c r="K693" s="273"/>
      <c r="L693" s="273"/>
      <c r="M693" s="273"/>
      <c r="N693" s="273"/>
      <c r="O693" s="273"/>
      <c r="P693" s="273"/>
      <c r="Q693" s="274"/>
      <c r="R693" s="80"/>
      <c r="S693" s="80"/>
      <c r="T693" s="241"/>
      <c r="U693" s="80"/>
      <c r="V693" s="80"/>
      <c r="W693" s="80"/>
      <c r="X693" s="80"/>
      <c r="Y693" s="80"/>
      <c r="Z693" s="80"/>
      <c r="AA693" s="80"/>
    </row>
    <row r="694" spans="1:27" ht="15.75" customHeight="1">
      <c r="A694" s="80"/>
      <c r="B694" s="270"/>
      <c r="C694" s="271"/>
      <c r="D694" s="80"/>
      <c r="E694" s="271"/>
      <c r="F694" s="272"/>
      <c r="G694" s="270"/>
      <c r="H694" s="271"/>
      <c r="I694" s="272"/>
      <c r="J694" s="80"/>
      <c r="K694" s="273"/>
      <c r="L694" s="273"/>
      <c r="M694" s="273"/>
      <c r="N694" s="273"/>
      <c r="O694" s="273"/>
      <c r="P694" s="273"/>
      <c r="Q694" s="274"/>
      <c r="R694" s="80"/>
      <c r="S694" s="80"/>
      <c r="T694" s="241"/>
      <c r="U694" s="80"/>
      <c r="V694" s="80"/>
      <c r="W694" s="80"/>
      <c r="X694" s="80"/>
      <c r="Y694" s="80"/>
      <c r="Z694" s="80"/>
      <c r="AA694" s="80"/>
    </row>
    <row r="695" spans="1:27" ht="15.75" customHeight="1">
      <c r="A695" s="80"/>
      <c r="B695" s="270"/>
      <c r="C695" s="271"/>
      <c r="D695" s="80"/>
      <c r="E695" s="271"/>
      <c r="F695" s="272"/>
      <c r="G695" s="270"/>
      <c r="H695" s="271"/>
      <c r="I695" s="272"/>
      <c r="J695" s="80"/>
      <c r="K695" s="273"/>
      <c r="L695" s="273"/>
      <c r="M695" s="273"/>
      <c r="N695" s="273"/>
      <c r="O695" s="273"/>
      <c r="P695" s="273"/>
      <c r="Q695" s="274"/>
      <c r="R695" s="80"/>
      <c r="S695" s="80"/>
      <c r="T695" s="241"/>
      <c r="U695" s="80"/>
      <c r="V695" s="80"/>
      <c r="W695" s="80"/>
      <c r="X695" s="80"/>
      <c r="Y695" s="80"/>
      <c r="Z695" s="80"/>
      <c r="AA695" s="80"/>
    </row>
    <row r="696" spans="1:27" ht="15.75" customHeight="1">
      <c r="A696" s="80"/>
      <c r="B696" s="270"/>
      <c r="C696" s="271"/>
      <c r="D696" s="80"/>
      <c r="E696" s="271"/>
      <c r="F696" s="272"/>
      <c r="G696" s="270"/>
      <c r="H696" s="271"/>
      <c r="I696" s="272"/>
      <c r="J696" s="80"/>
      <c r="K696" s="273"/>
      <c r="L696" s="273"/>
      <c r="M696" s="273"/>
      <c r="N696" s="273"/>
      <c r="O696" s="273"/>
      <c r="P696" s="273"/>
      <c r="Q696" s="274"/>
      <c r="R696" s="80"/>
      <c r="S696" s="80"/>
      <c r="T696" s="241"/>
      <c r="U696" s="80"/>
      <c r="V696" s="80"/>
      <c r="W696" s="80"/>
      <c r="X696" s="80"/>
      <c r="Y696" s="80"/>
      <c r="Z696" s="80"/>
      <c r="AA696" s="80"/>
    </row>
    <row r="697" spans="1:27" ht="15.75" customHeight="1">
      <c r="A697" s="80"/>
      <c r="B697" s="270"/>
      <c r="C697" s="271"/>
      <c r="D697" s="80"/>
      <c r="E697" s="271"/>
      <c r="F697" s="272"/>
      <c r="G697" s="270"/>
      <c r="H697" s="271"/>
      <c r="I697" s="272"/>
      <c r="J697" s="80"/>
      <c r="K697" s="273"/>
      <c r="L697" s="273"/>
      <c r="M697" s="273"/>
      <c r="N697" s="273"/>
      <c r="O697" s="273"/>
      <c r="P697" s="273"/>
      <c r="Q697" s="274"/>
      <c r="R697" s="80"/>
      <c r="S697" s="80"/>
      <c r="T697" s="241"/>
      <c r="U697" s="80"/>
      <c r="V697" s="80"/>
      <c r="W697" s="80"/>
      <c r="X697" s="80"/>
      <c r="Y697" s="80"/>
      <c r="Z697" s="80"/>
      <c r="AA697" s="80"/>
    </row>
    <row r="698" spans="1:27" ht="15.75" customHeight="1">
      <c r="A698" s="80"/>
      <c r="B698" s="270"/>
      <c r="C698" s="271"/>
      <c r="D698" s="80"/>
      <c r="E698" s="271"/>
      <c r="F698" s="272"/>
      <c r="G698" s="270"/>
      <c r="H698" s="271"/>
      <c r="I698" s="272"/>
      <c r="J698" s="80"/>
      <c r="K698" s="273"/>
      <c r="L698" s="273"/>
      <c r="M698" s="273"/>
      <c r="N698" s="273"/>
      <c r="O698" s="273"/>
      <c r="P698" s="273"/>
      <c r="Q698" s="274"/>
      <c r="R698" s="80"/>
      <c r="S698" s="80"/>
      <c r="T698" s="241"/>
      <c r="U698" s="80"/>
      <c r="V698" s="80"/>
      <c r="W698" s="80"/>
      <c r="X698" s="80"/>
      <c r="Y698" s="80"/>
      <c r="Z698" s="80"/>
      <c r="AA698" s="80"/>
    </row>
    <row r="699" spans="1:27" ht="15.75" customHeight="1">
      <c r="A699" s="80"/>
      <c r="B699" s="270"/>
      <c r="C699" s="271"/>
      <c r="D699" s="80"/>
      <c r="E699" s="271"/>
      <c r="F699" s="272"/>
      <c r="G699" s="270"/>
      <c r="H699" s="271"/>
      <c r="I699" s="272"/>
      <c r="J699" s="80"/>
      <c r="K699" s="273"/>
      <c r="L699" s="273"/>
      <c r="M699" s="273"/>
      <c r="N699" s="273"/>
      <c r="O699" s="273"/>
      <c r="P699" s="273"/>
      <c r="Q699" s="274"/>
      <c r="R699" s="80"/>
      <c r="S699" s="80"/>
      <c r="T699" s="241"/>
      <c r="U699" s="80"/>
      <c r="V699" s="80"/>
      <c r="W699" s="80"/>
      <c r="X699" s="80"/>
      <c r="Y699" s="80"/>
      <c r="Z699" s="80"/>
      <c r="AA699" s="80"/>
    </row>
    <row r="700" spans="1:27" ht="15.75" customHeight="1">
      <c r="A700" s="80"/>
      <c r="B700" s="270"/>
      <c r="C700" s="271"/>
      <c r="D700" s="80"/>
      <c r="E700" s="271"/>
      <c r="F700" s="272"/>
      <c r="G700" s="270"/>
      <c r="H700" s="271"/>
      <c r="I700" s="272"/>
      <c r="J700" s="80"/>
      <c r="K700" s="273"/>
      <c r="L700" s="273"/>
      <c r="M700" s="273"/>
      <c r="N700" s="273"/>
      <c r="O700" s="273"/>
      <c r="P700" s="273"/>
      <c r="Q700" s="274"/>
      <c r="R700" s="80"/>
      <c r="S700" s="80"/>
      <c r="T700" s="241"/>
      <c r="U700" s="80"/>
      <c r="V700" s="80"/>
      <c r="W700" s="80"/>
      <c r="X700" s="80"/>
      <c r="Y700" s="80"/>
      <c r="Z700" s="80"/>
      <c r="AA700" s="80"/>
    </row>
    <row r="701" spans="1:27" ht="15.75" customHeight="1">
      <c r="A701" s="80"/>
      <c r="B701" s="270"/>
      <c r="C701" s="271"/>
      <c r="D701" s="80"/>
      <c r="E701" s="271"/>
      <c r="F701" s="272"/>
      <c r="G701" s="270"/>
      <c r="H701" s="271"/>
      <c r="I701" s="272"/>
      <c r="J701" s="80"/>
      <c r="K701" s="273"/>
      <c r="L701" s="273"/>
      <c r="M701" s="273"/>
      <c r="N701" s="273"/>
      <c r="O701" s="273"/>
      <c r="P701" s="273"/>
      <c r="Q701" s="274"/>
      <c r="R701" s="80"/>
      <c r="S701" s="80"/>
      <c r="T701" s="241"/>
      <c r="U701" s="80"/>
      <c r="V701" s="80"/>
      <c r="W701" s="80"/>
      <c r="X701" s="80"/>
      <c r="Y701" s="80"/>
      <c r="Z701" s="80"/>
      <c r="AA701" s="80"/>
    </row>
    <row r="702" spans="1:27" ht="15.75" customHeight="1">
      <c r="A702" s="80"/>
      <c r="B702" s="270"/>
      <c r="C702" s="271"/>
      <c r="D702" s="80"/>
      <c r="E702" s="271"/>
      <c r="F702" s="272"/>
      <c r="G702" s="270"/>
      <c r="H702" s="271"/>
      <c r="I702" s="272"/>
      <c r="J702" s="80"/>
      <c r="K702" s="273"/>
      <c r="L702" s="273"/>
      <c r="M702" s="273"/>
      <c r="N702" s="273"/>
      <c r="O702" s="273"/>
      <c r="P702" s="273"/>
      <c r="Q702" s="274"/>
      <c r="R702" s="80"/>
      <c r="S702" s="80"/>
      <c r="T702" s="241"/>
      <c r="U702" s="80"/>
      <c r="V702" s="80"/>
      <c r="W702" s="80"/>
      <c r="X702" s="80"/>
      <c r="Y702" s="80"/>
      <c r="Z702" s="80"/>
      <c r="AA702" s="80"/>
    </row>
    <row r="703" spans="1:27" ht="15.75" customHeight="1">
      <c r="A703" s="80"/>
      <c r="B703" s="270"/>
      <c r="C703" s="271"/>
      <c r="D703" s="80"/>
      <c r="E703" s="271"/>
      <c r="F703" s="272"/>
      <c r="G703" s="270"/>
      <c r="H703" s="271"/>
      <c r="I703" s="272"/>
      <c r="J703" s="80"/>
      <c r="K703" s="273"/>
      <c r="L703" s="273"/>
      <c r="M703" s="273"/>
      <c r="N703" s="273"/>
      <c r="O703" s="273"/>
      <c r="P703" s="273"/>
      <c r="Q703" s="274"/>
      <c r="R703" s="80"/>
      <c r="S703" s="80"/>
      <c r="T703" s="241"/>
      <c r="U703" s="80"/>
      <c r="V703" s="80"/>
      <c r="W703" s="80"/>
      <c r="X703" s="80"/>
      <c r="Y703" s="80"/>
      <c r="Z703" s="80"/>
      <c r="AA703" s="80"/>
    </row>
    <row r="704" spans="1:27" ht="15.75" customHeight="1">
      <c r="A704" s="80"/>
      <c r="B704" s="270"/>
      <c r="C704" s="271"/>
      <c r="D704" s="80"/>
      <c r="E704" s="271"/>
      <c r="F704" s="272"/>
      <c r="G704" s="270"/>
      <c r="H704" s="271"/>
      <c r="I704" s="272"/>
      <c r="J704" s="80"/>
      <c r="K704" s="273"/>
      <c r="L704" s="273"/>
      <c r="M704" s="273"/>
      <c r="N704" s="273"/>
      <c r="O704" s="273"/>
      <c r="P704" s="273"/>
      <c r="Q704" s="274"/>
      <c r="R704" s="80"/>
      <c r="S704" s="80"/>
      <c r="T704" s="241"/>
      <c r="U704" s="80"/>
      <c r="V704" s="80"/>
      <c r="W704" s="80"/>
      <c r="X704" s="80"/>
      <c r="Y704" s="80"/>
      <c r="Z704" s="80"/>
      <c r="AA704" s="80"/>
    </row>
    <row r="705" spans="1:27" ht="15.75" customHeight="1">
      <c r="A705" s="80"/>
      <c r="B705" s="270"/>
      <c r="C705" s="271"/>
      <c r="D705" s="80"/>
      <c r="E705" s="271"/>
      <c r="F705" s="272"/>
      <c r="G705" s="270"/>
      <c r="H705" s="271"/>
      <c r="I705" s="272"/>
      <c r="J705" s="80"/>
      <c r="K705" s="273"/>
      <c r="L705" s="273"/>
      <c r="M705" s="273"/>
      <c r="N705" s="273"/>
      <c r="O705" s="273"/>
      <c r="P705" s="273"/>
      <c r="Q705" s="274"/>
      <c r="R705" s="80"/>
      <c r="S705" s="80"/>
      <c r="T705" s="241"/>
      <c r="U705" s="80"/>
      <c r="V705" s="80"/>
      <c r="W705" s="80"/>
      <c r="X705" s="80"/>
      <c r="Y705" s="80"/>
      <c r="Z705" s="80"/>
      <c r="AA705" s="80"/>
    </row>
    <row r="706" spans="1:27" ht="15.75" customHeight="1">
      <c r="A706" s="80"/>
      <c r="B706" s="270"/>
      <c r="C706" s="271"/>
      <c r="D706" s="80"/>
      <c r="E706" s="271"/>
      <c r="F706" s="272"/>
      <c r="G706" s="270"/>
      <c r="H706" s="271"/>
      <c r="I706" s="272"/>
      <c r="J706" s="80"/>
      <c r="K706" s="273"/>
      <c r="L706" s="273"/>
      <c r="M706" s="273"/>
      <c r="N706" s="273"/>
      <c r="O706" s="273"/>
      <c r="P706" s="273"/>
      <c r="Q706" s="274"/>
      <c r="R706" s="80"/>
      <c r="S706" s="80"/>
      <c r="T706" s="241"/>
      <c r="U706" s="80"/>
      <c r="V706" s="80"/>
      <c r="W706" s="80"/>
      <c r="X706" s="80"/>
      <c r="Y706" s="80"/>
      <c r="Z706" s="80"/>
      <c r="AA706" s="80"/>
    </row>
    <row r="707" spans="1:27" ht="15.75" customHeight="1">
      <c r="A707" s="80"/>
      <c r="B707" s="270"/>
      <c r="C707" s="271"/>
      <c r="D707" s="80"/>
      <c r="E707" s="271"/>
      <c r="F707" s="272"/>
      <c r="G707" s="270"/>
      <c r="H707" s="271"/>
      <c r="I707" s="272"/>
      <c r="J707" s="80"/>
      <c r="K707" s="273"/>
      <c r="L707" s="273"/>
      <c r="M707" s="273"/>
      <c r="N707" s="273"/>
      <c r="O707" s="273"/>
      <c r="P707" s="273"/>
      <c r="Q707" s="274"/>
      <c r="R707" s="80"/>
      <c r="S707" s="80"/>
      <c r="T707" s="241"/>
      <c r="U707" s="80"/>
      <c r="V707" s="80"/>
      <c r="W707" s="80"/>
      <c r="X707" s="80"/>
      <c r="Y707" s="80"/>
      <c r="Z707" s="80"/>
      <c r="AA707" s="80"/>
    </row>
    <row r="708" spans="1:27" ht="15.75" customHeight="1">
      <c r="A708" s="80"/>
      <c r="B708" s="270"/>
      <c r="C708" s="271"/>
      <c r="D708" s="80"/>
      <c r="E708" s="271"/>
      <c r="F708" s="272"/>
      <c r="G708" s="270"/>
      <c r="H708" s="271"/>
      <c r="I708" s="272"/>
      <c r="J708" s="80"/>
      <c r="K708" s="273"/>
      <c r="L708" s="273"/>
      <c r="M708" s="273"/>
      <c r="N708" s="273"/>
      <c r="O708" s="273"/>
      <c r="P708" s="273"/>
      <c r="Q708" s="274"/>
      <c r="R708" s="80"/>
      <c r="S708" s="80"/>
      <c r="T708" s="241"/>
      <c r="U708" s="80"/>
      <c r="V708" s="80"/>
      <c r="W708" s="80"/>
      <c r="X708" s="80"/>
      <c r="Y708" s="80"/>
      <c r="Z708" s="80"/>
      <c r="AA708" s="80"/>
    </row>
    <row r="709" spans="1:27" ht="15.75" customHeight="1">
      <c r="A709" s="80"/>
      <c r="B709" s="270"/>
      <c r="C709" s="271"/>
      <c r="D709" s="80"/>
      <c r="E709" s="271"/>
      <c r="F709" s="272"/>
      <c r="G709" s="270"/>
      <c r="H709" s="271"/>
      <c r="I709" s="272"/>
      <c r="J709" s="80"/>
      <c r="K709" s="273"/>
      <c r="L709" s="273"/>
      <c r="M709" s="273"/>
      <c r="N709" s="273"/>
      <c r="O709" s="273"/>
      <c r="P709" s="273"/>
      <c r="Q709" s="274"/>
      <c r="R709" s="80"/>
      <c r="S709" s="80"/>
      <c r="T709" s="241"/>
      <c r="U709" s="80"/>
      <c r="V709" s="80"/>
      <c r="W709" s="80"/>
      <c r="X709" s="80"/>
      <c r="Y709" s="80"/>
      <c r="Z709" s="80"/>
      <c r="AA709" s="80"/>
    </row>
    <row r="710" spans="1:27" ht="15.75" customHeight="1">
      <c r="A710" s="80"/>
      <c r="B710" s="270"/>
      <c r="C710" s="271"/>
      <c r="D710" s="80"/>
      <c r="E710" s="271"/>
      <c r="F710" s="272"/>
      <c r="G710" s="270"/>
      <c r="H710" s="271"/>
      <c r="I710" s="272"/>
      <c r="J710" s="80"/>
      <c r="K710" s="273"/>
      <c r="L710" s="273"/>
      <c r="M710" s="273"/>
      <c r="N710" s="273"/>
      <c r="O710" s="273"/>
      <c r="P710" s="273"/>
      <c r="Q710" s="274"/>
      <c r="R710" s="80"/>
      <c r="S710" s="80"/>
      <c r="T710" s="241"/>
      <c r="U710" s="80"/>
      <c r="V710" s="80"/>
      <c r="W710" s="80"/>
      <c r="X710" s="80"/>
      <c r="Y710" s="80"/>
      <c r="Z710" s="80"/>
      <c r="AA710" s="80"/>
    </row>
    <row r="711" spans="1:27" ht="15.75" customHeight="1">
      <c r="A711" s="80"/>
      <c r="B711" s="270"/>
      <c r="C711" s="271"/>
      <c r="D711" s="80"/>
      <c r="E711" s="271"/>
      <c r="F711" s="272"/>
      <c r="G711" s="270"/>
      <c r="H711" s="271"/>
      <c r="I711" s="272"/>
      <c r="J711" s="80"/>
      <c r="K711" s="273"/>
      <c r="L711" s="273"/>
      <c r="M711" s="273"/>
      <c r="N711" s="273"/>
      <c r="O711" s="273"/>
      <c r="P711" s="273"/>
      <c r="Q711" s="274"/>
      <c r="R711" s="80"/>
      <c r="S711" s="80"/>
      <c r="T711" s="241"/>
      <c r="U711" s="80"/>
      <c r="V711" s="80"/>
      <c r="W711" s="80"/>
      <c r="X711" s="80"/>
      <c r="Y711" s="80"/>
      <c r="Z711" s="80"/>
      <c r="AA711" s="80"/>
    </row>
    <row r="712" spans="1:27" ht="15.75" customHeight="1">
      <c r="A712" s="80"/>
      <c r="B712" s="270"/>
      <c r="C712" s="271"/>
      <c r="D712" s="80"/>
      <c r="E712" s="271"/>
      <c r="F712" s="272"/>
      <c r="G712" s="270"/>
      <c r="H712" s="271"/>
      <c r="I712" s="272"/>
      <c r="J712" s="80"/>
      <c r="K712" s="273"/>
      <c r="L712" s="273"/>
      <c r="M712" s="273"/>
      <c r="N712" s="273"/>
      <c r="O712" s="273"/>
      <c r="P712" s="273"/>
      <c r="Q712" s="274"/>
      <c r="R712" s="80"/>
      <c r="S712" s="80"/>
      <c r="T712" s="241"/>
      <c r="U712" s="80"/>
      <c r="V712" s="80"/>
      <c r="W712" s="80"/>
      <c r="X712" s="80"/>
      <c r="Y712" s="80"/>
      <c r="Z712" s="80"/>
      <c r="AA712" s="80"/>
    </row>
    <row r="713" spans="1:27" ht="15.75" customHeight="1">
      <c r="A713" s="80"/>
      <c r="B713" s="270"/>
      <c r="C713" s="271"/>
      <c r="D713" s="80"/>
      <c r="E713" s="271"/>
      <c r="F713" s="272"/>
      <c r="G713" s="270"/>
      <c r="H713" s="271"/>
      <c r="I713" s="272"/>
      <c r="J713" s="80"/>
      <c r="K713" s="273"/>
      <c r="L713" s="273"/>
      <c r="M713" s="273"/>
      <c r="N713" s="273"/>
      <c r="O713" s="273"/>
      <c r="P713" s="273"/>
      <c r="Q713" s="274"/>
      <c r="R713" s="80"/>
      <c r="S713" s="80"/>
      <c r="T713" s="241"/>
      <c r="U713" s="80"/>
      <c r="V713" s="80"/>
      <c r="W713" s="80"/>
      <c r="X713" s="80"/>
      <c r="Y713" s="80"/>
      <c r="Z713" s="80"/>
      <c r="AA713" s="80"/>
    </row>
    <row r="714" spans="1:27" ht="15.75" customHeight="1">
      <c r="A714" s="80"/>
      <c r="B714" s="270"/>
      <c r="C714" s="271"/>
      <c r="D714" s="80"/>
      <c r="E714" s="271"/>
      <c r="F714" s="272"/>
      <c r="G714" s="270"/>
      <c r="H714" s="271"/>
      <c r="I714" s="272"/>
      <c r="J714" s="80"/>
      <c r="K714" s="273"/>
      <c r="L714" s="273"/>
      <c r="M714" s="273"/>
      <c r="N714" s="273"/>
      <c r="O714" s="273"/>
      <c r="P714" s="273"/>
      <c r="Q714" s="274"/>
      <c r="R714" s="80"/>
      <c r="S714" s="80"/>
      <c r="T714" s="241"/>
      <c r="U714" s="80"/>
      <c r="V714" s="80"/>
      <c r="W714" s="80"/>
      <c r="X714" s="80"/>
      <c r="Y714" s="80"/>
      <c r="Z714" s="80"/>
      <c r="AA714" s="80"/>
    </row>
    <row r="715" spans="1:27" ht="15.75" customHeight="1">
      <c r="A715" s="80"/>
      <c r="B715" s="270"/>
      <c r="C715" s="271"/>
      <c r="D715" s="80"/>
      <c r="E715" s="271"/>
      <c r="F715" s="272"/>
      <c r="G715" s="270"/>
      <c r="H715" s="271"/>
      <c r="I715" s="272"/>
      <c r="J715" s="80"/>
      <c r="K715" s="273"/>
      <c r="L715" s="273"/>
      <c r="M715" s="273"/>
      <c r="N715" s="273"/>
      <c r="O715" s="273"/>
      <c r="P715" s="273"/>
      <c r="Q715" s="274"/>
      <c r="R715" s="80"/>
      <c r="S715" s="80"/>
      <c r="T715" s="241"/>
      <c r="U715" s="80"/>
      <c r="V715" s="80"/>
      <c r="W715" s="80"/>
      <c r="X715" s="80"/>
      <c r="Y715" s="80"/>
      <c r="Z715" s="80"/>
      <c r="AA715" s="80"/>
    </row>
    <row r="716" spans="1:27" ht="15.75" customHeight="1">
      <c r="A716" s="80"/>
      <c r="B716" s="270"/>
      <c r="C716" s="271"/>
      <c r="D716" s="80"/>
      <c r="E716" s="271"/>
      <c r="F716" s="272"/>
      <c r="G716" s="270"/>
      <c r="H716" s="271"/>
      <c r="I716" s="272"/>
      <c r="J716" s="80"/>
      <c r="K716" s="273"/>
      <c r="L716" s="273"/>
      <c r="M716" s="273"/>
      <c r="N716" s="273"/>
      <c r="O716" s="273"/>
      <c r="P716" s="273"/>
      <c r="Q716" s="274"/>
      <c r="R716" s="80"/>
      <c r="S716" s="80"/>
      <c r="T716" s="241"/>
      <c r="U716" s="80"/>
      <c r="V716" s="80"/>
      <c r="W716" s="80"/>
      <c r="X716" s="80"/>
      <c r="Y716" s="80"/>
      <c r="Z716" s="80"/>
      <c r="AA716" s="80"/>
    </row>
    <row r="717" spans="1:27" ht="15.75" customHeight="1">
      <c r="A717" s="80"/>
      <c r="B717" s="270"/>
      <c r="C717" s="271"/>
      <c r="D717" s="80"/>
      <c r="E717" s="271"/>
      <c r="F717" s="272"/>
      <c r="G717" s="270"/>
      <c r="H717" s="271"/>
      <c r="I717" s="272"/>
      <c r="J717" s="80"/>
      <c r="K717" s="273"/>
      <c r="L717" s="273"/>
      <c r="M717" s="273"/>
      <c r="N717" s="273"/>
      <c r="O717" s="273"/>
      <c r="P717" s="273"/>
      <c r="Q717" s="274"/>
      <c r="R717" s="80"/>
      <c r="S717" s="80"/>
      <c r="T717" s="241"/>
      <c r="U717" s="80"/>
      <c r="V717" s="80"/>
      <c r="W717" s="80"/>
      <c r="X717" s="80"/>
      <c r="Y717" s="80"/>
      <c r="Z717" s="80"/>
      <c r="AA717" s="80"/>
    </row>
    <row r="718" spans="1:27" ht="15.75" customHeight="1">
      <c r="A718" s="80"/>
      <c r="B718" s="270"/>
      <c r="C718" s="271"/>
      <c r="D718" s="80"/>
      <c r="E718" s="271"/>
      <c r="F718" s="272"/>
      <c r="G718" s="270"/>
      <c r="H718" s="271"/>
      <c r="I718" s="272"/>
      <c r="J718" s="80"/>
      <c r="K718" s="273"/>
      <c r="L718" s="273"/>
      <c r="M718" s="273"/>
      <c r="N718" s="273"/>
      <c r="O718" s="273"/>
      <c r="P718" s="273"/>
      <c r="Q718" s="274"/>
      <c r="R718" s="80"/>
      <c r="S718" s="80"/>
      <c r="T718" s="241"/>
      <c r="U718" s="80"/>
      <c r="V718" s="80"/>
      <c r="W718" s="80"/>
      <c r="X718" s="80"/>
      <c r="Y718" s="80"/>
      <c r="Z718" s="80"/>
      <c r="AA718" s="80"/>
    </row>
    <row r="719" spans="1:27" ht="15.75" customHeight="1">
      <c r="A719" s="80"/>
      <c r="B719" s="270"/>
      <c r="C719" s="271"/>
      <c r="D719" s="80"/>
      <c r="E719" s="271"/>
      <c r="F719" s="272"/>
      <c r="G719" s="270"/>
      <c r="H719" s="271"/>
      <c r="I719" s="272"/>
      <c r="J719" s="80"/>
      <c r="K719" s="273"/>
      <c r="L719" s="273"/>
      <c r="M719" s="273"/>
      <c r="N719" s="273"/>
      <c r="O719" s="273"/>
      <c r="P719" s="273"/>
      <c r="Q719" s="274"/>
      <c r="R719" s="80"/>
      <c r="S719" s="80"/>
      <c r="T719" s="241"/>
      <c r="U719" s="80"/>
      <c r="V719" s="80"/>
      <c r="W719" s="80"/>
      <c r="X719" s="80"/>
      <c r="Y719" s="80"/>
      <c r="Z719" s="80"/>
      <c r="AA719" s="80"/>
    </row>
    <row r="720" spans="1:27" ht="15.75" customHeight="1">
      <c r="A720" s="80"/>
      <c r="B720" s="270"/>
      <c r="C720" s="271"/>
      <c r="D720" s="80"/>
      <c r="E720" s="271"/>
      <c r="F720" s="272"/>
      <c r="G720" s="270"/>
      <c r="H720" s="271"/>
      <c r="I720" s="272"/>
      <c r="J720" s="80"/>
      <c r="K720" s="273"/>
      <c r="L720" s="273"/>
      <c r="M720" s="273"/>
      <c r="N720" s="273"/>
      <c r="O720" s="273"/>
      <c r="P720" s="273"/>
      <c r="Q720" s="274"/>
      <c r="R720" s="80"/>
      <c r="S720" s="80"/>
      <c r="T720" s="241"/>
      <c r="U720" s="80"/>
      <c r="V720" s="80"/>
      <c r="W720" s="80"/>
      <c r="X720" s="80"/>
      <c r="Y720" s="80"/>
      <c r="Z720" s="80"/>
      <c r="AA720" s="80"/>
    </row>
    <row r="721" spans="1:27" ht="15.75" customHeight="1">
      <c r="A721" s="80"/>
      <c r="B721" s="270"/>
      <c r="C721" s="271"/>
      <c r="D721" s="80"/>
      <c r="E721" s="271"/>
      <c r="F721" s="272"/>
      <c r="G721" s="270"/>
      <c r="H721" s="271"/>
      <c r="I721" s="272"/>
      <c r="J721" s="80"/>
      <c r="K721" s="273"/>
      <c r="L721" s="273"/>
      <c r="M721" s="273"/>
      <c r="N721" s="273"/>
      <c r="O721" s="273"/>
      <c r="P721" s="273"/>
      <c r="Q721" s="274"/>
      <c r="R721" s="80"/>
      <c r="S721" s="80"/>
      <c r="T721" s="241"/>
      <c r="U721" s="80"/>
      <c r="V721" s="80"/>
      <c r="W721" s="80"/>
      <c r="X721" s="80"/>
      <c r="Y721" s="80"/>
      <c r="Z721" s="80"/>
      <c r="AA721" s="80"/>
    </row>
    <row r="722" spans="1:27" ht="15.75" customHeight="1">
      <c r="A722" s="80"/>
      <c r="B722" s="270"/>
      <c r="C722" s="271"/>
      <c r="D722" s="80"/>
      <c r="E722" s="271"/>
      <c r="F722" s="272"/>
      <c r="G722" s="270"/>
      <c r="H722" s="271"/>
      <c r="I722" s="272"/>
      <c r="J722" s="80"/>
      <c r="K722" s="273"/>
      <c r="L722" s="273"/>
      <c r="M722" s="273"/>
      <c r="N722" s="273"/>
      <c r="O722" s="273"/>
      <c r="P722" s="273"/>
      <c r="Q722" s="274"/>
      <c r="R722" s="80"/>
      <c r="S722" s="80"/>
      <c r="T722" s="241"/>
      <c r="U722" s="80"/>
      <c r="V722" s="80"/>
      <c r="W722" s="80"/>
      <c r="X722" s="80"/>
      <c r="Y722" s="80"/>
      <c r="Z722" s="80"/>
      <c r="AA722" s="80"/>
    </row>
    <row r="723" spans="1:27" ht="15.75" customHeight="1">
      <c r="A723" s="80"/>
      <c r="B723" s="270"/>
      <c r="C723" s="271"/>
      <c r="D723" s="80"/>
      <c r="E723" s="271"/>
      <c r="F723" s="272"/>
      <c r="G723" s="270"/>
      <c r="H723" s="271"/>
      <c r="I723" s="272"/>
      <c r="J723" s="80"/>
      <c r="K723" s="273"/>
      <c r="L723" s="273"/>
      <c r="M723" s="273"/>
      <c r="N723" s="273"/>
      <c r="O723" s="273"/>
      <c r="P723" s="273"/>
      <c r="Q723" s="274"/>
      <c r="R723" s="80"/>
      <c r="S723" s="80"/>
      <c r="T723" s="241"/>
      <c r="U723" s="80"/>
      <c r="V723" s="80"/>
      <c r="W723" s="80"/>
      <c r="X723" s="80"/>
      <c r="Y723" s="80"/>
      <c r="Z723" s="80"/>
      <c r="AA723" s="80"/>
    </row>
    <row r="724" spans="1:27" ht="15.75" customHeight="1">
      <c r="A724" s="80"/>
      <c r="B724" s="270"/>
      <c r="C724" s="271"/>
      <c r="D724" s="80"/>
      <c r="E724" s="271"/>
      <c r="F724" s="272"/>
      <c r="G724" s="270"/>
      <c r="H724" s="271"/>
      <c r="I724" s="272"/>
      <c r="J724" s="80"/>
      <c r="K724" s="273"/>
      <c r="L724" s="273"/>
      <c r="M724" s="273"/>
      <c r="N724" s="273"/>
      <c r="O724" s="273"/>
      <c r="P724" s="273"/>
      <c r="Q724" s="274"/>
      <c r="R724" s="80"/>
      <c r="S724" s="80"/>
      <c r="T724" s="241"/>
      <c r="U724" s="80"/>
      <c r="V724" s="80"/>
      <c r="W724" s="80"/>
      <c r="X724" s="80"/>
      <c r="Y724" s="80"/>
      <c r="Z724" s="80"/>
      <c r="AA724" s="80"/>
    </row>
    <row r="725" spans="1:27" ht="15.75" customHeight="1">
      <c r="A725" s="80"/>
      <c r="B725" s="270"/>
      <c r="C725" s="271"/>
      <c r="D725" s="80"/>
      <c r="E725" s="271"/>
      <c r="F725" s="272"/>
      <c r="G725" s="270"/>
      <c r="H725" s="271"/>
      <c r="I725" s="272"/>
      <c r="J725" s="80"/>
      <c r="K725" s="273"/>
      <c r="L725" s="273"/>
      <c r="M725" s="273"/>
      <c r="N725" s="273"/>
      <c r="O725" s="273"/>
      <c r="P725" s="273"/>
      <c r="Q725" s="274"/>
      <c r="R725" s="80"/>
      <c r="S725" s="80"/>
      <c r="T725" s="241"/>
      <c r="U725" s="80"/>
      <c r="V725" s="80"/>
      <c r="W725" s="80"/>
      <c r="X725" s="80"/>
      <c r="Y725" s="80"/>
      <c r="Z725" s="80"/>
      <c r="AA725" s="80"/>
    </row>
    <row r="726" spans="1:27" ht="15.75" customHeight="1">
      <c r="A726" s="80"/>
      <c r="B726" s="270"/>
      <c r="C726" s="271"/>
      <c r="D726" s="80"/>
      <c r="E726" s="271"/>
      <c r="F726" s="272"/>
      <c r="G726" s="270"/>
      <c r="H726" s="271"/>
      <c r="I726" s="272"/>
      <c r="J726" s="80"/>
      <c r="K726" s="273"/>
      <c r="L726" s="273"/>
      <c r="M726" s="273"/>
      <c r="N726" s="273"/>
      <c r="O726" s="273"/>
      <c r="P726" s="273"/>
      <c r="Q726" s="274"/>
      <c r="R726" s="80"/>
      <c r="S726" s="80"/>
      <c r="T726" s="241"/>
      <c r="U726" s="80"/>
      <c r="V726" s="80"/>
      <c r="W726" s="80"/>
      <c r="X726" s="80"/>
      <c r="Y726" s="80"/>
      <c r="Z726" s="80"/>
      <c r="AA726" s="80"/>
    </row>
    <row r="727" spans="1:27" ht="15.75" customHeight="1">
      <c r="A727" s="80"/>
      <c r="B727" s="270"/>
      <c r="C727" s="271"/>
      <c r="D727" s="80"/>
      <c r="E727" s="271"/>
      <c r="F727" s="272"/>
      <c r="G727" s="270"/>
      <c r="H727" s="271"/>
      <c r="I727" s="272"/>
      <c r="J727" s="80"/>
      <c r="K727" s="273"/>
      <c r="L727" s="273"/>
      <c r="M727" s="273"/>
      <c r="N727" s="273"/>
      <c r="O727" s="273"/>
      <c r="P727" s="273"/>
      <c r="Q727" s="274"/>
      <c r="R727" s="80"/>
      <c r="S727" s="80"/>
      <c r="T727" s="241"/>
      <c r="U727" s="80"/>
      <c r="V727" s="80"/>
      <c r="W727" s="80"/>
      <c r="X727" s="80"/>
      <c r="Y727" s="80"/>
      <c r="Z727" s="80"/>
      <c r="AA727" s="80"/>
    </row>
    <row r="728" spans="1:27" ht="15.75" customHeight="1">
      <c r="A728" s="80"/>
      <c r="B728" s="270"/>
      <c r="C728" s="271"/>
      <c r="D728" s="80"/>
      <c r="E728" s="271"/>
      <c r="F728" s="272"/>
      <c r="G728" s="270"/>
      <c r="H728" s="271"/>
      <c r="I728" s="272"/>
      <c r="J728" s="80"/>
      <c r="K728" s="273"/>
      <c r="L728" s="273"/>
      <c r="M728" s="273"/>
      <c r="N728" s="273"/>
      <c r="O728" s="273"/>
      <c r="P728" s="273"/>
      <c r="Q728" s="274"/>
      <c r="R728" s="80"/>
      <c r="S728" s="80"/>
      <c r="T728" s="241"/>
      <c r="U728" s="80"/>
      <c r="V728" s="80"/>
      <c r="W728" s="80"/>
      <c r="X728" s="80"/>
      <c r="Y728" s="80"/>
      <c r="Z728" s="80"/>
      <c r="AA728" s="80"/>
    </row>
    <row r="729" spans="1:27" ht="15.75" customHeight="1">
      <c r="A729" s="80"/>
      <c r="B729" s="270"/>
      <c r="C729" s="271"/>
      <c r="D729" s="80"/>
      <c r="E729" s="271"/>
      <c r="F729" s="272"/>
      <c r="G729" s="270"/>
      <c r="H729" s="271"/>
      <c r="I729" s="272"/>
      <c r="J729" s="80"/>
      <c r="K729" s="273"/>
      <c r="L729" s="273"/>
      <c r="M729" s="273"/>
      <c r="N729" s="273"/>
      <c r="O729" s="273"/>
      <c r="P729" s="273"/>
      <c r="Q729" s="274"/>
      <c r="R729" s="80"/>
      <c r="S729" s="80"/>
      <c r="T729" s="241"/>
      <c r="U729" s="80"/>
      <c r="V729" s="80"/>
      <c r="W729" s="80"/>
      <c r="X729" s="80"/>
      <c r="Y729" s="80"/>
      <c r="Z729" s="80"/>
      <c r="AA729" s="80"/>
    </row>
    <row r="730" spans="1:27" ht="15.75" customHeight="1">
      <c r="A730" s="80"/>
      <c r="B730" s="270"/>
      <c r="C730" s="271"/>
      <c r="D730" s="80"/>
      <c r="E730" s="271"/>
      <c r="F730" s="272"/>
      <c r="G730" s="270"/>
      <c r="H730" s="271"/>
      <c r="I730" s="272"/>
      <c r="J730" s="80"/>
      <c r="K730" s="273"/>
      <c r="L730" s="273"/>
      <c r="M730" s="273"/>
      <c r="N730" s="273"/>
      <c r="O730" s="273"/>
      <c r="P730" s="273"/>
      <c r="Q730" s="274"/>
      <c r="R730" s="80"/>
      <c r="S730" s="80"/>
      <c r="T730" s="241"/>
      <c r="U730" s="80"/>
      <c r="V730" s="80"/>
      <c r="W730" s="80"/>
      <c r="X730" s="80"/>
      <c r="Y730" s="80"/>
      <c r="Z730" s="80"/>
      <c r="AA730" s="80"/>
    </row>
    <row r="731" spans="1:27" ht="15.75" customHeight="1">
      <c r="A731" s="80"/>
      <c r="B731" s="270"/>
      <c r="C731" s="271"/>
      <c r="D731" s="80"/>
      <c r="E731" s="271"/>
      <c r="F731" s="272"/>
      <c r="G731" s="270"/>
      <c r="H731" s="271"/>
      <c r="I731" s="272"/>
      <c r="J731" s="80"/>
      <c r="K731" s="273"/>
      <c r="L731" s="273"/>
      <c r="M731" s="273"/>
      <c r="N731" s="273"/>
      <c r="O731" s="273"/>
      <c r="P731" s="273"/>
      <c r="Q731" s="274"/>
      <c r="R731" s="80"/>
      <c r="S731" s="80"/>
      <c r="T731" s="241"/>
      <c r="U731" s="80"/>
      <c r="V731" s="80"/>
      <c r="W731" s="80"/>
      <c r="X731" s="80"/>
      <c r="Y731" s="80"/>
      <c r="Z731" s="80"/>
      <c r="AA731" s="80"/>
    </row>
    <row r="732" spans="1:27" ht="15.75" customHeight="1">
      <c r="A732" s="80"/>
      <c r="B732" s="270"/>
      <c r="C732" s="271"/>
      <c r="D732" s="80"/>
      <c r="E732" s="271"/>
      <c r="F732" s="272"/>
      <c r="G732" s="270"/>
      <c r="H732" s="271"/>
      <c r="I732" s="272"/>
      <c r="J732" s="80"/>
      <c r="K732" s="273"/>
      <c r="L732" s="273"/>
      <c r="M732" s="273"/>
      <c r="N732" s="273"/>
      <c r="O732" s="273"/>
      <c r="P732" s="273"/>
      <c r="Q732" s="274"/>
      <c r="R732" s="80"/>
      <c r="S732" s="80"/>
      <c r="T732" s="241"/>
      <c r="U732" s="80"/>
      <c r="V732" s="80"/>
      <c r="W732" s="80"/>
      <c r="X732" s="80"/>
      <c r="Y732" s="80"/>
      <c r="Z732" s="80"/>
      <c r="AA732" s="80"/>
    </row>
    <row r="733" spans="1:27" ht="15.75" customHeight="1">
      <c r="A733" s="80"/>
      <c r="B733" s="270"/>
      <c r="C733" s="271"/>
      <c r="D733" s="80"/>
      <c r="E733" s="271"/>
      <c r="F733" s="272"/>
      <c r="G733" s="270"/>
      <c r="H733" s="271"/>
      <c r="I733" s="272"/>
      <c r="J733" s="80"/>
      <c r="K733" s="273"/>
      <c r="L733" s="273"/>
      <c r="M733" s="273"/>
      <c r="N733" s="273"/>
      <c r="O733" s="273"/>
      <c r="P733" s="273"/>
      <c r="Q733" s="274"/>
      <c r="R733" s="80"/>
      <c r="S733" s="80"/>
      <c r="T733" s="241"/>
      <c r="U733" s="80"/>
      <c r="V733" s="80"/>
      <c r="W733" s="80"/>
      <c r="X733" s="80"/>
      <c r="Y733" s="80"/>
      <c r="Z733" s="80"/>
      <c r="AA733" s="80"/>
    </row>
    <row r="734" spans="1:27" ht="15.75" customHeight="1">
      <c r="A734" s="80"/>
      <c r="B734" s="270"/>
      <c r="C734" s="271"/>
      <c r="D734" s="80"/>
      <c r="E734" s="271"/>
      <c r="F734" s="272"/>
      <c r="G734" s="270"/>
      <c r="H734" s="271"/>
      <c r="I734" s="272"/>
      <c r="J734" s="80"/>
      <c r="K734" s="273"/>
      <c r="L734" s="273"/>
      <c r="M734" s="273"/>
      <c r="N734" s="273"/>
      <c r="O734" s="273"/>
      <c r="P734" s="273"/>
      <c r="Q734" s="274"/>
      <c r="R734" s="80"/>
      <c r="S734" s="80"/>
      <c r="T734" s="241"/>
      <c r="U734" s="80"/>
      <c r="V734" s="80"/>
      <c r="W734" s="80"/>
      <c r="X734" s="80"/>
      <c r="Y734" s="80"/>
      <c r="Z734" s="80"/>
      <c r="AA734" s="80"/>
    </row>
    <row r="735" spans="1:27" ht="15.75" customHeight="1">
      <c r="A735" s="80"/>
      <c r="B735" s="270"/>
      <c r="C735" s="271"/>
      <c r="D735" s="80"/>
      <c r="E735" s="271"/>
      <c r="F735" s="272"/>
      <c r="G735" s="270"/>
      <c r="H735" s="271"/>
      <c r="I735" s="272"/>
      <c r="J735" s="80"/>
      <c r="K735" s="273"/>
      <c r="L735" s="273"/>
      <c r="M735" s="273"/>
      <c r="N735" s="273"/>
      <c r="O735" s="273"/>
      <c r="P735" s="273"/>
      <c r="Q735" s="274"/>
      <c r="R735" s="80"/>
      <c r="S735" s="80"/>
      <c r="T735" s="241"/>
      <c r="U735" s="80"/>
      <c r="V735" s="80"/>
      <c r="W735" s="80"/>
      <c r="X735" s="80"/>
      <c r="Y735" s="80"/>
      <c r="Z735" s="80"/>
      <c r="AA735" s="80"/>
    </row>
    <row r="736" spans="1:27" ht="15.75" customHeight="1">
      <c r="A736" s="80"/>
      <c r="B736" s="270"/>
      <c r="C736" s="271"/>
      <c r="D736" s="80"/>
      <c r="E736" s="271"/>
      <c r="F736" s="272"/>
      <c r="G736" s="270"/>
      <c r="H736" s="271"/>
      <c r="I736" s="272"/>
      <c r="J736" s="80"/>
      <c r="K736" s="273"/>
      <c r="L736" s="273"/>
      <c r="M736" s="273"/>
      <c r="N736" s="273"/>
      <c r="O736" s="273"/>
      <c r="P736" s="273"/>
      <c r="Q736" s="274"/>
      <c r="R736" s="80"/>
      <c r="S736" s="80"/>
      <c r="T736" s="241"/>
      <c r="U736" s="80"/>
      <c r="V736" s="80"/>
      <c r="W736" s="80"/>
      <c r="X736" s="80"/>
      <c r="Y736" s="80"/>
      <c r="Z736" s="80"/>
      <c r="AA736" s="80"/>
    </row>
    <row r="737" spans="1:27" ht="15.75" customHeight="1">
      <c r="A737" s="80"/>
      <c r="B737" s="270"/>
      <c r="C737" s="271"/>
      <c r="D737" s="80"/>
      <c r="E737" s="271"/>
      <c r="F737" s="272"/>
      <c r="G737" s="270"/>
      <c r="H737" s="271"/>
      <c r="I737" s="272"/>
      <c r="J737" s="80"/>
      <c r="K737" s="273"/>
      <c r="L737" s="273"/>
      <c r="M737" s="273"/>
      <c r="N737" s="273"/>
      <c r="O737" s="273"/>
      <c r="P737" s="273"/>
      <c r="Q737" s="274"/>
      <c r="R737" s="80"/>
      <c r="S737" s="80"/>
      <c r="T737" s="241"/>
      <c r="U737" s="80"/>
      <c r="V737" s="80"/>
      <c r="W737" s="80"/>
      <c r="X737" s="80"/>
      <c r="Y737" s="80"/>
      <c r="Z737" s="80"/>
      <c r="AA737" s="80"/>
    </row>
    <row r="738" spans="1:27" ht="15.75" customHeight="1">
      <c r="A738" s="80"/>
      <c r="B738" s="270"/>
      <c r="C738" s="271"/>
      <c r="D738" s="80"/>
      <c r="E738" s="271"/>
      <c r="F738" s="272"/>
      <c r="G738" s="270"/>
      <c r="H738" s="271"/>
      <c r="I738" s="272"/>
      <c r="J738" s="80"/>
      <c r="K738" s="273"/>
      <c r="L738" s="273"/>
      <c r="M738" s="273"/>
      <c r="N738" s="273"/>
      <c r="O738" s="273"/>
      <c r="P738" s="273"/>
      <c r="Q738" s="274"/>
      <c r="R738" s="80"/>
      <c r="S738" s="80"/>
      <c r="T738" s="241"/>
      <c r="U738" s="80"/>
      <c r="V738" s="80"/>
      <c r="W738" s="80"/>
      <c r="X738" s="80"/>
      <c r="Y738" s="80"/>
      <c r="Z738" s="80"/>
      <c r="AA738" s="80"/>
    </row>
    <row r="739" spans="1:27" ht="15.75" customHeight="1">
      <c r="A739" s="80"/>
      <c r="B739" s="270"/>
      <c r="C739" s="271"/>
      <c r="D739" s="80"/>
      <c r="E739" s="271"/>
      <c r="F739" s="272"/>
      <c r="G739" s="270"/>
      <c r="H739" s="271"/>
      <c r="I739" s="272"/>
      <c r="J739" s="80"/>
      <c r="K739" s="273"/>
      <c r="L739" s="273"/>
      <c r="M739" s="273"/>
      <c r="N739" s="273"/>
      <c r="O739" s="273"/>
      <c r="P739" s="273"/>
      <c r="Q739" s="274"/>
      <c r="R739" s="80"/>
      <c r="S739" s="80"/>
      <c r="T739" s="241"/>
      <c r="U739" s="80"/>
      <c r="V739" s="80"/>
      <c r="W739" s="80"/>
      <c r="X739" s="80"/>
      <c r="Y739" s="80"/>
      <c r="Z739" s="80"/>
      <c r="AA739" s="80"/>
    </row>
    <row r="740" spans="1:27" ht="15.75" customHeight="1">
      <c r="A740" s="80"/>
      <c r="B740" s="270"/>
      <c r="C740" s="271"/>
      <c r="D740" s="80"/>
      <c r="E740" s="271"/>
      <c r="F740" s="272"/>
      <c r="G740" s="270"/>
      <c r="H740" s="271"/>
      <c r="I740" s="272"/>
      <c r="J740" s="80"/>
      <c r="K740" s="273"/>
      <c r="L740" s="273"/>
      <c r="M740" s="273"/>
      <c r="N740" s="273"/>
      <c r="O740" s="273"/>
      <c r="P740" s="273"/>
      <c r="Q740" s="274"/>
      <c r="R740" s="80"/>
      <c r="S740" s="80"/>
      <c r="T740" s="241"/>
      <c r="U740" s="80"/>
      <c r="V740" s="80"/>
      <c r="W740" s="80"/>
      <c r="X740" s="80"/>
      <c r="Y740" s="80"/>
      <c r="Z740" s="80"/>
      <c r="AA740" s="80"/>
    </row>
    <row r="741" spans="1:27" ht="15.75" customHeight="1">
      <c r="A741" s="80"/>
      <c r="B741" s="270"/>
      <c r="C741" s="271"/>
      <c r="D741" s="80"/>
      <c r="E741" s="271"/>
      <c r="F741" s="272"/>
      <c r="G741" s="270"/>
      <c r="H741" s="271"/>
      <c r="I741" s="272"/>
      <c r="J741" s="80"/>
      <c r="K741" s="273"/>
      <c r="L741" s="273"/>
      <c r="M741" s="273"/>
      <c r="N741" s="273"/>
      <c r="O741" s="273"/>
      <c r="P741" s="273"/>
      <c r="Q741" s="274"/>
      <c r="R741" s="80"/>
      <c r="S741" s="80"/>
      <c r="T741" s="241"/>
      <c r="U741" s="80"/>
      <c r="V741" s="80"/>
      <c r="W741" s="80"/>
      <c r="X741" s="80"/>
      <c r="Y741" s="80"/>
      <c r="Z741" s="80"/>
      <c r="AA741" s="80"/>
    </row>
    <row r="742" spans="1:27" ht="15.75" customHeight="1">
      <c r="A742" s="80"/>
      <c r="B742" s="270"/>
      <c r="C742" s="271"/>
      <c r="D742" s="80"/>
      <c r="E742" s="271"/>
      <c r="F742" s="272"/>
      <c r="G742" s="270"/>
      <c r="H742" s="271"/>
      <c r="I742" s="272"/>
      <c r="J742" s="80"/>
      <c r="K742" s="273"/>
      <c r="L742" s="273"/>
      <c r="M742" s="273"/>
      <c r="N742" s="273"/>
      <c r="O742" s="273"/>
      <c r="P742" s="273"/>
      <c r="Q742" s="274"/>
      <c r="R742" s="80"/>
      <c r="S742" s="80"/>
      <c r="T742" s="241"/>
      <c r="U742" s="80"/>
      <c r="V742" s="80"/>
      <c r="W742" s="80"/>
      <c r="X742" s="80"/>
      <c r="Y742" s="80"/>
      <c r="Z742" s="80"/>
      <c r="AA742" s="80"/>
    </row>
    <row r="743" spans="1:27" ht="15.75" customHeight="1">
      <c r="A743" s="80"/>
      <c r="B743" s="270"/>
      <c r="C743" s="271"/>
      <c r="D743" s="80"/>
      <c r="E743" s="271"/>
      <c r="F743" s="272"/>
      <c r="G743" s="270"/>
      <c r="H743" s="271"/>
      <c r="I743" s="272"/>
      <c r="J743" s="80"/>
      <c r="K743" s="273"/>
      <c r="L743" s="273"/>
      <c r="M743" s="273"/>
      <c r="N743" s="273"/>
      <c r="O743" s="273"/>
      <c r="P743" s="273"/>
      <c r="Q743" s="274"/>
      <c r="R743" s="80"/>
      <c r="S743" s="80"/>
      <c r="T743" s="241"/>
      <c r="U743" s="80"/>
      <c r="V743" s="80"/>
      <c r="W743" s="80"/>
      <c r="X743" s="80"/>
      <c r="Y743" s="80"/>
      <c r="Z743" s="80"/>
      <c r="AA743" s="80"/>
    </row>
    <row r="744" spans="1:27" ht="15.75" customHeight="1">
      <c r="A744" s="80"/>
      <c r="B744" s="270"/>
      <c r="C744" s="271"/>
      <c r="D744" s="80"/>
      <c r="E744" s="271"/>
      <c r="F744" s="272"/>
      <c r="G744" s="270"/>
      <c r="H744" s="271"/>
      <c r="I744" s="272"/>
      <c r="J744" s="80"/>
      <c r="K744" s="273"/>
      <c r="L744" s="273"/>
      <c r="M744" s="273"/>
      <c r="N744" s="273"/>
      <c r="O744" s="273"/>
      <c r="P744" s="273"/>
      <c r="Q744" s="274"/>
      <c r="R744" s="80"/>
      <c r="S744" s="80"/>
      <c r="T744" s="241"/>
      <c r="U744" s="80"/>
      <c r="V744" s="80"/>
      <c r="W744" s="80"/>
      <c r="X744" s="80"/>
      <c r="Y744" s="80"/>
      <c r="Z744" s="80"/>
      <c r="AA744" s="80"/>
    </row>
    <row r="745" spans="1:27" ht="15.75" customHeight="1">
      <c r="A745" s="80"/>
      <c r="B745" s="270"/>
      <c r="C745" s="271"/>
      <c r="D745" s="80"/>
      <c r="E745" s="271"/>
      <c r="F745" s="272"/>
      <c r="G745" s="270"/>
      <c r="H745" s="271"/>
      <c r="I745" s="272"/>
      <c r="J745" s="80"/>
      <c r="K745" s="273"/>
      <c r="L745" s="273"/>
      <c r="M745" s="273"/>
      <c r="N745" s="273"/>
      <c r="O745" s="273"/>
      <c r="P745" s="273"/>
      <c r="Q745" s="274"/>
      <c r="R745" s="80"/>
      <c r="S745" s="80"/>
      <c r="T745" s="241"/>
      <c r="U745" s="80"/>
      <c r="V745" s="80"/>
      <c r="W745" s="80"/>
      <c r="X745" s="80"/>
      <c r="Y745" s="80"/>
      <c r="Z745" s="80"/>
      <c r="AA745" s="80"/>
    </row>
    <row r="746" spans="1:27" ht="15.75" customHeight="1">
      <c r="A746" s="80"/>
      <c r="B746" s="270"/>
      <c r="C746" s="271"/>
      <c r="D746" s="80"/>
      <c r="E746" s="271"/>
      <c r="F746" s="272"/>
      <c r="G746" s="270"/>
      <c r="H746" s="271"/>
      <c r="I746" s="272"/>
      <c r="J746" s="80"/>
      <c r="K746" s="273"/>
      <c r="L746" s="273"/>
      <c r="M746" s="273"/>
      <c r="N746" s="273"/>
      <c r="O746" s="273"/>
      <c r="P746" s="273"/>
      <c r="Q746" s="274"/>
      <c r="R746" s="80"/>
      <c r="S746" s="80"/>
      <c r="T746" s="241"/>
      <c r="U746" s="80"/>
      <c r="V746" s="80"/>
      <c r="W746" s="80"/>
      <c r="X746" s="80"/>
      <c r="Y746" s="80"/>
      <c r="Z746" s="80"/>
      <c r="AA746" s="80"/>
    </row>
    <row r="747" spans="1:27" ht="15.75" customHeight="1">
      <c r="A747" s="80"/>
      <c r="B747" s="270"/>
      <c r="C747" s="271"/>
      <c r="D747" s="80"/>
      <c r="E747" s="271"/>
      <c r="F747" s="272"/>
      <c r="G747" s="270"/>
      <c r="H747" s="271"/>
      <c r="I747" s="272"/>
      <c r="J747" s="80"/>
      <c r="K747" s="273"/>
      <c r="L747" s="273"/>
      <c r="M747" s="273"/>
      <c r="N747" s="273"/>
      <c r="O747" s="273"/>
      <c r="P747" s="273"/>
      <c r="Q747" s="274"/>
      <c r="R747" s="80"/>
      <c r="S747" s="80"/>
      <c r="T747" s="241"/>
      <c r="U747" s="80"/>
      <c r="V747" s="80"/>
      <c r="W747" s="80"/>
      <c r="X747" s="80"/>
      <c r="Y747" s="80"/>
      <c r="Z747" s="80"/>
      <c r="AA747" s="80"/>
    </row>
    <row r="748" spans="1:27" ht="15.75" customHeight="1">
      <c r="A748" s="80"/>
      <c r="B748" s="270"/>
      <c r="C748" s="271"/>
      <c r="D748" s="80"/>
      <c r="E748" s="271"/>
      <c r="F748" s="272"/>
      <c r="G748" s="270"/>
      <c r="H748" s="271"/>
      <c r="I748" s="272"/>
      <c r="J748" s="80"/>
      <c r="K748" s="273"/>
      <c r="L748" s="273"/>
      <c r="M748" s="273"/>
      <c r="N748" s="273"/>
      <c r="O748" s="273"/>
      <c r="P748" s="273"/>
      <c r="Q748" s="274"/>
      <c r="R748" s="80"/>
      <c r="S748" s="80"/>
      <c r="T748" s="241"/>
      <c r="U748" s="80"/>
      <c r="V748" s="80"/>
      <c r="W748" s="80"/>
      <c r="X748" s="80"/>
      <c r="Y748" s="80"/>
      <c r="Z748" s="80"/>
      <c r="AA748" s="80"/>
    </row>
    <row r="749" spans="1:27" ht="15.75" customHeight="1">
      <c r="A749" s="80"/>
      <c r="B749" s="270"/>
      <c r="C749" s="271"/>
      <c r="D749" s="80"/>
      <c r="E749" s="271"/>
      <c r="F749" s="272"/>
      <c r="G749" s="270"/>
      <c r="H749" s="271"/>
      <c r="I749" s="272"/>
      <c r="J749" s="80"/>
      <c r="K749" s="273"/>
      <c r="L749" s="273"/>
      <c r="M749" s="273"/>
      <c r="N749" s="273"/>
      <c r="O749" s="273"/>
      <c r="P749" s="273"/>
      <c r="Q749" s="274"/>
      <c r="R749" s="80"/>
      <c r="S749" s="80"/>
      <c r="T749" s="241"/>
      <c r="U749" s="80"/>
      <c r="V749" s="80"/>
      <c r="W749" s="80"/>
      <c r="X749" s="80"/>
      <c r="Y749" s="80"/>
      <c r="Z749" s="80"/>
      <c r="AA749" s="80"/>
    </row>
    <row r="750" spans="1:27" ht="15.75" customHeight="1">
      <c r="A750" s="80"/>
      <c r="B750" s="270"/>
      <c r="C750" s="271"/>
      <c r="D750" s="80"/>
      <c r="E750" s="271"/>
      <c r="F750" s="272"/>
      <c r="G750" s="270"/>
      <c r="H750" s="271"/>
      <c r="I750" s="272"/>
      <c r="J750" s="80"/>
      <c r="K750" s="273"/>
      <c r="L750" s="273"/>
      <c r="M750" s="273"/>
      <c r="N750" s="273"/>
      <c r="O750" s="273"/>
      <c r="P750" s="273"/>
      <c r="Q750" s="274"/>
      <c r="R750" s="80"/>
      <c r="S750" s="80"/>
      <c r="T750" s="241"/>
      <c r="U750" s="80"/>
      <c r="V750" s="80"/>
      <c r="W750" s="80"/>
      <c r="X750" s="80"/>
      <c r="Y750" s="80"/>
      <c r="Z750" s="80"/>
      <c r="AA750" s="80"/>
    </row>
    <row r="751" spans="1:27" ht="15.75" customHeight="1">
      <c r="A751" s="80"/>
      <c r="B751" s="270"/>
      <c r="C751" s="271"/>
      <c r="D751" s="80"/>
      <c r="E751" s="271"/>
      <c r="F751" s="272"/>
      <c r="G751" s="270"/>
      <c r="H751" s="271"/>
      <c r="I751" s="272"/>
      <c r="J751" s="80"/>
      <c r="K751" s="273"/>
      <c r="L751" s="273"/>
      <c r="M751" s="273"/>
      <c r="N751" s="273"/>
      <c r="O751" s="273"/>
      <c r="P751" s="273"/>
      <c r="Q751" s="274"/>
      <c r="R751" s="80"/>
      <c r="S751" s="80"/>
      <c r="T751" s="241"/>
      <c r="U751" s="80"/>
      <c r="V751" s="80"/>
      <c r="W751" s="80"/>
      <c r="X751" s="80"/>
      <c r="Y751" s="80"/>
      <c r="Z751" s="80"/>
      <c r="AA751" s="80"/>
    </row>
    <row r="752" spans="1:27" ht="15.75" customHeight="1">
      <c r="A752" s="80"/>
      <c r="B752" s="270"/>
      <c r="C752" s="271"/>
      <c r="D752" s="80"/>
      <c r="E752" s="271"/>
      <c r="F752" s="272"/>
      <c r="G752" s="270"/>
      <c r="H752" s="271"/>
      <c r="I752" s="272"/>
      <c r="J752" s="80"/>
      <c r="K752" s="273"/>
      <c r="L752" s="273"/>
      <c r="M752" s="273"/>
      <c r="N752" s="273"/>
      <c r="O752" s="273"/>
      <c r="P752" s="273"/>
      <c r="Q752" s="274"/>
      <c r="R752" s="80"/>
      <c r="S752" s="80"/>
      <c r="T752" s="241"/>
      <c r="U752" s="80"/>
      <c r="V752" s="80"/>
      <c r="W752" s="80"/>
      <c r="X752" s="80"/>
      <c r="Y752" s="80"/>
      <c r="Z752" s="80"/>
      <c r="AA752" s="80"/>
    </row>
    <row r="753" spans="1:27" ht="15.75" customHeight="1">
      <c r="A753" s="80"/>
      <c r="B753" s="270"/>
      <c r="C753" s="271"/>
      <c r="D753" s="80"/>
      <c r="E753" s="271"/>
      <c r="F753" s="272"/>
      <c r="G753" s="270"/>
      <c r="H753" s="271"/>
      <c r="I753" s="272"/>
      <c r="J753" s="80"/>
      <c r="K753" s="273"/>
      <c r="L753" s="273"/>
      <c r="M753" s="273"/>
      <c r="N753" s="273"/>
      <c r="O753" s="273"/>
      <c r="P753" s="273"/>
      <c r="Q753" s="274"/>
      <c r="R753" s="80"/>
      <c r="S753" s="80"/>
      <c r="T753" s="241"/>
      <c r="U753" s="80"/>
      <c r="V753" s="80"/>
      <c r="W753" s="80"/>
      <c r="X753" s="80"/>
      <c r="Y753" s="80"/>
      <c r="Z753" s="80"/>
      <c r="AA753" s="80"/>
    </row>
    <row r="754" spans="1:27" ht="15.75" customHeight="1">
      <c r="A754" s="80"/>
      <c r="B754" s="270"/>
      <c r="C754" s="271"/>
      <c r="D754" s="80"/>
      <c r="E754" s="271"/>
      <c r="F754" s="272"/>
      <c r="G754" s="270"/>
      <c r="H754" s="271"/>
      <c r="I754" s="272"/>
      <c r="J754" s="80"/>
      <c r="K754" s="273"/>
      <c r="L754" s="273"/>
      <c r="M754" s="273"/>
      <c r="N754" s="273"/>
      <c r="O754" s="273"/>
      <c r="P754" s="273"/>
      <c r="Q754" s="274"/>
      <c r="R754" s="80"/>
      <c r="S754" s="80"/>
      <c r="T754" s="241"/>
      <c r="U754" s="80"/>
      <c r="V754" s="80"/>
      <c r="W754" s="80"/>
      <c r="X754" s="80"/>
      <c r="Y754" s="80"/>
      <c r="Z754" s="80"/>
      <c r="AA754" s="80"/>
    </row>
    <row r="755" spans="1:27" ht="15.75" customHeight="1">
      <c r="A755" s="80"/>
      <c r="B755" s="270"/>
      <c r="C755" s="271"/>
      <c r="D755" s="80"/>
      <c r="E755" s="271"/>
      <c r="F755" s="272"/>
      <c r="G755" s="270"/>
      <c r="H755" s="271"/>
      <c r="I755" s="272"/>
      <c r="J755" s="80"/>
      <c r="K755" s="273"/>
      <c r="L755" s="273"/>
      <c r="M755" s="273"/>
      <c r="N755" s="273"/>
      <c r="O755" s="273"/>
      <c r="P755" s="273"/>
      <c r="Q755" s="274"/>
      <c r="R755" s="80"/>
      <c r="S755" s="80"/>
      <c r="T755" s="241"/>
      <c r="U755" s="80"/>
      <c r="V755" s="80"/>
      <c r="W755" s="80"/>
      <c r="X755" s="80"/>
      <c r="Y755" s="80"/>
      <c r="Z755" s="80"/>
      <c r="AA755" s="80"/>
    </row>
    <row r="756" spans="1:27" ht="15.75" customHeight="1">
      <c r="A756" s="80"/>
      <c r="B756" s="270"/>
      <c r="C756" s="271"/>
      <c r="D756" s="80"/>
      <c r="E756" s="271"/>
      <c r="F756" s="272"/>
      <c r="G756" s="270"/>
      <c r="H756" s="271"/>
      <c r="I756" s="272"/>
      <c r="J756" s="80"/>
      <c r="K756" s="273"/>
      <c r="L756" s="273"/>
      <c r="M756" s="273"/>
      <c r="N756" s="273"/>
      <c r="O756" s="273"/>
      <c r="P756" s="273"/>
      <c r="Q756" s="274"/>
      <c r="R756" s="80"/>
      <c r="S756" s="80"/>
      <c r="T756" s="241"/>
      <c r="U756" s="80"/>
      <c r="V756" s="80"/>
      <c r="W756" s="80"/>
      <c r="X756" s="80"/>
      <c r="Y756" s="80"/>
      <c r="Z756" s="80"/>
      <c r="AA756" s="80"/>
    </row>
    <row r="757" spans="1:27" ht="15.75" customHeight="1">
      <c r="A757" s="80"/>
      <c r="B757" s="270"/>
      <c r="C757" s="271"/>
      <c r="D757" s="80"/>
      <c r="E757" s="271"/>
      <c r="F757" s="272"/>
      <c r="G757" s="270"/>
      <c r="H757" s="271"/>
      <c r="I757" s="272"/>
      <c r="J757" s="80"/>
      <c r="K757" s="273"/>
      <c r="L757" s="273"/>
      <c r="M757" s="273"/>
      <c r="N757" s="273"/>
      <c r="O757" s="273"/>
      <c r="P757" s="273"/>
      <c r="Q757" s="274"/>
      <c r="R757" s="80"/>
      <c r="S757" s="80"/>
      <c r="T757" s="241"/>
      <c r="U757" s="80"/>
      <c r="V757" s="80"/>
      <c r="W757" s="80"/>
      <c r="X757" s="80"/>
      <c r="Y757" s="80"/>
      <c r="Z757" s="80"/>
      <c r="AA757" s="80"/>
    </row>
    <row r="758" spans="1:27" ht="15.75" customHeight="1">
      <c r="A758" s="80"/>
      <c r="B758" s="270"/>
      <c r="C758" s="271"/>
      <c r="D758" s="80"/>
      <c r="E758" s="271"/>
      <c r="F758" s="272"/>
      <c r="G758" s="270"/>
      <c r="H758" s="271"/>
      <c r="I758" s="272"/>
      <c r="J758" s="80"/>
      <c r="K758" s="273"/>
      <c r="L758" s="273"/>
      <c r="M758" s="273"/>
      <c r="N758" s="273"/>
      <c r="O758" s="273"/>
      <c r="P758" s="273"/>
      <c r="Q758" s="274"/>
      <c r="R758" s="80"/>
      <c r="S758" s="80"/>
      <c r="T758" s="241"/>
      <c r="U758" s="80"/>
      <c r="V758" s="80"/>
      <c r="W758" s="80"/>
      <c r="X758" s="80"/>
      <c r="Y758" s="80"/>
      <c r="Z758" s="80"/>
      <c r="AA758" s="80"/>
    </row>
    <row r="759" spans="1:27" ht="15.75" customHeight="1">
      <c r="A759" s="80"/>
      <c r="B759" s="270"/>
      <c r="C759" s="271"/>
      <c r="D759" s="80"/>
      <c r="E759" s="271"/>
      <c r="F759" s="272"/>
      <c r="G759" s="270"/>
      <c r="H759" s="271"/>
      <c r="I759" s="272"/>
      <c r="J759" s="80"/>
      <c r="K759" s="273"/>
      <c r="L759" s="273"/>
      <c r="M759" s="273"/>
      <c r="N759" s="273"/>
      <c r="O759" s="273"/>
      <c r="P759" s="273"/>
      <c r="Q759" s="274"/>
      <c r="R759" s="80"/>
      <c r="S759" s="80"/>
      <c r="T759" s="241"/>
      <c r="U759" s="80"/>
      <c r="V759" s="80"/>
      <c r="W759" s="80"/>
      <c r="X759" s="80"/>
      <c r="Y759" s="80"/>
      <c r="Z759" s="80"/>
      <c r="AA759" s="80"/>
    </row>
    <row r="760" spans="1:27" ht="15.75" customHeight="1">
      <c r="A760" s="80"/>
      <c r="B760" s="270"/>
      <c r="C760" s="271"/>
      <c r="D760" s="80"/>
      <c r="E760" s="271"/>
      <c r="F760" s="272"/>
      <c r="G760" s="270"/>
      <c r="H760" s="271"/>
      <c r="I760" s="272"/>
      <c r="J760" s="80"/>
      <c r="K760" s="273"/>
      <c r="L760" s="273"/>
      <c r="M760" s="273"/>
      <c r="N760" s="273"/>
      <c r="O760" s="273"/>
      <c r="P760" s="273"/>
      <c r="Q760" s="274"/>
      <c r="R760" s="80"/>
      <c r="S760" s="80"/>
      <c r="T760" s="241"/>
      <c r="U760" s="80"/>
      <c r="V760" s="80"/>
      <c r="W760" s="80"/>
      <c r="X760" s="80"/>
      <c r="Y760" s="80"/>
      <c r="Z760" s="80"/>
      <c r="AA760" s="80"/>
    </row>
    <row r="761" spans="1:27" ht="15.75" customHeight="1">
      <c r="A761" s="80"/>
      <c r="B761" s="270"/>
      <c r="C761" s="271"/>
      <c r="D761" s="80"/>
      <c r="E761" s="271"/>
      <c r="F761" s="272"/>
      <c r="G761" s="270"/>
      <c r="H761" s="271"/>
      <c r="I761" s="272"/>
      <c r="J761" s="80"/>
      <c r="K761" s="273"/>
      <c r="L761" s="273"/>
      <c r="M761" s="273"/>
      <c r="N761" s="273"/>
      <c r="O761" s="273"/>
      <c r="P761" s="273"/>
      <c r="Q761" s="274"/>
      <c r="R761" s="80"/>
      <c r="S761" s="80"/>
      <c r="T761" s="241"/>
      <c r="U761" s="80"/>
      <c r="V761" s="80"/>
      <c r="W761" s="80"/>
      <c r="X761" s="80"/>
      <c r="Y761" s="80"/>
      <c r="Z761" s="80"/>
      <c r="AA761" s="80"/>
    </row>
    <row r="762" spans="1:27" ht="15.75" customHeight="1">
      <c r="A762" s="80"/>
      <c r="B762" s="270"/>
      <c r="C762" s="271"/>
      <c r="D762" s="80"/>
      <c r="E762" s="271"/>
      <c r="F762" s="272"/>
      <c r="G762" s="270"/>
      <c r="H762" s="271"/>
      <c r="I762" s="272"/>
      <c r="J762" s="80"/>
      <c r="K762" s="273"/>
      <c r="L762" s="273"/>
      <c r="M762" s="273"/>
      <c r="N762" s="273"/>
      <c r="O762" s="273"/>
      <c r="P762" s="273"/>
      <c r="Q762" s="274"/>
      <c r="R762" s="80"/>
      <c r="S762" s="80"/>
      <c r="T762" s="241"/>
      <c r="U762" s="80"/>
      <c r="V762" s="80"/>
      <c r="W762" s="80"/>
      <c r="X762" s="80"/>
      <c r="Y762" s="80"/>
      <c r="Z762" s="80"/>
      <c r="AA762" s="80"/>
    </row>
    <row r="763" spans="1:27" ht="15.75" customHeight="1">
      <c r="A763" s="80"/>
      <c r="B763" s="270"/>
      <c r="C763" s="271"/>
      <c r="D763" s="80"/>
      <c r="E763" s="271"/>
      <c r="F763" s="272"/>
      <c r="G763" s="270"/>
      <c r="H763" s="271"/>
      <c r="I763" s="272"/>
      <c r="J763" s="80"/>
      <c r="K763" s="273"/>
      <c r="L763" s="273"/>
      <c r="M763" s="273"/>
      <c r="N763" s="273"/>
      <c r="O763" s="273"/>
      <c r="P763" s="273"/>
      <c r="Q763" s="274"/>
      <c r="R763" s="80"/>
      <c r="S763" s="80"/>
      <c r="T763" s="241"/>
      <c r="U763" s="80"/>
      <c r="V763" s="80"/>
      <c r="W763" s="80"/>
      <c r="X763" s="80"/>
      <c r="Y763" s="80"/>
      <c r="Z763" s="80"/>
      <c r="AA763" s="80"/>
    </row>
    <row r="764" spans="1:27" ht="15.75" customHeight="1">
      <c r="A764" s="80"/>
      <c r="B764" s="270"/>
      <c r="C764" s="271"/>
      <c r="D764" s="80"/>
      <c r="E764" s="271"/>
      <c r="F764" s="272"/>
      <c r="G764" s="270"/>
      <c r="H764" s="271"/>
      <c r="I764" s="272"/>
      <c r="J764" s="80"/>
      <c r="K764" s="273"/>
      <c r="L764" s="273"/>
      <c r="M764" s="273"/>
      <c r="N764" s="273"/>
      <c r="O764" s="273"/>
      <c r="P764" s="273"/>
      <c r="Q764" s="274"/>
      <c r="R764" s="80"/>
      <c r="S764" s="80"/>
      <c r="T764" s="241"/>
      <c r="U764" s="80"/>
      <c r="V764" s="80"/>
      <c r="W764" s="80"/>
      <c r="X764" s="80"/>
      <c r="Y764" s="80"/>
      <c r="Z764" s="80"/>
      <c r="AA764" s="80"/>
    </row>
    <row r="765" spans="1:27" ht="15.75" customHeight="1">
      <c r="A765" s="80"/>
      <c r="B765" s="270"/>
      <c r="C765" s="271"/>
      <c r="D765" s="80"/>
      <c r="E765" s="271"/>
      <c r="F765" s="272"/>
      <c r="G765" s="270"/>
      <c r="H765" s="271"/>
      <c r="I765" s="272"/>
      <c r="J765" s="80"/>
      <c r="K765" s="273"/>
      <c r="L765" s="273"/>
      <c r="M765" s="273"/>
      <c r="N765" s="273"/>
      <c r="O765" s="273"/>
      <c r="P765" s="273"/>
      <c r="Q765" s="274"/>
      <c r="R765" s="80"/>
      <c r="S765" s="80"/>
      <c r="T765" s="241"/>
      <c r="U765" s="80"/>
      <c r="V765" s="80"/>
      <c r="W765" s="80"/>
      <c r="X765" s="80"/>
      <c r="Y765" s="80"/>
      <c r="Z765" s="80"/>
      <c r="AA765" s="80"/>
    </row>
    <row r="766" spans="1:27" ht="15.75" customHeight="1">
      <c r="A766" s="80"/>
      <c r="B766" s="270"/>
      <c r="C766" s="271"/>
      <c r="D766" s="80"/>
      <c r="E766" s="271"/>
      <c r="F766" s="272"/>
      <c r="G766" s="270"/>
      <c r="H766" s="271"/>
      <c r="I766" s="272"/>
      <c r="J766" s="80"/>
      <c r="K766" s="273"/>
      <c r="L766" s="273"/>
      <c r="M766" s="273"/>
      <c r="N766" s="273"/>
      <c r="O766" s="273"/>
      <c r="P766" s="273"/>
      <c r="Q766" s="274"/>
      <c r="R766" s="80"/>
      <c r="S766" s="80"/>
      <c r="T766" s="241"/>
      <c r="U766" s="80"/>
      <c r="V766" s="80"/>
      <c r="W766" s="80"/>
      <c r="X766" s="80"/>
      <c r="Y766" s="80"/>
      <c r="Z766" s="80"/>
      <c r="AA766" s="80"/>
    </row>
    <row r="767" spans="1:27" ht="15.75" customHeight="1">
      <c r="A767" s="80"/>
      <c r="B767" s="270"/>
      <c r="C767" s="271"/>
      <c r="D767" s="80"/>
      <c r="E767" s="271"/>
      <c r="F767" s="272"/>
      <c r="G767" s="270"/>
      <c r="H767" s="271"/>
      <c r="I767" s="272"/>
      <c r="J767" s="80"/>
      <c r="K767" s="273"/>
      <c r="L767" s="273"/>
      <c r="M767" s="273"/>
      <c r="N767" s="273"/>
      <c r="O767" s="273"/>
      <c r="P767" s="273"/>
      <c r="Q767" s="274"/>
      <c r="R767" s="80"/>
      <c r="S767" s="80"/>
      <c r="T767" s="241"/>
      <c r="U767" s="80"/>
      <c r="V767" s="80"/>
      <c r="W767" s="80"/>
      <c r="X767" s="80"/>
      <c r="Y767" s="80"/>
      <c r="Z767" s="80"/>
      <c r="AA767" s="80"/>
    </row>
    <row r="768" spans="1:27" ht="15.75" customHeight="1">
      <c r="A768" s="80"/>
      <c r="B768" s="270"/>
      <c r="C768" s="271"/>
      <c r="D768" s="80"/>
      <c r="E768" s="271"/>
      <c r="F768" s="272"/>
      <c r="G768" s="270"/>
      <c r="H768" s="271"/>
      <c r="I768" s="272"/>
      <c r="J768" s="80"/>
      <c r="K768" s="273"/>
      <c r="L768" s="273"/>
      <c r="M768" s="273"/>
      <c r="N768" s="273"/>
      <c r="O768" s="273"/>
      <c r="P768" s="273"/>
      <c r="Q768" s="274"/>
      <c r="R768" s="80"/>
      <c r="S768" s="80"/>
      <c r="T768" s="241"/>
      <c r="U768" s="80"/>
      <c r="V768" s="80"/>
      <c r="W768" s="80"/>
      <c r="X768" s="80"/>
      <c r="Y768" s="80"/>
      <c r="Z768" s="80"/>
      <c r="AA768" s="80"/>
    </row>
    <row r="769" spans="1:27" ht="15.75" customHeight="1">
      <c r="A769" s="80"/>
      <c r="B769" s="270"/>
      <c r="C769" s="271"/>
      <c r="D769" s="80"/>
      <c r="E769" s="271"/>
      <c r="F769" s="272"/>
      <c r="G769" s="270"/>
      <c r="H769" s="271"/>
      <c r="I769" s="272"/>
      <c r="J769" s="80"/>
      <c r="K769" s="273"/>
      <c r="L769" s="273"/>
      <c r="M769" s="273"/>
      <c r="N769" s="273"/>
      <c r="O769" s="273"/>
      <c r="P769" s="273"/>
      <c r="Q769" s="274"/>
      <c r="R769" s="80"/>
      <c r="S769" s="80"/>
      <c r="T769" s="241"/>
      <c r="U769" s="80"/>
      <c r="V769" s="80"/>
      <c r="W769" s="80"/>
      <c r="X769" s="80"/>
      <c r="Y769" s="80"/>
      <c r="Z769" s="80"/>
      <c r="AA769" s="80"/>
    </row>
    <row r="770" spans="1:27" ht="15.75" customHeight="1">
      <c r="A770" s="80"/>
      <c r="B770" s="270"/>
      <c r="C770" s="271"/>
      <c r="D770" s="80"/>
      <c r="E770" s="271"/>
      <c r="F770" s="272"/>
      <c r="G770" s="270"/>
      <c r="H770" s="271"/>
      <c r="I770" s="272"/>
      <c r="J770" s="80"/>
      <c r="K770" s="273"/>
      <c r="L770" s="273"/>
      <c r="M770" s="273"/>
      <c r="N770" s="273"/>
      <c r="O770" s="273"/>
      <c r="P770" s="273"/>
      <c r="Q770" s="274"/>
      <c r="R770" s="80"/>
      <c r="S770" s="80"/>
      <c r="T770" s="241"/>
      <c r="U770" s="80"/>
      <c r="V770" s="80"/>
      <c r="W770" s="80"/>
      <c r="X770" s="80"/>
      <c r="Y770" s="80"/>
      <c r="Z770" s="80"/>
      <c r="AA770" s="80"/>
    </row>
    <row r="771" spans="1:27" ht="15.75" customHeight="1">
      <c r="A771" s="80"/>
      <c r="B771" s="270"/>
      <c r="C771" s="271"/>
      <c r="D771" s="80"/>
      <c r="E771" s="271"/>
      <c r="F771" s="272"/>
      <c r="G771" s="270"/>
      <c r="H771" s="271"/>
      <c r="I771" s="272"/>
      <c r="J771" s="80"/>
      <c r="K771" s="273"/>
      <c r="L771" s="273"/>
      <c r="M771" s="273"/>
      <c r="N771" s="273"/>
      <c r="O771" s="273"/>
      <c r="P771" s="273"/>
      <c r="Q771" s="274"/>
      <c r="R771" s="80"/>
      <c r="S771" s="80"/>
      <c r="T771" s="241"/>
      <c r="U771" s="80"/>
      <c r="V771" s="80"/>
      <c r="W771" s="80"/>
      <c r="X771" s="80"/>
      <c r="Y771" s="80"/>
      <c r="Z771" s="80"/>
      <c r="AA771" s="80"/>
    </row>
    <row r="772" spans="1:27" ht="15.75" customHeight="1">
      <c r="A772" s="80"/>
      <c r="B772" s="270"/>
      <c r="C772" s="271"/>
      <c r="D772" s="80"/>
      <c r="E772" s="271"/>
      <c r="F772" s="272"/>
      <c r="G772" s="270"/>
      <c r="H772" s="271"/>
      <c r="I772" s="272"/>
      <c r="J772" s="80"/>
      <c r="K772" s="273"/>
      <c r="L772" s="273"/>
      <c r="M772" s="273"/>
      <c r="N772" s="273"/>
      <c r="O772" s="273"/>
      <c r="P772" s="273"/>
      <c r="Q772" s="274"/>
      <c r="R772" s="80"/>
      <c r="S772" s="80"/>
      <c r="T772" s="241"/>
      <c r="U772" s="80"/>
      <c r="V772" s="80"/>
      <c r="W772" s="80"/>
      <c r="X772" s="80"/>
      <c r="Y772" s="80"/>
      <c r="Z772" s="80"/>
      <c r="AA772" s="80"/>
    </row>
    <row r="773" spans="1:27" ht="15.75" customHeight="1">
      <c r="A773" s="80"/>
      <c r="B773" s="270"/>
      <c r="C773" s="271"/>
      <c r="D773" s="80"/>
      <c r="E773" s="271"/>
      <c r="F773" s="272"/>
      <c r="G773" s="270"/>
      <c r="H773" s="271"/>
      <c r="I773" s="272"/>
      <c r="J773" s="80"/>
      <c r="K773" s="273"/>
      <c r="L773" s="273"/>
      <c r="M773" s="273"/>
      <c r="N773" s="273"/>
      <c r="O773" s="273"/>
      <c r="P773" s="273"/>
      <c r="Q773" s="274"/>
      <c r="R773" s="80"/>
      <c r="S773" s="80"/>
      <c r="T773" s="241"/>
      <c r="U773" s="80"/>
      <c r="V773" s="80"/>
      <c r="W773" s="80"/>
      <c r="X773" s="80"/>
      <c r="Y773" s="80"/>
      <c r="Z773" s="80"/>
      <c r="AA773" s="80"/>
    </row>
    <row r="774" spans="1:27" ht="15.75" customHeight="1">
      <c r="A774" s="80"/>
      <c r="B774" s="270"/>
      <c r="C774" s="271"/>
      <c r="D774" s="80"/>
      <c r="E774" s="271"/>
      <c r="F774" s="272"/>
      <c r="G774" s="270"/>
      <c r="H774" s="271"/>
      <c r="I774" s="272"/>
      <c r="J774" s="80"/>
      <c r="K774" s="273"/>
      <c r="L774" s="273"/>
      <c r="M774" s="273"/>
      <c r="N774" s="273"/>
      <c r="O774" s="273"/>
      <c r="P774" s="273"/>
      <c r="Q774" s="274"/>
      <c r="R774" s="80"/>
      <c r="S774" s="80"/>
      <c r="T774" s="241"/>
      <c r="U774" s="80"/>
      <c r="V774" s="80"/>
      <c r="W774" s="80"/>
      <c r="X774" s="80"/>
      <c r="Y774" s="80"/>
      <c r="Z774" s="80"/>
      <c r="AA774" s="80"/>
    </row>
    <row r="775" spans="1:27" ht="15.75" customHeight="1">
      <c r="A775" s="80"/>
      <c r="B775" s="270"/>
      <c r="C775" s="271"/>
      <c r="D775" s="80"/>
      <c r="E775" s="271"/>
      <c r="F775" s="272"/>
      <c r="G775" s="270"/>
      <c r="H775" s="271"/>
      <c r="I775" s="272"/>
      <c r="J775" s="80"/>
      <c r="K775" s="273"/>
      <c r="L775" s="273"/>
      <c r="M775" s="273"/>
      <c r="N775" s="273"/>
      <c r="O775" s="273"/>
      <c r="P775" s="273"/>
      <c r="Q775" s="274"/>
      <c r="R775" s="80"/>
      <c r="S775" s="80"/>
      <c r="T775" s="241"/>
      <c r="U775" s="80"/>
      <c r="V775" s="80"/>
      <c r="W775" s="80"/>
      <c r="X775" s="80"/>
      <c r="Y775" s="80"/>
      <c r="Z775" s="80"/>
      <c r="AA775" s="80"/>
    </row>
    <row r="776" spans="1:27" ht="15.75" customHeight="1">
      <c r="A776" s="80"/>
      <c r="B776" s="270"/>
      <c r="C776" s="271"/>
      <c r="D776" s="80"/>
      <c r="E776" s="271"/>
      <c r="F776" s="272"/>
      <c r="G776" s="270"/>
      <c r="H776" s="271"/>
      <c r="I776" s="272"/>
      <c r="J776" s="80"/>
      <c r="K776" s="273"/>
      <c r="L776" s="273"/>
      <c r="M776" s="273"/>
      <c r="N776" s="273"/>
      <c r="O776" s="273"/>
      <c r="P776" s="273"/>
      <c r="Q776" s="274"/>
      <c r="R776" s="80"/>
      <c r="S776" s="80"/>
      <c r="T776" s="241"/>
      <c r="U776" s="80"/>
      <c r="V776" s="80"/>
      <c r="W776" s="80"/>
      <c r="X776" s="80"/>
      <c r="Y776" s="80"/>
      <c r="Z776" s="80"/>
      <c r="AA776" s="80"/>
    </row>
    <row r="777" spans="1:27" ht="15.75" customHeight="1">
      <c r="A777" s="80"/>
      <c r="B777" s="270"/>
      <c r="C777" s="271"/>
      <c r="D777" s="80"/>
      <c r="E777" s="271"/>
      <c r="F777" s="272"/>
      <c r="G777" s="270"/>
      <c r="H777" s="271"/>
      <c r="I777" s="272"/>
      <c r="J777" s="80"/>
      <c r="K777" s="273"/>
      <c r="L777" s="273"/>
      <c r="M777" s="273"/>
      <c r="N777" s="273"/>
      <c r="O777" s="273"/>
      <c r="P777" s="273"/>
      <c r="Q777" s="274"/>
      <c r="R777" s="80"/>
      <c r="S777" s="80"/>
      <c r="T777" s="241"/>
      <c r="U777" s="80"/>
      <c r="V777" s="80"/>
      <c r="W777" s="80"/>
      <c r="X777" s="80"/>
      <c r="Y777" s="80"/>
      <c r="Z777" s="80"/>
      <c r="AA777" s="80"/>
    </row>
    <row r="778" spans="1:27" ht="15.75" customHeight="1">
      <c r="A778" s="80"/>
      <c r="B778" s="270"/>
      <c r="C778" s="271"/>
      <c r="D778" s="80"/>
      <c r="E778" s="271"/>
      <c r="F778" s="272"/>
      <c r="G778" s="270"/>
      <c r="H778" s="271"/>
      <c r="I778" s="272"/>
      <c r="J778" s="80"/>
      <c r="K778" s="273"/>
      <c r="L778" s="273"/>
      <c r="M778" s="273"/>
      <c r="N778" s="273"/>
      <c r="O778" s="273"/>
      <c r="P778" s="273"/>
      <c r="Q778" s="274"/>
      <c r="R778" s="80"/>
      <c r="S778" s="80"/>
      <c r="T778" s="241"/>
      <c r="U778" s="80"/>
      <c r="V778" s="80"/>
      <c r="W778" s="80"/>
      <c r="X778" s="80"/>
      <c r="Y778" s="80"/>
      <c r="Z778" s="80"/>
      <c r="AA778" s="80"/>
    </row>
    <row r="779" spans="1:27" ht="15.75" customHeight="1">
      <c r="A779" s="80"/>
      <c r="B779" s="270"/>
      <c r="C779" s="271"/>
      <c r="D779" s="80"/>
      <c r="E779" s="271"/>
      <c r="F779" s="272"/>
      <c r="G779" s="270"/>
      <c r="H779" s="271"/>
      <c r="I779" s="272"/>
      <c r="J779" s="80"/>
      <c r="K779" s="273"/>
      <c r="L779" s="273"/>
      <c r="M779" s="273"/>
      <c r="N779" s="273"/>
      <c r="O779" s="273"/>
      <c r="P779" s="273"/>
      <c r="Q779" s="274"/>
      <c r="R779" s="80"/>
      <c r="S779" s="80"/>
      <c r="T779" s="241"/>
      <c r="U779" s="80"/>
      <c r="V779" s="80"/>
      <c r="W779" s="80"/>
      <c r="X779" s="80"/>
      <c r="Y779" s="80"/>
      <c r="Z779" s="80"/>
      <c r="AA779" s="80"/>
    </row>
    <row r="780" spans="1:27" ht="15.75" customHeight="1">
      <c r="A780" s="80"/>
      <c r="B780" s="270"/>
      <c r="C780" s="271"/>
      <c r="D780" s="80"/>
      <c r="E780" s="271"/>
      <c r="F780" s="272"/>
      <c r="G780" s="270"/>
      <c r="H780" s="271"/>
      <c r="I780" s="272"/>
      <c r="J780" s="80"/>
      <c r="K780" s="273"/>
      <c r="L780" s="273"/>
      <c r="M780" s="273"/>
      <c r="N780" s="273"/>
      <c r="O780" s="273"/>
      <c r="P780" s="273"/>
      <c r="Q780" s="274"/>
      <c r="R780" s="80"/>
      <c r="S780" s="80"/>
      <c r="T780" s="241"/>
      <c r="U780" s="80"/>
      <c r="V780" s="80"/>
      <c r="W780" s="80"/>
      <c r="X780" s="80"/>
      <c r="Y780" s="80"/>
      <c r="Z780" s="80"/>
      <c r="AA780" s="80"/>
    </row>
    <row r="781" spans="1:27" ht="15.75" customHeight="1">
      <c r="A781" s="80"/>
      <c r="B781" s="270"/>
      <c r="C781" s="271"/>
      <c r="D781" s="80"/>
      <c r="E781" s="271"/>
      <c r="F781" s="272"/>
      <c r="G781" s="270"/>
      <c r="H781" s="271"/>
      <c r="I781" s="272"/>
      <c r="J781" s="80"/>
      <c r="K781" s="273"/>
      <c r="L781" s="273"/>
      <c r="M781" s="273"/>
      <c r="N781" s="273"/>
      <c r="O781" s="273"/>
      <c r="P781" s="273"/>
      <c r="Q781" s="274"/>
      <c r="R781" s="80"/>
      <c r="S781" s="80"/>
      <c r="T781" s="241"/>
      <c r="U781" s="80"/>
      <c r="V781" s="80"/>
      <c r="W781" s="80"/>
      <c r="X781" s="80"/>
      <c r="Y781" s="80"/>
      <c r="Z781" s="80"/>
      <c r="AA781" s="80"/>
    </row>
    <row r="782" spans="1:27" ht="15.75" customHeight="1">
      <c r="A782" s="80"/>
      <c r="B782" s="270"/>
      <c r="C782" s="271"/>
      <c r="D782" s="80"/>
      <c r="E782" s="271"/>
      <c r="F782" s="272"/>
      <c r="G782" s="270"/>
      <c r="H782" s="271"/>
      <c r="I782" s="272"/>
      <c r="J782" s="80"/>
      <c r="K782" s="273"/>
      <c r="L782" s="273"/>
      <c r="M782" s="273"/>
      <c r="N782" s="273"/>
      <c r="O782" s="273"/>
      <c r="P782" s="273"/>
      <c r="Q782" s="274"/>
      <c r="R782" s="80"/>
      <c r="S782" s="80"/>
      <c r="T782" s="241"/>
      <c r="U782" s="80"/>
      <c r="V782" s="80"/>
      <c r="W782" s="80"/>
      <c r="X782" s="80"/>
      <c r="Y782" s="80"/>
      <c r="Z782" s="80"/>
      <c r="AA782" s="80"/>
    </row>
    <row r="783" spans="1:27" ht="15.75" customHeight="1">
      <c r="A783" s="80"/>
      <c r="B783" s="270"/>
      <c r="C783" s="271"/>
      <c r="D783" s="80"/>
      <c r="E783" s="271"/>
      <c r="F783" s="272"/>
      <c r="G783" s="270"/>
      <c r="H783" s="271"/>
      <c r="I783" s="272"/>
      <c r="J783" s="80"/>
      <c r="K783" s="273"/>
      <c r="L783" s="273"/>
      <c r="M783" s="273"/>
      <c r="N783" s="273"/>
      <c r="O783" s="273"/>
      <c r="P783" s="273"/>
      <c r="Q783" s="274"/>
      <c r="R783" s="80"/>
      <c r="S783" s="80"/>
      <c r="T783" s="241"/>
      <c r="U783" s="80"/>
      <c r="V783" s="80"/>
      <c r="W783" s="80"/>
      <c r="X783" s="80"/>
      <c r="Y783" s="80"/>
      <c r="Z783" s="80"/>
      <c r="AA783" s="80"/>
    </row>
    <row r="784" spans="1:27" ht="15.75" customHeight="1">
      <c r="A784" s="80"/>
      <c r="B784" s="270"/>
      <c r="C784" s="271"/>
      <c r="D784" s="80"/>
      <c r="E784" s="271"/>
      <c r="F784" s="272"/>
      <c r="G784" s="270"/>
      <c r="H784" s="271"/>
      <c r="I784" s="272"/>
      <c r="J784" s="80"/>
      <c r="K784" s="273"/>
      <c r="L784" s="273"/>
      <c r="M784" s="273"/>
      <c r="N784" s="273"/>
      <c r="O784" s="273"/>
      <c r="P784" s="273"/>
      <c r="Q784" s="274"/>
      <c r="R784" s="80"/>
      <c r="S784" s="80"/>
      <c r="T784" s="241"/>
      <c r="U784" s="80"/>
      <c r="V784" s="80"/>
      <c r="W784" s="80"/>
      <c r="X784" s="80"/>
      <c r="Y784" s="80"/>
      <c r="Z784" s="80"/>
      <c r="AA784" s="80"/>
    </row>
    <row r="785" spans="1:27" ht="15.75" customHeight="1">
      <c r="A785" s="80"/>
      <c r="B785" s="270"/>
      <c r="C785" s="271"/>
      <c r="D785" s="80"/>
      <c r="E785" s="271"/>
      <c r="F785" s="272"/>
      <c r="G785" s="270"/>
      <c r="H785" s="271"/>
      <c r="I785" s="272"/>
      <c r="J785" s="80"/>
      <c r="K785" s="273"/>
      <c r="L785" s="273"/>
      <c r="M785" s="273"/>
      <c r="N785" s="273"/>
      <c r="O785" s="273"/>
      <c r="P785" s="273"/>
      <c r="Q785" s="274"/>
      <c r="R785" s="80"/>
      <c r="S785" s="80"/>
      <c r="T785" s="241"/>
      <c r="U785" s="80"/>
      <c r="V785" s="80"/>
      <c r="W785" s="80"/>
      <c r="X785" s="80"/>
      <c r="Y785" s="80"/>
      <c r="Z785" s="80"/>
      <c r="AA785" s="80"/>
    </row>
    <row r="786" spans="1:27" ht="15.75" customHeight="1">
      <c r="A786" s="80"/>
      <c r="B786" s="270"/>
      <c r="C786" s="271"/>
      <c r="D786" s="80"/>
      <c r="E786" s="271"/>
      <c r="F786" s="272"/>
      <c r="G786" s="270"/>
      <c r="H786" s="271"/>
      <c r="I786" s="272"/>
      <c r="J786" s="80"/>
      <c r="K786" s="273"/>
      <c r="L786" s="273"/>
      <c r="M786" s="273"/>
      <c r="N786" s="273"/>
      <c r="O786" s="273"/>
      <c r="P786" s="273"/>
      <c r="Q786" s="274"/>
      <c r="R786" s="80"/>
      <c r="S786" s="80"/>
      <c r="T786" s="241"/>
      <c r="U786" s="80"/>
      <c r="V786" s="80"/>
      <c r="W786" s="80"/>
      <c r="X786" s="80"/>
      <c r="Y786" s="80"/>
      <c r="Z786" s="80"/>
      <c r="AA786" s="80"/>
    </row>
    <row r="787" spans="1:27" ht="15.75" customHeight="1">
      <c r="A787" s="80"/>
      <c r="B787" s="270"/>
      <c r="C787" s="271"/>
      <c r="D787" s="80"/>
      <c r="E787" s="271"/>
      <c r="F787" s="272"/>
      <c r="G787" s="270"/>
      <c r="H787" s="271"/>
      <c r="I787" s="272"/>
      <c r="J787" s="80"/>
      <c r="K787" s="273"/>
      <c r="L787" s="273"/>
      <c r="M787" s="273"/>
      <c r="N787" s="273"/>
      <c r="O787" s="273"/>
      <c r="P787" s="273"/>
      <c r="Q787" s="274"/>
      <c r="R787" s="80"/>
      <c r="S787" s="80"/>
      <c r="T787" s="241"/>
      <c r="U787" s="80"/>
      <c r="V787" s="80"/>
      <c r="W787" s="80"/>
      <c r="X787" s="80"/>
      <c r="Y787" s="80"/>
      <c r="Z787" s="80"/>
      <c r="AA787" s="80"/>
    </row>
    <row r="788" spans="1:27" ht="15.75" customHeight="1">
      <c r="A788" s="80"/>
      <c r="B788" s="270"/>
      <c r="C788" s="271"/>
      <c r="D788" s="80"/>
      <c r="E788" s="271"/>
      <c r="F788" s="272"/>
      <c r="G788" s="270"/>
      <c r="H788" s="271"/>
      <c r="I788" s="272"/>
      <c r="J788" s="80"/>
      <c r="K788" s="273"/>
      <c r="L788" s="273"/>
      <c r="M788" s="273"/>
      <c r="N788" s="273"/>
      <c r="O788" s="273"/>
      <c r="P788" s="273"/>
      <c r="Q788" s="274"/>
      <c r="R788" s="80"/>
      <c r="S788" s="80"/>
      <c r="T788" s="241"/>
      <c r="U788" s="80"/>
      <c r="V788" s="80"/>
      <c r="W788" s="80"/>
      <c r="X788" s="80"/>
      <c r="Y788" s="80"/>
      <c r="Z788" s="80"/>
      <c r="AA788" s="80"/>
    </row>
    <row r="789" spans="1:27" ht="15.75" customHeight="1">
      <c r="A789" s="80"/>
      <c r="B789" s="270"/>
      <c r="C789" s="271"/>
      <c r="D789" s="80"/>
      <c r="E789" s="271"/>
      <c r="F789" s="272"/>
      <c r="G789" s="270"/>
      <c r="H789" s="271"/>
      <c r="I789" s="272"/>
      <c r="J789" s="80"/>
      <c r="K789" s="273"/>
      <c r="L789" s="273"/>
      <c r="M789" s="273"/>
      <c r="N789" s="273"/>
      <c r="O789" s="273"/>
      <c r="P789" s="273"/>
      <c r="Q789" s="274"/>
      <c r="R789" s="80"/>
      <c r="S789" s="80"/>
      <c r="T789" s="241"/>
      <c r="U789" s="80"/>
      <c r="V789" s="80"/>
      <c r="W789" s="80"/>
      <c r="X789" s="80"/>
      <c r="Y789" s="80"/>
      <c r="Z789" s="80"/>
      <c r="AA789" s="80"/>
    </row>
    <row r="790" spans="1:27" ht="15.75" customHeight="1">
      <c r="A790" s="80"/>
      <c r="B790" s="270"/>
      <c r="C790" s="271"/>
      <c r="D790" s="80"/>
      <c r="E790" s="271"/>
      <c r="F790" s="272"/>
      <c r="G790" s="270"/>
      <c r="H790" s="271"/>
      <c r="I790" s="272"/>
      <c r="J790" s="80"/>
      <c r="K790" s="273"/>
      <c r="L790" s="273"/>
      <c r="M790" s="273"/>
      <c r="N790" s="273"/>
      <c r="O790" s="273"/>
      <c r="P790" s="273"/>
      <c r="Q790" s="274"/>
      <c r="R790" s="80"/>
      <c r="S790" s="80"/>
      <c r="T790" s="241"/>
      <c r="U790" s="80"/>
      <c r="V790" s="80"/>
      <c r="W790" s="80"/>
      <c r="X790" s="80"/>
      <c r="Y790" s="80"/>
      <c r="Z790" s="80"/>
      <c r="AA790" s="80"/>
    </row>
    <row r="791" spans="1:27" ht="15.75" customHeight="1">
      <c r="A791" s="80"/>
      <c r="B791" s="270"/>
      <c r="C791" s="271"/>
      <c r="D791" s="80"/>
      <c r="E791" s="271"/>
      <c r="F791" s="272"/>
      <c r="G791" s="270"/>
      <c r="H791" s="271"/>
      <c r="I791" s="272"/>
      <c r="J791" s="80"/>
      <c r="K791" s="273"/>
      <c r="L791" s="273"/>
      <c r="M791" s="273"/>
      <c r="N791" s="273"/>
      <c r="O791" s="273"/>
      <c r="P791" s="273"/>
      <c r="Q791" s="274"/>
      <c r="R791" s="80"/>
      <c r="S791" s="80"/>
      <c r="T791" s="241"/>
      <c r="U791" s="80"/>
      <c r="V791" s="80"/>
      <c r="W791" s="80"/>
      <c r="X791" s="80"/>
      <c r="Y791" s="80"/>
      <c r="Z791" s="80"/>
      <c r="AA791" s="80"/>
    </row>
    <row r="792" spans="1:27" ht="15.75" customHeight="1">
      <c r="A792" s="80"/>
      <c r="B792" s="270"/>
      <c r="C792" s="271"/>
      <c r="D792" s="80"/>
      <c r="E792" s="271"/>
      <c r="F792" s="272"/>
      <c r="G792" s="270"/>
      <c r="H792" s="271"/>
      <c r="I792" s="272"/>
      <c r="J792" s="80"/>
      <c r="K792" s="273"/>
      <c r="L792" s="273"/>
      <c r="M792" s="273"/>
      <c r="N792" s="273"/>
      <c r="O792" s="273"/>
      <c r="P792" s="273"/>
      <c r="Q792" s="274"/>
      <c r="R792" s="80"/>
      <c r="S792" s="80"/>
      <c r="T792" s="241"/>
      <c r="U792" s="80"/>
      <c r="V792" s="80"/>
      <c r="W792" s="80"/>
      <c r="X792" s="80"/>
      <c r="Y792" s="80"/>
      <c r="Z792" s="80"/>
      <c r="AA792" s="80"/>
    </row>
    <row r="793" spans="1:27" ht="15.75" customHeight="1">
      <c r="A793" s="80"/>
      <c r="B793" s="270"/>
      <c r="C793" s="271"/>
      <c r="D793" s="80"/>
      <c r="E793" s="271"/>
      <c r="F793" s="272"/>
      <c r="G793" s="270"/>
      <c r="H793" s="271"/>
      <c r="I793" s="272"/>
      <c r="J793" s="80"/>
      <c r="K793" s="273"/>
      <c r="L793" s="273"/>
      <c r="M793" s="273"/>
      <c r="N793" s="273"/>
      <c r="O793" s="273"/>
      <c r="P793" s="273"/>
      <c r="Q793" s="274"/>
      <c r="R793" s="80"/>
      <c r="S793" s="80"/>
      <c r="T793" s="241"/>
      <c r="U793" s="80"/>
      <c r="V793" s="80"/>
      <c r="W793" s="80"/>
      <c r="X793" s="80"/>
      <c r="Y793" s="80"/>
      <c r="Z793" s="80"/>
      <c r="AA793" s="80"/>
    </row>
    <row r="794" spans="1:27" ht="15.75" customHeight="1">
      <c r="A794" s="80"/>
      <c r="B794" s="270"/>
      <c r="C794" s="271"/>
      <c r="D794" s="80"/>
      <c r="E794" s="271"/>
      <c r="F794" s="272"/>
      <c r="G794" s="270"/>
      <c r="H794" s="271"/>
      <c r="I794" s="272"/>
      <c r="J794" s="80"/>
      <c r="K794" s="273"/>
      <c r="L794" s="273"/>
      <c r="M794" s="273"/>
      <c r="N794" s="273"/>
      <c r="O794" s="273"/>
      <c r="P794" s="273"/>
      <c r="Q794" s="274"/>
      <c r="R794" s="80"/>
      <c r="S794" s="80"/>
      <c r="T794" s="241"/>
      <c r="U794" s="80"/>
      <c r="V794" s="80"/>
      <c r="W794" s="80"/>
      <c r="X794" s="80"/>
      <c r="Y794" s="80"/>
      <c r="Z794" s="80"/>
      <c r="AA794" s="80"/>
    </row>
    <row r="795" spans="1:27" ht="15.75" customHeight="1">
      <c r="A795" s="80"/>
      <c r="B795" s="270"/>
      <c r="C795" s="271"/>
      <c r="D795" s="80"/>
      <c r="E795" s="271"/>
      <c r="F795" s="272"/>
      <c r="G795" s="270"/>
      <c r="H795" s="271"/>
      <c r="I795" s="272"/>
      <c r="J795" s="80"/>
      <c r="K795" s="273"/>
      <c r="L795" s="273"/>
      <c r="M795" s="273"/>
      <c r="N795" s="273"/>
      <c r="O795" s="273"/>
      <c r="P795" s="273"/>
      <c r="Q795" s="274"/>
      <c r="R795" s="80"/>
      <c r="S795" s="80"/>
      <c r="T795" s="241"/>
      <c r="U795" s="80"/>
      <c r="V795" s="80"/>
      <c r="W795" s="80"/>
      <c r="X795" s="80"/>
      <c r="Y795" s="80"/>
      <c r="Z795" s="80"/>
      <c r="AA795" s="80"/>
    </row>
    <row r="796" spans="1:27" ht="15.75" customHeight="1">
      <c r="A796" s="80"/>
      <c r="B796" s="270"/>
      <c r="C796" s="271"/>
      <c r="D796" s="80"/>
      <c r="E796" s="271"/>
      <c r="F796" s="272"/>
      <c r="G796" s="270"/>
      <c r="H796" s="271"/>
      <c r="I796" s="272"/>
      <c r="J796" s="80"/>
      <c r="K796" s="273"/>
      <c r="L796" s="273"/>
      <c r="M796" s="273"/>
      <c r="N796" s="273"/>
      <c r="O796" s="273"/>
      <c r="P796" s="273"/>
      <c r="Q796" s="274"/>
      <c r="R796" s="80"/>
      <c r="S796" s="80"/>
      <c r="T796" s="241"/>
      <c r="U796" s="80"/>
      <c r="V796" s="80"/>
      <c r="W796" s="80"/>
      <c r="X796" s="80"/>
      <c r="Y796" s="80"/>
      <c r="Z796" s="80"/>
      <c r="AA796" s="80"/>
    </row>
    <row r="797" spans="1:27" ht="15.75" customHeight="1">
      <c r="A797" s="80"/>
      <c r="B797" s="270"/>
      <c r="C797" s="271"/>
      <c r="D797" s="80"/>
      <c r="E797" s="271"/>
      <c r="F797" s="272"/>
      <c r="G797" s="270"/>
      <c r="H797" s="271"/>
      <c r="I797" s="272"/>
      <c r="J797" s="80"/>
      <c r="K797" s="273"/>
      <c r="L797" s="273"/>
      <c r="M797" s="273"/>
      <c r="N797" s="273"/>
      <c r="O797" s="273"/>
      <c r="P797" s="273"/>
      <c r="Q797" s="274"/>
      <c r="R797" s="80"/>
      <c r="S797" s="80"/>
      <c r="T797" s="241"/>
      <c r="U797" s="80"/>
      <c r="V797" s="80"/>
      <c r="W797" s="80"/>
      <c r="X797" s="80"/>
      <c r="Y797" s="80"/>
      <c r="Z797" s="80"/>
      <c r="AA797" s="80"/>
    </row>
    <row r="798" spans="1:27" ht="15.75" customHeight="1">
      <c r="A798" s="80"/>
      <c r="B798" s="270"/>
      <c r="C798" s="271"/>
      <c r="D798" s="80"/>
      <c r="E798" s="271"/>
      <c r="F798" s="272"/>
      <c r="G798" s="270"/>
      <c r="H798" s="271"/>
      <c r="I798" s="272"/>
      <c r="J798" s="80"/>
      <c r="K798" s="273"/>
      <c r="L798" s="273"/>
      <c r="M798" s="273"/>
      <c r="N798" s="273"/>
      <c r="O798" s="273"/>
      <c r="P798" s="273"/>
      <c r="Q798" s="274"/>
      <c r="R798" s="80"/>
      <c r="S798" s="80"/>
      <c r="T798" s="241"/>
      <c r="U798" s="80"/>
      <c r="V798" s="80"/>
      <c r="W798" s="80"/>
      <c r="X798" s="80"/>
      <c r="Y798" s="80"/>
      <c r="Z798" s="80"/>
      <c r="AA798" s="80"/>
    </row>
    <row r="799" spans="1:27" ht="15.75" customHeight="1">
      <c r="A799" s="80"/>
      <c r="B799" s="270"/>
      <c r="C799" s="271"/>
      <c r="D799" s="80"/>
      <c r="E799" s="271"/>
      <c r="F799" s="272"/>
      <c r="G799" s="270"/>
      <c r="H799" s="271"/>
      <c r="I799" s="272"/>
      <c r="J799" s="80"/>
      <c r="K799" s="273"/>
      <c r="L799" s="273"/>
      <c r="M799" s="273"/>
      <c r="N799" s="273"/>
      <c r="O799" s="273"/>
      <c r="P799" s="273"/>
      <c r="Q799" s="274"/>
      <c r="R799" s="80"/>
      <c r="S799" s="80"/>
      <c r="T799" s="241"/>
      <c r="U799" s="80"/>
      <c r="V799" s="80"/>
      <c r="W799" s="80"/>
      <c r="X799" s="80"/>
      <c r="Y799" s="80"/>
      <c r="Z799" s="80"/>
      <c r="AA799" s="80"/>
    </row>
    <row r="800" spans="1:27" ht="15.75" customHeight="1">
      <c r="A800" s="80"/>
      <c r="B800" s="270"/>
      <c r="C800" s="271"/>
      <c r="D800" s="80"/>
      <c r="E800" s="271"/>
      <c r="F800" s="272"/>
      <c r="G800" s="270"/>
      <c r="H800" s="271"/>
      <c r="I800" s="272"/>
      <c r="J800" s="80"/>
      <c r="K800" s="273"/>
      <c r="L800" s="273"/>
      <c r="M800" s="273"/>
      <c r="N800" s="273"/>
      <c r="O800" s="273"/>
      <c r="P800" s="273"/>
      <c r="Q800" s="274"/>
      <c r="R800" s="80"/>
      <c r="S800" s="80"/>
      <c r="T800" s="241"/>
      <c r="U800" s="80"/>
      <c r="V800" s="80"/>
      <c r="W800" s="80"/>
      <c r="X800" s="80"/>
      <c r="Y800" s="80"/>
      <c r="Z800" s="80"/>
      <c r="AA800" s="80"/>
    </row>
    <row r="801" spans="1:27" ht="15.75" customHeight="1">
      <c r="A801" s="80"/>
      <c r="B801" s="270"/>
      <c r="C801" s="271"/>
      <c r="D801" s="80"/>
      <c r="E801" s="271"/>
      <c r="F801" s="272"/>
      <c r="G801" s="270"/>
      <c r="H801" s="271"/>
      <c r="I801" s="272"/>
      <c r="J801" s="80"/>
      <c r="K801" s="273"/>
      <c r="L801" s="273"/>
      <c r="M801" s="273"/>
      <c r="N801" s="273"/>
      <c r="O801" s="273"/>
      <c r="P801" s="273"/>
      <c r="Q801" s="274"/>
      <c r="R801" s="80"/>
      <c r="S801" s="80"/>
      <c r="T801" s="241"/>
      <c r="U801" s="80"/>
      <c r="V801" s="80"/>
      <c r="W801" s="80"/>
      <c r="X801" s="80"/>
      <c r="Y801" s="80"/>
      <c r="Z801" s="80"/>
      <c r="AA801" s="80"/>
    </row>
    <row r="802" spans="1:27" ht="15.75" customHeight="1">
      <c r="A802" s="80"/>
      <c r="B802" s="270"/>
      <c r="C802" s="271"/>
      <c r="D802" s="80"/>
      <c r="E802" s="271"/>
      <c r="F802" s="272"/>
      <c r="G802" s="270"/>
      <c r="H802" s="271"/>
      <c r="I802" s="272"/>
      <c r="J802" s="80"/>
      <c r="K802" s="273"/>
      <c r="L802" s="273"/>
      <c r="M802" s="273"/>
      <c r="N802" s="273"/>
      <c r="O802" s="273"/>
      <c r="P802" s="273"/>
      <c r="Q802" s="274"/>
      <c r="R802" s="80"/>
      <c r="S802" s="80"/>
      <c r="T802" s="241"/>
      <c r="U802" s="80"/>
      <c r="V802" s="80"/>
      <c r="W802" s="80"/>
      <c r="X802" s="80"/>
      <c r="Y802" s="80"/>
      <c r="Z802" s="80"/>
      <c r="AA802" s="80"/>
    </row>
    <row r="803" spans="1:27" ht="15.75" customHeight="1">
      <c r="A803" s="80"/>
      <c r="B803" s="270"/>
      <c r="C803" s="271"/>
      <c r="D803" s="80"/>
      <c r="E803" s="271"/>
      <c r="F803" s="272"/>
      <c r="G803" s="270"/>
      <c r="H803" s="271"/>
      <c r="I803" s="272"/>
      <c r="J803" s="80"/>
      <c r="K803" s="273"/>
      <c r="L803" s="273"/>
      <c r="M803" s="273"/>
      <c r="N803" s="273"/>
      <c r="O803" s="273"/>
      <c r="P803" s="273"/>
      <c r="Q803" s="274"/>
      <c r="R803" s="80"/>
      <c r="S803" s="80"/>
      <c r="T803" s="241"/>
      <c r="U803" s="80"/>
      <c r="V803" s="80"/>
      <c r="W803" s="80"/>
      <c r="X803" s="80"/>
      <c r="Y803" s="80"/>
      <c r="Z803" s="80"/>
      <c r="AA803" s="80"/>
    </row>
    <row r="804" spans="1:27" ht="15.75" customHeight="1">
      <c r="A804" s="80"/>
      <c r="B804" s="270"/>
      <c r="C804" s="271"/>
      <c r="D804" s="80"/>
      <c r="E804" s="271"/>
      <c r="F804" s="272"/>
      <c r="G804" s="270"/>
      <c r="H804" s="271"/>
      <c r="I804" s="272"/>
      <c r="J804" s="80"/>
      <c r="K804" s="273"/>
      <c r="L804" s="273"/>
      <c r="M804" s="273"/>
      <c r="N804" s="273"/>
      <c r="O804" s="273"/>
      <c r="P804" s="273"/>
      <c r="Q804" s="274"/>
      <c r="R804" s="80"/>
      <c r="S804" s="80"/>
      <c r="T804" s="241"/>
      <c r="U804" s="80"/>
      <c r="V804" s="80"/>
      <c r="W804" s="80"/>
      <c r="X804" s="80"/>
      <c r="Y804" s="80"/>
      <c r="Z804" s="80"/>
      <c r="AA804" s="80"/>
    </row>
    <row r="805" spans="1:27" ht="15.75" customHeight="1">
      <c r="A805" s="80"/>
      <c r="B805" s="270"/>
      <c r="C805" s="271"/>
      <c r="D805" s="80"/>
      <c r="E805" s="271"/>
      <c r="F805" s="272"/>
      <c r="G805" s="270"/>
      <c r="H805" s="271"/>
      <c r="I805" s="272"/>
      <c r="J805" s="80"/>
      <c r="K805" s="273"/>
      <c r="L805" s="273"/>
      <c r="M805" s="273"/>
      <c r="N805" s="273"/>
      <c r="O805" s="273"/>
      <c r="P805" s="273"/>
      <c r="Q805" s="274"/>
      <c r="R805" s="80"/>
      <c r="S805" s="80"/>
      <c r="T805" s="241"/>
      <c r="U805" s="80"/>
      <c r="V805" s="80"/>
      <c r="W805" s="80"/>
      <c r="X805" s="80"/>
      <c r="Y805" s="80"/>
      <c r="Z805" s="80"/>
      <c r="AA805" s="80"/>
    </row>
    <row r="806" spans="1:27" ht="15.75" customHeight="1">
      <c r="A806" s="80"/>
      <c r="B806" s="270"/>
      <c r="C806" s="271"/>
      <c r="D806" s="80"/>
      <c r="E806" s="271"/>
      <c r="F806" s="272"/>
      <c r="G806" s="270"/>
      <c r="H806" s="271"/>
      <c r="I806" s="272"/>
      <c r="J806" s="80"/>
      <c r="K806" s="273"/>
      <c r="L806" s="273"/>
      <c r="M806" s="273"/>
      <c r="N806" s="273"/>
      <c r="O806" s="273"/>
      <c r="P806" s="273"/>
      <c r="Q806" s="274"/>
      <c r="R806" s="80"/>
      <c r="S806" s="80"/>
      <c r="T806" s="241"/>
      <c r="U806" s="80"/>
      <c r="V806" s="80"/>
      <c r="W806" s="80"/>
      <c r="X806" s="80"/>
      <c r="Y806" s="80"/>
      <c r="Z806" s="80"/>
      <c r="AA806" s="80"/>
    </row>
    <row r="807" spans="1:27" ht="15.75" customHeight="1">
      <c r="A807" s="80"/>
      <c r="B807" s="270"/>
      <c r="C807" s="271"/>
      <c r="D807" s="80"/>
      <c r="E807" s="271"/>
      <c r="F807" s="272"/>
      <c r="G807" s="270"/>
      <c r="H807" s="271"/>
      <c r="I807" s="272"/>
      <c r="J807" s="80"/>
      <c r="K807" s="273"/>
      <c r="L807" s="273"/>
      <c r="M807" s="273"/>
      <c r="N807" s="273"/>
      <c r="O807" s="273"/>
      <c r="P807" s="273"/>
      <c r="Q807" s="274"/>
      <c r="R807" s="80"/>
      <c r="S807" s="80"/>
      <c r="T807" s="241"/>
      <c r="U807" s="80"/>
      <c r="V807" s="80"/>
      <c r="W807" s="80"/>
      <c r="X807" s="80"/>
      <c r="Y807" s="80"/>
      <c r="Z807" s="80"/>
      <c r="AA807" s="80"/>
    </row>
    <row r="808" spans="1:27" ht="15.75" customHeight="1">
      <c r="A808" s="80"/>
      <c r="B808" s="270"/>
      <c r="C808" s="271"/>
      <c r="D808" s="80"/>
      <c r="E808" s="271"/>
      <c r="F808" s="272"/>
      <c r="G808" s="270"/>
      <c r="H808" s="271"/>
      <c r="I808" s="272"/>
      <c r="J808" s="80"/>
      <c r="K808" s="273"/>
      <c r="L808" s="273"/>
      <c r="M808" s="273"/>
      <c r="N808" s="273"/>
      <c r="O808" s="273"/>
      <c r="P808" s="273"/>
      <c r="Q808" s="274"/>
      <c r="R808" s="80"/>
      <c r="S808" s="80"/>
      <c r="T808" s="241"/>
      <c r="U808" s="80"/>
      <c r="V808" s="80"/>
      <c r="W808" s="80"/>
      <c r="X808" s="80"/>
      <c r="Y808" s="80"/>
      <c r="Z808" s="80"/>
      <c r="AA808" s="80"/>
    </row>
    <row r="809" spans="1:27" ht="15.75" customHeight="1">
      <c r="A809" s="80"/>
      <c r="B809" s="270"/>
      <c r="C809" s="271"/>
      <c r="D809" s="80"/>
      <c r="E809" s="271"/>
      <c r="F809" s="272"/>
      <c r="G809" s="270"/>
      <c r="H809" s="271"/>
      <c r="I809" s="272"/>
      <c r="J809" s="80"/>
      <c r="K809" s="273"/>
      <c r="L809" s="273"/>
      <c r="M809" s="273"/>
      <c r="N809" s="273"/>
      <c r="O809" s="273"/>
      <c r="P809" s="273"/>
      <c r="Q809" s="274"/>
      <c r="R809" s="80"/>
      <c r="S809" s="80"/>
      <c r="T809" s="241"/>
      <c r="U809" s="80"/>
      <c r="V809" s="80"/>
      <c r="W809" s="80"/>
      <c r="X809" s="80"/>
      <c r="Y809" s="80"/>
      <c r="Z809" s="80"/>
      <c r="AA809" s="80"/>
    </row>
    <row r="810" spans="1:27" ht="15.75" customHeight="1">
      <c r="A810" s="80"/>
      <c r="B810" s="270"/>
      <c r="C810" s="271"/>
      <c r="D810" s="80"/>
      <c r="E810" s="271"/>
      <c r="F810" s="272"/>
      <c r="G810" s="270"/>
      <c r="H810" s="271"/>
      <c r="I810" s="272"/>
      <c r="J810" s="80"/>
      <c r="K810" s="273"/>
      <c r="L810" s="273"/>
      <c r="M810" s="273"/>
      <c r="N810" s="273"/>
      <c r="O810" s="273"/>
      <c r="P810" s="273"/>
      <c r="Q810" s="274"/>
      <c r="R810" s="80"/>
      <c r="S810" s="80"/>
      <c r="T810" s="241"/>
      <c r="U810" s="80"/>
      <c r="V810" s="80"/>
      <c r="W810" s="80"/>
      <c r="X810" s="80"/>
      <c r="Y810" s="80"/>
      <c r="Z810" s="80"/>
      <c r="AA810" s="80"/>
    </row>
    <row r="811" spans="1:27" ht="15.75" customHeight="1">
      <c r="A811" s="80"/>
      <c r="B811" s="270"/>
      <c r="C811" s="271"/>
      <c r="D811" s="80"/>
      <c r="E811" s="271"/>
      <c r="F811" s="272"/>
      <c r="G811" s="270"/>
      <c r="H811" s="271"/>
      <c r="I811" s="272"/>
      <c r="J811" s="80"/>
      <c r="K811" s="273"/>
      <c r="L811" s="273"/>
      <c r="M811" s="273"/>
      <c r="N811" s="273"/>
      <c r="O811" s="273"/>
      <c r="P811" s="273"/>
      <c r="Q811" s="274"/>
      <c r="R811" s="80"/>
      <c r="S811" s="80"/>
      <c r="T811" s="241"/>
      <c r="U811" s="80"/>
      <c r="V811" s="80"/>
      <c r="W811" s="80"/>
      <c r="X811" s="80"/>
      <c r="Y811" s="80"/>
      <c r="Z811" s="80"/>
      <c r="AA811" s="80"/>
    </row>
    <row r="812" spans="1:27" ht="15.75" customHeight="1">
      <c r="A812" s="80"/>
      <c r="B812" s="270"/>
      <c r="C812" s="271"/>
      <c r="D812" s="80"/>
      <c r="E812" s="271"/>
      <c r="F812" s="272"/>
      <c r="G812" s="270"/>
      <c r="H812" s="271"/>
      <c r="I812" s="272"/>
      <c r="J812" s="80"/>
      <c r="K812" s="273"/>
      <c r="L812" s="273"/>
      <c r="M812" s="273"/>
      <c r="N812" s="273"/>
      <c r="O812" s="273"/>
      <c r="P812" s="273"/>
      <c r="Q812" s="274"/>
      <c r="R812" s="80"/>
      <c r="S812" s="80"/>
      <c r="T812" s="241"/>
      <c r="U812" s="80"/>
      <c r="V812" s="80"/>
      <c r="W812" s="80"/>
      <c r="X812" s="80"/>
      <c r="Y812" s="80"/>
      <c r="Z812" s="80"/>
      <c r="AA812" s="80"/>
    </row>
    <row r="813" spans="1:27" ht="15.75" customHeight="1">
      <c r="A813" s="80"/>
      <c r="B813" s="270"/>
      <c r="C813" s="271"/>
      <c r="D813" s="80"/>
      <c r="E813" s="271"/>
      <c r="F813" s="272"/>
      <c r="G813" s="270"/>
      <c r="H813" s="271"/>
      <c r="I813" s="272"/>
      <c r="J813" s="80"/>
      <c r="K813" s="273"/>
      <c r="L813" s="273"/>
      <c r="M813" s="273"/>
      <c r="N813" s="273"/>
      <c r="O813" s="273"/>
      <c r="P813" s="273"/>
      <c r="Q813" s="274"/>
      <c r="R813" s="80"/>
      <c r="S813" s="80"/>
      <c r="T813" s="241"/>
      <c r="U813" s="80"/>
      <c r="V813" s="80"/>
      <c r="W813" s="80"/>
      <c r="X813" s="80"/>
      <c r="Y813" s="80"/>
      <c r="Z813" s="80"/>
      <c r="AA813" s="80"/>
    </row>
    <row r="814" spans="1:27" ht="15.75" customHeight="1">
      <c r="A814" s="80"/>
      <c r="B814" s="270"/>
      <c r="C814" s="271"/>
      <c r="D814" s="80"/>
      <c r="E814" s="271"/>
      <c r="F814" s="272"/>
      <c r="G814" s="270"/>
      <c r="H814" s="271"/>
      <c r="I814" s="272"/>
      <c r="J814" s="80"/>
      <c r="K814" s="273"/>
      <c r="L814" s="273"/>
      <c r="M814" s="273"/>
      <c r="N814" s="273"/>
      <c r="O814" s="273"/>
      <c r="P814" s="273"/>
      <c r="Q814" s="274"/>
      <c r="R814" s="80"/>
      <c r="S814" s="80"/>
      <c r="T814" s="241"/>
      <c r="U814" s="80"/>
      <c r="V814" s="80"/>
      <c r="W814" s="80"/>
      <c r="X814" s="80"/>
      <c r="Y814" s="80"/>
      <c r="Z814" s="80"/>
      <c r="AA814" s="80"/>
    </row>
    <row r="815" spans="1:27" ht="15.75" customHeight="1">
      <c r="A815" s="80"/>
      <c r="B815" s="270"/>
      <c r="C815" s="271"/>
      <c r="D815" s="80"/>
      <c r="E815" s="271"/>
      <c r="F815" s="272"/>
      <c r="G815" s="270"/>
      <c r="H815" s="271"/>
      <c r="I815" s="272"/>
      <c r="J815" s="80"/>
      <c r="K815" s="273"/>
      <c r="L815" s="273"/>
      <c r="M815" s="273"/>
      <c r="N815" s="273"/>
      <c r="O815" s="273"/>
      <c r="P815" s="273"/>
      <c r="Q815" s="274"/>
      <c r="R815" s="80"/>
      <c r="S815" s="80"/>
      <c r="T815" s="241"/>
      <c r="U815" s="80"/>
      <c r="V815" s="80"/>
      <c r="W815" s="80"/>
      <c r="X815" s="80"/>
      <c r="Y815" s="80"/>
      <c r="Z815" s="80"/>
      <c r="AA815" s="80"/>
    </row>
    <row r="816" spans="1:27" ht="15.75" customHeight="1">
      <c r="A816" s="80"/>
      <c r="B816" s="270"/>
      <c r="C816" s="271"/>
      <c r="D816" s="80"/>
      <c r="E816" s="271"/>
      <c r="F816" s="272"/>
      <c r="G816" s="270"/>
      <c r="H816" s="271"/>
      <c r="I816" s="272"/>
      <c r="J816" s="80"/>
      <c r="K816" s="273"/>
      <c r="L816" s="273"/>
      <c r="M816" s="273"/>
      <c r="N816" s="273"/>
      <c r="O816" s="273"/>
      <c r="P816" s="273"/>
      <c r="Q816" s="274"/>
      <c r="R816" s="80"/>
      <c r="S816" s="80"/>
      <c r="T816" s="241"/>
      <c r="U816" s="80"/>
      <c r="V816" s="80"/>
      <c r="W816" s="80"/>
      <c r="X816" s="80"/>
      <c r="Y816" s="80"/>
      <c r="Z816" s="80"/>
      <c r="AA816" s="80"/>
    </row>
    <row r="817" spans="1:27" ht="15.75" customHeight="1">
      <c r="A817" s="80"/>
      <c r="B817" s="270"/>
      <c r="C817" s="271"/>
      <c r="D817" s="80"/>
      <c r="E817" s="271"/>
      <c r="F817" s="272"/>
      <c r="G817" s="270"/>
      <c r="H817" s="271"/>
      <c r="I817" s="272"/>
      <c r="J817" s="80"/>
      <c r="K817" s="273"/>
      <c r="L817" s="273"/>
      <c r="M817" s="273"/>
      <c r="N817" s="273"/>
      <c r="O817" s="273"/>
      <c r="P817" s="273"/>
      <c r="Q817" s="274"/>
      <c r="R817" s="80"/>
      <c r="S817" s="80"/>
      <c r="T817" s="241"/>
      <c r="U817" s="80"/>
      <c r="V817" s="80"/>
      <c r="W817" s="80"/>
      <c r="X817" s="80"/>
      <c r="Y817" s="80"/>
      <c r="Z817" s="80"/>
      <c r="AA817" s="80"/>
    </row>
    <row r="818" spans="1:27" ht="15.75" customHeight="1">
      <c r="A818" s="80"/>
      <c r="B818" s="270"/>
      <c r="C818" s="271"/>
      <c r="D818" s="80"/>
      <c r="E818" s="271"/>
      <c r="F818" s="272"/>
      <c r="G818" s="270"/>
      <c r="H818" s="271"/>
      <c r="I818" s="272"/>
      <c r="J818" s="80"/>
      <c r="K818" s="273"/>
      <c r="L818" s="273"/>
      <c r="M818" s="273"/>
      <c r="N818" s="273"/>
      <c r="O818" s="273"/>
      <c r="P818" s="273"/>
      <c r="Q818" s="274"/>
      <c r="R818" s="80"/>
      <c r="S818" s="80"/>
      <c r="T818" s="241"/>
      <c r="U818" s="80"/>
      <c r="V818" s="80"/>
      <c r="W818" s="80"/>
      <c r="X818" s="80"/>
      <c r="Y818" s="80"/>
      <c r="Z818" s="80"/>
      <c r="AA818" s="80"/>
    </row>
    <row r="819" spans="1:27" ht="15.75" customHeight="1">
      <c r="A819" s="80"/>
      <c r="B819" s="270"/>
      <c r="C819" s="271"/>
      <c r="D819" s="80"/>
      <c r="E819" s="271"/>
      <c r="F819" s="272"/>
      <c r="G819" s="270"/>
      <c r="H819" s="271"/>
      <c r="I819" s="272"/>
      <c r="J819" s="80"/>
      <c r="K819" s="273"/>
      <c r="L819" s="273"/>
      <c r="M819" s="273"/>
      <c r="N819" s="273"/>
      <c r="O819" s="273"/>
      <c r="P819" s="273"/>
      <c r="Q819" s="274"/>
      <c r="R819" s="80"/>
      <c r="S819" s="80"/>
      <c r="T819" s="241"/>
      <c r="U819" s="80"/>
      <c r="V819" s="80"/>
      <c r="W819" s="80"/>
      <c r="X819" s="80"/>
      <c r="Y819" s="80"/>
      <c r="Z819" s="80"/>
      <c r="AA819" s="80"/>
    </row>
    <row r="820" spans="1:27" ht="15.75" customHeight="1">
      <c r="A820" s="80"/>
      <c r="B820" s="270"/>
      <c r="C820" s="271"/>
      <c r="D820" s="80"/>
      <c r="E820" s="271"/>
      <c r="F820" s="272"/>
      <c r="G820" s="270"/>
      <c r="H820" s="271"/>
      <c r="I820" s="272"/>
      <c r="J820" s="80"/>
      <c r="K820" s="273"/>
      <c r="L820" s="273"/>
      <c r="M820" s="273"/>
      <c r="N820" s="273"/>
      <c r="O820" s="273"/>
      <c r="P820" s="273"/>
      <c r="Q820" s="274"/>
      <c r="R820" s="80"/>
      <c r="S820" s="80"/>
      <c r="T820" s="241"/>
      <c r="U820" s="80"/>
      <c r="V820" s="80"/>
      <c r="W820" s="80"/>
      <c r="X820" s="80"/>
      <c r="Y820" s="80"/>
      <c r="Z820" s="80"/>
      <c r="AA820" s="80"/>
    </row>
    <row r="821" spans="1:27" ht="15.75" customHeight="1">
      <c r="A821" s="80"/>
      <c r="B821" s="270"/>
      <c r="C821" s="271"/>
      <c r="D821" s="80"/>
      <c r="E821" s="271"/>
      <c r="F821" s="272"/>
      <c r="G821" s="270"/>
      <c r="H821" s="271"/>
      <c r="I821" s="272"/>
      <c r="J821" s="80"/>
      <c r="K821" s="273"/>
      <c r="L821" s="273"/>
      <c r="M821" s="273"/>
      <c r="N821" s="273"/>
      <c r="O821" s="273"/>
      <c r="P821" s="273"/>
      <c r="Q821" s="274"/>
      <c r="R821" s="80"/>
      <c r="S821" s="80"/>
      <c r="T821" s="241"/>
      <c r="U821" s="80"/>
      <c r="V821" s="80"/>
      <c r="W821" s="80"/>
      <c r="X821" s="80"/>
      <c r="Y821" s="80"/>
      <c r="Z821" s="80"/>
      <c r="AA821" s="80"/>
    </row>
    <row r="822" spans="1:27" ht="15.75" customHeight="1">
      <c r="A822" s="80"/>
      <c r="B822" s="270"/>
      <c r="C822" s="271"/>
      <c r="D822" s="80"/>
      <c r="E822" s="271"/>
      <c r="F822" s="272"/>
      <c r="G822" s="270"/>
      <c r="H822" s="271"/>
      <c r="I822" s="272"/>
      <c r="J822" s="80"/>
      <c r="K822" s="273"/>
      <c r="L822" s="273"/>
      <c r="M822" s="273"/>
      <c r="N822" s="273"/>
      <c r="O822" s="273"/>
      <c r="P822" s="273"/>
      <c r="Q822" s="274"/>
      <c r="R822" s="80"/>
      <c r="S822" s="80"/>
      <c r="T822" s="241"/>
      <c r="U822" s="80"/>
      <c r="V822" s="80"/>
      <c r="W822" s="80"/>
      <c r="X822" s="80"/>
      <c r="Y822" s="80"/>
      <c r="Z822" s="80"/>
      <c r="AA822" s="80"/>
    </row>
    <row r="823" spans="1:27" ht="15.75" customHeight="1">
      <c r="A823" s="80"/>
      <c r="B823" s="270"/>
      <c r="C823" s="271"/>
      <c r="D823" s="80"/>
      <c r="E823" s="271"/>
      <c r="F823" s="272"/>
      <c r="G823" s="270"/>
      <c r="H823" s="271"/>
      <c r="I823" s="272"/>
      <c r="J823" s="80"/>
      <c r="K823" s="273"/>
      <c r="L823" s="273"/>
      <c r="M823" s="273"/>
      <c r="N823" s="273"/>
      <c r="O823" s="273"/>
      <c r="P823" s="273"/>
      <c r="Q823" s="274"/>
      <c r="R823" s="80"/>
      <c r="S823" s="80"/>
      <c r="T823" s="241"/>
      <c r="U823" s="80"/>
      <c r="V823" s="80"/>
      <c r="W823" s="80"/>
      <c r="X823" s="80"/>
      <c r="Y823" s="80"/>
      <c r="Z823" s="80"/>
      <c r="AA823" s="80"/>
    </row>
    <row r="824" spans="1:27" ht="15.75" customHeight="1">
      <c r="A824" s="80"/>
      <c r="B824" s="270"/>
      <c r="C824" s="271"/>
      <c r="D824" s="80"/>
      <c r="E824" s="271"/>
      <c r="F824" s="272"/>
      <c r="G824" s="270"/>
      <c r="H824" s="271"/>
      <c r="I824" s="272"/>
      <c r="J824" s="80"/>
      <c r="K824" s="273"/>
      <c r="L824" s="273"/>
      <c r="M824" s="273"/>
      <c r="N824" s="273"/>
      <c r="O824" s="273"/>
      <c r="P824" s="273"/>
      <c r="Q824" s="274"/>
      <c r="R824" s="80"/>
      <c r="S824" s="80"/>
      <c r="T824" s="241"/>
      <c r="U824" s="80"/>
      <c r="V824" s="80"/>
      <c r="W824" s="80"/>
      <c r="X824" s="80"/>
      <c r="Y824" s="80"/>
      <c r="Z824" s="80"/>
      <c r="AA824" s="80"/>
    </row>
    <row r="825" spans="1:27" ht="15.75" customHeight="1">
      <c r="A825" s="80"/>
      <c r="B825" s="270"/>
      <c r="C825" s="271"/>
      <c r="D825" s="80"/>
      <c r="E825" s="271"/>
      <c r="F825" s="272"/>
      <c r="G825" s="270"/>
      <c r="H825" s="271"/>
      <c r="I825" s="272"/>
      <c r="J825" s="80"/>
      <c r="K825" s="273"/>
      <c r="L825" s="273"/>
      <c r="M825" s="273"/>
      <c r="N825" s="273"/>
      <c r="O825" s="273"/>
      <c r="P825" s="273"/>
      <c r="Q825" s="274"/>
      <c r="R825" s="80"/>
      <c r="S825" s="80"/>
      <c r="T825" s="241"/>
      <c r="U825" s="80"/>
      <c r="V825" s="80"/>
      <c r="W825" s="80"/>
      <c r="X825" s="80"/>
      <c r="Y825" s="80"/>
      <c r="Z825" s="80"/>
      <c r="AA825" s="80"/>
    </row>
    <row r="826" spans="1:27" ht="15.75" customHeight="1">
      <c r="A826" s="80"/>
      <c r="B826" s="270"/>
      <c r="C826" s="271"/>
      <c r="D826" s="80"/>
      <c r="E826" s="271"/>
      <c r="F826" s="272"/>
      <c r="G826" s="270"/>
      <c r="H826" s="271"/>
      <c r="I826" s="272"/>
      <c r="J826" s="80"/>
      <c r="K826" s="273"/>
      <c r="L826" s="273"/>
      <c r="M826" s="273"/>
      <c r="N826" s="273"/>
      <c r="O826" s="273"/>
      <c r="P826" s="273"/>
      <c r="Q826" s="274"/>
      <c r="R826" s="80"/>
      <c r="S826" s="80"/>
      <c r="T826" s="241"/>
      <c r="U826" s="80"/>
      <c r="V826" s="80"/>
      <c r="W826" s="80"/>
      <c r="X826" s="80"/>
      <c r="Y826" s="80"/>
      <c r="Z826" s="80"/>
      <c r="AA826" s="80"/>
    </row>
    <row r="827" spans="1:27" ht="15.75" customHeight="1">
      <c r="A827" s="80"/>
      <c r="B827" s="270"/>
      <c r="C827" s="271"/>
      <c r="D827" s="80"/>
      <c r="E827" s="271"/>
      <c r="F827" s="272"/>
      <c r="G827" s="270"/>
      <c r="H827" s="271"/>
      <c r="I827" s="272"/>
      <c r="J827" s="80"/>
      <c r="K827" s="273"/>
      <c r="L827" s="273"/>
      <c r="M827" s="273"/>
      <c r="N827" s="273"/>
      <c r="O827" s="273"/>
      <c r="P827" s="273"/>
      <c r="Q827" s="274"/>
      <c r="R827" s="80"/>
      <c r="S827" s="80"/>
      <c r="T827" s="241"/>
      <c r="U827" s="80"/>
      <c r="V827" s="80"/>
      <c r="W827" s="80"/>
      <c r="X827" s="80"/>
      <c r="Y827" s="80"/>
      <c r="Z827" s="80"/>
      <c r="AA827" s="80"/>
    </row>
    <row r="828" spans="1:27" ht="15.75" customHeight="1">
      <c r="A828" s="80"/>
      <c r="B828" s="270"/>
      <c r="C828" s="271"/>
      <c r="D828" s="80"/>
      <c r="E828" s="271"/>
      <c r="F828" s="272"/>
      <c r="G828" s="270"/>
      <c r="H828" s="271"/>
      <c r="I828" s="272"/>
      <c r="J828" s="80"/>
      <c r="K828" s="273"/>
      <c r="L828" s="273"/>
      <c r="M828" s="273"/>
      <c r="N828" s="273"/>
      <c r="O828" s="273"/>
      <c r="P828" s="273"/>
      <c r="Q828" s="274"/>
      <c r="R828" s="80"/>
      <c r="S828" s="80"/>
      <c r="T828" s="241"/>
      <c r="U828" s="80"/>
      <c r="V828" s="80"/>
      <c r="W828" s="80"/>
      <c r="X828" s="80"/>
      <c r="Y828" s="80"/>
      <c r="Z828" s="80"/>
      <c r="AA828" s="80"/>
    </row>
    <row r="829" spans="1:27" ht="15.75" customHeight="1">
      <c r="A829" s="80"/>
      <c r="B829" s="270"/>
      <c r="C829" s="271"/>
      <c r="D829" s="80"/>
      <c r="E829" s="271"/>
      <c r="F829" s="272"/>
      <c r="G829" s="270"/>
      <c r="H829" s="271"/>
      <c r="I829" s="272"/>
      <c r="J829" s="80"/>
      <c r="K829" s="273"/>
      <c r="L829" s="273"/>
      <c r="M829" s="273"/>
      <c r="N829" s="273"/>
      <c r="O829" s="273"/>
      <c r="P829" s="273"/>
      <c r="Q829" s="274"/>
      <c r="R829" s="80"/>
      <c r="S829" s="80"/>
      <c r="T829" s="241"/>
      <c r="U829" s="80"/>
      <c r="V829" s="80"/>
      <c r="W829" s="80"/>
      <c r="X829" s="80"/>
      <c r="Y829" s="80"/>
      <c r="Z829" s="80"/>
      <c r="AA829" s="80"/>
    </row>
    <row r="830" spans="1:27" ht="15.75" customHeight="1">
      <c r="A830" s="80"/>
      <c r="B830" s="270"/>
      <c r="C830" s="271"/>
      <c r="D830" s="80"/>
      <c r="E830" s="271"/>
      <c r="F830" s="272"/>
      <c r="G830" s="270"/>
      <c r="H830" s="271"/>
      <c r="I830" s="272"/>
      <c r="J830" s="80"/>
      <c r="K830" s="273"/>
      <c r="L830" s="273"/>
      <c r="M830" s="273"/>
      <c r="N830" s="273"/>
      <c r="O830" s="273"/>
      <c r="P830" s="273"/>
      <c r="Q830" s="274"/>
      <c r="R830" s="80"/>
      <c r="S830" s="80"/>
      <c r="T830" s="241"/>
      <c r="U830" s="80"/>
      <c r="V830" s="80"/>
      <c r="W830" s="80"/>
      <c r="X830" s="80"/>
      <c r="Y830" s="80"/>
      <c r="Z830" s="80"/>
      <c r="AA830" s="80"/>
    </row>
    <row r="831" spans="1:27" ht="15.75" customHeight="1">
      <c r="A831" s="80"/>
      <c r="B831" s="270"/>
      <c r="C831" s="271"/>
      <c r="D831" s="80"/>
      <c r="E831" s="271"/>
      <c r="F831" s="272"/>
      <c r="G831" s="270"/>
      <c r="H831" s="271"/>
      <c r="I831" s="272"/>
      <c r="J831" s="80"/>
      <c r="K831" s="273"/>
      <c r="L831" s="273"/>
      <c r="M831" s="273"/>
      <c r="N831" s="273"/>
      <c r="O831" s="273"/>
      <c r="P831" s="273"/>
      <c r="Q831" s="274"/>
      <c r="R831" s="80"/>
      <c r="S831" s="80"/>
      <c r="T831" s="241"/>
      <c r="U831" s="80"/>
      <c r="V831" s="80"/>
      <c r="W831" s="80"/>
      <c r="X831" s="80"/>
      <c r="Y831" s="80"/>
      <c r="Z831" s="80"/>
      <c r="AA831" s="80"/>
    </row>
    <row r="832" spans="1:27" ht="15.75" customHeight="1">
      <c r="A832" s="80"/>
      <c r="B832" s="270"/>
      <c r="C832" s="271"/>
      <c r="D832" s="80"/>
      <c r="E832" s="271"/>
      <c r="F832" s="272"/>
      <c r="G832" s="270"/>
      <c r="H832" s="271"/>
      <c r="I832" s="272"/>
      <c r="J832" s="80"/>
      <c r="K832" s="273"/>
      <c r="L832" s="273"/>
      <c r="M832" s="273"/>
      <c r="N832" s="273"/>
      <c r="O832" s="273"/>
      <c r="P832" s="273"/>
      <c r="Q832" s="274"/>
      <c r="R832" s="80"/>
      <c r="S832" s="80"/>
      <c r="T832" s="241"/>
      <c r="U832" s="80"/>
      <c r="V832" s="80"/>
      <c r="W832" s="80"/>
      <c r="X832" s="80"/>
      <c r="Y832" s="80"/>
      <c r="Z832" s="80"/>
      <c r="AA832" s="80"/>
    </row>
    <row r="833" spans="1:27" ht="15.75" customHeight="1">
      <c r="A833" s="80"/>
      <c r="B833" s="270"/>
      <c r="C833" s="271"/>
      <c r="D833" s="80"/>
      <c r="E833" s="271"/>
      <c r="F833" s="272"/>
      <c r="G833" s="270"/>
      <c r="H833" s="271"/>
      <c r="I833" s="272"/>
      <c r="J833" s="80"/>
      <c r="K833" s="273"/>
      <c r="L833" s="273"/>
      <c r="M833" s="273"/>
      <c r="N833" s="273"/>
      <c r="O833" s="273"/>
      <c r="P833" s="273"/>
      <c r="Q833" s="274"/>
      <c r="R833" s="80"/>
      <c r="S833" s="80"/>
      <c r="T833" s="241"/>
      <c r="U833" s="80"/>
      <c r="V833" s="80"/>
      <c r="W833" s="80"/>
      <c r="X833" s="80"/>
      <c r="Y833" s="80"/>
      <c r="Z833" s="80"/>
      <c r="AA833" s="80"/>
    </row>
    <row r="834" spans="1:27" ht="15.75" customHeight="1">
      <c r="A834" s="80"/>
      <c r="B834" s="270"/>
      <c r="C834" s="271"/>
      <c r="D834" s="80"/>
      <c r="E834" s="271"/>
      <c r="F834" s="272"/>
      <c r="G834" s="270"/>
      <c r="H834" s="271"/>
      <c r="I834" s="272"/>
      <c r="J834" s="80"/>
      <c r="K834" s="273"/>
      <c r="L834" s="273"/>
      <c r="M834" s="273"/>
      <c r="N834" s="273"/>
      <c r="O834" s="273"/>
      <c r="P834" s="273"/>
      <c r="Q834" s="274"/>
      <c r="R834" s="80"/>
      <c r="S834" s="80"/>
      <c r="T834" s="241"/>
      <c r="U834" s="80"/>
      <c r="V834" s="80"/>
      <c r="W834" s="80"/>
      <c r="X834" s="80"/>
      <c r="Y834" s="80"/>
      <c r="Z834" s="80"/>
      <c r="AA834" s="80"/>
    </row>
    <row r="835" spans="1:27" ht="15.75" customHeight="1">
      <c r="A835" s="80"/>
      <c r="B835" s="270"/>
      <c r="C835" s="271"/>
      <c r="D835" s="80"/>
      <c r="E835" s="271"/>
      <c r="F835" s="272"/>
      <c r="G835" s="270"/>
      <c r="H835" s="271"/>
      <c r="I835" s="272"/>
      <c r="J835" s="80"/>
      <c r="K835" s="273"/>
      <c r="L835" s="273"/>
      <c r="M835" s="273"/>
      <c r="N835" s="273"/>
      <c r="O835" s="273"/>
      <c r="P835" s="273"/>
      <c r="Q835" s="274"/>
      <c r="R835" s="80"/>
      <c r="S835" s="80"/>
      <c r="T835" s="241"/>
      <c r="U835" s="80"/>
      <c r="V835" s="80"/>
      <c r="W835" s="80"/>
      <c r="X835" s="80"/>
      <c r="Y835" s="80"/>
      <c r="Z835" s="80"/>
      <c r="AA835" s="80"/>
    </row>
    <row r="836" spans="1:27" ht="15.75" customHeight="1">
      <c r="A836" s="80"/>
      <c r="B836" s="270"/>
      <c r="C836" s="271"/>
      <c r="D836" s="80"/>
      <c r="E836" s="271"/>
      <c r="F836" s="272"/>
      <c r="G836" s="270"/>
      <c r="H836" s="271"/>
      <c r="I836" s="272"/>
      <c r="J836" s="80"/>
      <c r="K836" s="273"/>
      <c r="L836" s="273"/>
      <c r="M836" s="273"/>
      <c r="N836" s="273"/>
      <c r="O836" s="273"/>
      <c r="P836" s="273"/>
      <c r="Q836" s="274"/>
      <c r="R836" s="80"/>
      <c r="S836" s="80"/>
      <c r="T836" s="241"/>
      <c r="U836" s="80"/>
      <c r="V836" s="80"/>
      <c r="W836" s="80"/>
      <c r="X836" s="80"/>
      <c r="Y836" s="80"/>
      <c r="Z836" s="80"/>
      <c r="AA836" s="80"/>
    </row>
    <row r="837" spans="1:27" ht="15.75" customHeight="1">
      <c r="A837" s="80"/>
      <c r="B837" s="270"/>
      <c r="C837" s="271"/>
      <c r="D837" s="80"/>
      <c r="E837" s="271"/>
      <c r="F837" s="272"/>
      <c r="G837" s="270"/>
      <c r="H837" s="271"/>
      <c r="I837" s="272"/>
      <c r="J837" s="80"/>
      <c r="K837" s="273"/>
      <c r="L837" s="273"/>
      <c r="M837" s="273"/>
      <c r="N837" s="273"/>
      <c r="O837" s="273"/>
      <c r="P837" s="273"/>
      <c r="Q837" s="274"/>
      <c r="R837" s="80"/>
      <c r="S837" s="80"/>
      <c r="T837" s="241"/>
      <c r="U837" s="80"/>
      <c r="V837" s="80"/>
      <c r="W837" s="80"/>
      <c r="X837" s="80"/>
      <c r="Y837" s="80"/>
      <c r="Z837" s="80"/>
      <c r="AA837" s="80"/>
    </row>
    <row r="838" spans="1:27" ht="15.75" customHeight="1">
      <c r="A838" s="80"/>
      <c r="B838" s="270"/>
      <c r="C838" s="271"/>
      <c r="D838" s="80"/>
      <c r="E838" s="271"/>
      <c r="F838" s="272"/>
      <c r="G838" s="270"/>
      <c r="H838" s="271"/>
      <c r="I838" s="272"/>
      <c r="J838" s="80"/>
      <c r="K838" s="273"/>
      <c r="L838" s="273"/>
      <c r="M838" s="273"/>
      <c r="N838" s="273"/>
      <c r="O838" s="273"/>
      <c r="P838" s="273"/>
      <c r="Q838" s="274"/>
      <c r="R838" s="80"/>
      <c r="S838" s="80"/>
      <c r="T838" s="241"/>
      <c r="U838" s="80"/>
      <c r="V838" s="80"/>
      <c r="W838" s="80"/>
      <c r="X838" s="80"/>
      <c r="Y838" s="80"/>
      <c r="Z838" s="80"/>
      <c r="AA838" s="80"/>
    </row>
    <row r="839" spans="1:27" ht="15.75" customHeight="1">
      <c r="A839" s="80"/>
      <c r="B839" s="270"/>
      <c r="C839" s="271"/>
      <c r="D839" s="80"/>
      <c r="E839" s="271"/>
      <c r="F839" s="272"/>
      <c r="G839" s="270"/>
      <c r="H839" s="271"/>
      <c r="I839" s="272"/>
      <c r="J839" s="80"/>
      <c r="K839" s="273"/>
      <c r="L839" s="273"/>
      <c r="M839" s="273"/>
      <c r="N839" s="273"/>
      <c r="O839" s="273"/>
      <c r="P839" s="273"/>
      <c r="Q839" s="274"/>
      <c r="R839" s="80"/>
      <c r="S839" s="80"/>
      <c r="T839" s="241"/>
      <c r="U839" s="80"/>
      <c r="V839" s="80"/>
      <c r="W839" s="80"/>
      <c r="X839" s="80"/>
      <c r="Y839" s="80"/>
      <c r="Z839" s="80"/>
      <c r="AA839" s="80"/>
    </row>
    <row r="840" spans="1:27" ht="15.75" customHeight="1">
      <c r="A840" s="80"/>
      <c r="B840" s="270"/>
      <c r="C840" s="271"/>
      <c r="D840" s="80"/>
      <c r="E840" s="271"/>
      <c r="F840" s="272"/>
      <c r="G840" s="270"/>
      <c r="H840" s="271"/>
      <c r="I840" s="272"/>
      <c r="J840" s="80"/>
      <c r="K840" s="273"/>
      <c r="L840" s="273"/>
      <c r="M840" s="273"/>
      <c r="N840" s="273"/>
      <c r="O840" s="273"/>
      <c r="P840" s="273"/>
      <c r="Q840" s="274"/>
      <c r="R840" s="80"/>
      <c r="S840" s="80"/>
      <c r="T840" s="241"/>
      <c r="U840" s="80"/>
      <c r="V840" s="80"/>
      <c r="W840" s="80"/>
      <c r="X840" s="80"/>
      <c r="Y840" s="80"/>
      <c r="Z840" s="80"/>
      <c r="AA840" s="80"/>
    </row>
    <row r="841" spans="1:27" ht="15.75" customHeight="1">
      <c r="A841" s="80"/>
      <c r="B841" s="270"/>
      <c r="C841" s="271"/>
      <c r="D841" s="80"/>
      <c r="E841" s="271"/>
      <c r="F841" s="272"/>
      <c r="G841" s="270"/>
      <c r="H841" s="271"/>
      <c r="I841" s="272"/>
      <c r="J841" s="80"/>
      <c r="K841" s="273"/>
      <c r="L841" s="273"/>
      <c r="M841" s="273"/>
      <c r="N841" s="273"/>
      <c r="O841" s="273"/>
      <c r="P841" s="273"/>
      <c r="Q841" s="274"/>
      <c r="R841" s="80"/>
      <c r="S841" s="80"/>
      <c r="T841" s="241"/>
      <c r="U841" s="80"/>
      <c r="V841" s="80"/>
      <c r="W841" s="80"/>
      <c r="X841" s="80"/>
      <c r="Y841" s="80"/>
      <c r="Z841" s="80"/>
      <c r="AA841" s="80"/>
    </row>
    <row r="842" spans="1:27" ht="15.75" customHeight="1">
      <c r="A842" s="80"/>
      <c r="B842" s="270"/>
      <c r="C842" s="271"/>
      <c r="D842" s="80"/>
      <c r="E842" s="271"/>
      <c r="F842" s="272"/>
      <c r="G842" s="270"/>
      <c r="H842" s="271"/>
      <c r="I842" s="272"/>
      <c r="J842" s="80"/>
      <c r="K842" s="273"/>
      <c r="L842" s="273"/>
      <c r="M842" s="273"/>
      <c r="N842" s="273"/>
      <c r="O842" s="273"/>
      <c r="P842" s="273"/>
      <c r="Q842" s="274"/>
      <c r="R842" s="80"/>
      <c r="S842" s="80"/>
      <c r="T842" s="241"/>
      <c r="U842" s="80"/>
      <c r="V842" s="80"/>
      <c r="W842" s="80"/>
      <c r="X842" s="80"/>
      <c r="Y842" s="80"/>
      <c r="Z842" s="80"/>
      <c r="AA842" s="80"/>
    </row>
    <row r="843" spans="1:27" ht="15.75" customHeight="1">
      <c r="A843" s="80"/>
      <c r="B843" s="270"/>
      <c r="C843" s="271"/>
      <c r="D843" s="80"/>
      <c r="E843" s="271"/>
      <c r="F843" s="272"/>
      <c r="G843" s="270"/>
      <c r="H843" s="271"/>
      <c r="I843" s="272"/>
      <c r="J843" s="80"/>
      <c r="K843" s="273"/>
      <c r="L843" s="273"/>
      <c r="M843" s="273"/>
      <c r="N843" s="273"/>
      <c r="O843" s="273"/>
      <c r="P843" s="273"/>
      <c r="Q843" s="274"/>
      <c r="R843" s="80"/>
      <c r="S843" s="80"/>
      <c r="T843" s="241"/>
      <c r="U843" s="80"/>
      <c r="V843" s="80"/>
      <c r="W843" s="80"/>
      <c r="X843" s="80"/>
      <c r="Y843" s="80"/>
      <c r="Z843" s="80"/>
      <c r="AA843" s="80"/>
    </row>
    <row r="844" spans="1:27" ht="15.75" customHeight="1">
      <c r="A844" s="80"/>
      <c r="B844" s="270"/>
      <c r="C844" s="271"/>
      <c r="D844" s="80"/>
      <c r="E844" s="271"/>
      <c r="F844" s="272"/>
      <c r="G844" s="270"/>
      <c r="H844" s="271"/>
      <c r="I844" s="272"/>
      <c r="J844" s="80"/>
      <c r="K844" s="273"/>
      <c r="L844" s="273"/>
      <c r="M844" s="273"/>
      <c r="N844" s="273"/>
      <c r="O844" s="273"/>
      <c r="P844" s="273"/>
      <c r="Q844" s="274"/>
      <c r="R844" s="80"/>
      <c r="S844" s="80"/>
      <c r="T844" s="241"/>
      <c r="U844" s="80"/>
      <c r="V844" s="80"/>
      <c r="W844" s="80"/>
      <c r="X844" s="80"/>
      <c r="Y844" s="80"/>
      <c r="Z844" s="80"/>
      <c r="AA844" s="80"/>
    </row>
    <row r="845" spans="1:27" ht="15.75" customHeight="1">
      <c r="A845" s="80"/>
      <c r="B845" s="270"/>
      <c r="C845" s="271"/>
      <c r="D845" s="80"/>
      <c r="E845" s="271"/>
      <c r="F845" s="272"/>
      <c r="G845" s="270"/>
      <c r="H845" s="271"/>
      <c r="I845" s="272"/>
      <c r="J845" s="80"/>
      <c r="K845" s="273"/>
      <c r="L845" s="273"/>
      <c r="M845" s="273"/>
      <c r="N845" s="273"/>
      <c r="O845" s="273"/>
      <c r="P845" s="273"/>
      <c r="Q845" s="274"/>
      <c r="R845" s="80"/>
      <c r="S845" s="80"/>
      <c r="T845" s="241"/>
      <c r="U845" s="80"/>
      <c r="V845" s="80"/>
      <c r="W845" s="80"/>
      <c r="X845" s="80"/>
      <c r="Y845" s="80"/>
      <c r="Z845" s="80"/>
      <c r="AA845" s="80"/>
    </row>
    <row r="846" spans="1:27" ht="15.75" customHeight="1">
      <c r="A846" s="80"/>
      <c r="B846" s="270"/>
      <c r="C846" s="271"/>
      <c r="D846" s="80"/>
      <c r="E846" s="271"/>
      <c r="F846" s="272"/>
      <c r="G846" s="270"/>
      <c r="H846" s="271"/>
      <c r="I846" s="272"/>
      <c r="J846" s="80"/>
      <c r="K846" s="273"/>
      <c r="L846" s="273"/>
      <c r="M846" s="273"/>
      <c r="N846" s="273"/>
      <c r="O846" s="273"/>
      <c r="P846" s="273"/>
      <c r="Q846" s="274"/>
      <c r="R846" s="80"/>
      <c r="S846" s="80"/>
      <c r="T846" s="241"/>
      <c r="U846" s="80"/>
      <c r="V846" s="80"/>
      <c r="W846" s="80"/>
      <c r="X846" s="80"/>
      <c r="Y846" s="80"/>
      <c r="Z846" s="80"/>
      <c r="AA846" s="80"/>
    </row>
    <row r="847" spans="1:27" ht="15.75" customHeight="1">
      <c r="A847" s="80"/>
      <c r="B847" s="270"/>
      <c r="C847" s="271"/>
      <c r="D847" s="80"/>
      <c r="E847" s="271"/>
      <c r="F847" s="272"/>
      <c r="G847" s="270"/>
      <c r="H847" s="271"/>
      <c r="I847" s="272"/>
      <c r="J847" s="80"/>
      <c r="K847" s="273"/>
      <c r="L847" s="273"/>
      <c r="M847" s="273"/>
      <c r="N847" s="273"/>
      <c r="O847" s="273"/>
      <c r="P847" s="273"/>
      <c r="Q847" s="274"/>
      <c r="R847" s="80"/>
      <c r="S847" s="80"/>
      <c r="T847" s="241"/>
      <c r="U847" s="80"/>
      <c r="V847" s="80"/>
      <c r="W847" s="80"/>
      <c r="X847" s="80"/>
      <c r="Y847" s="80"/>
      <c r="Z847" s="80"/>
      <c r="AA847" s="80"/>
    </row>
    <row r="848" spans="1:27" ht="15.75" customHeight="1">
      <c r="A848" s="80"/>
      <c r="B848" s="270"/>
      <c r="C848" s="271"/>
      <c r="D848" s="80"/>
      <c r="E848" s="271"/>
      <c r="F848" s="272"/>
      <c r="G848" s="270"/>
      <c r="H848" s="271"/>
      <c r="I848" s="272"/>
      <c r="J848" s="80"/>
      <c r="K848" s="273"/>
      <c r="L848" s="273"/>
      <c r="M848" s="273"/>
      <c r="N848" s="273"/>
      <c r="O848" s="273"/>
      <c r="P848" s="273"/>
      <c r="Q848" s="274"/>
      <c r="R848" s="80"/>
      <c r="S848" s="80"/>
      <c r="T848" s="241"/>
      <c r="U848" s="80"/>
      <c r="V848" s="80"/>
      <c r="W848" s="80"/>
      <c r="X848" s="80"/>
      <c r="Y848" s="80"/>
      <c r="Z848" s="80"/>
      <c r="AA848" s="80"/>
    </row>
    <row r="849" spans="1:27" ht="15.75" customHeight="1">
      <c r="A849" s="80"/>
      <c r="B849" s="270"/>
      <c r="C849" s="271"/>
      <c r="D849" s="80"/>
      <c r="E849" s="271"/>
      <c r="F849" s="272"/>
      <c r="G849" s="270"/>
      <c r="H849" s="271"/>
      <c r="I849" s="272"/>
      <c r="J849" s="80"/>
      <c r="K849" s="273"/>
      <c r="L849" s="273"/>
      <c r="M849" s="273"/>
      <c r="N849" s="273"/>
      <c r="O849" s="273"/>
      <c r="P849" s="273"/>
      <c r="Q849" s="274"/>
      <c r="R849" s="80"/>
      <c r="S849" s="80"/>
      <c r="T849" s="241"/>
      <c r="U849" s="80"/>
      <c r="V849" s="80"/>
      <c r="W849" s="80"/>
      <c r="X849" s="80"/>
      <c r="Y849" s="80"/>
      <c r="Z849" s="80"/>
      <c r="AA849" s="80"/>
    </row>
    <row r="850" spans="1:27" ht="15.75" customHeight="1">
      <c r="A850" s="80"/>
      <c r="B850" s="270"/>
      <c r="C850" s="271"/>
      <c r="D850" s="80"/>
      <c r="E850" s="271"/>
      <c r="F850" s="272"/>
      <c r="G850" s="270"/>
      <c r="H850" s="271"/>
      <c r="I850" s="272"/>
      <c r="J850" s="80"/>
      <c r="K850" s="273"/>
      <c r="L850" s="273"/>
      <c r="M850" s="273"/>
      <c r="N850" s="273"/>
      <c r="O850" s="273"/>
      <c r="P850" s="273"/>
      <c r="Q850" s="274"/>
      <c r="R850" s="80"/>
      <c r="S850" s="80"/>
      <c r="T850" s="241"/>
      <c r="U850" s="80"/>
      <c r="V850" s="80"/>
      <c r="W850" s="80"/>
      <c r="X850" s="80"/>
      <c r="Y850" s="80"/>
      <c r="Z850" s="80"/>
      <c r="AA850" s="80"/>
    </row>
    <row r="851" spans="1:27" ht="15.75" customHeight="1">
      <c r="A851" s="80"/>
      <c r="B851" s="270"/>
      <c r="C851" s="271"/>
      <c r="D851" s="80"/>
      <c r="E851" s="271"/>
      <c r="F851" s="272"/>
      <c r="G851" s="270"/>
      <c r="H851" s="271"/>
      <c r="I851" s="272"/>
      <c r="J851" s="80"/>
      <c r="K851" s="273"/>
      <c r="L851" s="273"/>
      <c r="M851" s="273"/>
      <c r="N851" s="273"/>
      <c r="O851" s="273"/>
      <c r="P851" s="273"/>
      <c r="Q851" s="274"/>
      <c r="R851" s="80"/>
      <c r="S851" s="80"/>
      <c r="T851" s="241"/>
      <c r="U851" s="80"/>
      <c r="V851" s="80"/>
      <c r="W851" s="80"/>
      <c r="X851" s="80"/>
      <c r="Y851" s="80"/>
      <c r="Z851" s="80"/>
      <c r="AA851" s="80"/>
    </row>
    <row r="852" spans="1:27" ht="15.75" customHeight="1">
      <c r="A852" s="80"/>
      <c r="B852" s="270"/>
      <c r="C852" s="271"/>
      <c r="D852" s="80"/>
      <c r="E852" s="271"/>
      <c r="F852" s="272"/>
      <c r="G852" s="270"/>
      <c r="H852" s="271"/>
      <c r="I852" s="272"/>
      <c r="J852" s="80"/>
      <c r="K852" s="273"/>
      <c r="L852" s="273"/>
      <c r="M852" s="273"/>
      <c r="N852" s="273"/>
      <c r="O852" s="273"/>
      <c r="P852" s="273"/>
      <c r="Q852" s="274"/>
      <c r="R852" s="80"/>
      <c r="S852" s="80"/>
      <c r="T852" s="241"/>
      <c r="U852" s="80"/>
      <c r="V852" s="80"/>
      <c r="W852" s="80"/>
      <c r="X852" s="80"/>
      <c r="Y852" s="80"/>
      <c r="Z852" s="80"/>
      <c r="AA852" s="80"/>
    </row>
    <row r="853" spans="1:27" ht="15.75" customHeight="1">
      <c r="A853" s="80"/>
      <c r="B853" s="270"/>
      <c r="C853" s="271"/>
      <c r="D853" s="80"/>
      <c r="E853" s="271"/>
      <c r="F853" s="272"/>
      <c r="G853" s="270"/>
      <c r="H853" s="271"/>
      <c r="I853" s="272"/>
      <c r="J853" s="80"/>
      <c r="K853" s="273"/>
      <c r="L853" s="273"/>
      <c r="M853" s="273"/>
      <c r="N853" s="273"/>
      <c r="O853" s="273"/>
      <c r="P853" s="273"/>
      <c r="Q853" s="274"/>
      <c r="R853" s="80"/>
      <c r="S853" s="80"/>
      <c r="T853" s="241"/>
      <c r="U853" s="80"/>
      <c r="V853" s="80"/>
      <c r="W853" s="80"/>
      <c r="X853" s="80"/>
      <c r="Y853" s="80"/>
      <c r="Z853" s="80"/>
      <c r="AA853" s="80"/>
    </row>
    <row r="854" spans="1:27" ht="15.75" customHeight="1">
      <c r="A854" s="80"/>
      <c r="B854" s="270"/>
      <c r="C854" s="271"/>
      <c r="D854" s="80"/>
      <c r="E854" s="271"/>
      <c r="F854" s="272"/>
      <c r="G854" s="270"/>
      <c r="H854" s="271"/>
      <c r="I854" s="272"/>
      <c r="J854" s="80"/>
      <c r="K854" s="273"/>
      <c r="L854" s="273"/>
      <c r="M854" s="273"/>
      <c r="N854" s="273"/>
      <c r="O854" s="273"/>
      <c r="P854" s="273"/>
      <c r="Q854" s="274"/>
      <c r="R854" s="80"/>
      <c r="S854" s="80"/>
      <c r="T854" s="241"/>
      <c r="U854" s="80"/>
      <c r="V854" s="80"/>
      <c r="W854" s="80"/>
      <c r="X854" s="80"/>
      <c r="Y854" s="80"/>
      <c r="Z854" s="80"/>
      <c r="AA854" s="80"/>
    </row>
    <row r="855" spans="1:27" ht="15.75" customHeight="1">
      <c r="A855" s="80"/>
      <c r="B855" s="270"/>
      <c r="C855" s="271"/>
      <c r="D855" s="80"/>
      <c r="E855" s="271"/>
      <c r="F855" s="272"/>
      <c r="G855" s="270"/>
      <c r="H855" s="271"/>
      <c r="I855" s="272"/>
      <c r="J855" s="80"/>
      <c r="K855" s="273"/>
      <c r="L855" s="273"/>
      <c r="M855" s="273"/>
      <c r="N855" s="273"/>
      <c r="O855" s="273"/>
      <c r="P855" s="273"/>
      <c r="Q855" s="274"/>
      <c r="R855" s="80"/>
      <c r="S855" s="80"/>
      <c r="T855" s="241"/>
      <c r="U855" s="80"/>
      <c r="V855" s="80"/>
      <c r="W855" s="80"/>
      <c r="X855" s="80"/>
      <c r="Y855" s="80"/>
      <c r="Z855" s="80"/>
      <c r="AA855" s="80"/>
    </row>
    <row r="856" spans="1:27" ht="15.75" customHeight="1">
      <c r="A856" s="80"/>
      <c r="B856" s="270"/>
      <c r="C856" s="271"/>
      <c r="D856" s="80"/>
      <c r="E856" s="271"/>
      <c r="F856" s="272"/>
      <c r="G856" s="270"/>
      <c r="H856" s="271"/>
      <c r="I856" s="272"/>
      <c r="J856" s="80"/>
      <c r="K856" s="273"/>
      <c r="L856" s="273"/>
      <c r="M856" s="273"/>
      <c r="N856" s="273"/>
      <c r="O856" s="273"/>
      <c r="P856" s="273"/>
      <c r="Q856" s="274"/>
      <c r="R856" s="80"/>
      <c r="S856" s="80"/>
      <c r="T856" s="241"/>
      <c r="U856" s="80"/>
      <c r="V856" s="80"/>
      <c r="W856" s="80"/>
      <c r="X856" s="80"/>
      <c r="Y856" s="80"/>
      <c r="Z856" s="80"/>
      <c r="AA856" s="80"/>
    </row>
    <row r="857" spans="1:27" ht="15.75" customHeight="1">
      <c r="A857" s="80"/>
      <c r="B857" s="270"/>
      <c r="C857" s="271"/>
      <c r="D857" s="80"/>
      <c r="E857" s="271"/>
      <c r="F857" s="272"/>
      <c r="G857" s="270"/>
      <c r="H857" s="271"/>
      <c r="I857" s="272"/>
      <c r="J857" s="80"/>
      <c r="K857" s="273"/>
      <c r="L857" s="273"/>
      <c r="M857" s="273"/>
      <c r="N857" s="273"/>
      <c r="O857" s="273"/>
      <c r="P857" s="273"/>
      <c r="Q857" s="274"/>
      <c r="R857" s="80"/>
      <c r="S857" s="80"/>
      <c r="T857" s="241"/>
      <c r="U857" s="80"/>
      <c r="V857" s="80"/>
      <c r="W857" s="80"/>
      <c r="X857" s="80"/>
      <c r="Y857" s="80"/>
      <c r="Z857" s="80"/>
      <c r="AA857" s="80"/>
    </row>
    <row r="858" spans="1:27" ht="15.75" customHeight="1">
      <c r="A858" s="80"/>
      <c r="B858" s="270"/>
      <c r="C858" s="271"/>
      <c r="D858" s="80"/>
      <c r="E858" s="271"/>
      <c r="F858" s="272"/>
      <c r="G858" s="270"/>
      <c r="H858" s="271"/>
      <c r="I858" s="272"/>
      <c r="J858" s="80"/>
      <c r="K858" s="273"/>
      <c r="L858" s="273"/>
      <c r="M858" s="273"/>
      <c r="N858" s="273"/>
      <c r="O858" s="273"/>
      <c r="P858" s="273"/>
      <c r="Q858" s="274"/>
      <c r="R858" s="80"/>
      <c r="S858" s="80"/>
      <c r="T858" s="241"/>
      <c r="U858" s="80"/>
      <c r="V858" s="80"/>
      <c r="W858" s="80"/>
      <c r="X858" s="80"/>
      <c r="Y858" s="80"/>
      <c r="Z858" s="80"/>
      <c r="AA858" s="80"/>
    </row>
    <row r="859" spans="1:27" ht="15.75" customHeight="1">
      <c r="A859" s="80"/>
      <c r="B859" s="270"/>
      <c r="C859" s="271"/>
      <c r="D859" s="80"/>
      <c r="E859" s="271"/>
      <c r="F859" s="272"/>
      <c r="G859" s="270"/>
      <c r="H859" s="271"/>
      <c r="I859" s="272"/>
      <c r="J859" s="80"/>
      <c r="K859" s="273"/>
      <c r="L859" s="273"/>
      <c r="M859" s="273"/>
      <c r="N859" s="273"/>
      <c r="O859" s="273"/>
      <c r="P859" s="273"/>
      <c r="Q859" s="274"/>
      <c r="R859" s="80"/>
      <c r="S859" s="80"/>
      <c r="T859" s="241"/>
      <c r="U859" s="80"/>
      <c r="V859" s="80"/>
      <c r="W859" s="80"/>
      <c r="X859" s="80"/>
      <c r="Y859" s="80"/>
      <c r="Z859" s="80"/>
      <c r="AA859" s="80"/>
    </row>
    <row r="860" spans="1:27" ht="15.75" customHeight="1">
      <c r="A860" s="80"/>
      <c r="B860" s="270"/>
      <c r="C860" s="271"/>
      <c r="D860" s="80"/>
      <c r="E860" s="271"/>
      <c r="F860" s="272"/>
      <c r="G860" s="270"/>
      <c r="H860" s="271"/>
      <c r="I860" s="272"/>
      <c r="J860" s="80"/>
      <c r="K860" s="273"/>
      <c r="L860" s="273"/>
      <c r="M860" s="273"/>
      <c r="N860" s="273"/>
      <c r="O860" s="273"/>
      <c r="P860" s="273"/>
      <c r="Q860" s="274"/>
      <c r="R860" s="80"/>
      <c r="S860" s="80"/>
      <c r="T860" s="241"/>
      <c r="U860" s="80"/>
      <c r="V860" s="80"/>
      <c r="W860" s="80"/>
      <c r="X860" s="80"/>
      <c r="Y860" s="80"/>
      <c r="Z860" s="80"/>
      <c r="AA860" s="80"/>
    </row>
    <row r="861" spans="1:27" ht="15.75" customHeight="1">
      <c r="A861" s="80"/>
      <c r="B861" s="270"/>
      <c r="C861" s="271"/>
      <c r="D861" s="80"/>
      <c r="E861" s="271"/>
      <c r="F861" s="272"/>
      <c r="G861" s="270"/>
      <c r="H861" s="271"/>
      <c r="I861" s="272"/>
      <c r="J861" s="80"/>
      <c r="K861" s="273"/>
      <c r="L861" s="273"/>
      <c r="M861" s="273"/>
      <c r="N861" s="273"/>
      <c r="O861" s="273"/>
      <c r="P861" s="273"/>
      <c r="Q861" s="274"/>
      <c r="R861" s="80"/>
      <c r="S861" s="80"/>
      <c r="T861" s="241"/>
      <c r="U861" s="80"/>
      <c r="V861" s="80"/>
      <c r="W861" s="80"/>
      <c r="X861" s="80"/>
      <c r="Y861" s="80"/>
      <c r="Z861" s="80"/>
      <c r="AA861" s="80"/>
    </row>
    <row r="862" spans="1:27" ht="15.75" customHeight="1">
      <c r="A862" s="80"/>
      <c r="B862" s="270"/>
      <c r="C862" s="271"/>
      <c r="D862" s="80"/>
      <c r="E862" s="271"/>
      <c r="F862" s="272"/>
      <c r="G862" s="270"/>
      <c r="H862" s="271"/>
      <c r="I862" s="272"/>
      <c r="J862" s="80"/>
      <c r="K862" s="273"/>
      <c r="L862" s="273"/>
      <c r="M862" s="273"/>
      <c r="N862" s="273"/>
      <c r="O862" s="273"/>
      <c r="P862" s="273"/>
      <c r="Q862" s="274"/>
      <c r="R862" s="80"/>
      <c r="S862" s="80"/>
      <c r="T862" s="241"/>
      <c r="U862" s="80"/>
      <c r="V862" s="80"/>
      <c r="W862" s="80"/>
      <c r="X862" s="80"/>
      <c r="Y862" s="80"/>
      <c r="Z862" s="80"/>
      <c r="AA862" s="80"/>
    </row>
    <row r="863" spans="1:27" ht="15.75" customHeight="1">
      <c r="A863" s="80"/>
      <c r="B863" s="270"/>
      <c r="C863" s="271"/>
      <c r="D863" s="80"/>
      <c r="E863" s="271"/>
      <c r="F863" s="272"/>
      <c r="G863" s="270"/>
      <c r="H863" s="271"/>
      <c r="I863" s="272"/>
      <c r="J863" s="80"/>
      <c r="K863" s="273"/>
      <c r="L863" s="273"/>
      <c r="M863" s="273"/>
      <c r="N863" s="273"/>
      <c r="O863" s="273"/>
      <c r="P863" s="273"/>
      <c r="Q863" s="274"/>
      <c r="R863" s="80"/>
      <c r="S863" s="80"/>
      <c r="T863" s="241"/>
      <c r="U863" s="80"/>
      <c r="V863" s="80"/>
      <c r="W863" s="80"/>
      <c r="X863" s="80"/>
      <c r="Y863" s="80"/>
      <c r="Z863" s="80"/>
      <c r="AA863" s="80"/>
    </row>
    <row r="864" spans="1:27" ht="15.75" customHeight="1">
      <c r="A864" s="80"/>
      <c r="B864" s="270"/>
      <c r="C864" s="271"/>
      <c r="D864" s="80"/>
      <c r="E864" s="271"/>
      <c r="F864" s="272"/>
      <c r="G864" s="270"/>
      <c r="H864" s="271"/>
      <c r="I864" s="272"/>
      <c r="J864" s="80"/>
      <c r="K864" s="273"/>
      <c r="L864" s="273"/>
      <c r="M864" s="273"/>
      <c r="N864" s="273"/>
      <c r="O864" s="273"/>
      <c r="P864" s="273"/>
      <c r="Q864" s="274"/>
      <c r="R864" s="80"/>
      <c r="S864" s="80"/>
      <c r="T864" s="241"/>
      <c r="U864" s="80"/>
      <c r="V864" s="80"/>
      <c r="W864" s="80"/>
      <c r="X864" s="80"/>
      <c r="Y864" s="80"/>
      <c r="Z864" s="80"/>
      <c r="AA864" s="80"/>
    </row>
    <row r="865" spans="1:27" ht="15.75" customHeight="1">
      <c r="A865" s="80"/>
      <c r="B865" s="270"/>
      <c r="C865" s="271"/>
      <c r="D865" s="80"/>
      <c r="E865" s="271"/>
      <c r="F865" s="272"/>
      <c r="G865" s="270"/>
      <c r="H865" s="271"/>
      <c r="I865" s="272"/>
      <c r="J865" s="80"/>
      <c r="K865" s="273"/>
      <c r="L865" s="273"/>
      <c r="M865" s="273"/>
      <c r="N865" s="273"/>
      <c r="O865" s="273"/>
      <c r="P865" s="273"/>
      <c r="Q865" s="274"/>
      <c r="R865" s="80"/>
      <c r="S865" s="80"/>
      <c r="T865" s="241"/>
      <c r="U865" s="80"/>
      <c r="V865" s="80"/>
      <c r="W865" s="80"/>
      <c r="X865" s="80"/>
      <c r="Y865" s="80"/>
      <c r="Z865" s="80"/>
      <c r="AA865" s="80"/>
    </row>
    <row r="866" spans="1:27" ht="15.75" customHeight="1">
      <c r="A866" s="80"/>
      <c r="B866" s="270"/>
      <c r="C866" s="271"/>
      <c r="D866" s="80"/>
      <c r="E866" s="271"/>
      <c r="F866" s="272"/>
      <c r="G866" s="270"/>
      <c r="H866" s="271"/>
      <c r="I866" s="272"/>
      <c r="J866" s="80"/>
      <c r="K866" s="273"/>
      <c r="L866" s="273"/>
      <c r="M866" s="273"/>
      <c r="N866" s="273"/>
      <c r="O866" s="273"/>
      <c r="P866" s="273"/>
      <c r="Q866" s="274"/>
      <c r="R866" s="80"/>
      <c r="S866" s="80"/>
      <c r="T866" s="241"/>
      <c r="U866" s="80"/>
      <c r="V866" s="80"/>
      <c r="W866" s="80"/>
      <c r="X866" s="80"/>
      <c r="Y866" s="80"/>
      <c r="Z866" s="80"/>
      <c r="AA866" s="80"/>
    </row>
    <row r="867" spans="1:27" ht="15.75" customHeight="1">
      <c r="A867" s="80"/>
      <c r="B867" s="270"/>
      <c r="C867" s="271"/>
      <c r="D867" s="80"/>
      <c r="E867" s="271"/>
      <c r="F867" s="272"/>
      <c r="G867" s="270"/>
      <c r="H867" s="271"/>
      <c r="I867" s="272"/>
      <c r="J867" s="80"/>
      <c r="K867" s="273"/>
      <c r="L867" s="273"/>
      <c r="M867" s="273"/>
      <c r="N867" s="273"/>
      <c r="O867" s="273"/>
      <c r="P867" s="273"/>
      <c r="Q867" s="274"/>
      <c r="R867" s="80"/>
      <c r="S867" s="80"/>
      <c r="T867" s="241"/>
      <c r="U867" s="80"/>
      <c r="V867" s="80"/>
      <c r="W867" s="80"/>
      <c r="X867" s="80"/>
      <c r="Y867" s="80"/>
      <c r="Z867" s="80"/>
      <c r="AA867" s="80"/>
    </row>
    <row r="868" spans="1:27" ht="15.75" customHeight="1">
      <c r="A868" s="80"/>
      <c r="B868" s="270"/>
      <c r="C868" s="271"/>
      <c r="D868" s="80"/>
      <c r="E868" s="271"/>
      <c r="F868" s="272"/>
      <c r="G868" s="270"/>
      <c r="H868" s="271"/>
      <c r="I868" s="272"/>
      <c r="J868" s="80"/>
      <c r="K868" s="273"/>
      <c r="L868" s="273"/>
      <c r="M868" s="273"/>
      <c r="N868" s="273"/>
      <c r="O868" s="273"/>
      <c r="P868" s="273"/>
      <c r="Q868" s="274"/>
      <c r="R868" s="80"/>
      <c r="S868" s="80"/>
      <c r="T868" s="241"/>
      <c r="U868" s="80"/>
      <c r="V868" s="80"/>
      <c r="W868" s="80"/>
      <c r="X868" s="80"/>
      <c r="Y868" s="80"/>
      <c r="Z868" s="80"/>
      <c r="AA868" s="80"/>
    </row>
    <row r="869" spans="1:27" ht="15.75" customHeight="1">
      <c r="A869" s="80"/>
      <c r="B869" s="270"/>
      <c r="C869" s="271"/>
      <c r="D869" s="80"/>
      <c r="E869" s="271"/>
      <c r="F869" s="272"/>
      <c r="G869" s="270"/>
      <c r="H869" s="271"/>
      <c r="I869" s="272"/>
      <c r="J869" s="80"/>
      <c r="K869" s="273"/>
      <c r="L869" s="273"/>
      <c r="M869" s="273"/>
      <c r="N869" s="273"/>
      <c r="O869" s="273"/>
      <c r="P869" s="273"/>
      <c r="Q869" s="274"/>
      <c r="R869" s="80"/>
      <c r="S869" s="80"/>
      <c r="T869" s="241"/>
      <c r="U869" s="80"/>
      <c r="V869" s="80"/>
      <c r="W869" s="80"/>
      <c r="X869" s="80"/>
      <c r="Y869" s="80"/>
      <c r="Z869" s="80"/>
      <c r="AA869" s="80"/>
    </row>
    <row r="870" spans="1:27" ht="15.75" customHeight="1">
      <c r="A870" s="80"/>
      <c r="B870" s="270"/>
      <c r="C870" s="271"/>
      <c r="D870" s="80"/>
      <c r="E870" s="271"/>
      <c r="F870" s="272"/>
      <c r="G870" s="270"/>
      <c r="H870" s="271"/>
      <c r="I870" s="272"/>
      <c r="J870" s="80"/>
      <c r="K870" s="273"/>
      <c r="L870" s="273"/>
      <c r="M870" s="273"/>
      <c r="N870" s="273"/>
      <c r="O870" s="273"/>
      <c r="P870" s="273"/>
      <c r="Q870" s="274"/>
      <c r="R870" s="80"/>
      <c r="S870" s="80"/>
      <c r="T870" s="241"/>
      <c r="U870" s="80"/>
      <c r="V870" s="80"/>
      <c r="W870" s="80"/>
      <c r="X870" s="80"/>
      <c r="Y870" s="80"/>
      <c r="Z870" s="80"/>
      <c r="AA870" s="80"/>
    </row>
    <row r="871" spans="1:27" ht="15.75" customHeight="1">
      <c r="A871" s="80"/>
      <c r="B871" s="270"/>
      <c r="C871" s="271"/>
      <c r="D871" s="80"/>
      <c r="E871" s="271"/>
      <c r="F871" s="272"/>
      <c r="G871" s="270"/>
      <c r="H871" s="271"/>
      <c r="I871" s="272"/>
      <c r="J871" s="80"/>
      <c r="K871" s="273"/>
      <c r="L871" s="273"/>
      <c r="M871" s="273"/>
      <c r="N871" s="273"/>
      <c r="O871" s="273"/>
      <c r="P871" s="273"/>
      <c r="Q871" s="274"/>
      <c r="R871" s="80"/>
      <c r="S871" s="80"/>
      <c r="T871" s="241"/>
      <c r="U871" s="80"/>
      <c r="V871" s="80"/>
      <c r="W871" s="80"/>
      <c r="X871" s="80"/>
      <c r="Y871" s="80"/>
      <c r="Z871" s="80"/>
      <c r="AA871" s="80"/>
    </row>
    <row r="872" spans="1:27" ht="15.75" customHeight="1">
      <c r="A872" s="80"/>
      <c r="B872" s="270"/>
      <c r="C872" s="271"/>
      <c r="D872" s="80"/>
      <c r="E872" s="271"/>
      <c r="F872" s="272"/>
      <c r="G872" s="270"/>
      <c r="H872" s="271"/>
      <c r="I872" s="272"/>
      <c r="J872" s="80"/>
      <c r="K872" s="273"/>
      <c r="L872" s="273"/>
      <c r="M872" s="273"/>
      <c r="N872" s="273"/>
      <c r="O872" s="273"/>
      <c r="P872" s="273"/>
      <c r="Q872" s="274"/>
      <c r="R872" s="80"/>
      <c r="S872" s="80"/>
      <c r="T872" s="241"/>
      <c r="U872" s="80"/>
      <c r="V872" s="80"/>
      <c r="W872" s="80"/>
      <c r="X872" s="80"/>
      <c r="Y872" s="80"/>
      <c r="Z872" s="80"/>
      <c r="AA872" s="80"/>
    </row>
    <row r="873" spans="1:27" ht="15.75" customHeight="1">
      <c r="A873" s="80"/>
      <c r="B873" s="270"/>
      <c r="C873" s="271"/>
      <c r="D873" s="80"/>
      <c r="E873" s="271"/>
      <c r="F873" s="272"/>
      <c r="G873" s="270"/>
      <c r="H873" s="271"/>
      <c r="I873" s="272"/>
      <c r="J873" s="80"/>
      <c r="K873" s="273"/>
      <c r="L873" s="273"/>
      <c r="M873" s="273"/>
      <c r="N873" s="273"/>
      <c r="O873" s="273"/>
      <c r="P873" s="273"/>
      <c r="Q873" s="274"/>
      <c r="R873" s="80"/>
      <c r="S873" s="80"/>
      <c r="T873" s="241"/>
      <c r="U873" s="80"/>
      <c r="V873" s="80"/>
      <c r="W873" s="80"/>
      <c r="X873" s="80"/>
      <c r="Y873" s="80"/>
      <c r="Z873" s="80"/>
      <c r="AA873" s="80"/>
    </row>
    <row r="874" spans="1:27" ht="15.75" customHeight="1">
      <c r="A874" s="80"/>
      <c r="B874" s="270"/>
      <c r="C874" s="271"/>
      <c r="D874" s="80"/>
      <c r="E874" s="271"/>
      <c r="F874" s="272"/>
      <c r="G874" s="270"/>
      <c r="H874" s="271"/>
      <c r="I874" s="272"/>
      <c r="J874" s="80"/>
      <c r="K874" s="273"/>
      <c r="L874" s="273"/>
      <c r="M874" s="273"/>
      <c r="N874" s="273"/>
      <c r="O874" s="273"/>
      <c r="P874" s="273"/>
      <c r="Q874" s="274"/>
      <c r="R874" s="80"/>
      <c r="S874" s="80"/>
      <c r="T874" s="241"/>
      <c r="U874" s="80"/>
      <c r="V874" s="80"/>
      <c r="W874" s="80"/>
      <c r="X874" s="80"/>
      <c r="Y874" s="80"/>
      <c r="Z874" s="80"/>
      <c r="AA874" s="80"/>
    </row>
    <row r="875" spans="1:27" ht="15.75" customHeight="1">
      <c r="A875" s="80"/>
      <c r="B875" s="270"/>
      <c r="C875" s="271"/>
      <c r="D875" s="80"/>
      <c r="E875" s="271"/>
      <c r="F875" s="272"/>
      <c r="G875" s="270"/>
      <c r="H875" s="271"/>
      <c r="I875" s="272"/>
      <c r="J875" s="80"/>
      <c r="K875" s="273"/>
      <c r="L875" s="273"/>
      <c r="M875" s="273"/>
      <c r="N875" s="273"/>
      <c r="O875" s="273"/>
      <c r="P875" s="273"/>
      <c r="Q875" s="274"/>
      <c r="R875" s="80"/>
      <c r="S875" s="80"/>
      <c r="T875" s="241"/>
      <c r="U875" s="80"/>
      <c r="V875" s="80"/>
      <c r="W875" s="80"/>
      <c r="X875" s="80"/>
      <c r="Y875" s="80"/>
      <c r="Z875" s="80"/>
      <c r="AA875" s="80"/>
    </row>
    <row r="876" spans="1:27" ht="15.75" customHeight="1">
      <c r="A876" s="80"/>
      <c r="B876" s="270"/>
      <c r="C876" s="271"/>
      <c r="D876" s="80"/>
      <c r="E876" s="271"/>
      <c r="F876" s="272"/>
      <c r="G876" s="270"/>
      <c r="H876" s="271"/>
      <c r="I876" s="272"/>
      <c r="J876" s="80"/>
      <c r="K876" s="273"/>
      <c r="L876" s="273"/>
      <c r="M876" s="273"/>
      <c r="N876" s="273"/>
      <c r="O876" s="273"/>
      <c r="P876" s="273"/>
      <c r="Q876" s="274"/>
      <c r="R876" s="80"/>
      <c r="S876" s="80"/>
      <c r="T876" s="241"/>
      <c r="U876" s="80"/>
      <c r="V876" s="80"/>
      <c r="W876" s="80"/>
      <c r="X876" s="80"/>
      <c r="Y876" s="80"/>
      <c r="Z876" s="80"/>
      <c r="AA876" s="80"/>
    </row>
    <row r="877" spans="1:27" ht="15.75" customHeight="1">
      <c r="A877" s="80"/>
      <c r="B877" s="270"/>
      <c r="C877" s="271"/>
      <c r="D877" s="80"/>
      <c r="E877" s="271"/>
      <c r="F877" s="272"/>
      <c r="G877" s="270"/>
      <c r="H877" s="271"/>
      <c r="I877" s="272"/>
      <c r="J877" s="80"/>
      <c r="K877" s="273"/>
      <c r="L877" s="273"/>
      <c r="M877" s="273"/>
      <c r="N877" s="273"/>
      <c r="O877" s="273"/>
      <c r="P877" s="273"/>
      <c r="Q877" s="274"/>
      <c r="R877" s="80"/>
      <c r="S877" s="80"/>
      <c r="T877" s="241"/>
      <c r="U877" s="80"/>
      <c r="V877" s="80"/>
      <c r="W877" s="80"/>
      <c r="X877" s="80"/>
      <c r="Y877" s="80"/>
      <c r="Z877" s="80"/>
      <c r="AA877" s="80"/>
    </row>
    <row r="878" spans="1:27" ht="15.75" customHeight="1">
      <c r="A878" s="80"/>
      <c r="B878" s="270"/>
      <c r="C878" s="271"/>
      <c r="D878" s="80"/>
      <c r="E878" s="271"/>
      <c r="F878" s="272"/>
      <c r="G878" s="270"/>
      <c r="H878" s="271"/>
      <c r="I878" s="272"/>
      <c r="J878" s="80"/>
      <c r="K878" s="273"/>
      <c r="L878" s="273"/>
      <c r="M878" s="273"/>
      <c r="N878" s="273"/>
      <c r="O878" s="273"/>
      <c r="P878" s="273"/>
      <c r="Q878" s="274"/>
      <c r="R878" s="80"/>
      <c r="S878" s="80"/>
      <c r="T878" s="241"/>
      <c r="U878" s="80"/>
      <c r="V878" s="80"/>
      <c r="W878" s="80"/>
      <c r="X878" s="80"/>
      <c r="Y878" s="80"/>
      <c r="Z878" s="80"/>
      <c r="AA878" s="80"/>
    </row>
    <row r="879" spans="1:27" ht="15.75" customHeight="1">
      <c r="A879" s="80"/>
      <c r="B879" s="270"/>
      <c r="C879" s="271"/>
      <c r="D879" s="80"/>
      <c r="E879" s="271"/>
      <c r="F879" s="272"/>
      <c r="G879" s="270"/>
      <c r="H879" s="271"/>
      <c r="I879" s="272"/>
      <c r="J879" s="80"/>
      <c r="K879" s="273"/>
      <c r="L879" s="273"/>
      <c r="M879" s="273"/>
      <c r="N879" s="273"/>
      <c r="O879" s="273"/>
      <c r="P879" s="273"/>
      <c r="Q879" s="274"/>
      <c r="R879" s="80"/>
      <c r="S879" s="80"/>
      <c r="T879" s="241"/>
      <c r="U879" s="80"/>
      <c r="V879" s="80"/>
      <c r="W879" s="80"/>
      <c r="X879" s="80"/>
      <c r="Y879" s="80"/>
      <c r="Z879" s="80"/>
      <c r="AA879" s="80"/>
    </row>
    <row r="880" spans="1:27" ht="15.75" customHeight="1">
      <c r="A880" s="80"/>
      <c r="B880" s="270"/>
      <c r="C880" s="271"/>
      <c r="D880" s="80"/>
      <c r="E880" s="271"/>
      <c r="F880" s="272"/>
      <c r="G880" s="270"/>
      <c r="H880" s="271"/>
      <c r="I880" s="272"/>
      <c r="J880" s="80"/>
      <c r="K880" s="273"/>
      <c r="L880" s="273"/>
      <c r="M880" s="273"/>
      <c r="N880" s="273"/>
      <c r="O880" s="273"/>
      <c r="P880" s="273"/>
      <c r="Q880" s="274"/>
      <c r="R880" s="80"/>
      <c r="S880" s="80"/>
      <c r="T880" s="241"/>
      <c r="U880" s="80"/>
      <c r="V880" s="80"/>
      <c r="W880" s="80"/>
      <c r="X880" s="80"/>
      <c r="Y880" s="80"/>
      <c r="Z880" s="80"/>
      <c r="AA880" s="80"/>
    </row>
    <row r="881" spans="1:27" ht="15.75" customHeight="1">
      <c r="A881" s="80"/>
      <c r="B881" s="270"/>
      <c r="C881" s="271"/>
      <c r="D881" s="80"/>
      <c r="E881" s="271"/>
      <c r="F881" s="272"/>
      <c r="G881" s="270"/>
      <c r="H881" s="271"/>
      <c r="I881" s="272"/>
      <c r="J881" s="80"/>
      <c r="K881" s="273"/>
      <c r="L881" s="273"/>
      <c r="M881" s="273"/>
      <c r="N881" s="273"/>
      <c r="O881" s="273"/>
      <c r="P881" s="273"/>
      <c r="Q881" s="274"/>
      <c r="R881" s="80"/>
      <c r="S881" s="80"/>
      <c r="T881" s="241"/>
      <c r="U881" s="80"/>
      <c r="V881" s="80"/>
      <c r="W881" s="80"/>
      <c r="X881" s="80"/>
      <c r="Y881" s="80"/>
      <c r="Z881" s="80"/>
      <c r="AA881" s="80"/>
    </row>
    <row r="882" spans="1:27" ht="15.75" customHeight="1">
      <c r="A882" s="80"/>
      <c r="B882" s="270"/>
      <c r="C882" s="271"/>
      <c r="D882" s="80"/>
      <c r="E882" s="271"/>
      <c r="F882" s="272"/>
      <c r="G882" s="270"/>
      <c r="H882" s="271"/>
      <c r="I882" s="272"/>
      <c r="J882" s="80"/>
      <c r="K882" s="273"/>
      <c r="L882" s="273"/>
      <c r="M882" s="273"/>
      <c r="N882" s="273"/>
      <c r="O882" s="273"/>
      <c r="P882" s="273"/>
      <c r="Q882" s="274"/>
      <c r="R882" s="80"/>
      <c r="S882" s="80"/>
      <c r="T882" s="241"/>
      <c r="U882" s="80"/>
      <c r="V882" s="80"/>
      <c r="W882" s="80"/>
      <c r="X882" s="80"/>
      <c r="Y882" s="80"/>
      <c r="Z882" s="80"/>
      <c r="AA882" s="80"/>
    </row>
    <row r="883" spans="1:27" ht="15.75" customHeight="1">
      <c r="A883" s="80"/>
      <c r="B883" s="270"/>
      <c r="C883" s="271"/>
      <c r="D883" s="80"/>
      <c r="E883" s="271"/>
      <c r="F883" s="272"/>
      <c r="G883" s="270"/>
      <c r="H883" s="271"/>
      <c r="I883" s="272"/>
      <c r="J883" s="80"/>
      <c r="K883" s="273"/>
      <c r="L883" s="273"/>
      <c r="M883" s="273"/>
      <c r="N883" s="273"/>
      <c r="O883" s="273"/>
      <c r="P883" s="273"/>
      <c r="Q883" s="274"/>
      <c r="R883" s="80"/>
      <c r="S883" s="80"/>
      <c r="T883" s="241"/>
      <c r="U883" s="80"/>
      <c r="V883" s="80"/>
      <c r="W883" s="80"/>
      <c r="X883" s="80"/>
      <c r="Y883" s="80"/>
      <c r="Z883" s="80"/>
      <c r="AA883" s="80"/>
    </row>
    <row r="884" spans="1:27" ht="15.75" customHeight="1">
      <c r="A884" s="80"/>
      <c r="B884" s="270"/>
      <c r="C884" s="271"/>
      <c r="D884" s="80"/>
      <c r="E884" s="271"/>
      <c r="F884" s="272"/>
      <c r="G884" s="270"/>
      <c r="H884" s="271"/>
      <c r="I884" s="272"/>
      <c r="J884" s="80"/>
      <c r="K884" s="273"/>
      <c r="L884" s="273"/>
      <c r="M884" s="273"/>
      <c r="N884" s="273"/>
      <c r="O884" s="273"/>
      <c r="P884" s="273"/>
      <c r="Q884" s="274"/>
      <c r="R884" s="80"/>
      <c r="S884" s="80"/>
      <c r="T884" s="241"/>
      <c r="U884" s="80"/>
      <c r="V884" s="80"/>
      <c r="W884" s="80"/>
      <c r="X884" s="80"/>
      <c r="Y884" s="80"/>
      <c r="Z884" s="80"/>
      <c r="AA884" s="80"/>
    </row>
    <row r="885" spans="1:27" ht="15.75" customHeight="1">
      <c r="A885" s="80"/>
      <c r="B885" s="270"/>
      <c r="C885" s="271"/>
      <c r="D885" s="80"/>
      <c r="E885" s="271"/>
      <c r="F885" s="272"/>
      <c r="G885" s="270"/>
      <c r="H885" s="271"/>
      <c r="I885" s="272"/>
      <c r="J885" s="80"/>
      <c r="K885" s="273"/>
      <c r="L885" s="273"/>
      <c r="M885" s="273"/>
      <c r="N885" s="273"/>
      <c r="O885" s="273"/>
      <c r="P885" s="273"/>
      <c r="Q885" s="274"/>
      <c r="R885" s="80"/>
      <c r="S885" s="80"/>
      <c r="T885" s="241"/>
      <c r="U885" s="80"/>
      <c r="V885" s="80"/>
      <c r="W885" s="80"/>
      <c r="X885" s="80"/>
      <c r="Y885" s="80"/>
      <c r="Z885" s="80"/>
      <c r="AA885" s="80"/>
    </row>
    <row r="886" spans="1:27" ht="15.75" customHeight="1">
      <c r="A886" s="80"/>
      <c r="B886" s="270"/>
      <c r="C886" s="271"/>
      <c r="D886" s="80"/>
      <c r="E886" s="271"/>
      <c r="F886" s="272"/>
      <c r="G886" s="270"/>
      <c r="H886" s="271"/>
      <c r="I886" s="272"/>
      <c r="J886" s="80"/>
      <c r="K886" s="273"/>
      <c r="L886" s="273"/>
      <c r="M886" s="273"/>
      <c r="N886" s="273"/>
      <c r="O886" s="273"/>
      <c r="P886" s="273"/>
      <c r="Q886" s="274"/>
      <c r="R886" s="80"/>
      <c r="S886" s="80"/>
      <c r="T886" s="241"/>
      <c r="U886" s="80"/>
      <c r="V886" s="80"/>
      <c r="W886" s="80"/>
      <c r="X886" s="80"/>
      <c r="Y886" s="80"/>
      <c r="Z886" s="80"/>
      <c r="AA886" s="80"/>
    </row>
    <row r="887" spans="1:27" ht="15.75" customHeight="1">
      <c r="A887" s="80"/>
      <c r="B887" s="270"/>
      <c r="C887" s="271"/>
      <c r="D887" s="80"/>
      <c r="E887" s="271"/>
      <c r="F887" s="272"/>
      <c r="G887" s="270"/>
      <c r="H887" s="271"/>
      <c r="I887" s="272"/>
      <c r="J887" s="80"/>
      <c r="K887" s="273"/>
      <c r="L887" s="273"/>
      <c r="M887" s="273"/>
      <c r="N887" s="273"/>
      <c r="O887" s="273"/>
      <c r="P887" s="273"/>
      <c r="Q887" s="274"/>
      <c r="R887" s="80"/>
      <c r="S887" s="80"/>
      <c r="T887" s="241"/>
      <c r="U887" s="80"/>
      <c r="V887" s="80"/>
      <c r="W887" s="80"/>
      <c r="X887" s="80"/>
      <c r="Y887" s="80"/>
      <c r="Z887" s="80"/>
      <c r="AA887" s="80"/>
    </row>
    <row r="888" spans="1:27" ht="15.75" customHeight="1">
      <c r="A888" s="80"/>
      <c r="B888" s="270"/>
      <c r="C888" s="271"/>
      <c r="D888" s="80"/>
      <c r="E888" s="271"/>
      <c r="F888" s="272"/>
      <c r="G888" s="270"/>
      <c r="H888" s="271"/>
      <c r="I888" s="272"/>
      <c r="J888" s="80"/>
      <c r="K888" s="273"/>
      <c r="L888" s="273"/>
      <c r="M888" s="273"/>
      <c r="N888" s="273"/>
      <c r="O888" s="273"/>
      <c r="P888" s="273"/>
      <c r="Q888" s="274"/>
      <c r="R888" s="80"/>
      <c r="S888" s="80"/>
      <c r="T888" s="241"/>
      <c r="U888" s="80"/>
      <c r="V888" s="80"/>
      <c r="W888" s="80"/>
      <c r="X888" s="80"/>
      <c r="Y888" s="80"/>
      <c r="Z888" s="80"/>
      <c r="AA888" s="80"/>
    </row>
    <row r="889" spans="1:27" ht="15.75" customHeight="1">
      <c r="A889" s="80"/>
      <c r="B889" s="270"/>
      <c r="C889" s="271"/>
      <c r="D889" s="80"/>
      <c r="E889" s="271"/>
      <c r="F889" s="272"/>
      <c r="G889" s="270"/>
      <c r="H889" s="271"/>
      <c r="I889" s="272"/>
      <c r="J889" s="80"/>
      <c r="K889" s="273"/>
      <c r="L889" s="273"/>
      <c r="M889" s="273"/>
      <c r="N889" s="273"/>
      <c r="O889" s="273"/>
      <c r="P889" s="273"/>
      <c r="Q889" s="274"/>
      <c r="R889" s="80"/>
      <c r="S889" s="80"/>
      <c r="T889" s="241"/>
      <c r="U889" s="80"/>
      <c r="V889" s="80"/>
      <c r="W889" s="80"/>
      <c r="X889" s="80"/>
      <c r="Y889" s="80"/>
      <c r="Z889" s="80"/>
      <c r="AA889" s="80"/>
    </row>
    <row r="890" spans="1:27" ht="15.75" customHeight="1">
      <c r="A890" s="80"/>
      <c r="B890" s="270"/>
      <c r="C890" s="271"/>
      <c r="D890" s="80"/>
      <c r="E890" s="271"/>
      <c r="F890" s="272"/>
      <c r="G890" s="270"/>
      <c r="H890" s="271"/>
      <c r="I890" s="272"/>
      <c r="J890" s="80"/>
      <c r="K890" s="273"/>
      <c r="L890" s="273"/>
      <c r="M890" s="273"/>
      <c r="N890" s="273"/>
      <c r="O890" s="273"/>
      <c r="P890" s="273"/>
      <c r="Q890" s="274"/>
      <c r="R890" s="80"/>
      <c r="S890" s="80"/>
      <c r="T890" s="241"/>
      <c r="U890" s="80"/>
      <c r="V890" s="80"/>
      <c r="W890" s="80"/>
      <c r="X890" s="80"/>
      <c r="Y890" s="80"/>
      <c r="Z890" s="80"/>
      <c r="AA890" s="80"/>
    </row>
    <row r="891" spans="1:27" ht="15.75" customHeight="1">
      <c r="A891" s="80"/>
      <c r="B891" s="270"/>
      <c r="C891" s="271"/>
      <c r="D891" s="80"/>
      <c r="E891" s="271"/>
      <c r="F891" s="272"/>
      <c r="G891" s="270"/>
      <c r="H891" s="271"/>
      <c r="I891" s="272"/>
      <c r="J891" s="80"/>
      <c r="K891" s="273"/>
      <c r="L891" s="273"/>
      <c r="M891" s="273"/>
      <c r="N891" s="273"/>
      <c r="O891" s="273"/>
      <c r="P891" s="273"/>
      <c r="Q891" s="274"/>
      <c r="R891" s="80"/>
      <c r="S891" s="80"/>
      <c r="T891" s="241"/>
      <c r="U891" s="80"/>
      <c r="V891" s="80"/>
      <c r="W891" s="80"/>
      <c r="X891" s="80"/>
      <c r="Y891" s="80"/>
      <c r="Z891" s="80"/>
      <c r="AA891" s="80"/>
    </row>
    <row r="892" spans="1:27" ht="15.75" customHeight="1">
      <c r="A892" s="80"/>
      <c r="B892" s="270"/>
      <c r="C892" s="271"/>
      <c r="D892" s="80"/>
      <c r="E892" s="271"/>
      <c r="F892" s="272"/>
      <c r="G892" s="270"/>
      <c r="H892" s="271"/>
      <c r="I892" s="272"/>
      <c r="J892" s="80"/>
      <c r="K892" s="273"/>
      <c r="L892" s="273"/>
      <c r="M892" s="273"/>
      <c r="N892" s="273"/>
      <c r="O892" s="273"/>
      <c r="P892" s="273"/>
      <c r="Q892" s="274"/>
      <c r="R892" s="80"/>
      <c r="S892" s="80"/>
      <c r="T892" s="241"/>
      <c r="U892" s="80"/>
      <c r="V892" s="80"/>
      <c r="W892" s="80"/>
      <c r="X892" s="80"/>
      <c r="Y892" s="80"/>
      <c r="Z892" s="80"/>
      <c r="AA892" s="80"/>
    </row>
    <row r="893" spans="1:27" ht="15.75" customHeight="1">
      <c r="A893" s="80"/>
      <c r="B893" s="270"/>
      <c r="C893" s="271"/>
      <c r="D893" s="80"/>
      <c r="E893" s="271"/>
      <c r="F893" s="272"/>
      <c r="G893" s="270"/>
      <c r="H893" s="271"/>
      <c r="I893" s="272"/>
      <c r="J893" s="80"/>
      <c r="K893" s="273"/>
      <c r="L893" s="273"/>
      <c r="M893" s="273"/>
      <c r="N893" s="273"/>
      <c r="O893" s="273"/>
      <c r="P893" s="273"/>
      <c r="Q893" s="274"/>
      <c r="R893" s="80"/>
      <c r="S893" s="80"/>
      <c r="T893" s="241"/>
      <c r="U893" s="80"/>
      <c r="V893" s="80"/>
      <c r="W893" s="80"/>
      <c r="X893" s="80"/>
      <c r="Y893" s="80"/>
      <c r="Z893" s="80"/>
      <c r="AA893" s="80"/>
    </row>
    <row r="894" spans="1:27" ht="15.75" customHeight="1">
      <c r="A894" s="80"/>
      <c r="B894" s="270"/>
      <c r="C894" s="271"/>
      <c r="D894" s="80"/>
      <c r="E894" s="271"/>
      <c r="F894" s="272"/>
      <c r="G894" s="270"/>
      <c r="H894" s="271"/>
      <c r="I894" s="272"/>
      <c r="J894" s="80"/>
      <c r="K894" s="273"/>
      <c r="L894" s="273"/>
      <c r="M894" s="273"/>
      <c r="N894" s="273"/>
      <c r="O894" s="273"/>
      <c r="P894" s="273"/>
      <c r="Q894" s="274"/>
      <c r="R894" s="80"/>
      <c r="S894" s="80"/>
      <c r="T894" s="241"/>
      <c r="U894" s="80"/>
      <c r="V894" s="80"/>
      <c r="W894" s="80"/>
      <c r="X894" s="80"/>
      <c r="Y894" s="80"/>
      <c r="Z894" s="80"/>
      <c r="AA894" s="80"/>
    </row>
    <row r="895" spans="1:27" ht="15.75" customHeight="1">
      <c r="A895" s="80"/>
      <c r="B895" s="270"/>
      <c r="C895" s="271"/>
      <c r="D895" s="80"/>
      <c r="E895" s="271"/>
      <c r="F895" s="272"/>
      <c r="G895" s="270"/>
      <c r="H895" s="271"/>
      <c r="I895" s="272"/>
      <c r="J895" s="80"/>
      <c r="K895" s="273"/>
      <c r="L895" s="273"/>
      <c r="M895" s="273"/>
      <c r="N895" s="273"/>
      <c r="O895" s="273"/>
      <c r="P895" s="273"/>
      <c r="Q895" s="274"/>
      <c r="R895" s="80"/>
      <c r="S895" s="80"/>
      <c r="T895" s="241"/>
      <c r="U895" s="80"/>
      <c r="V895" s="80"/>
      <c r="W895" s="80"/>
      <c r="X895" s="80"/>
      <c r="Y895" s="80"/>
      <c r="Z895" s="80"/>
      <c r="AA895" s="80"/>
    </row>
    <row r="896" spans="1:27" ht="15.75" customHeight="1">
      <c r="A896" s="80"/>
      <c r="B896" s="270"/>
      <c r="C896" s="271"/>
      <c r="D896" s="80"/>
      <c r="E896" s="271"/>
      <c r="F896" s="272"/>
      <c r="G896" s="270"/>
      <c r="H896" s="271"/>
      <c r="I896" s="272"/>
      <c r="J896" s="80"/>
      <c r="K896" s="273"/>
      <c r="L896" s="273"/>
      <c r="M896" s="273"/>
      <c r="N896" s="273"/>
      <c r="O896" s="273"/>
      <c r="P896" s="273"/>
      <c r="Q896" s="274"/>
      <c r="R896" s="80"/>
      <c r="S896" s="80"/>
      <c r="T896" s="241"/>
      <c r="U896" s="80"/>
      <c r="V896" s="80"/>
      <c r="W896" s="80"/>
      <c r="X896" s="80"/>
      <c r="Y896" s="80"/>
      <c r="Z896" s="80"/>
      <c r="AA896" s="80"/>
    </row>
    <row r="897" spans="1:27" ht="15.75" customHeight="1">
      <c r="A897" s="80"/>
      <c r="B897" s="270"/>
      <c r="C897" s="271"/>
      <c r="D897" s="80"/>
      <c r="E897" s="271"/>
      <c r="F897" s="272"/>
      <c r="G897" s="270"/>
      <c r="H897" s="271"/>
      <c r="I897" s="272"/>
      <c r="J897" s="80"/>
      <c r="K897" s="273"/>
      <c r="L897" s="273"/>
      <c r="M897" s="273"/>
      <c r="N897" s="273"/>
      <c r="O897" s="273"/>
      <c r="P897" s="273"/>
      <c r="Q897" s="274"/>
      <c r="R897" s="80"/>
      <c r="S897" s="80"/>
      <c r="T897" s="241"/>
      <c r="U897" s="80"/>
      <c r="V897" s="80"/>
      <c r="W897" s="80"/>
      <c r="X897" s="80"/>
      <c r="Y897" s="80"/>
      <c r="Z897" s="80"/>
      <c r="AA897" s="80"/>
    </row>
    <row r="898" spans="1:27" ht="15.75" customHeight="1">
      <c r="A898" s="80"/>
      <c r="B898" s="270"/>
      <c r="C898" s="271"/>
      <c r="D898" s="80"/>
      <c r="E898" s="271"/>
      <c r="F898" s="272"/>
      <c r="G898" s="270"/>
      <c r="H898" s="271"/>
      <c r="I898" s="272"/>
      <c r="J898" s="80"/>
      <c r="K898" s="273"/>
      <c r="L898" s="273"/>
      <c r="M898" s="273"/>
      <c r="N898" s="273"/>
      <c r="O898" s="273"/>
      <c r="P898" s="273"/>
      <c r="Q898" s="274"/>
      <c r="R898" s="80"/>
      <c r="S898" s="80"/>
      <c r="T898" s="241"/>
      <c r="U898" s="80"/>
      <c r="V898" s="80"/>
      <c r="W898" s="80"/>
      <c r="X898" s="80"/>
      <c r="Y898" s="80"/>
      <c r="Z898" s="80"/>
      <c r="AA898" s="80"/>
    </row>
    <row r="899" spans="1:27" ht="15.75" customHeight="1">
      <c r="A899" s="80"/>
      <c r="B899" s="270"/>
      <c r="C899" s="271"/>
      <c r="D899" s="80"/>
      <c r="E899" s="271"/>
      <c r="F899" s="272"/>
      <c r="G899" s="270"/>
      <c r="H899" s="271"/>
      <c r="I899" s="272"/>
      <c r="J899" s="80"/>
      <c r="K899" s="273"/>
      <c r="L899" s="273"/>
      <c r="M899" s="273"/>
      <c r="N899" s="273"/>
      <c r="O899" s="273"/>
      <c r="P899" s="273"/>
      <c r="Q899" s="274"/>
      <c r="R899" s="80"/>
      <c r="S899" s="80"/>
      <c r="T899" s="241"/>
      <c r="U899" s="80"/>
      <c r="V899" s="80"/>
      <c r="W899" s="80"/>
      <c r="X899" s="80"/>
      <c r="Y899" s="80"/>
      <c r="Z899" s="80"/>
      <c r="AA899" s="80"/>
    </row>
    <row r="900" spans="1:27" ht="15.75" customHeight="1">
      <c r="A900" s="80"/>
      <c r="B900" s="270"/>
      <c r="C900" s="271"/>
      <c r="D900" s="80"/>
      <c r="E900" s="271"/>
      <c r="F900" s="272"/>
      <c r="G900" s="270"/>
      <c r="H900" s="271"/>
      <c r="I900" s="272"/>
      <c r="J900" s="80"/>
      <c r="K900" s="273"/>
      <c r="L900" s="273"/>
      <c r="M900" s="273"/>
      <c r="N900" s="273"/>
      <c r="O900" s="273"/>
      <c r="P900" s="273"/>
      <c r="Q900" s="274"/>
      <c r="R900" s="80"/>
      <c r="S900" s="80"/>
      <c r="T900" s="241"/>
      <c r="U900" s="80"/>
      <c r="V900" s="80"/>
      <c r="W900" s="80"/>
      <c r="X900" s="80"/>
      <c r="Y900" s="80"/>
      <c r="Z900" s="80"/>
      <c r="AA900" s="80"/>
    </row>
    <row r="901" spans="1:27" ht="15.75" customHeight="1">
      <c r="A901" s="80"/>
      <c r="B901" s="270"/>
      <c r="C901" s="271"/>
      <c r="D901" s="80"/>
      <c r="E901" s="271"/>
      <c r="F901" s="272"/>
      <c r="G901" s="270"/>
      <c r="H901" s="271"/>
      <c r="I901" s="272"/>
      <c r="J901" s="80"/>
      <c r="K901" s="273"/>
      <c r="L901" s="273"/>
      <c r="M901" s="273"/>
      <c r="N901" s="273"/>
      <c r="O901" s="273"/>
      <c r="P901" s="273"/>
      <c r="Q901" s="274"/>
      <c r="R901" s="80"/>
      <c r="S901" s="80"/>
      <c r="T901" s="241"/>
      <c r="U901" s="80"/>
      <c r="V901" s="80"/>
      <c r="W901" s="80"/>
      <c r="X901" s="80"/>
      <c r="Y901" s="80"/>
      <c r="Z901" s="80"/>
      <c r="AA901" s="80"/>
    </row>
    <row r="902" spans="1:27" ht="15.75" customHeight="1">
      <c r="A902" s="80"/>
      <c r="B902" s="270"/>
      <c r="C902" s="271"/>
      <c r="D902" s="80"/>
      <c r="E902" s="271"/>
      <c r="F902" s="272"/>
      <c r="G902" s="270"/>
      <c r="H902" s="271"/>
      <c r="I902" s="272"/>
      <c r="J902" s="80"/>
      <c r="K902" s="273"/>
      <c r="L902" s="273"/>
      <c r="M902" s="273"/>
      <c r="N902" s="273"/>
      <c r="O902" s="273"/>
      <c r="P902" s="273"/>
      <c r="Q902" s="274"/>
      <c r="R902" s="80"/>
      <c r="S902" s="80"/>
      <c r="T902" s="241"/>
      <c r="U902" s="80"/>
      <c r="V902" s="80"/>
      <c r="W902" s="80"/>
      <c r="X902" s="80"/>
      <c r="Y902" s="80"/>
      <c r="Z902" s="80"/>
      <c r="AA902" s="80"/>
    </row>
    <row r="903" spans="1:27" ht="15.75" customHeight="1">
      <c r="A903" s="80"/>
      <c r="B903" s="270"/>
      <c r="C903" s="271"/>
      <c r="D903" s="80"/>
      <c r="E903" s="271"/>
      <c r="F903" s="272"/>
      <c r="G903" s="270"/>
      <c r="H903" s="271"/>
      <c r="I903" s="272"/>
      <c r="J903" s="80"/>
      <c r="K903" s="273"/>
      <c r="L903" s="273"/>
      <c r="M903" s="273"/>
      <c r="N903" s="273"/>
      <c r="O903" s="273"/>
      <c r="P903" s="273"/>
      <c r="Q903" s="274"/>
      <c r="R903" s="80"/>
      <c r="S903" s="80"/>
      <c r="T903" s="241"/>
      <c r="U903" s="80"/>
      <c r="V903" s="80"/>
      <c r="W903" s="80"/>
      <c r="X903" s="80"/>
      <c r="Y903" s="80"/>
      <c r="Z903" s="80"/>
      <c r="AA903" s="80"/>
    </row>
    <row r="904" spans="1:27" ht="15.75" customHeight="1">
      <c r="A904" s="80"/>
      <c r="B904" s="270"/>
      <c r="C904" s="271"/>
      <c r="D904" s="80"/>
      <c r="E904" s="271"/>
      <c r="F904" s="272"/>
      <c r="G904" s="270"/>
      <c r="H904" s="271"/>
      <c r="I904" s="272"/>
      <c r="J904" s="80"/>
      <c r="K904" s="273"/>
      <c r="L904" s="273"/>
      <c r="M904" s="273"/>
      <c r="N904" s="273"/>
      <c r="O904" s="273"/>
      <c r="P904" s="273"/>
      <c r="Q904" s="274"/>
      <c r="R904" s="80"/>
      <c r="S904" s="80"/>
      <c r="T904" s="241"/>
      <c r="U904" s="80"/>
      <c r="V904" s="80"/>
      <c r="W904" s="80"/>
      <c r="X904" s="80"/>
      <c r="Y904" s="80"/>
      <c r="Z904" s="80"/>
      <c r="AA904" s="80"/>
    </row>
    <row r="905" spans="1:27" ht="15.75" customHeight="1">
      <c r="A905" s="80"/>
      <c r="B905" s="270"/>
      <c r="C905" s="271"/>
      <c r="D905" s="80"/>
      <c r="E905" s="271"/>
      <c r="F905" s="272"/>
      <c r="G905" s="270"/>
      <c r="H905" s="271"/>
      <c r="I905" s="272"/>
      <c r="J905" s="80"/>
      <c r="K905" s="273"/>
      <c r="L905" s="273"/>
      <c r="M905" s="273"/>
      <c r="N905" s="273"/>
      <c r="O905" s="273"/>
      <c r="P905" s="273"/>
      <c r="Q905" s="274"/>
      <c r="R905" s="80"/>
      <c r="S905" s="80"/>
      <c r="T905" s="241"/>
      <c r="U905" s="80"/>
      <c r="V905" s="80"/>
      <c r="W905" s="80"/>
      <c r="X905" s="80"/>
      <c r="Y905" s="80"/>
      <c r="Z905" s="80"/>
      <c r="AA905" s="80"/>
    </row>
    <row r="906" spans="1:27" ht="15.75" customHeight="1">
      <c r="A906" s="80"/>
      <c r="B906" s="270"/>
      <c r="C906" s="271"/>
      <c r="D906" s="80"/>
      <c r="E906" s="271"/>
      <c r="F906" s="272"/>
      <c r="G906" s="270"/>
      <c r="H906" s="271"/>
      <c r="I906" s="272"/>
      <c r="J906" s="80"/>
      <c r="K906" s="273"/>
      <c r="L906" s="273"/>
      <c r="M906" s="273"/>
      <c r="N906" s="273"/>
      <c r="O906" s="273"/>
      <c r="P906" s="273"/>
      <c r="Q906" s="274"/>
      <c r="R906" s="80"/>
      <c r="S906" s="80"/>
      <c r="T906" s="241"/>
      <c r="U906" s="80"/>
      <c r="V906" s="80"/>
      <c r="W906" s="80"/>
      <c r="X906" s="80"/>
      <c r="Y906" s="80"/>
      <c r="Z906" s="80"/>
      <c r="AA906" s="80"/>
    </row>
    <row r="907" spans="1:27" ht="15.75" customHeight="1">
      <c r="A907" s="80"/>
      <c r="B907" s="270"/>
      <c r="C907" s="271"/>
      <c r="D907" s="80"/>
      <c r="E907" s="271"/>
      <c r="F907" s="272"/>
      <c r="G907" s="270"/>
      <c r="H907" s="271"/>
      <c r="I907" s="272"/>
      <c r="J907" s="80"/>
      <c r="K907" s="273"/>
      <c r="L907" s="273"/>
      <c r="M907" s="273"/>
      <c r="N907" s="273"/>
      <c r="O907" s="273"/>
      <c r="P907" s="273"/>
      <c r="Q907" s="274"/>
      <c r="R907" s="80"/>
      <c r="S907" s="80"/>
      <c r="T907" s="241"/>
      <c r="U907" s="80"/>
      <c r="V907" s="80"/>
      <c r="W907" s="80"/>
      <c r="X907" s="80"/>
      <c r="Y907" s="80"/>
      <c r="Z907" s="80"/>
      <c r="AA907" s="80"/>
    </row>
    <row r="908" spans="1:27" ht="15.75" customHeight="1">
      <c r="A908" s="80"/>
      <c r="B908" s="270"/>
      <c r="C908" s="271"/>
      <c r="D908" s="80"/>
      <c r="E908" s="271"/>
      <c r="F908" s="272"/>
      <c r="G908" s="270"/>
      <c r="H908" s="271"/>
      <c r="I908" s="272"/>
      <c r="J908" s="80"/>
      <c r="K908" s="273"/>
      <c r="L908" s="273"/>
      <c r="M908" s="273"/>
      <c r="N908" s="273"/>
      <c r="O908" s="273"/>
      <c r="P908" s="273"/>
      <c r="Q908" s="274"/>
      <c r="R908" s="80"/>
      <c r="S908" s="80"/>
      <c r="T908" s="241"/>
      <c r="U908" s="80"/>
      <c r="V908" s="80"/>
      <c r="W908" s="80"/>
      <c r="X908" s="80"/>
      <c r="Y908" s="80"/>
      <c r="Z908" s="80"/>
      <c r="AA908" s="80"/>
    </row>
    <row r="909" spans="1:27" ht="15.75" customHeight="1">
      <c r="A909" s="80"/>
      <c r="B909" s="270"/>
      <c r="C909" s="271"/>
      <c r="D909" s="80"/>
      <c r="E909" s="271"/>
      <c r="F909" s="272"/>
      <c r="G909" s="270"/>
      <c r="H909" s="271"/>
      <c r="I909" s="272"/>
      <c r="J909" s="80"/>
      <c r="K909" s="273"/>
      <c r="L909" s="273"/>
      <c r="M909" s="273"/>
      <c r="N909" s="273"/>
      <c r="O909" s="273"/>
      <c r="P909" s="273"/>
      <c r="Q909" s="274"/>
      <c r="R909" s="80"/>
      <c r="S909" s="80"/>
      <c r="T909" s="241"/>
      <c r="U909" s="80"/>
      <c r="V909" s="80"/>
      <c r="W909" s="80"/>
      <c r="X909" s="80"/>
      <c r="Y909" s="80"/>
      <c r="Z909" s="80"/>
      <c r="AA909" s="80"/>
    </row>
    <row r="910" spans="1:27" ht="15.75" customHeight="1">
      <c r="A910" s="80"/>
      <c r="B910" s="270"/>
      <c r="C910" s="271"/>
      <c r="D910" s="80"/>
      <c r="E910" s="271"/>
      <c r="F910" s="272"/>
      <c r="G910" s="270"/>
      <c r="H910" s="271"/>
      <c r="I910" s="272"/>
      <c r="J910" s="80"/>
      <c r="K910" s="273"/>
      <c r="L910" s="273"/>
      <c r="M910" s="273"/>
      <c r="N910" s="273"/>
      <c r="O910" s="273"/>
      <c r="P910" s="273"/>
      <c r="Q910" s="274"/>
      <c r="R910" s="80"/>
      <c r="S910" s="80"/>
      <c r="T910" s="241"/>
      <c r="U910" s="80"/>
      <c r="V910" s="80"/>
      <c r="W910" s="80"/>
      <c r="X910" s="80"/>
      <c r="Y910" s="80"/>
      <c r="Z910" s="80"/>
      <c r="AA910" s="80"/>
    </row>
    <row r="911" spans="1:27" ht="15.75" customHeight="1">
      <c r="A911" s="80"/>
      <c r="B911" s="270"/>
      <c r="C911" s="271"/>
      <c r="D911" s="80"/>
      <c r="E911" s="271"/>
      <c r="F911" s="272"/>
      <c r="G911" s="270"/>
      <c r="H911" s="271"/>
      <c r="I911" s="272"/>
      <c r="J911" s="80"/>
      <c r="K911" s="273"/>
      <c r="L911" s="273"/>
      <c r="M911" s="273"/>
      <c r="N911" s="273"/>
      <c r="O911" s="273"/>
      <c r="P911" s="273"/>
      <c r="Q911" s="274"/>
      <c r="R911" s="80"/>
      <c r="S911" s="80"/>
      <c r="T911" s="241"/>
      <c r="U911" s="80"/>
      <c r="V911" s="80"/>
      <c r="W911" s="80"/>
      <c r="X911" s="80"/>
      <c r="Y911" s="80"/>
      <c r="Z911" s="80"/>
      <c r="AA911" s="80"/>
    </row>
    <row r="912" spans="1:27" ht="15.75" customHeight="1">
      <c r="A912" s="80"/>
      <c r="B912" s="270"/>
      <c r="C912" s="271"/>
      <c r="D912" s="80"/>
      <c r="E912" s="271"/>
      <c r="F912" s="272"/>
      <c r="G912" s="270"/>
      <c r="H912" s="271"/>
      <c r="I912" s="272"/>
      <c r="J912" s="80"/>
      <c r="K912" s="273"/>
      <c r="L912" s="273"/>
      <c r="M912" s="273"/>
      <c r="N912" s="273"/>
      <c r="O912" s="273"/>
      <c r="P912" s="273"/>
      <c r="Q912" s="274"/>
      <c r="R912" s="80"/>
      <c r="S912" s="80"/>
      <c r="T912" s="241"/>
      <c r="U912" s="80"/>
      <c r="V912" s="80"/>
      <c r="W912" s="80"/>
      <c r="X912" s="80"/>
      <c r="Y912" s="80"/>
      <c r="Z912" s="80"/>
      <c r="AA912" s="80"/>
    </row>
    <row r="913" spans="1:27" ht="15.75" customHeight="1">
      <c r="A913" s="80"/>
      <c r="B913" s="270"/>
      <c r="C913" s="271"/>
      <c r="D913" s="80"/>
      <c r="E913" s="271"/>
      <c r="F913" s="272"/>
      <c r="G913" s="270"/>
      <c r="H913" s="271"/>
      <c r="I913" s="272"/>
      <c r="J913" s="80"/>
      <c r="K913" s="273"/>
      <c r="L913" s="273"/>
      <c r="M913" s="273"/>
      <c r="N913" s="273"/>
      <c r="O913" s="273"/>
      <c r="P913" s="273"/>
      <c r="Q913" s="274"/>
      <c r="R913" s="80"/>
      <c r="S913" s="80"/>
      <c r="T913" s="241"/>
      <c r="U913" s="80"/>
      <c r="V913" s="80"/>
      <c r="W913" s="80"/>
      <c r="X913" s="80"/>
      <c r="Y913" s="80"/>
      <c r="Z913" s="80"/>
      <c r="AA913" s="80"/>
    </row>
    <row r="914" spans="1:27" ht="15.75" customHeight="1">
      <c r="A914" s="80"/>
      <c r="B914" s="270"/>
      <c r="C914" s="271"/>
      <c r="D914" s="80"/>
      <c r="E914" s="271"/>
      <c r="F914" s="272"/>
      <c r="G914" s="270"/>
      <c r="H914" s="271"/>
      <c r="I914" s="272"/>
      <c r="J914" s="80"/>
      <c r="K914" s="273"/>
      <c r="L914" s="273"/>
      <c r="M914" s="273"/>
      <c r="N914" s="273"/>
      <c r="O914" s="273"/>
      <c r="P914" s="273"/>
      <c r="Q914" s="274"/>
      <c r="R914" s="80"/>
      <c r="S914" s="80"/>
      <c r="T914" s="241"/>
      <c r="U914" s="80"/>
      <c r="V914" s="80"/>
      <c r="W914" s="80"/>
      <c r="X914" s="80"/>
      <c r="Y914" s="80"/>
      <c r="Z914" s="80"/>
      <c r="AA914" s="80"/>
    </row>
    <row r="915" spans="1:27" ht="15.75" customHeight="1">
      <c r="A915" s="80"/>
      <c r="B915" s="270"/>
      <c r="C915" s="271"/>
      <c r="D915" s="80"/>
      <c r="E915" s="271"/>
      <c r="F915" s="272"/>
      <c r="G915" s="270"/>
      <c r="H915" s="271"/>
      <c r="I915" s="272"/>
      <c r="J915" s="80"/>
      <c r="K915" s="273"/>
      <c r="L915" s="273"/>
      <c r="M915" s="273"/>
      <c r="N915" s="273"/>
      <c r="O915" s="273"/>
      <c r="P915" s="273"/>
      <c r="Q915" s="274"/>
      <c r="R915" s="80"/>
      <c r="S915" s="80"/>
      <c r="T915" s="241"/>
      <c r="U915" s="80"/>
      <c r="V915" s="80"/>
      <c r="W915" s="80"/>
      <c r="X915" s="80"/>
      <c r="Y915" s="80"/>
      <c r="Z915" s="80"/>
      <c r="AA915" s="80"/>
    </row>
    <row r="916" spans="1:27" ht="15.75" customHeight="1">
      <c r="A916" s="80"/>
      <c r="B916" s="270"/>
      <c r="C916" s="271"/>
      <c r="D916" s="80"/>
      <c r="E916" s="271"/>
      <c r="F916" s="272"/>
      <c r="G916" s="270"/>
      <c r="H916" s="271"/>
      <c r="I916" s="272"/>
      <c r="J916" s="80"/>
      <c r="K916" s="273"/>
      <c r="L916" s="273"/>
      <c r="M916" s="273"/>
      <c r="N916" s="273"/>
      <c r="O916" s="273"/>
      <c r="P916" s="273"/>
      <c r="Q916" s="274"/>
      <c r="R916" s="80"/>
      <c r="S916" s="80"/>
      <c r="T916" s="241"/>
      <c r="U916" s="80"/>
      <c r="V916" s="80"/>
      <c r="W916" s="80"/>
      <c r="X916" s="80"/>
      <c r="Y916" s="80"/>
      <c r="Z916" s="80"/>
      <c r="AA916" s="80"/>
    </row>
    <row r="917" spans="1:27" ht="15.75" customHeight="1">
      <c r="A917" s="80"/>
      <c r="B917" s="270"/>
      <c r="C917" s="271"/>
      <c r="D917" s="80"/>
      <c r="E917" s="271"/>
      <c r="F917" s="272"/>
      <c r="G917" s="270"/>
      <c r="H917" s="271"/>
      <c r="I917" s="272"/>
      <c r="J917" s="80"/>
      <c r="K917" s="273"/>
      <c r="L917" s="273"/>
      <c r="M917" s="273"/>
      <c r="N917" s="273"/>
      <c r="O917" s="273"/>
      <c r="P917" s="273"/>
      <c r="Q917" s="274"/>
      <c r="R917" s="80"/>
      <c r="S917" s="80"/>
      <c r="T917" s="241"/>
      <c r="U917" s="80"/>
      <c r="V917" s="80"/>
      <c r="W917" s="80"/>
      <c r="X917" s="80"/>
      <c r="Y917" s="80"/>
      <c r="Z917" s="80"/>
      <c r="AA917" s="80"/>
    </row>
    <row r="918" spans="1:27" ht="15.75" customHeight="1">
      <c r="A918" s="80"/>
      <c r="B918" s="270"/>
      <c r="C918" s="271"/>
      <c r="D918" s="80"/>
      <c r="E918" s="271"/>
      <c r="F918" s="272"/>
      <c r="G918" s="270"/>
      <c r="H918" s="271"/>
      <c r="I918" s="272"/>
      <c r="J918" s="80"/>
      <c r="K918" s="273"/>
      <c r="L918" s="273"/>
      <c r="M918" s="273"/>
      <c r="N918" s="273"/>
      <c r="O918" s="273"/>
      <c r="P918" s="273"/>
      <c r="Q918" s="274"/>
      <c r="R918" s="80"/>
      <c r="S918" s="80"/>
      <c r="T918" s="241"/>
      <c r="U918" s="80"/>
      <c r="V918" s="80"/>
      <c r="W918" s="80"/>
      <c r="X918" s="80"/>
      <c r="Y918" s="80"/>
      <c r="Z918" s="80"/>
      <c r="AA918" s="80"/>
    </row>
    <row r="919" spans="1:27" ht="15.75" customHeight="1">
      <c r="A919" s="80"/>
      <c r="B919" s="270"/>
      <c r="C919" s="271"/>
      <c r="D919" s="80"/>
      <c r="E919" s="271"/>
      <c r="F919" s="272"/>
      <c r="G919" s="270"/>
      <c r="H919" s="271"/>
      <c r="I919" s="272"/>
      <c r="J919" s="80"/>
      <c r="K919" s="273"/>
      <c r="L919" s="273"/>
      <c r="M919" s="273"/>
      <c r="N919" s="273"/>
      <c r="O919" s="273"/>
      <c r="P919" s="273"/>
      <c r="Q919" s="274"/>
      <c r="R919" s="80"/>
      <c r="S919" s="80"/>
      <c r="T919" s="241"/>
      <c r="U919" s="80"/>
      <c r="V919" s="80"/>
      <c r="W919" s="80"/>
      <c r="X919" s="80"/>
      <c r="Y919" s="80"/>
      <c r="Z919" s="80"/>
      <c r="AA919" s="80"/>
    </row>
    <row r="920" spans="1:27" ht="15.75" customHeight="1">
      <c r="A920" s="80"/>
      <c r="B920" s="270"/>
      <c r="C920" s="271"/>
      <c r="D920" s="80"/>
      <c r="E920" s="271"/>
      <c r="F920" s="272"/>
      <c r="G920" s="270"/>
      <c r="H920" s="271"/>
      <c r="I920" s="272"/>
      <c r="J920" s="80"/>
      <c r="K920" s="273"/>
      <c r="L920" s="273"/>
      <c r="M920" s="273"/>
      <c r="N920" s="273"/>
      <c r="O920" s="273"/>
      <c r="P920" s="273"/>
      <c r="Q920" s="274"/>
      <c r="R920" s="80"/>
      <c r="S920" s="80"/>
      <c r="T920" s="241"/>
      <c r="U920" s="80"/>
      <c r="V920" s="80"/>
      <c r="W920" s="80"/>
      <c r="X920" s="80"/>
      <c r="Y920" s="80"/>
      <c r="Z920" s="80"/>
      <c r="AA920" s="80"/>
    </row>
    <row r="921" spans="1:27" ht="15.75" customHeight="1">
      <c r="A921" s="80"/>
      <c r="B921" s="270"/>
      <c r="C921" s="271"/>
      <c r="D921" s="80"/>
      <c r="E921" s="271"/>
      <c r="F921" s="272"/>
      <c r="G921" s="270"/>
      <c r="H921" s="271"/>
      <c r="I921" s="272"/>
      <c r="J921" s="80"/>
      <c r="K921" s="273"/>
      <c r="L921" s="273"/>
      <c r="M921" s="273"/>
      <c r="N921" s="273"/>
      <c r="O921" s="273"/>
      <c r="P921" s="273"/>
      <c r="Q921" s="274"/>
      <c r="R921" s="80"/>
      <c r="S921" s="80"/>
      <c r="T921" s="241"/>
      <c r="U921" s="80"/>
      <c r="V921" s="80"/>
      <c r="W921" s="80"/>
      <c r="X921" s="80"/>
      <c r="Y921" s="80"/>
      <c r="Z921" s="80"/>
      <c r="AA921" s="80"/>
    </row>
    <row r="922" spans="1:27" ht="15.75" customHeight="1">
      <c r="A922" s="80"/>
      <c r="B922" s="270"/>
      <c r="C922" s="271"/>
      <c r="D922" s="80"/>
      <c r="E922" s="271"/>
      <c r="F922" s="272"/>
      <c r="G922" s="270"/>
      <c r="H922" s="271"/>
      <c r="I922" s="272"/>
      <c r="J922" s="80"/>
      <c r="K922" s="273"/>
      <c r="L922" s="273"/>
      <c r="M922" s="273"/>
      <c r="N922" s="273"/>
      <c r="O922" s="273"/>
      <c r="P922" s="273"/>
      <c r="Q922" s="274"/>
      <c r="R922" s="80"/>
      <c r="S922" s="80"/>
      <c r="T922" s="241"/>
      <c r="U922" s="80"/>
      <c r="V922" s="80"/>
      <c r="W922" s="80"/>
      <c r="X922" s="80"/>
      <c r="Y922" s="80"/>
      <c r="Z922" s="80"/>
      <c r="AA922" s="80"/>
    </row>
    <row r="923" spans="1:27" ht="15.75" customHeight="1">
      <c r="A923" s="80"/>
      <c r="B923" s="270"/>
      <c r="C923" s="271"/>
      <c r="D923" s="80"/>
      <c r="E923" s="271"/>
      <c r="F923" s="272"/>
      <c r="G923" s="270"/>
      <c r="H923" s="271"/>
      <c r="I923" s="272"/>
      <c r="J923" s="80"/>
      <c r="K923" s="273"/>
      <c r="L923" s="273"/>
      <c r="M923" s="273"/>
      <c r="N923" s="273"/>
      <c r="O923" s="273"/>
      <c r="P923" s="273"/>
      <c r="Q923" s="274"/>
      <c r="R923" s="80"/>
      <c r="S923" s="80"/>
      <c r="T923" s="241"/>
      <c r="U923" s="80"/>
      <c r="V923" s="80"/>
      <c r="W923" s="80"/>
      <c r="X923" s="80"/>
      <c r="Y923" s="80"/>
      <c r="Z923" s="80"/>
      <c r="AA923" s="80"/>
    </row>
    <row r="924" spans="1:27" ht="15.75" customHeight="1">
      <c r="A924" s="80"/>
      <c r="B924" s="270"/>
      <c r="C924" s="271"/>
      <c r="D924" s="80"/>
      <c r="E924" s="271"/>
      <c r="F924" s="272"/>
      <c r="G924" s="270"/>
      <c r="H924" s="271"/>
      <c r="I924" s="272"/>
      <c r="J924" s="80"/>
      <c r="K924" s="273"/>
      <c r="L924" s="273"/>
      <c r="M924" s="273"/>
      <c r="N924" s="273"/>
      <c r="O924" s="273"/>
      <c r="P924" s="273"/>
      <c r="Q924" s="274"/>
      <c r="R924" s="80"/>
      <c r="S924" s="80"/>
      <c r="T924" s="241"/>
      <c r="U924" s="80"/>
      <c r="V924" s="80"/>
      <c r="W924" s="80"/>
      <c r="X924" s="80"/>
      <c r="Y924" s="80"/>
      <c r="Z924" s="80"/>
      <c r="AA924" s="80"/>
    </row>
    <row r="925" spans="1:27" ht="15.75" customHeight="1">
      <c r="A925" s="80"/>
      <c r="B925" s="270"/>
      <c r="C925" s="271"/>
      <c r="D925" s="80"/>
      <c r="E925" s="271"/>
      <c r="F925" s="272"/>
      <c r="G925" s="270"/>
      <c r="H925" s="271"/>
      <c r="I925" s="272"/>
      <c r="J925" s="80"/>
      <c r="K925" s="273"/>
      <c r="L925" s="273"/>
      <c r="M925" s="273"/>
      <c r="N925" s="273"/>
      <c r="O925" s="273"/>
      <c r="P925" s="273"/>
      <c r="Q925" s="274"/>
      <c r="R925" s="80"/>
      <c r="S925" s="80"/>
      <c r="T925" s="241"/>
      <c r="U925" s="80"/>
      <c r="V925" s="80"/>
      <c r="W925" s="80"/>
      <c r="X925" s="80"/>
      <c r="Y925" s="80"/>
      <c r="Z925" s="80"/>
      <c r="AA925" s="80"/>
    </row>
    <row r="926" spans="1:27" ht="15.75" customHeight="1">
      <c r="A926" s="80"/>
      <c r="B926" s="270"/>
      <c r="C926" s="271"/>
      <c r="D926" s="80"/>
      <c r="E926" s="271"/>
      <c r="F926" s="272"/>
      <c r="G926" s="270"/>
      <c r="H926" s="271"/>
      <c r="I926" s="272"/>
      <c r="J926" s="80"/>
      <c r="K926" s="273"/>
      <c r="L926" s="273"/>
      <c r="M926" s="273"/>
      <c r="N926" s="273"/>
      <c r="O926" s="273"/>
      <c r="P926" s="273"/>
      <c r="Q926" s="274"/>
      <c r="R926" s="80"/>
      <c r="S926" s="80"/>
      <c r="T926" s="241"/>
      <c r="U926" s="80"/>
      <c r="V926" s="80"/>
      <c r="W926" s="80"/>
      <c r="X926" s="80"/>
      <c r="Y926" s="80"/>
      <c r="Z926" s="80"/>
      <c r="AA926" s="80"/>
    </row>
    <row r="927" spans="1:27" ht="15.75" customHeight="1">
      <c r="A927" s="80"/>
      <c r="B927" s="270"/>
      <c r="C927" s="271"/>
      <c r="D927" s="80"/>
      <c r="E927" s="271"/>
      <c r="F927" s="272"/>
      <c r="G927" s="270"/>
      <c r="H927" s="271"/>
      <c r="I927" s="272"/>
      <c r="J927" s="80"/>
      <c r="K927" s="273"/>
      <c r="L927" s="273"/>
      <c r="M927" s="273"/>
      <c r="N927" s="273"/>
      <c r="O927" s="273"/>
      <c r="P927" s="273"/>
      <c r="Q927" s="274"/>
      <c r="R927" s="80"/>
      <c r="S927" s="80"/>
      <c r="T927" s="241"/>
      <c r="U927" s="80"/>
      <c r="V927" s="80"/>
      <c r="W927" s="80"/>
      <c r="X927" s="80"/>
      <c r="Y927" s="80"/>
      <c r="Z927" s="80"/>
      <c r="AA927" s="80"/>
    </row>
    <row r="928" spans="1:27" ht="15.75" customHeight="1">
      <c r="A928" s="80"/>
      <c r="B928" s="270"/>
      <c r="C928" s="271"/>
      <c r="D928" s="80"/>
      <c r="E928" s="271"/>
      <c r="F928" s="272"/>
      <c r="G928" s="270"/>
      <c r="H928" s="271"/>
      <c r="I928" s="272"/>
      <c r="J928" s="80"/>
      <c r="K928" s="273"/>
      <c r="L928" s="273"/>
      <c r="M928" s="273"/>
      <c r="N928" s="273"/>
      <c r="O928" s="273"/>
      <c r="P928" s="273"/>
      <c r="Q928" s="274"/>
      <c r="R928" s="80"/>
      <c r="S928" s="80"/>
      <c r="T928" s="241"/>
      <c r="U928" s="80"/>
      <c r="V928" s="80"/>
      <c r="W928" s="80"/>
      <c r="X928" s="80"/>
      <c r="Y928" s="80"/>
      <c r="Z928" s="80"/>
      <c r="AA928" s="80"/>
    </row>
    <row r="929" spans="1:27" ht="15.75" customHeight="1">
      <c r="A929" s="80"/>
      <c r="B929" s="270"/>
      <c r="C929" s="271"/>
      <c r="D929" s="80"/>
      <c r="E929" s="271"/>
      <c r="F929" s="272"/>
      <c r="G929" s="270"/>
      <c r="H929" s="271"/>
      <c r="I929" s="272"/>
      <c r="J929" s="80"/>
      <c r="K929" s="273"/>
      <c r="L929" s="273"/>
      <c r="M929" s="273"/>
      <c r="N929" s="273"/>
      <c r="O929" s="273"/>
      <c r="P929" s="273"/>
      <c r="Q929" s="274"/>
      <c r="R929" s="80"/>
      <c r="S929" s="80"/>
      <c r="T929" s="241"/>
      <c r="U929" s="80"/>
      <c r="V929" s="80"/>
      <c r="W929" s="80"/>
      <c r="X929" s="80"/>
      <c r="Y929" s="80"/>
      <c r="Z929" s="80"/>
      <c r="AA929" s="80"/>
    </row>
    <row r="930" spans="1:27" ht="15.75" customHeight="1">
      <c r="A930" s="80"/>
      <c r="B930" s="270"/>
      <c r="C930" s="271"/>
      <c r="D930" s="80"/>
      <c r="E930" s="271"/>
      <c r="F930" s="272"/>
      <c r="G930" s="270"/>
      <c r="H930" s="271"/>
      <c r="I930" s="272"/>
      <c r="J930" s="80"/>
      <c r="K930" s="273"/>
      <c r="L930" s="273"/>
      <c r="M930" s="273"/>
      <c r="N930" s="273"/>
      <c r="O930" s="273"/>
      <c r="P930" s="273"/>
      <c r="Q930" s="274"/>
      <c r="R930" s="80"/>
      <c r="S930" s="80"/>
      <c r="T930" s="241"/>
      <c r="U930" s="80"/>
      <c r="V930" s="80"/>
      <c r="W930" s="80"/>
      <c r="X930" s="80"/>
      <c r="Y930" s="80"/>
      <c r="Z930" s="80"/>
      <c r="AA930" s="80"/>
    </row>
    <row r="931" spans="1:27" ht="15.75" customHeight="1">
      <c r="A931" s="80"/>
      <c r="B931" s="270"/>
      <c r="C931" s="271"/>
      <c r="D931" s="80"/>
      <c r="E931" s="271"/>
      <c r="F931" s="272"/>
      <c r="G931" s="270"/>
      <c r="H931" s="271"/>
      <c r="I931" s="272"/>
      <c r="J931" s="80"/>
      <c r="K931" s="273"/>
      <c r="L931" s="273"/>
      <c r="M931" s="273"/>
      <c r="N931" s="273"/>
      <c r="O931" s="273"/>
      <c r="P931" s="273"/>
      <c r="Q931" s="274"/>
      <c r="R931" s="80"/>
      <c r="S931" s="80"/>
      <c r="T931" s="241"/>
      <c r="U931" s="80"/>
      <c r="V931" s="80"/>
      <c r="W931" s="80"/>
      <c r="X931" s="80"/>
      <c r="Y931" s="80"/>
      <c r="Z931" s="80"/>
      <c r="AA931" s="80"/>
    </row>
    <row r="932" spans="1:27" ht="15.75" customHeight="1">
      <c r="A932" s="80"/>
      <c r="B932" s="270"/>
      <c r="C932" s="271"/>
      <c r="D932" s="80"/>
      <c r="E932" s="271"/>
      <c r="F932" s="272"/>
      <c r="G932" s="270"/>
      <c r="H932" s="271"/>
      <c r="I932" s="272"/>
      <c r="J932" s="80"/>
      <c r="K932" s="273"/>
      <c r="L932" s="273"/>
      <c r="M932" s="273"/>
      <c r="N932" s="273"/>
      <c r="O932" s="273"/>
      <c r="P932" s="273"/>
      <c r="Q932" s="274"/>
      <c r="R932" s="80"/>
      <c r="S932" s="80"/>
      <c r="T932" s="241"/>
      <c r="U932" s="80"/>
      <c r="V932" s="80"/>
      <c r="W932" s="80"/>
      <c r="X932" s="80"/>
      <c r="Y932" s="80"/>
      <c r="Z932" s="80"/>
      <c r="AA932" s="80"/>
    </row>
    <row r="933" spans="1:27" ht="15.75" customHeight="1">
      <c r="A933" s="80"/>
      <c r="B933" s="270"/>
      <c r="C933" s="271"/>
      <c r="D933" s="80"/>
      <c r="E933" s="271"/>
      <c r="F933" s="272"/>
      <c r="G933" s="270"/>
      <c r="H933" s="271"/>
      <c r="I933" s="272"/>
      <c r="J933" s="80"/>
      <c r="K933" s="273"/>
      <c r="L933" s="273"/>
      <c r="M933" s="273"/>
      <c r="N933" s="273"/>
      <c r="O933" s="273"/>
      <c r="P933" s="273"/>
      <c r="Q933" s="274"/>
      <c r="R933" s="80"/>
      <c r="S933" s="80"/>
      <c r="T933" s="241"/>
      <c r="U933" s="80"/>
      <c r="V933" s="80"/>
      <c r="W933" s="80"/>
      <c r="X933" s="80"/>
      <c r="Y933" s="80"/>
      <c r="Z933" s="80"/>
      <c r="AA933" s="80"/>
    </row>
    <row r="934" spans="1:27" ht="15.75" customHeight="1">
      <c r="A934" s="80"/>
      <c r="B934" s="270"/>
      <c r="C934" s="271"/>
      <c r="D934" s="80"/>
      <c r="E934" s="271"/>
      <c r="F934" s="272"/>
      <c r="G934" s="270"/>
      <c r="H934" s="271"/>
      <c r="I934" s="272"/>
      <c r="J934" s="80"/>
      <c r="K934" s="273"/>
      <c r="L934" s="273"/>
      <c r="M934" s="273"/>
      <c r="N934" s="273"/>
      <c r="O934" s="273"/>
      <c r="P934" s="273"/>
      <c r="Q934" s="274"/>
      <c r="R934" s="80"/>
      <c r="S934" s="80"/>
      <c r="T934" s="241"/>
      <c r="U934" s="80"/>
      <c r="V934" s="80"/>
      <c r="W934" s="80"/>
      <c r="X934" s="80"/>
      <c r="Y934" s="80"/>
      <c r="Z934" s="80"/>
      <c r="AA934" s="80"/>
    </row>
    <row r="935" spans="1:27" ht="15.75" customHeight="1">
      <c r="A935" s="80"/>
      <c r="B935" s="270"/>
      <c r="C935" s="271"/>
      <c r="D935" s="80"/>
      <c r="E935" s="271"/>
      <c r="F935" s="272"/>
      <c r="G935" s="270"/>
      <c r="H935" s="271"/>
      <c r="I935" s="272"/>
      <c r="J935" s="80"/>
      <c r="K935" s="273"/>
      <c r="L935" s="273"/>
      <c r="M935" s="273"/>
      <c r="N935" s="273"/>
      <c r="O935" s="273"/>
      <c r="P935" s="273"/>
      <c r="Q935" s="274"/>
      <c r="R935" s="80"/>
      <c r="S935" s="80"/>
      <c r="T935" s="241"/>
      <c r="U935" s="80"/>
      <c r="V935" s="80"/>
      <c r="W935" s="80"/>
      <c r="X935" s="80"/>
      <c r="Y935" s="80"/>
      <c r="Z935" s="80"/>
      <c r="AA935" s="80"/>
    </row>
    <row r="936" spans="1:27" ht="15.75" customHeight="1">
      <c r="A936" s="80"/>
      <c r="B936" s="270"/>
      <c r="C936" s="271"/>
      <c r="D936" s="80"/>
      <c r="E936" s="271"/>
      <c r="F936" s="272"/>
      <c r="G936" s="270"/>
      <c r="H936" s="271"/>
      <c r="I936" s="272"/>
      <c r="J936" s="80"/>
      <c r="K936" s="273"/>
      <c r="L936" s="273"/>
      <c r="M936" s="273"/>
      <c r="N936" s="273"/>
      <c r="O936" s="273"/>
      <c r="P936" s="273"/>
      <c r="Q936" s="274"/>
      <c r="R936" s="80"/>
      <c r="S936" s="80"/>
      <c r="T936" s="241"/>
      <c r="U936" s="80"/>
      <c r="V936" s="80"/>
      <c r="W936" s="80"/>
      <c r="X936" s="80"/>
      <c r="Y936" s="80"/>
      <c r="Z936" s="80"/>
      <c r="AA936" s="80"/>
    </row>
    <row r="937" spans="1:27" ht="15.75" customHeight="1">
      <c r="A937" s="80"/>
      <c r="B937" s="270"/>
      <c r="C937" s="271"/>
      <c r="D937" s="80"/>
      <c r="E937" s="271"/>
      <c r="F937" s="272"/>
      <c r="G937" s="270"/>
      <c r="H937" s="271"/>
      <c r="I937" s="272"/>
      <c r="J937" s="80"/>
      <c r="K937" s="273"/>
      <c r="L937" s="273"/>
      <c r="M937" s="273"/>
      <c r="N937" s="273"/>
      <c r="O937" s="273"/>
      <c r="P937" s="273"/>
      <c r="Q937" s="274"/>
      <c r="R937" s="80"/>
      <c r="S937" s="80"/>
      <c r="T937" s="241"/>
      <c r="U937" s="80"/>
      <c r="V937" s="80"/>
      <c r="W937" s="80"/>
      <c r="X937" s="80"/>
      <c r="Y937" s="80"/>
      <c r="Z937" s="80"/>
      <c r="AA937" s="80"/>
    </row>
    <row r="938" spans="1:27" ht="15.75" customHeight="1">
      <c r="A938" s="80"/>
      <c r="B938" s="270"/>
      <c r="C938" s="271"/>
      <c r="D938" s="80"/>
      <c r="E938" s="271"/>
      <c r="F938" s="272"/>
      <c r="G938" s="270"/>
      <c r="H938" s="271"/>
      <c r="I938" s="272"/>
      <c r="J938" s="80"/>
      <c r="K938" s="273"/>
      <c r="L938" s="273"/>
      <c r="M938" s="273"/>
      <c r="N938" s="273"/>
      <c r="O938" s="273"/>
      <c r="P938" s="273"/>
      <c r="Q938" s="274"/>
      <c r="R938" s="80"/>
      <c r="S938" s="80"/>
      <c r="T938" s="241"/>
      <c r="U938" s="80"/>
      <c r="V938" s="80"/>
      <c r="W938" s="80"/>
      <c r="X938" s="80"/>
      <c r="Y938" s="80"/>
      <c r="Z938" s="80"/>
      <c r="AA938" s="80"/>
    </row>
    <row r="939" spans="1:27" ht="15.75" customHeight="1">
      <c r="A939" s="80"/>
      <c r="B939" s="270"/>
      <c r="C939" s="271"/>
      <c r="D939" s="80"/>
      <c r="E939" s="271"/>
      <c r="F939" s="272"/>
      <c r="G939" s="270"/>
      <c r="H939" s="271"/>
      <c r="I939" s="272"/>
      <c r="J939" s="80"/>
      <c r="K939" s="273"/>
      <c r="L939" s="273"/>
      <c r="M939" s="273"/>
      <c r="N939" s="273"/>
      <c r="O939" s="273"/>
      <c r="P939" s="273"/>
      <c r="Q939" s="274"/>
      <c r="R939" s="80"/>
      <c r="S939" s="80"/>
      <c r="T939" s="241"/>
      <c r="U939" s="80"/>
      <c r="V939" s="80"/>
      <c r="W939" s="80"/>
      <c r="X939" s="80"/>
      <c r="Y939" s="80"/>
      <c r="Z939" s="80"/>
      <c r="AA939" s="80"/>
    </row>
    <row r="940" spans="1:27" ht="15.75" customHeight="1">
      <c r="A940" s="80"/>
      <c r="B940" s="270"/>
      <c r="C940" s="271"/>
      <c r="D940" s="80"/>
      <c r="E940" s="271"/>
      <c r="F940" s="272"/>
      <c r="G940" s="270"/>
      <c r="H940" s="271"/>
      <c r="I940" s="272"/>
      <c r="J940" s="80"/>
      <c r="K940" s="273"/>
      <c r="L940" s="273"/>
      <c r="M940" s="273"/>
      <c r="N940" s="273"/>
      <c r="O940" s="273"/>
      <c r="P940" s="273"/>
      <c r="Q940" s="274"/>
      <c r="R940" s="80"/>
      <c r="S940" s="80"/>
      <c r="T940" s="241"/>
      <c r="U940" s="80"/>
      <c r="V940" s="80"/>
      <c r="W940" s="80"/>
      <c r="X940" s="80"/>
      <c r="Y940" s="80"/>
      <c r="Z940" s="80"/>
      <c r="AA940" s="80"/>
    </row>
    <row r="941" spans="1:27" ht="15.75" customHeight="1">
      <c r="A941" s="80"/>
      <c r="B941" s="270"/>
      <c r="C941" s="271"/>
      <c r="D941" s="80"/>
      <c r="E941" s="271"/>
      <c r="F941" s="272"/>
      <c r="G941" s="270"/>
      <c r="H941" s="271"/>
      <c r="I941" s="272"/>
      <c r="J941" s="80"/>
      <c r="K941" s="273"/>
      <c r="L941" s="273"/>
      <c r="M941" s="273"/>
      <c r="N941" s="273"/>
      <c r="O941" s="273"/>
      <c r="P941" s="273"/>
      <c r="Q941" s="274"/>
      <c r="R941" s="80"/>
      <c r="S941" s="80"/>
      <c r="T941" s="241"/>
      <c r="U941" s="80"/>
      <c r="V941" s="80"/>
      <c r="W941" s="80"/>
      <c r="X941" s="80"/>
      <c r="Y941" s="80"/>
      <c r="Z941" s="80"/>
      <c r="AA941" s="80"/>
    </row>
    <row r="942" spans="1:27" ht="15.75" customHeight="1">
      <c r="A942" s="80"/>
      <c r="B942" s="270"/>
      <c r="C942" s="271"/>
      <c r="D942" s="80"/>
      <c r="E942" s="271"/>
      <c r="F942" s="272"/>
      <c r="G942" s="270"/>
      <c r="H942" s="271"/>
      <c r="I942" s="272"/>
      <c r="J942" s="80"/>
      <c r="K942" s="273"/>
      <c r="L942" s="273"/>
      <c r="M942" s="273"/>
      <c r="N942" s="273"/>
      <c r="O942" s="273"/>
      <c r="P942" s="273"/>
      <c r="Q942" s="274"/>
      <c r="R942" s="80"/>
      <c r="S942" s="80"/>
      <c r="T942" s="241"/>
      <c r="U942" s="80"/>
      <c r="V942" s="80"/>
      <c r="W942" s="80"/>
      <c r="X942" s="80"/>
      <c r="Y942" s="80"/>
      <c r="Z942" s="80"/>
      <c r="AA942" s="80"/>
    </row>
    <row r="943" spans="1:27" ht="15.75" customHeight="1">
      <c r="A943" s="80"/>
      <c r="B943" s="270"/>
      <c r="C943" s="271"/>
      <c r="D943" s="80"/>
      <c r="E943" s="271"/>
      <c r="F943" s="272"/>
      <c r="G943" s="270"/>
      <c r="H943" s="271"/>
      <c r="I943" s="272"/>
      <c r="J943" s="80"/>
      <c r="K943" s="273"/>
      <c r="L943" s="273"/>
      <c r="M943" s="273"/>
      <c r="N943" s="273"/>
      <c r="O943" s="273"/>
      <c r="P943" s="273"/>
      <c r="Q943" s="274"/>
      <c r="R943" s="80"/>
      <c r="S943" s="80"/>
      <c r="T943" s="241"/>
      <c r="U943" s="80"/>
      <c r="V943" s="80"/>
      <c r="W943" s="80"/>
      <c r="X943" s="80"/>
      <c r="Y943" s="80"/>
      <c r="Z943" s="80"/>
      <c r="AA943" s="80"/>
    </row>
    <row r="944" spans="1:27" ht="15.75" customHeight="1">
      <c r="A944" s="80"/>
      <c r="B944" s="270"/>
      <c r="C944" s="271"/>
      <c r="D944" s="80"/>
      <c r="E944" s="271"/>
      <c r="F944" s="272"/>
      <c r="G944" s="270"/>
      <c r="H944" s="271"/>
      <c r="I944" s="272"/>
      <c r="J944" s="80"/>
      <c r="K944" s="273"/>
      <c r="L944" s="273"/>
      <c r="M944" s="273"/>
      <c r="N944" s="273"/>
      <c r="O944" s="273"/>
      <c r="P944" s="273"/>
      <c r="Q944" s="274"/>
      <c r="R944" s="80"/>
      <c r="S944" s="80"/>
      <c r="T944" s="241"/>
      <c r="U944" s="80"/>
      <c r="V944" s="80"/>
      <c r="W944" s="80"/>
      <c r="X944" s="80"/>
      <c r="Y944" s="80"/>
      <c r="Z944" s="80"/>
      <c r="AA944" s="80"/>
    </row>
    <row r="945" spans="1:27" ht="15.75" customHeight="1">
      <c r="A945" s="80"/>
      <c r="B945" s="270"/>
      <c r="C945" s="271"/>
      <c r="D945" s="80"/>
      <c r="E945" s="271"/>
      <c r="F945" s="272"/>
      <c r="G945" s="270"/>
      <c r="H945" s="271"/>
      <c r="I945" s="272"/>
      <c r="J945" s="80"/>
      <c r="K945" s="273"/>
      <c r="L945" s="273"/>
      <c r="M945" s="273"/>
      <c r="N945" s="273"/>
      <c r="O945" s="273"/>
      <c r="P945" s="273"/>
      <c r="Q945" s="274"/>
      <c r="R945" s="80"/>
      <c r="S945" s="80"/>
      <c r="T945" s="241"/>
      <c r="U945" s="80"/>
      <c r="V945" s="80"/>
      <c r="W945" s="80"/>
      <c r="X945" s="80"/>
      <c r="Y945" s="80"/>
      <c r="Z945" s="80"/>
      <c r="AA945" s="80"/>
    </row>
    <row r="946" spans="1:27" ht="15.75" customHeight="1">
      <c r="A946" s="80"/>
      <c r="B946" s="270"/>
      <c r="C946" s="271"/>
      <c r="D946" s="80"/>
      <c r="E946" s="271"/>
      <c r="F946" s="272"/>
      <c r="G946" s="270"/>
      <c r="H946" s="271"/>
      <c r="I946" s="272"/>
      <c r="J946" s="80"/>
      <c r="K946" s="273"/>
      <c r="L946" s="273"/>
      <c r="M946" s="273"/>
      <c r="N946" s="273"/>
      <c r="O946" s="273"/>
      <c r="P946" s="273"/>
      <c r="Q946" s="274"/>
      <c r="R946" s="80"/>
      <c r="S946" s="80"/>
      <c r="T946" s="241"/>
      <c r="U946" s="80"/>
      <c r="V946" s="80"/>
      <c r="W946" s="80"/>
      <c r="X946" s="80"/>
      <c r="Y946" s="80"/>
      <c r="Z946" s="80"/>
      <c r="AA946" s="80"/>
    </row>
    <row r="947" spans="1:27" ht="15.75" customHeight="1">
      <c r="A947" s="80"/>
      <c r="B947" s="270"/>
      <c r="C947" s="271"/>
      <c r="D947" s="80"/>
      <c r="E947" s="271"/>
      <c r="F947" s="272"/>
      <c r="G947" s="270"/>
      <c r="H947" s="271"/>
      <c r="I947" s="272"/>
      <c r="J947" s="80"/>
      <c r="K947" s="273"/>
      <c r="L947" s="273"/>
      <c r="M947" s="273"/>
      <c r="N947" s="273"/>
      <c r="O947" s="273"/>
      <c r="P947" s="273"/>
      <c r="Q947" s="274"/>
      <c r="R947" s="80"/>
      <c r="S947" s="80"/>
      <c r="T947" s="241"/>
      <c r="U947" s="80"/>
      <c r="V947" s="80"/>
      <c r="W947" s="80"/>
      <c r="X947" s="80"/>
      <c r="Y947" s="80"/>
      <c r="Z947" s="80"/>
      <c r="AA947" s="80"/>
    </row>
    <row r="948" spans="1:27" ht="15.75" customHeight="1">
      <c r="A948" s="80"/>
      <c r="B948" s="270"/>
      <c r="C948" s="271"/>
      <c r="D948" s="80"/>
      <c r="E948" s="271"/>
      <c r="F948" s="272"/>
      <c r="G948" s="270"/>
      <c r="H948" s="271"/>
      <c r="I948" s="272"/>
      <c r="J948" s="80"/>
      <c r="K948" s="273"/>
      <c r="L948" s="273"/>
      <c r="M948" s="273"/>
      <c r="N948" s="273"/>
      <c r="O948" s="273"/>
      <c r="P948" s="273"/>
      <c r="Q948" s="274"/>
      <c r="R948" s="80"/>
      <c r="S948" s="80"/>
      <c r="T948" s="241"/>
      <c r="U948" s="80"/>
      <c r="V948" s="80"/>
      <c r="W948" s="80"/>
      <c r="X948" s="80"/>
      <c r="Y948" s="80"/>
      <c r="Z948" s="80"/>
      <c r="AA948" s="80"/>
    </row>
    <row r="949" spans="1:27" ht="15.75" customHeight="1">
      <c r="A949" s="80"/>
      <c r="B949" s="270"/>
      <c r="C949" s="271"/>
      <c r="D949" s="80"/>
      <c r="E949" s="271"/>
      <c r="F949" s="272"/>
      <c r="G949" s="270"/>
      <c r="H949" s="271"/>
      <c r="I949" s="272"/>
      <c r="J949" s="80"/>
      <c r="K949" s="273"/>
      <c r="L949" s="273"/>
      <c r="M949" s="273"/>
      <c r="N949" s="273"/>
      <c r="O949" s="273"/>
      <c r="P949" s="273"/>
      <c r="Q949" s="274"/>
      <c r="R949" s="80"/>
      <c r="S949" s="80"/>
      <c r="T949" s="241"/>
      <c r="U949" s="80"/>
      <c r="V949" s="80"/>
      <c r="W949" s="80"/>
      <c r="X949" s="80"/>
      <c r="Y949" s="80"/>
      <c r="Z949" s="80"/>
      <c r="AA949" s="80"/>
    </row>
    <row r="950" spans="1:27" ht="15.75" customHeight="1">
      <c r="A950" s="80"/>
      <c r="B950" s="270"/>
      <c r="C950" s="271"/>
      <c r="D950" s="80"/>
      <c r="E950" s="271"/>
      <c r="F950" s="272"/>
      <c r="G950" s="270"/>
      <c r="H950" s="271"/>
      <c r="I950" s="272"/>
      <c r="J950" s="80"/>
      <c r="K950" s="273"/>
      <c r="L950" s="273"/>
      <c r="M950" s="273"/>
      <c r="N950" s="273"/>
      <c r="O950" s="273"/>
      <c r="P950" s="273"/>
      <c r="Q950" s="274"/>
      <c r="R950" s="80"/>
      <c r="S950" s="80"/>
      <c r="T950" s="241"/>
      <c r="U950" s="80"/>
      <c r="V950" s="80"/>
      <c r="W950" s="80"/>
      <c r="X950" s="80"/>
      <c r="Y950" s="80"/>
      <c r="Z950" s="80"/>
      <c r="AA950" s="80"/>
    </row>
    <row r="951" spans="1:27" ht="15.75" customHeight="1">
      <c r="A951" s="80"/>
      <c r="B951" s="270"/>
      <c r="C951" s="271"/>
      <c r="D951" s="80"/>
      <c r="E951" s="271"/>
      <c r="F951" s="272"/>
      <c r="G951" s="270"/>
      <c r="H951" s="271"/>
      <c r="I951" s="272"/>
      <c r="J951" s="80"/>
      <c r="K951" s="273"/>
      <c r="L951" s="273"/>
      <c r="M951" s="273"/>
      <c r="N951" s="273"/>
      <c r="O951" s="273"/>
      <c r="P951" s="273"/>
      <c r="Q951" s="274"/>
      <c r="R951" s="80"/>
      <c r="S951" s="80"/>
      <c r="T951" s="241"/>
      <c r="U951" s="80"/>
      <c r="V951" s="80"/>
      <c r="W951" s="80"/>
      <c r="X951" s="80"/>
      <c r="Y951" s="80"/>
      <c r="Z951" s="80"/>
      <c r="AA951" s="80"/>
    </row>
    <row r="952" spans="1:27" ht="15.75" customHeight="1">
      <c r="A952" s="80"/>
      <c r="B952" s="270"/>
      <c r="C952" s="271"/>
      <c r="D952" s="80"/>
      <c r="E952" s="271"/>
      <c r="F952" s="272"/>
      <c r="G952" s="270"/>
      <c r="H952" s="271"/>
      <c r="I952" s="272"/>
      <c r="J952" s="80"/>
      <c r="K952" s="273"/>
      <c r="L952" s="273"/>
      <c r="M952" s="273"/>
      <c r="N952" s="273"/>
      <c r="O952" s="273"/>
      <c r="P952" s="273"/>
      <c r="Q952" s="274"/>
      <c r="R952" s="80"/>
      <c r="S952" s="80"/>
      <c r="T952" s="241"/>
      <c r="U952" s="80"/>
      <c r="V952" s="80"/>
      <c r="W952" s="80"/>
      <c r="X952" s="80"/>
      <c r="Y952" s="80"/>
      <c r="Z952" s="80"/>
      <c r="AA952" s="80"/>
    </row>
    <row r="953" spans="1:27" ht="15.75" customHeight="1">
      <c r="A953" s="80"/>
      <c r="B953" s="270"/>
      <c r="C953" s="271"/>
      <c r="D953" s="80"/>
      <c r="E953" s="271"/>
      <c r="F953" s="272"/>
      <c r="G953" s="270"/>
      <c r="H953" s="271"/>
      <c r="I953" s="272"/>
      <c r="J953" s="80"/>
      <c r="K953" s="273"/>
      <c r="L953" s="273"/>
      <c r="M953" s="273"/>
      <c r="N953" s="273"/>
      <c r="O953" s="273"/>
      <c r="P953" s="273"/>
      <c r="Q953" s="274"/>
      <c r="R953" s="80"/>
      <c r="S953" s="80"/>
      <c r="T953" s="241"/>
      <c r="U953" s="80"/>
      <c r="V953" s="80"/>
      <c r="W953" s="80"/>
      <c r="X953" s="80"/>
      <c r="Y953" s="80"/>
      <c r="Z953" s="80"/>
      <c r="AA953" s="80"/>
    </row>
    <row r="954" spans="1:27" ht="15.75" customHeight="1">
      <c r="A954" s="80"/>
      <c r="B954" s="270"/>
      <c r="C954" s="271"/>
      <c r="D954" s="80"/>
      <c r="E954" s="271"/>
      <c r="F954" s="272"/>
      <c r="G954" s="270"/>
      <c r="H954" s="271"/>
      <c r="I954" s="272"/>
      <c r="J954" s="80"/>
      <c r="K954" s="273"/>
      <c r="L954" s="273"/>
      <c r="M954" s="273"/>
      <c r="N954" s="273"/>
      <c r="O954" s="273"/>
      <c r="P954" s="273"/>
      <c r="Q954" s="274"/>
      <c r="R954" s="80"/>
      <c r="S954" s="80"/>
      <c r="T954" s="241"/>
      <c r="U954" s="80"/>
      <c r="V954" s="80"/>
      <c r="W954" s="80"/>
      <c r="X954" s="80"/>
      <c r="Y954" s="80"/>
      <c r="Z954" s="80"/>
      <c r="AA954" s="80"/>
    </row>
    <row r="955" spans="1:27" ht="15.75" customHeight="1">
      <c r="A955" s="80"/>
      <c r="B955" s="270"/>
      <c r="C955" s="271"/>
      <c r="D955" s="80"/>
      <c r="E955" s="271"/>
      <c r="F955" s="272"/>
      <c r="G955" s="270"/>
      <c r="H955" s="271"/>
      <c r="I955" s="272"/>
      <c r="J955" s="80"/>
      <c r="K955" s="273"/>
      <c r="L955" s="273"/>
      <c r="M955" s="273"/>
      <c r="N955" s="273"/>
      <c r="O955" s="273"/>
      <c r="P955" s="273"/>
      <c r="Q955" s="274"/>
      <c r="R955" s="80"/>
      <c r="S955" s="80"/>
      <c r="T955" s="241"/>
      <c r="U955" s="80"/>
      <c r="V955" s="80"/>
      <c r="W955" s="80"/>
      <c r="X955" s="80"/>
      <c r="Y955" s="80"/>
      <c r="Z955" s="80"/>
      <c r="AA955" s="80"/>
    </row>
    <row r="956" spans="1:27" ht="15.75" customHeight="1">
      <c r="A956" s="80"/>
      <c r="B956" s="270"/>
      <c r="C956" s="271"/>
      <c r="D956" s="80"/>
      <c r="E956" s="271"/>
      <c r="F956" s="272"/>
      <c r="G956" s="270"/>
      <c r="H956" s="271"/>
      <c r="I956" s="272"/>
      <c r="J956" s="80"/>
      <c r="K956" s="273"/>
      <c r="L956" s="273"/>
      <c r="M956" s="273"/>
      <c r="N956" s="273"/>
      <c r="O956" s="273"/>
      <c r="P956" s="273"/>
      <c r="Q956" s="274"/>
      <c r="R956" s="80"/>
      <c r="S956" s="80"/>
      <c r="T956" s="241"/>
      <c r="U956" s="80"/>
      <c r="V956" s="80"/>
      <c r="W956" s="80"/>
      <c r="X956" s="80"/>
      <c r="Y956" s="80"/>
      <c r="Z956" s="80"/>
      <c r="AA956" s="80"/>
    </row>
    <row r="957" spans="1:27" ht="15.75" customHeight="1">
      <c r="A957" s="80"/>
      <c r="B957" s="270"/>
      <c r="C957" s="271"/>
      <c r="D957" s="80"/>
      <c r="E957" s="271"/>
      <c r="F957" s="272"/>
      <c r="G957" s="270"/>
      <c r="H957" s="271"/>
      <c r="I957" s="272"/>
      <c r="J957" s="80"/>
      <c r="K957" s="273"/>
      <c r="L957" s="273"/>
      <c r="M957" s="273"/>
      <c r="N957" s="273"/>
      <c r="O957" s="273"/>
      <c r="P957" s="273"/>
      <c r="Q957" s="274"/>
      <c r="R957" s="80"/>
      <c r="S957" s="80"/>
      <c r="T957" s="241"/>
      <c r="U957" s="80"/>
      <c r="V957" s="80"/>
      <c r="W957" s="80"/>
      <c r="X957" s="80"/>
      <c r="Y957" s="80"/>
      <c r="Z957" s="80"/>
      <c r="AA957" s="80"/>
    </row>
    <row r="958" spans="1:27" ht="15.75" customHeight="1">
      <c r="A958" s="80"/>
      <c r="B958" s="270"/>
      <c r="C958" s="271"/>
      <c r="D958" s="80"/>
      <c r="E958" s="271"/>
      <c r="F958" s="272"/>
      <c r="G958" s="270"/>
      <c r="H958" s="271"/>
      <c r="I958" s="272"/>
      <c r="J958" s="80"/>
      <c r="K958" s="273"/>
      <c r="L958" s="273"/>
      <c r="M958" s="273"/>
      <c r="N958" s="273"/>
      <c r="O958" s="273"/>
      <c r="P958" s="273"/>
      <c r="Q958" s="274"/>
      <c r="R958" s="80"/>
      <c r="S958" s="80"/>
      <c r="T958" s="241"/>
      <c r="U958" s="80"/>
      <c r="V958" s="80"/>
      <c r="W958" s="80"/>
      <c r="X958" s="80"/>
      <c r="Y958" s="80"/>
      <c r="Z958" s="80"/>
      <c r="AA958" s="80"/>
    </row>
    <row r="959" spans="1:27" ht="15.75" customHeight="1">
      <c r="A959" s="80"/>
      <c r="B959" s="270"/>
      <c r="C959" s="271"/>
      <c r="D959" s="80"/>
      <c r="E959" s="271"/>
      <c r="F959" s="272"/>
      <c r="G959" s="270"/>
      <c r="H959" s="271"/>
      <c r="I959" s="272"/>
      <c r="J959" s="80"/>
      <c r="K959" s="273"/>
      <c r="L959" s="273"/>
      <c r="M959" s="273"/>
      <c r="N959" s="273"/>
      <c r="O959" s="273"/>
      <c r="P959" s="273"/>
      <c r="Q959" s="274"/>
      <c r="R959" s="80"/>
      <c r="S959" s="80"/>
      <c r="T959" s="241"/>
      <c r="U959" s="80"/>
      <c r="V959" s="80"/>
      <c r="W959" s="80"/>
      <c r="X959" s="80"/>
      <c r="Y959" s="80"/>
      <c r="Z959" s="80"/>
      <c r="AA959" s="80"/>
    </row>
    <row r="960" spans="1:27" ht="15.75" customHeight="1">
      <c r="A960" s="80"/>
      <c r="B960" s="270"/>
      <c r="C960" s="271"/>
      <c r="D960" s="80"/>
      <c r="E960" s="271"/>
      <c r="F960" s="272"/>
      <c r="G960" s="270"/>
      <c r="H960" s="271"/>
      <c r="I960" s="272"/>
      <c r="J960" s="80"/>
      <c r="K960" s="273"/>
      <c r="L960" s="273"/>
      <c r="M960" s="273"/>
      <c r="N960" s="273"/>
      <c r="O960" s="273"/>
      <c r="P960" s="273"/>
      <c r="Q960" s="274"/>
      <c r="R960" s="80"/>
      <c r="S960" s="80"/>
      <c r="T960" s="241"/>
      <c r="U960" s="80"/>
      <c r="V960" s="80"/>
      <c r="W960" s="80"/>
      <c r="X960" s="80"/>
      <c r="Y960" s="80"/>
      <c r="Z960" s="80"/>
      <c r="AA960" s="80"/>
    </row>
    <row r="961" spans="1:27" ht="15.75" customHeight="1">
      <c r="A961" s="80"/>
      <c r="B961" s="270"/>
      <c r="C961" s="271"/>
      <c r="D961" s="80"/>
      <c r="E961" s="271"/>
      <c r="F961" s="272"/>
      <c r="G961" s="270"/>
      <c r="H961" s="271"/>
      <c r="I961" s="272"/>
      <c r="J961" s="80"/>
      <c r="K961" s="273"/>
      <c r="L961" s="273"/>
      <c r="M961" s="273"/>
      <c r="N961" s="273"/>
      <c r="O961" s="273"/>
      <c r="P961" s="273"/>
      <c r="Q961" s="274"/>
      <c r="R961" s="80"/>
      <c r="S961" s="80"/>
      <c r="T961" s="241"/>
      <c r="U961" s="80"/>
      <c r="V961" s="80"/>
      <c r="W961" s="80"/>
      <c r="X961" s="80"/>
      <c r="Y961" s="80"/>
      <c r="Z961" s="80"/>
      <c r="AA961" s="80"/>
    </row>
    <row r="962" spans="1:27" ht="15.75" customHeight="1">
      <c r="A962" s="80"/>
      <c r="B962" s="270"/>
      <c r="C962" s="271"/>
      <c r="D962" s="80"/>
      <c r="E962" s="271"/>
      <c r="F962" s="272"/>
      <c r="G962" s="270"/>
      <c r="H962" s="271"/>
      <c r="I962" s="272"/>
      <c r="J962" s="80"/>
      <c r="K962" s="273"/>
      <c r="L962" s="273"/>
      <c r="M962" s="273"/>
      <c r="N962" s="273"/>
      <c r="O962" s="273"/>
      <c r="P962" s="273"/>
      <c r="Q962" s="274"/>
      <c r="R962" s="80"/>
      <c r="S962" s="80"/>
      <c r="T962" s="241"/>
      <c r="U962" s="80"/>
      <c r="V962" s="80"/>
      <c r="W962" s="80"/>
      <c r="X962" s="80"/>
      <c r="Y962" s="80"/>
      <c r="Z962" s="80"/>
      <c r="AA962" s="80"/>
    </row>
    <row r="963" spans="1:27" ht="15.75" customHeight="1">
      <c r="A963" s="80"/>
      <c r="B963" s="270"/>
      <c r="C963" s="271"/>
      <c r="D963" s="80"/>
      <c r="E963" s="271"/>
      <c r="F963" s="272"/>
      <c r="G963" s="270"/>
      <c r="H963" s="271"/>
      <c r="I963" s="272"/>
      <c r="J963" s="80"/>
      <c r="K963" s="273"/>
      <c r="L963" s="273"/>
      <c r="M963" s="273"/>
      <c r="N963" s="273"/>
      <c r="O963" s="273"/>
      <c r="P963" s="273"/>
      <c r="Q963" s="274"/>
      <c r="R963" s="80"/>
      <c r="S963" s="80"/>
      <c r="T963" s="241"/>
      <c r="U963" s="80"/>
      <c r="V963" s="80"/>
      <c r="W963" s="80"/>
      <c r="X963" s="80"/>
      <c r="Y963" s="80"/>
      <c r="Z963" s="80"/>
      <c r="AA963" s="80"/>
    </row>
    <row r="964" spans="1:27" ht="15.75" customHeight="1">
      <c r="A964" s="80"/>
      <c r="B964" s="270"/>
      <c r="C964" s="271"/>
      <c r="D964" s="80"/>
      <c r="E964" s="271"/>
      <c r="F964" s="272"/>
      <c r="G964" s="270"/>
      <c r="H964" s="271"/>
      <c r="I964" s="272"/>
      <c r="J964" s="80"/>
      <c r="K964" s="273"/>
      <c r="L964" s="273"/>
      <c r="M964" s="273"/>
      <c r="N964" s="273"/>
      <c r="O964" s="273"/>
      <c r="P964" s="273"/>
      <c r="Q964" s="274"/>
      <c r="R964" s="80"/>
      <c r="S964" s="80"/>
      <c r="T964" s="241"/>
      <c r="U964" s="80"/>
      <c r="V964" s="80"/>
      <c r="W964" s="80"/>
      <c r="X964" s="80"/>
      <c r="Y964" s="80"/>
      <c r="Z964" s="80"/>
      <c r="AA964" s="80"/>
    </row>
    <row r="965" spans="1:27" ht="15.75" customHeight="1">
      <c r="A965" s="80"/>
      <c r="B965" s="270"/>
      <c r="C965" s="271"/>
      <c r="D965" s="80"/>
      <c r="E965" s="271"/>
      <c r="F965" s="272"/>
      <c r="G965" s="270"/>
      <c r="H965" s="271"/>
      <c r="I965" s="272"/>
      <c r="J965" s="80"/>
      <c r="K965" s="273"/>
      <c r="L965" s="273"/>
      <c r="M965" s="273"/>
      <c r="N965" s="273"/>
      <c r="O965" s="273"/>
      <c r="P965" s="273"/>
      <c r="Q965" s="274"/>
      <c r="R965" s="80"/>
      <c r="S965" s="80"/>
      <c r="T965" s="241"/>
      <c r="U965" s="80"/>
      <c r="V965" s="80"/>
      <c r="W965" s="80"/>
      <c r="X965" s="80"/>
      <c r="Y965" s="80"/>
      <c r="Z965" s="80"/>
      <c r="AA965" s="80"/>
    </row>
    <row r="966" spans="1:27" ht="15.75" customHeight="1">
      <c r="A966" s="80"/>
      <c r="B966" s="270"/>
      <c r="C966" s="271"/>
      <c r="D966" s="80"/>
      <c r="E966" s="271"/>
      <c r="F966" s="272"/>
      <c r="G966" s="270"/>
      <c r="H966" s="271"/>
      <c r="I966" s="272"/>
      <c r="J966" s="80"/>
      <c r="K966" s="273"/>
      <c r="L966" s="273"/>
      <c r="M966" s="273"/>
      <c r="N966" s="273"/>
      <c r="O966" s="273"/>
      <c r="P966" s="273"/>
      <c r="Q966" s="274"/>
      <c r="R966" s="80"/>
      <c r="S966" s="80"/>
      <c r="T966" s="241"/>
      <c r="U966" s="80"/>
      <c r="V966" s="80"/>
      <c r="W966" s="80"/>
      <c r="X966" s="80"/>
      <c r="Y966" s="80"/>
      <c r="Z966" s="80"/>
      <c r="AA966" s="80"/>
    </row>
    <row r="967" spans="1:27" ht="15.75" customHeight="1">
      <c r="A967" s="80"/>
      <c r="B967" s="270"/>
      <c r="C967" s="271"/>
      <c r="D967" s="80"/>
      <c r="E967" s="271"/>
      <c r="F967" s="272"/>
      <c r="G967" s="270"/>
      <c r="H967" s="271"/>
      <c r="I967" s="272"/>
      <c r="J967" s="80"/>
      <c r="K967" s="273"/>
      <c r="L967" s="273"/>
      <c r="M967" s="273"/>
      <c r="N967" s="273"/>
      <c r="O967" s="273"/>
      <c r="P967" s="273"/>
      <c r="Q967" s="274"/>
      <c r="R967" s="80"/>
      <c r="S967" s="80"/>
      <c r="T967" s="241"/>
      <c r="U967" s="80"/>
      <c r="V967" s="80"/>
      <c r="W967" s="80"/>
      <c r="X967" s="80"/>
      <c r="Y967" s="80"/>
      <c r="Z967" s="80"/>
      <c r="AA967" s="80"/>
    </row>
    <row r="968" spans="1:27" ht="15.75" customHeight="1">
      <c r="A968" s="80"/>
      <c r="B968" s="270"/>
      <c r="C968" s="271"/>
      <c r="D968" s="80"/>
      <c r="E968" s="271"/>
      <c r="F968" s="272"/>
      <c r="G968" s="270"/>
      <c r="H968" s="271"/>
      <c r="I968" s="272"/>
      <c r="J968" s="80"/>
      <c r="K968" s="273"/>
      <c r="L968" s="273"/>
      <c r="M968" s="273"/>
      <c r="N968" s="273"/>
      <c r="O968" s="273"/>
      <c r="P968" s="273"/>
      <c r="Q968" s="274"/>
      <c r="R968" s="80"/>
      <c r="S968" s="80"/>
      <c r="T968" s="241"/>
      <c r="U968" s="80"/>
      <c r="V968" s="80"/>
      <c r="W968" s="80"/>
      <c r="X968" s="80"/>
      <c r="Y968" s="80"/>
      <c r="Z968" s="80"/>
      <c r="AA968" s="80"/>
    </row>
    <row r="969" spans="1:27" ht="15.75" customHeight="1">
      <c r="A969" s="80"/>
      <c r="B969" s="270"/>
      <c r="C969" s="271"/>
      <c r="D969" s="80"/>
      <c r="E969" s="271"/>
      <c r="F969" s="272"/>
      <c r="G969" s="270"/>
      <c r="H969" s="271"/>
      <c r="I969" s="272"/>
      <c r="J969" s="80"/>
      <c r="K969" s="273"/>
      <c r="L969" s="273"/>
      <c r="M969" s="273"/>
      <c r="N969" s="273"/>
      <c r="O969" s="273"/>
      <c r="P969" s="273"/>
      <c r="Q969" s="274"/>
      <c r="R969" s="80"/>
      <c r="S969" s="80"/>
      <c r="T969" s="241"/>
      <c r="U969" s="80"/>
      <c r="V969" s="80"/>
      <c r="W969" s="80"/>
      <c r="X969" s="80"/>
      <c r="Y969" s="80"/>
      <c r="Z969" s="80"/>
      <c r="AA969" s="80"/>
    </row>
    <row r="970" spans="1:27" ht="15.75" customHeight="1">
      <c r="A970" s="80"/>
      <c r="B970" s="270"/>
      <c r="C970" s="271"/>
      <c r="D970" s="80"/>
      <c r="E970" s="271"/>
      <c r="F970" s="272"/>
      <c r="G970" s="270"/>
      <c r="H970" s="271"/>
      <c r="I970" s="272"/>
      <c r="J970" s="80"/>
      <c r="K970" s="273"/>
      <c r="L970" s="273"/>
      <c r="M970" s="273"/>
      <c r="N970" s="273"/>
      <c r="O970" s="273"/>
      <c r="P970" s="273"/>
      <c r="Q970" s="274"/>
      <c r="R970" s="80"/>
      <c r="S970" s="80"/>
      <c r="T970" s="241"/>
      <c r="U970" s="80"/>
      <c r="V970" s="80"/>
      <c r="W970" s="80"/>
      <c r="X970" s="80"/>
      <c r="Y970" s="80"/>
      <c r="Z970" s="80"/>
      <c r="AA970" s="80"/>
    </row>
    <row r="971" spans="1:27" ht="15.75" customHeight="1">
      <c r="A971" s="80"/>
      <c r="B971" s="270"/>
      <c r="C971" s="271"/>
      <c r="D971" s="80"/>
      <c r="E971" s="271"/>
      <c r="F971" s="272"/>
      <c r="G971" s="270"/>
      <c r="H971" s="271"/>
      <c r="I971" s="272"/>
      <c r="J971" s="80"/>
      <c r="K971" s="273"/>
      <c r="L971" s="273"/>
      <c r="M971" s="273"/>
      <c r="N971" s="273"/>
      <c r="O971" s="273"/>
      <c r="P971" s="273"/>
      <c r="Q971" s="274"/>
      <c r="R971" s="80"/>
      <c r="S971" s="80"/>
      <c r="T971" s="241"/>
      <c r="U971" s="80"/>
      <c r="V971" s="80"/>
      <c r="W971" s="80"/>
      <c r="X971" s="80"/>
      <c r="Y971" s="80"/>
      <c r="Z971" s="80"/>
      <c r="AA971" s="80"/>
    </row>
    <row r="972" spans="1:27" ht="15.75" customHeight="1">
      <c r="A972" s="80"/>
      <c r="B972" s="270"/>
      <c r="C972" s="271"/>
      <c r="D972" s="80"/>
      <c r="E972" s="271"/>
      <c r="F972" s="272"/>
      <c r="G972" s="270"/>
      <c r="H972" s="271"/>
      <c r="I972" s="272"/>
      <c r="J972" s="80"/>
      <c r="K972" s="273"/>
      <c r="L972" s="273"/>
      <c r="M972" s="273"/>
      <c r="N972" s="273"/>
      <c r="O972" s="273"/>
      <c r="P972" s="273"/>
      <c r="Q972" s="274"/>
      <c r="R972" s="80"/>
      <c r="S972" s="80"/>
      <c r="T972" s="241"/>
      <c r="U972" s="80"/>
      <c r="V972" s="80"/>
      <c r="W972" s="80"/>
      <c r="X972" s="80"/>
      <c r="Y972" s="80"/>
      <c r="Z972" s="80"/>
      <c r="AA972" s="80"/>
    </row>
    <row r="973" spans="1:27" ht="15.75" customHeight="1">
      <c r="A973" s="80"/>
      <c r="B973" s="270"/>
      <c r="C973" s="271"/>
      <c r="D973" s="80"/>
      <c r="E973" s="271"/>
      <c r="F973" s="272"/>
      <c r="G973" s="270"/>
      <c r="H973" s="271"/>
      <c r="I973" s="272"/>
      <c r="J973" s="80"/>
      <c r="K973" s="273"/>
      <c r="L973" s="273"/>
      <c r="M973" s="273"/>
      <c r="N973" s="273"/>
      <c r="O973" s="273"/>
      <c r="P973" s="273"/>
      <c r="Q973" s="274"/>
      <c r="R973" s="80"/>
      <c r="S973" s="80"/>
      <c r="T973" s="241"/>
      <c r="U973" s="80"/>
      <c r="V973" s="80"/>
      <c r="W973" s="80"/>
      <c r="X973" s="80"/>
      <c r="Y973" s="80"/>
      <c r="Z973" s="80"/>
      <c r="AA973" s="80"/>
    </row>
    <row r="974" spans="1:27" ht="15.75" customHeight="1">
      <c r="A974" s="80"/>
      <c r="B974" s="270"/>
      <c r="C974" s="271"/>
      <c r="D974" s="80"/>
      <c r="E974" s="271"/>
      <c r="F974" s="272"/>
      <c r="G974" s="270"/>
      <c r="H974" s="271"/>
      <c r="I974" s="272"/>
      <c r="J974" s="80"/>
      <c r="K974" s="273"/>
      <c r="L974" s="273"/>
      <c r="M974" s="273"/>
      <c r="N974" s="273"/>
      <c r="O974" s="273"/>
      <c r="P974" s="273"/>
      <c r="Q974" s="274"/>
      <c r="R974" s="80"/>
      <c r="S974" s="80"/>
      <c r="T974" s="241"/>
      <c r="U974" s="80"/>
      <c r="V974" s="80"/>
      <c r="W974" s="80"/>
      <c r="X974" s="80"/>
      <c r="Y974" s="80"/>
      <c r="Z974" s="80"/>
      <c r="AA974" s="80"/>
    </row>
    <row r="975" spans="1:27" ht="15.75" customHeight="1">
      <c r="A975" s="80"/>
      <c r="B975" s="270"/>
      <c r="C975" s="271"/>
      <c r="D975" s="80"/>
      <c r="E975" s="271"/>
      <c r="F975" s="272"/>
      <c r="G975" s="270"/>
      <c r="H975" s="271"/>
      <c r="I975" s="272"/>
      <c r="J975" s="80"/>
      <c r="K975" s="273"/>
      <c r="L975" s="273"/>
      <c r="M975" s="273"/>
      <c r="N975" s="273"/>
      <c r="O975" s="273"/>
      <c r="P975" s="273"/>
      <c r="Q975" s="274"/>
      <c r="R975" s="80"/>
      <c r="S975" s="80"/>
      <c r="T975" s="241"/>
      <c r="U975" s="80"/>
      <c r="V975" s="80"/>
      <c r="W975" s="80"/>
      <c r="X975" s="80"/>
      <c r="Y975" s="80"/>
      <c r="Z975" s="80"/>
      <c r="AA975" s="80"/>
    </row>
    <row r="976" spans="1:27" ht="15.75" customHeight="1">
      <c r="A976" s="80"/>
      <c r="B976" s="270"/>
      <c r="C976" s="271"/>
      <c r="D976" s="80"/>
      <c r="E976" s="271"/>
      <c r="F976" s="272"/>
      <c r="G976" s="270"/>
      <c r="H976" s="271"/>
      <c r="I976" s="272"/>
      <c r="J976" s="80"/>
      <c r="K976" s="273"/>
      <c r="L976" s="273"/>
      <c r="M976" s="273"/>
      <c r="N976" s="273"/>
      <c r="O976" s="273"/>
      <c r="P976" s="273"/>
      <c r="Q976" s="274"/>
      <c r="R976" s="80"/>
      <c r="S976" s="80"/>
      <c r="T976" s="241"/>
      <c r="U976" s="80"/>
      <c r="V976" s="80"/>
      <c r="W976" s="80"/>
      <c r="X976" s="80"/>
      <c r="Y976" s="80"/>
      <c r="Z976" s="80"/>
      <c r="AA976" s="80"/>
    </row>
    <row r="977" spans="1:27" ht="15.75" customHeight="1">
      <c r="A977" s="80"/>
      <c r="B977" s="270"/>
      <c r="C977" s="271"/>
      <c r="D977" s="80"/>
      <c r="E977" s="271"/>
      <c r="F977" s="272"/>
      <c r="G977" s="270"/>
      <c r="H977" s="271"/>
      <c r="I977" s="272"/>
      <c r="J977" s="80"/>
      <c r="K977" s="273"/>
      <c r="L977" s="273"/>
      <c r="M977" s="273"/>
      <c r="N977" s="273"/>
      <c r="O977" s="273"/>
      <c r="P977" s="273"/>
      <c r="Q977" s="274"/>
      <c r="R977" s="80"/>
      <c r="S977" s="80"/>
      <c r="T977" s="241"/>
      <c r="U977" s="80"/>
      <c r="V977" s="80"/>
      <c r="W977" s="80"/>
      <c r="X977" s="80"/>
      <c r="Y977" s="80"/>
      <c r="Z977" s="80"/>
      <c r="AA977" s="80"/>
    </row>
    <row r="978" spans="1:27" ht="15.75" customHeight="1">
      <c r="A978" s="80"/>
      <c r="B978" s="270"/>
      <c r="C978" s="271"/>
      <c r="D978" s="80"/>
      <c r="E978" s="271"/>
      <c r="F978" s="272"/>
      <c r="G978" s="270"/>
      <c r="H978" s="271"/>
      <c r="I978" s="272"/>
      <c r="J978" s="80"/>
      <c r="K978" s="273"/>
      <c r="L978" s="273"/>
      <c r="M978" s="273"/>
      <c r="N978" s="273"/>
      <c r="O978" s="273"/>
      <c r="P978" s="273"/>
      <c r="Q978" s="274"/>
      <c r="R978" s="80"/>
      <c r="S978" s="80"/>
      <c r="T978" s="241"/>
      <c r="U978" s="80"/>
      <c r="V978" s="80"/>
      <c r="W978" s="80"/>
      <c r="X978" s="80"/>
      <c r="Y978" s="80"/>
      <c r="Z978" s="80"/>
      <c r="AA978" s="80"/>
    </row>
    <row r="979" spans="1:27" ht="15.75" customHeight="1">
      <c r="A979" s="80"/>
      <c r="B979" s="270"/>
      <c r="C979" s="271"/>
      <c r="D979" s="80"/>
      <c r="E979" s="271"/>
      <c r="F979" s="272"/>
      <c r="G979" s="270"/>
      <c r="H979" s="271"/>
      <c r="I979" s="272"/>
      <c r="J979" s="80"/>
      <c r="K979" s="273"/>
      <c r="L979" s="273"/>
      <c r="M979" s="273"/>
      <c r="N979" s="273"/>
      <c r="O979" s="273"/>
      <c r="P979" s="273"/>
      <c r="Q979" s="274"/>
      <c r="R979" s="80"/>
      <c r="S979" s="80"/>
      <c r="T979" s="241"/>
      <c r="U979" s="80"/>
      <c r="V979" s="80"/>
      <c r="W979" s="80"/>
      <c r="X979" s="80"/>
      <c r="Y979" s="80"/>
      <c r="Z979" s="80"/>
      <c r="AA979" s="80"/>
    </row>
    <row r="980" spans="1:27" ht="15.75" customHeight="1">
      <c r="A980" s="80"/>
      <c r="B980" s="270"/>
      <c r="C980" s="271"/>
      <c r="D980" s="80"/>
      <c r="E980" s="271"/>
      <c r="F980" s="272"/>
      <c r="G980" s="270"/>
      <c r="H980" s="271"/>
      <c r="I980" s="272"/>
      <c r="J980" s="80"/>
      <c r="K980" s="273"/>
      <c r="L980" s="273"/>
      <c r="M980" s="273"/>
      <c r="N980" s="273"/>
      <c r="O980" s="273"/>
      <c r="P980" s="273"/>
      <c r="Q980" s="274"/>
      <c r="R980" s="80"/>
      <c r="S980" s="80"/>
      <c r="T980" s="241"/>
      <c r="U980" s="80"/>
      <c r="V980" s="80"/>
      <c r="W980" s="80"/>
      <c r="X980" s="80"/>
      <c r="Y980" s="80"/>
      <c r="Z980" s="80"/>
      <c r="AA980" s="80"/>
    </row>
    <row r="981" spans="1:27" ht="15.75" customHeight="1">
      <c r="A981" s="80"/>
      <c r="B981" s="270"/>
      <c r="C981" s="271"/>
      <c r="D981" s="80"/>
      <c r="E981" s="271"/>
      <c r="F981" s="272"/>
      <c r="G981" s="270"/>
      <c r="H981" s="271"/>
      <c r="I981" s="272"/>
      <c r="J981" s="80"/>
      <c r="K981" s="273"/>
      <c r="L981" s="273"/>
      <c r="M981" s="273"/>
      <c r="N981" s="273"/>
      <c r="O981" s="273"/>
      <c r="P981" s="273"/>
      <c r="Q981" s="274"/>
      <c r="R981" s="80"/>
      <c r="S981" s="80"/>
      <c r="T981" s="241"/>
      <c r="U981" s="80"/>
      <c r="V981" s="80"/>
      <c r="W981" s="80"/>
      <c r="X981" s="80"/>
      <c r="Y981" s="80"/>
      <c r="Z981" s="80"/>
      <c r="AA981" s="80"/>
    </row>
    <row r="982" spans="1:27" ht="15.75" customHeight="1">
      <c r="A982" s="80"/>
      <c r="B982" s="270"/>
      <c r="C982" s="271"/>
      <c r="D982" s="80"/>
      <c r="E982" s="271"/>
      <c r="F982" s="272"/>
      <c r="G982" s="270"/>
      <c r="H982" s="271"/>
      <c r="I982" s="272"/>
      <c r="J982" s="80"/>
      <c r="K982" s="273"/>
      <c r="L982" s="273"/>
      <c r="M982" s="273"/>
      <c r="N982" s="273"/>
      <c r="O982" s="273"/>
      <c r="P982" s="273"/>
      <c r="Q982" s="274"/>
      <c r="R982" s="80"/>
      <c r="S982" s="80"/>
      <c r="T982" s="241"/>
      <c r="U982" s="80"/>
      <c r="V982" s="80"/>
      <c r="W982" s="80"/>
      <c r="X982" s="80"/>
      <c r="Y982" s="80"/>
      <c r="Z982" s="80"/>
      <c r="AA982" s="80"/>
    </row>
    <row r="983" spans="1:27" ht="15.75" customHeight="1">
      <c r="A983" s="80"/>
      <c r="B983" s="270"/>
      <c r="C983" s="271"/>
      <c r="D983" s="80"/>
      <c r="E983" s="271"/>
      <c r="F983" s="272"/>
      <c r="G983" s="270"/>
      <c r="H983" s="271"/>
      <c r="I983" s="272"/>
      <c r="J983" s="80"/>
      <c r="K983" s="273"/>
      <c r="L983" s="273"/>
      <c r="M983" s="273"/>
      <c r="N983" s="273"/>
      <c r="O983" s="273"/>
      <c r="P983" s="273"/>
      <c r="Q983" s="274"/>
      <c r="R983" s="80"/>
      <c r="S983" s="80"/>
      <c r="T983" s="241"/>
      <c r="U983" s="80"/>
      <c r="V983" s="80"/>
      <c r="W983" s="80"/>
      <c r="X983" s="80"/>
      <c r="Y983" s="80"/>
      <c r="Z983" s="80"/>
      <c r="AA983" s="80"/>
    </row>
    <row r="984" spans="1:27" ht="15.75" customHeight="1">
      <c r="A984" s="80"/>
      <c r="B984" s="270"/>
      <c r="C984" s="271"/>
      <c r="D984" s="80"/>
      <c r="E984" s="271"/>
      <c r="F984" s="272"/>
      <c r="G984" s="270"/>
      <c r="H984" s="271"/>
      <c r="I984" s="272"/>
      <c r="J984" s="80"/>
      <c r="K984" s="273"/>
      <c r="L984" s="273"/>
      <c r="M984" s="273"/>
      <c r="N984" s="273"/>
      <c r="O984" s="273"/>
      <c r="P984" s="273"/>
      <c r="Q984" s="274"/>
      <c r="R984" s="80"/>
      <c r="S984" s="80"/>
      <c r="T984" s="241"/>
      <c r="U984" s="80"/>
      <c r="V984" s="80"/>
      <c r="W984" s="80"/>
      <c r="X984" s="80"/>
      <c r="Y984" s="80"/>
      <c r="Z984" s="80"/>
      <c r="AA984" s="80"/>
    </row>
    <row r="985" spans="1:27" ht="15.75" customHeight="1">
      <c r="A985" s="80"/>
      <c r="B985" s="270"/>
      <c r="C985" s="271"/>
      <c r="D985" s="80"/>
      <c r="E985" s="271"/>
      <c r="F985" s="272"/>
      <c r="G985" s="270"/>
      <c r="H985" s="271"/>
      <c r="I985" s="272"/>
      <c r="J985" s="80"/>
      <c r="K985" s="273"/>
      <c r="L985" s="273"/>
      <c r="M985" s="273"/>
      <c r="N985" s="273"/>
      <c r="O985" s="273"/>
      <c r="P985" s="273"/>
      <c r="Q985" s="274"/>
      <c r="R985" s="80"/>
      <c r="S985" s="80"/>
      <c r="T985" s="241"/>
      <c r="U985" s="80"/>
      <c r="V985" s="80"/>
      <c r="W985" s="80"/>
      <c r="X985" s="80"/>
      <c r="Y985" s="80"/>
      <c r="Z985" s="80"/>
      <c r="AA985" s="80"/>
    </row>
    <row r="986" spans="1:27" ht="15.75" customHeight="1">
      <c r="A986" s="80"/>
      <c r="B986" s="270"/>
      <c r="C986" s="271"/>
      <c r="D986" s="80"/>
      <c r="E986" s="271"/>
      <c r="F986" s="272"/>
      <c r="G986" s="270"/>
      <c r="H986" s="271"/>
      <c r="I986" s="272"/>
      <c r="J986" s="80"/>
      <c r="K986" s="273"/>
      <c r="L986" s="273"/>
      <c r="M986" s="273"/>
      <c r="N986" s="273"/>
      <c r="O986" s="273"/>
      <c r="P986" s="273"/>
      <c r="Q986" s="274"/>
      <c r="R986" s="80"/>
      <c r="S986" s="80"/>
      <c r="T986" s="241"/>
      <c r="U986" s="80"/>
      <c r="V986" s="80"/>
      <c r="W986" s="80"/>
      <c r="X986" s="80"/>
      <c r="Y986" s="80"/>
      <c r="Z986" s="80"/>
      <c r="AA986" s="80"/>
    </row>
  </sheetData>
  <mergeCells count="2">
    <mergeCell ref="T18:T19"/>
    <mergeCell ref="T28:T30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T980"/>
  <sheetViews>
    <sheetView workbookViewId="0"/>
  </sheetViews>
  <sheetFormatPr defaultColWidth="11.25" defaultRowHeight="15" customHeight="1"/>
  <cols>
    <col min="1" max="5" width="11.125" customWidth="1"/>
    <col min="6" max="6" width="8.75" customWidth="1"/>
    <col min="7" max="8" width="7.125" customWidth="1"/>
    <col min="9" max="9" width="11.5" customWidth="1"/>
    <col min="10" max="20" width="11.125" customWidth="1"/>
  </cols>
  <sheetData>
    <row r="1" spans="1:9" ht="20.25" customHeight="1">
      <c r="A1" s="275" t="s">
        <v>0</v>
      </c>
      <c r="B1" s="275" t="s">
        <v>455</v>
      </c>
      <c r="C1" s="276" t="s">
        <v>456</v>
      </c>
      <c r="D1" s="275" t="s">
        <v>457</v>
      </c>
      <c r="E1" s="276" t="s">
        <v>458</v>
      </c>
      <c r="F1" s="277" t="s">
        <v>459</v>
      </c>
      <c r="G1" s="278" t="s">
        <v>7</v>
      </c>
      <c r="H1" s="278" t="s">
        <v>8</v>
      </c>
      <c r="I1" s="279" t="s">
        <v>9</v>
      </c>
    </row>
    <row r="2" spans="1:9" ht="15.75">
      <c r="A2" s="249" t="s">
        <v>460</v>
      </c>
      <c r="B2" s="236">
        <v>45461</v>
      </c>
      <c r="C2" s="58">
        <v>0.32291666666666669</v>
      </c>
      <c r="D2" s="236">
        <v>45461</v>
      </c>
      <c r="E2" s="258">
        <v>0.61805555555555558</v>
      </c>
      <c r="F2" s="253">
        <v>0</v>
      </c>
      <c r="G2" s="280" t="s">
        <v>12</v>
      </c>
      <c r="H2" s="280" t="s">
        <v>13</v>
      </c>
      <c r="I2" s="281"/>
    </row>
    <row r="3" spans="1:9" ht="15.75">
      <c r="A3" s="249" t="s">
        <v>461</v>
      </c>
      <c r="B3" s="236">
        <v>45461</v>
      </c>
      <c r="C3" s="58">
        <v>0.34027777777777779</v>
      </c>
      <c r="D3" s="236">
        <v>45461</v>
      </c>
      <c r="E3" s="258">
        <v>0.65763888888888888</v>
      </c>
      <c r="F3" s="253">
        <v>0.03</v>
      </c>
      <c r="G3" s="280" t="s">
        <v>12</v>
      </c>
      <c r="H3" s="280" t="s">
        <v>13</v>
      </c>
      <c r="I3" s="281"/>
    </row>
    <row r="4" spans="1:9" ht="15.75">
      <c r="A4" s="249" t="s">
        <v>462</v>
      </c>
      <c r="B4" s="236">
        <v>45461</v>
      </c>
      <c r="C4" s="58">
        <v>0.36805555555555558</v>
      </c>
      <c r="D4" s="236">
        <v>45461</v>
      </c>
      <c r="E4" s="258">
        <v>0.65833333333333333</v>
      </c>
      <c r="F4" s="253">
        <v>0</v>
      </c>
      <c r="G4" s="280" t="s">
        <v>12</v>
      </c>
      <c r="H4" s="280" t="s">
        <v>13</v>
      </c>
      <c r="I4" s="281"/>
    </row>
    <row r="5" spans="1:9" ht="15.75">
      <c r="A5" s="249" t="s">
        <v>463</v>
      </c>
      <c r="B5" s="236">
        <v>45461</v>
      </c>
      <c r="C5" s="58">
        <v>0.40902777777777777</v>
      </c>
      <c r="D5" s="236">
        <v>45461</v>
      </c>
      <c r="E5" s="258">
        <v>0.62569444444444444</v>
      </c>
      <c r="F5" s="253">
        <v>0.1</v>
      </c>
      <c r="G5" s="280" t="s">
        <v>12</v>
      </c>
      <c r="H5" s="280" t="s">
        <v>13</v>
      </c>
      <c r="I5" s="281"/>
    </row>
    <row r="6" spans="1:9" ht="15.75">
      <c r="A6" s="249" t="s">
        <v>464</v>
      </c>
      <c r="B6" s="236">
        <v>45461</v>
      </c>
      <c r="C6" s="58">
        <v>0.42708333333333331</v>
      </c>
      <c r="D6" s="236">
        <v>45461</v>
      </c>
      <c r="E6" s="258">
        <v>0.62777777777777777</v>
      </c>
      <c r="F6" s="253">
        <v>0.28000000000000003</v>
      </c>
      <c r="G6" s="280" t="s">
        <v>12</v>
      </c>
      <c r="H6" s="280" t="s">
        <v>13</v>
      </c>
      <c r="I6" s="281"/>
    </row>
    <row r="7" spans="1:9" ht="15.75">
      <c r="A7" s="249" t="s">
        <v>465</v>
      </c>
      <c r="B7" s="236">
        <v>45461</v>
      </c>
      <c r="C7" s="58">
        <v>0.44305555555555554</v>
      </c>
      <c r="D7" s="236">
        <v>45461</v>
      </c>
      <c r="E7" s="258">
        <v>0.62847222222222221</v>
      </c>
      <c r="F7" s="253">
        <v>0.18</v>
      </c>
      <c r="G7" s="280" t="s">
        <v>12</v>
      </c>
      <c r="H7" s="280" t="s">
        <v>13</v>
      </c>
      <c r="I7" s="281"/>
    </row>
    <row r="8" spans="1:9" ht="15.75">
      <c r="A8" s="249" t="s">
        <v>466</v>
      </c>
      <c r="B8" s="236">
        <v>45461</v>
      </c>
      <c r="C8" s="58">
        <v>0.47222222222222221</v>
      </c>
      <c r="D8" s="236">
        <v>45461</v>
      </c>
      <c r="E8" s="258">
        <v>0.62291666666666667</v>
      </c>
      <c r="F8" s="253">
        <v>0</v>
      </c>
      <c r="G8" s="280" t="s">
        <v>12</v>
      </c>
      <c r="H8" s="280" t="s">
        <v>13</v>
      </c>
      <c r="I8" s="281"/>
    </row>
    <row r="9" spans="1:9" ht="15.75">
      <c r="A9" s="249" t="s">
        <v>467</v>
      </c>
      <c r="B9" s="236">
        <v>45461</v>
      </c>
      <c r="C9" s="58">
        <v>0.48819444444444443</v>
      </c>
      <c r="D9" s="236">
        <v>45461</v>
      </c>
      <c r="E9" s="258">
        <v>0.65555555555555556</v>
      </c>
      <c r="F9" s="253">
        <v>0.05</v>
      </c>
      <c r="G9" s="280" t="s">
        <v>12</v>
      </c>
      <c r="H9" s="280" t="s">
        <v>13</v>
      </c>
      <c r="I9" s="281"/>
    </row>
    <row r="10" spans="1:9" ht="15.75">
      <c r="A10" s="249" t="s">
        <v>468</v>
      </c>
      <c r="B10" s="57">
        <v>45464</v>
      </c>
      <c r="C10" s="58">
        <v>0.30555555555555558</v>
      </c>
      <c r="D10" s="57">
        <v>45464</v>
      </c>
      <c r="E10" s="258">
        <v>0.66527777777777775</v>
      </c>
      <c r="F10" s="282">
        <v>0.01</v>
      </c>
      <c r="G10" s="280" t="s">
        <v>12</v>
      </c>
      <c r="H10" s="280" t="s">
        <v>13</v>
      </c>
      <c r="I10" s="281"/>
    </row>
    <row r="11" spans="1:9" ht="15.75">
      <c r="A11" s="249" t="s">
        <v>469</v>
      </c>
      <c r="B11" s="57">
        <v>45464</v>
      </c>
      <c r="C11" s="58">
        <v>0.34652777777777777</v>
      </c>
      <c r="D11" s="57">
        <v>45464</v>
      </c>
      <c r="E11" s="258">
        <v>0.66597222222222219</v>
      </c>
      <c r="F11" s="253">
        <v>0.11</v>
      </c>
      <c r="G11" s="280" t="s">
        <v>12</v>
      </c>
      <c r="H11" s="280" t="s">
        <v>13</v>
      </c>
      <c r="I11" s="281"/>
    </row>
    <row r="12" spans="1:9" ht="15.75">
      <c r="A12" s="249" t="s">
        <v>470</v>
      </c>
      <c r="B12" s="57">
        <v>45464</v>
      </c>
      <c r="C12" s="58">
        <v>0.36388888888888887</v>
      </c>
      <c r="D12" s="57">
        <v>45464</v>
      </c>
      <c r="E12" s="58">
        <v>0.66805555555555551</v>
      </c>
      <c r="F12" s="253">
        <v>0.11</v>
      </c>
      <c r="G12" s="280" t="s">
        <v>12</v>
      </c>
      <c r="H12" s="280" t="s">
        <v>13</v>
      </c>
      <c r="I12" s="281"/>
    </row>
    <row r="13" spans="1:9" ht="15.75">
      <c r="A13" s="249" t="s">
        <v>471</v>
      </c>
      <c r="B13" s="57">
        <v>45464</v>
      </c>
      <c r="C13" s="59">
        <v>0.41944444444444445</v>
      </c>
      <c r="D13" s="57">
        <v>45464</v>
      </c>
      <c r="E13" s="65">
        <v>0.67013888888888884</v>
      </c>
      <c r="F13" s="253">
        <v>0.23</v>
      </c>
      <c r="G13" s="280" t="s">
        <v>12</v>
      </c>
      <c r="H13" s="280" t="s">
        <v>13</v>
      </c>
      <c r="I13" s="281"/>
    </row>
    <row r="14" spans="1:9" ht="15.75">
      <c r="A14" s="249" t="s">
        <v>472</v>
      </c>
      <c r="B14" s="57">
        <v>45464</v>
      </c>
      <c r="C14" s="58">
        <v>0.43611111111111112</v>
      </c>
      <c r="D14" s="57">
        <v>45464</v>
      </c>
      <c r="E14" s="58">
        <v>0.67083333333333328</v>
      </c>
      <c r="F14" s="253">
        <v>0.24</v>
      </c>
      <c r="G14" s="280" t="s">
        <v>12</v>
      </c>
      <c r="H14" s="280" t="s">
        <v>13</v>
      </c>
      <c r="I14" s="281"/>
    </row>
    <row r="15" spans="1:9" ht="15.75">
      <c r="A15" s="249" t="s">
        <v>473</v>
      </c>
      <c r="B15" s="57">
        <v>45468</v>
      </c>
      <c r="C15" s="254">
        <v>0.28333333333333333</v>
      </c>
      <c r="D15" s="57">
        <v>45468</v>
      </c>
      <c r="E15" s="58">
        <v>0.6118055555555556</v>
      </c>
      <c r="F15" s="283">
        <v>0.03</v>
      </c>
      <c r="G15" s="280" t="s">
        <v>12</v>
      </c>
      <c r="H15" s="280" t="s">
        <v>474</v>
      </c>
      <c r="I15" s="281"/>
    </row>
    <row r="16" spans="1:9" ht="15.75">
      <c r="A16" s="249" t="s">
        <v>475</v>
      </c>
      <c r="B16" s="57">
        <v>45468</v>
      </c>
      <c r="C16" s="58">
        <v>0.30833333333333335</v>
      </c>
      <c r="D16" s="57">
        <v>45468</v>
      </c>
      <c r="E16" s="58">
        <v>0.61388888888888893</v>
      </c>
      <c r="F16" s="283">
        <v>0.09</v>
      </c>
      <c r="G16" s="280" t="s">
        <v>12</v>
      </c>
      <c r="H16" s="280" t="s">
        <v>474</v>
      </c>
      <c r="I16" s="281"/>
    </row>
    <row r="17" spans="1:20" ht="15.75">
      <c r="A17" s="249" t="s">
        <v>476</v>
      </c>
      <c r="B17" s="57">
        <v>45468</v>
      </c>
      <c r="C17" s="58">
        <v>0.32291666666666669</v>
      </c>
      <c r="D17" s="57">
        <v>45468</v>
      </c>
      <c r="E17" s="58">
        <v>0.61597222222222225</v>
      </c>
      <c r="F17" s="283">
        <v>0.03</v>
      </c>
      <c r="G17" s="280" t="s">
        <v>12</v>
      </c>
      <c r="H17" s="280" t="s">
        <v>474</v>
      </c>
      <c r="I17" s="281"/>
    </row>
    <row r="18" spans="1:20" ht="15.75">
      <c r="A18" s="249" t="s">
        <v>477</v>
      </c>
      <c r="B18" s="57">
        <v>45468</v>
      </c>
      <c r="C18" s="58">
        <v>0.34375</v>
      </c>
      <c r="D18" s="57">
        <v>45468</v>
      </c>
      <c r="E18" s="58">
        <v>0.61736111111111114</v>
      </c>
      <c r="F18" s="283">
        <v>0.24</v>
      </c>
      <c r="G18" s="280" t="s">
        <v>12</v>
      </c>
      <c r="H18" s="280" t="s">
        <v>474</v>
      </c>
      <c r="I18" s="281"/>
    </row>
    <row r="19" spans="1:20" ht="15.75">
      <c r="A19" s="249" t="s">
        <v>478</v>
      </c>
      <c r="B19" s="57">
        <v>45468</v>
      </c>
      <c r="C19" s="65">
        <v>0.36736111111111114</v>
      </c>
      <c r="D19" s="57">
        <v>45468</v>
      </c>
      <c r="E19" s="58">
        <v>0.61944444444444446</v>
      </c>
      <c r="F19" s="283">
        <v>0.2</v>
      </c>
      <c r="G19" s="280" t="s">
        <v>12</v>
      </c>
      <c r="H19" s="280" t="s">
        <v>474</v>
      </c>
      <c r="I19" s="281"/>
    </row>
    <row r="20" spans="1:20" ht="15.75">
      <c r="A20" s="249" t="s">
        <v>479</v>
      </c>
      <c r="B20" s="57">
        <v>45468</v>
      </c>
      <c r="C20" s="65">
        <v>0.38611111111111113</v>
      </c>
      <c r="D20" s="57">
        <v>45468</v>
      </c>
      <c r="E20" s="58">
        <v>0.62291666666666667</v>
      </c>
      <c r="F20" s="283">
        <v>0.25</v>
      </c>
      <c r="G20" s="280" t="s">
        <v>12</v>
      </c>
      <c r="H20" s="280" t="s">
        <v>474</v>
      </c>
      <c r="I20" s="281"/>
    </row>
    <row r="21" spans="1:20" ht="15.75">
      <c r="A21" s="249" t="s">
        <v>480</v>
      </c>
      <c r="B21" s="57">
        <v>45468</v>
      </c>
      <c r="C21" s="65">
        <v>0.40138888888888891</v>
      </c>
      <c r="D21" s="57">
        <v>45468</v>
      </c>
      <c r="E21" s="58">
        <v>0.625</v>
      </c>
      <c r="F21" s="283">
        <v>0.26</v>
      </c>
      <c r="G21" s="280" t="s">
        <v>12</v>
      </c>
      <c r="H21" s="280" t="s">
        <v>474</v>
      </c>
      <c r="I21" s="281"/>
    </row>
    <row r="22" spans="1:20" ht="15.75">
      <c r="A22" s="249" t="s">
        <v>481</v>
      </c>
      <c r="B22" s="57">
        <v>45468</v>
      </c>
      <c r="C22" s="58">
        <v>0.4236111111111111</v>
      </c>
      <c r="D22" s="57">
        <v>45468</v>
      </c>
      <c r="E22" s="58">
        <v>0.62777777777777777</v>
      </c>
      <c r="F22" s="283">
        <v>0.25</v>
      </c>
      <c r="G22" s="280" t="s">
        <v>12</v>
      </c>
      <c r="H22" s="280" t="s">
        <v>474</v>
      </c>
      <c r="I22" s="281"/>
    </row>
    <row r="23" spans="1:20" ht="15.75">
      <c r="A23" s="55" t="s">
        <v>482</v>
      </c>
      <c r="B23" s="8">
        <v>45471</v>
      </c>
      <c r="C23" s="9">
        <v>0.26805555555555555</v>
      </c>
      <c r="D23" s="8">
        <v>45471</v>
      </c>
      <c r="E23" s="58">
        <v>0.49722222222222223</v>
      </c>
      <c r="F23" s="283">
        <v>0.25</v>
      </c>
      <c r="G23" s="280" t="s">
        <v>12</v>
      </c>
      <c r="H23" s="280" t="s">
        <v>474</v>
      </c>
      <c r="I23" s="281"/>
    </row>
    <row r="24" spans="1:20" ht="15.75">
      <c r="A24" s="55" t="s">
        <v>483</v>
      </c>
      <c r="B24" s="8">
        <v>45471</v>
      </c>
      <c r="C24" s="64">
        <v>0.29375000000000001</v>
      </c>
      <c r="D24" s="8">
        <v>45471</v>
      </c>
      <c r="E24" s="58">
        <v>0.49861111111111112</v>
      </c>
      <c r="F24" s="283">
        <v>0.08</v>
      </c>
      <c r="G24" s="280" t="s">
        <v>12</v>
      </c>
      <c r="H24" s="280" t="s">
        <v>474</v>
      </c>
      <c r="I24" s="281"/>
    </row>
    <row r="25" spans="1:20" ht="15.75">
      <c r="A25" s="55" t="s">
        <v>484</v>
      </c>
      <c r="B25" s="8">
        <v>45471</v>
      </c>
      <c r="C25" s="58">
        <v>0.33750000000000002</v>
      </c>
      <c r="D25" s="8">
        <v>45471</v>
      </c>
      <c r="E25" s="58">
        <v>0.50208333333333333</v>
      </c>
      <c r="F25" s="283">
        <v>0.04</v>
      </c>
      <c r="G25" s="280" t="s">
        <v>12</v>
      </c>
      <c r="H25" s="280" t="s">
        <v>474</v>
      </c>
      <c r="I25" s="281"/>
    </row>
    <row r="26" spans="1:20" ht="15.75">
      <c r="A26" s="55" t="s">
        <v>485</v>
      </c>
      <c r="B26" s="8">
        <v>45471</v>
      </c>
      <c r="C26" s="65">
        <v>0.36180555555555555</v>
      </c>
      <c r="D26" s="8">
        <v>45471</v>
      </c>
      <c r="E26" s="58">
        <v>0.50555555555555554</v>
      </c>
      <c r="F26" s="283">
        <v>0.02</v>
      </c>
      <c r="G26" s="280" t="s">
        <v>12</v>
      </c>
      <c r="H26" s="280" t="s">
        <v>474</v>
      </c>
      <c r="I26" s="281"/>
    </row>
    <row r="27" spans="1:20" ht="15.75">
      <c r="A27" s="55" t="s">
        <v>486</v>
      </c>
      <c r="B27" s="8">
        <v>45471</v>
      </c>
      <c r="C27" s="65">
        <v>0.38819444444444445</v>
      </c>
      <c r="D27" s="8">
        <v>45471</v>
      </c>
      <c r="E27" s="58">
        <v>0.50069444444444444</v>
      </c>
      <c r="F27" s="282">
        <v>0.4</v>
      </c>
      <c r="G27" s="280" t="s">
        <v>12</v>
      </c>
      <c r="H27" s="280" t="s">
        <v>474</v>
      </c>
      <c r="I27" s="281"/>
    </row>
    <row r="28" spans="1:20" ht="15.75">
      <c r="A28" s="55" t="s">
        <v>487</v>
      </c>
      <c r="B28" s="19">
        <v>45483</v>
      </c>
      <c r="C28" s="20">
        <v>0.3125</v>
      </c>
      <c r="D28" s="19">
        <v>45485</v>
      </c>
      <c r="E28" s="58">
        <v>0.55694444444444446</v>
      </c>
      <c r="F28" s="282">
        <v>0.08</v>
      </c>
      <c r="G28" s="280" t="s">
        <v>12</v>
      </c>
      <c r="H28" s="280" t="s">
        <v>13</v>
      </c>
      <c r="I28" s="281"/>
    </row>
    <row r="29" spans="1:20" ht="15.75">
      <c r="A29" s="55" t="s">
        <v>488</v>
      </c>
      <c r="B29" s="19">
        <v>45483</v>
      </c>
      <c r="C29" s="20">
        <v>0.35138888888888886</v>
      </c>
      <c r="D29" s="19">
        <v>45485</v>
      </c>
      <c r="E29" s="284">
        <v>0.55833333333333335</v>
      </c>
      <c r="F29" s="282">
        <v>0.05</v>
      </c>
      <c r="G29" s="280" t="s">
        <v>12</v>
      </c>
      <c r="H29" s="280" t="s">
        <v>13</v>
      </c>
      <c r="I29" s="281"/>
    </row>
    <row r="30" spans="1:20" ht="15.75">
      <c r="A30" s="55" t="s">
        <v>489</v>
      </c>
      <c r="B30" s="19">
        <v>45483</v>
      </c>
      <c r="C30" s="20">
        <v>0.47847222222222224</v>
      </c>
      <c r="D30" s="19">
        <v>45485</v>
      </c>
      <c r="E30" s="284">
        <v>0.56111111111111112</v>
      </c>
      <c r="F30" s="282">
        <v>0.18</v>
      </c>
      <c r="G30" s="280" t="s">
        <v>12</v>
      </c>
      <c r="H30" s="280" t="s">
        <v>13</v>
      </c>
      <c r="I30" s="281"/>
    </row>
    <row r="31" spans="1:20" ht="15.75">
      <c r="A31" s="55" t="s">
        <v>490</v>
      </c>
      <c r="B31" s="19">
        <v>45483</v>
      </c>
      <c r="C31" s="20">
        <v>0.5708333333333333</v>
      </c>
      <c r="D31" s="19">
        <v>45485</v>
      </c>
      <c r="E31" s="285">
        <v>0.56319444444444444</v>
      </c>
      <c r="F31" s="282">
        <v>0.05</v>
      </c>
      <c r="G31" s="280" t="s">
        <v>12</v>
      </c>
      <c r="H31" s="280" t="s">
        <v>13</v>
      </c>
      <c r="I31" s="281"/>
    </row>
    <row r="32" spans="1:20" ht="15.75">
      <c r="A32" s="55" t="s">
        <v>491</v>
      </c>
      <c r="B32" s="19">
        <v>45484</v>
      </c>
      <c r="C32" s="9">
        <v>0.2951388888888889</v>
      </c>
      <c r="D32" s="19">
        <v>45485</v>
      </c>
      <c r="E32" s="58">
        <v>0.56458333333333333</v>
      </c>
      <c r="F32" s="286">
        <v>0.05</v>
      </c>
      <c r="G32" s="280" t="s">
        <v>12</v>
      </c>
      <c r="H32" s="280" t="s">
        <v>13</v>
      </c>
      <c r="I32" s="287"/>
      <c r="J32" s="288"/>
      <c r="K32" s="288"/>
      <c r="L32" s="288"/>
      <c r="M32" s="288"/>
      <c r="N32" s="288"/>
      <c r="O32" s="288"/>
      <c r="P32" s="288"/>
      <c r="Q32" s="288"/>
      <c r="R32" s="288"/>
      <c r="S32" s="288"/>
      <c r="T32" s="288"/>
    </row>
    <row r="33" spans="1:9" ht="15.75">
      <c r="A33" s="55" t="s">
        <v>492</v>
      </c>
      <c r="B33" s="19">
        <v>45484</v>
      </c>
      <c r="C33" s="9">
        <v>0.32708333333333334</v>
      </c>
      <c r="D33" s="19">
        <v>45485</v>
      </c>
      <c r="E33" s="58">
        <v>0.56666666666666665</v>
      </c>
      <c r="F33" s="286">
        <v>0.02</v>
      </c>
      <c r="G33" s="280" t="s">
        <v>12</v>
      </c>
      <c r="H33" s="280" t="s">
        <v>13</v>
      </c>
      <c r="I33" s="287"/>
    </row>
    <row r="34" spans="1:9" ht="15.75">
      <c r="A34" s="55" t="s">
        <v>493</v>
      </c>
      <c r="B34" s="19">
        <v>45484</v>
      </c>
      <c r="C34" s="9">
        <v>0.34791666666666665</v>
      </c>
      <c r="D34" s="19">
        <v>45485</v>
      </c>
      <c r="E34" s="74">
        <v>0.56805555555555554</v>
      </c>
      <c r="F34" s="286">
        <v>0</v>
      </c>
      <c r="G34" s="280" t="s">
        <v>12</v>
      </c>
      <c r="H34" s="280" t="s">
        <v>13</v>
      </c>
      <c r="I34" s="248"/>
    </row>
    <row r="35" spans="1:9" ht="15.75">
      <c r="A35" s="55" t="s">
        <v>494</v>
      </c>
      <c r="B35" s="19">
        <v>45484</v>
      </c>
      <c r="C35" s="9">
        <v>0.3923611111111111</v>
      </c>
      <c r="D35" s="19">
        <v>45485</v>
      </c>
      <c r="E35" s="74">
        <v>0.57013888888888886</v>
      </c>
      <c r="F35" s="286">
        <v>0</v>
      </c>
      <c r="G35" s="280" t="s">
        <v>12</v>
      </c>
      <c r="H35" s="280" t="s">
        <v>13</v>
      </c>
      <c r="I35" s="248"/>
    </row>
    <row r="36" spans="1:9" ht="15.75">
      <c r="A36" s="56" t="s">
        <v>495</v>
      </c>
      <c r="B36" s="19">
        <v>45484</v>
      </c>
      <c r="C36" s="9">
        <v>0.41388888888888886</v>
      </c>
      <c r="D36" s="19">
        <v>45485</v>
      </c>
      <c r="E36" s="68">
        <v>0.57152777777777775</v>
      </c>
      <c r="F36" s="286">
        <v>0.03</v>
      </c>
      <c r="G36" s="280" t="s">
        <v>12</v>
      </c>
      <c r="H36" s="280" t="s">
        <v>13</v>
      </c>
      <c r="I36" s="248"/>
    </row>
    <row r="37" spans="1:9" ht="15.75">
      <c r="A37" s="55" t="s">
        <v>496</v>
      </c>
      <c r="B37" s="19">
        <v>45484</v>
      </c>
      <c r="C37" s="9">
        <v>0.44930555555555557</v>
      </c>
      <c r="D37" s="8">
        <v>45489</v>
      </c>
      <c r="E37" s="68">
        <v>0.57291666666666663</v>
      </c>
      <c r="F37" s="286">
        <v>0.08</v>
      </c>
      <c r="G37" s="280" t="s">
        <v>12</v>
      </c>
      <c r="H37" s="280" t="s">
        <v>13</v>
      </c>
      <c r="I37" s="248"/>
    </row>
    <row r="38" spans="1:9" ht="15.75">
      <c r="A38" s="56" t="s">
        <v>497</v>
      </c>
      <c r="B38" s="8">
        <v>45489</v>
      </c>
      <c r="C38" s="9">
        <v>0.34027777777777779</v>
      </c>
      <c r="D38" s="8">
        <v>45489</v>
      </c>
      <c r="E38" s="68">
        <v>0.71180555555555558</v>
      </c>
      <c r="F38" s="286">
        <v>0.18</v>
      </c>
      <c r="G38" s="280" t="s">
        <v>12</v>
      </c>
      <c r="H38" s="280" t="s">
        <v>13</v>
      </c>
      <c r="I38" s="248"/>
    </row>
    <row r="39" spans="1:9" ht="15.75">
      <c r="A39" s="55" t="s">
        <v>498</v>
      </c>
      <c r="B39" s="8">
        <v>45489</v>
      </c>
      <c r="C39" s="9">
        <v>0.37708333333333333</v>
      </c>
      <c r="D39" s="8">
        <v>45489</v>
      </c>
      <c r="E39" s="68">
        <v>0.71250000000000002</v>
      </c>
      <c r="F39" s="286">
        <v>0.03</v>
      </c>
      <c r="G39" s="280" t="s">
        <v>12</v>
      </c>
      <c r="H39" s="280" t="s">
        <v>13</v>
      </c>
      <c r="I39" s="289"/>
    </row>
    <row r="40" spans="1:9" ht="15.75">
      <c r="A40" s="55" t="s">
        <v>499</v>
      </c>
      <c r="B40" s="8">
        <v>45489</v>
      </c>
      <c r="C40" s="9">
        <v>0.41597222222222224</v>
      </c>
      <c r="D40" s="8">
        <v>45489</v>
      </c>
      <c r="E40" s="68">
        <v>0.7104166666666667</v>
      </c>
      <c r="F40" s="286">
        <v>0.06</v>
      </c>
      <c r="G40" s="280" t="s">
        <v>12</v>
      </c>
      <c r="H40" s="280" t="s">
        <v>13</v>
      </c>
      <c r="I40" s="248"/>
    </row>
    <row r="41" spans="1:9" ht="15.75">
      <c r="A41" s="55" t="s">
        <v>500</v>
      </c>
      <c r="B41" s="8">
        <v>45489</v>
      </c>
      <c r="C41" s="9">
        <v>0.43958333333333333</v>
      </c>
      <c r="D41" s="8">
        <v>45489</v>
      </c>
      <c r="E41" s="68">
        <v>0.71458333333333335</v>
      </c>
      <c r="F41" s="286">
        <v>0.04</v>
      </c>
      <c r="G41" s="280" t="s">
        <v>12</v>
      </c>
      <c r="H41" s="280" t="s">
        <v>13</v>
      </c>
      <c r="I41" s="248"/>
    </row>
    <row r="42" spans="1:9" ht="15.75">
      <c r="A42" s="55" t="s">
        <v>501</v>
      </c>
      <c r="B42" s="8">
        <v>45489</v>
      </c>
      <c r="C42" s="27">
        <v>0.47083333333333333</v>
      </c>
      <c r="D42" s="8">
        <v>45489</v>
      </c>
      <c r="E42" s="68">
        <v>0.71597222222222223</v>
      </c>
      <c r="F42" s="286">
        <v>0.18</v>
      </c>
      <c r="G42" s="280" t="s">
        <v>12</v>
      </c>
      <c r="H42" s="280" t="s">
        <v>13</v>
      </c>
      <c r="I42" s="289"/>
    </row>
    <row r="43" spans="1:9" ht="15.75">
      <c r="A43" s="55" t="s">
        <v>502</v>
      </c>
      <c r="B43" s="8">
        <v>45489</v>
      </c>
      <c r="C43" s="9">
        <v>0.48472222222222222</v>
      </c>
      <c r="D43" s="8">
        <v>45489</v>
      </c>
      <c r="E43" s="68">
        <v>0.71736111111111112</v>
      </c>
      <c r="F43" s="286">
        <v>0.13</v>
      </c>
      <c r="G43" s="280" t="s">
        <v>12</v>
      </c>
      <c r="H43" s="280" t="s">
        <v>13</v>
      </c>
      <c r="I43" s="248"/>
    </row>
    <row r="44" spans="1:9" ht="15.75">
      <c r="A44" s="55" t="s">
        <v>503</v>
      </c>
      <c r="B44" s="8">
        <v>45489</v>
      </c>
      <c r="C44" s="9">
        <v>0.5</v>
      </c>
      <c r="D44" s="8">
        <v>45489</v>
      </c>
      <c r="E44" s="68">
        <v>0.71805555555555556</v>
      </c>
      <c r="F44" s="282">
        <v>0.13</v>
      </c>
      <c r="G44" s="280" t="s">
        <v>12</v>
      </c>
      <c r="H44" s="280" t="s">
        <v>13</v>
      </c>
      <c r="I44" s="290"/>
    </row>
    <row r="45" spans="1:9" ht="15.75">
      <c r="A45" s="55" t="s">
        <v>504</v>
      </c>
      <c r="B45" s="28">
        <v>45491</v>
      </c>
      <c r="C45" s="9">
        <v>0.31319444444444444</v>
      </c>
      <c r="D45" s="28">
        <v>45491</v>
      </c>
      <c r="E45" s="68">
        <v>0.66736111111111107</v>
      </c>
      <c r="F45" s="282">
        <v>0.28000000000000003</v>
      </c>
      <c r="G45" s="280" t="s">
        <v>12</v>
      </c>
      <c r="H45" s="280" t="s">
        <v>13</v>
      </c>
      <c r="I45" s="290"/>
    </row>
    <row r="46" spans="1:9" ht="15.75">
      <c r="A46" s="55" t="s">
        <v>505</v>
      </c>
      <c r="B46" s="28">
        <v>45491</v>
      </c>
      <c r="C46" s="9">
        <v>0.32777777777777778</v>
      </c>
      <c r="D46" s="28">
        <v>45491</v>
      </c>
      <c r="E46" s="68">
        <v>0.6694444444444444</v>
      </c>
      <c r="F46" s="282">
        <v>0.28000000000000003</v>
      </c>
      <c r="G46" s="280" t="s">
        <v>12</v>
      </c>
      <c r="H46" s="280" t="s">
        <v>13</v>
      </c>
      <c r="I46" s="290"/>
    </row>
    <row r="47" spans="1:9" ht="15.75">
      <c r="A47" s="291" t="s">
        <v>506</v>
      </c>
      <c r="B47" s="8">
        <v>45504</v>
      </c>
      <c r="C47" s="9">
        <v>0.2673611111111111</v>
      </c>
      <c r="D47" s="8">
        <v>45504</v>
      </c>
      <c r="E47" s="25">
        <v>0.60138888888888886</v>
      </c>
      <c r="F47" s="292">
        <v>0.14000000000000001</v>
      </c>
      <c r="G47" s="280" t="s">
        <v>12</v>
      </c>
      <c r="H47" s="280" t="s">
        <v>13</v>
      </c>
      <c r="I47" s="290"/>
    </row>
    <row r="48" spans="1:9" ht="15.75">
      <c r="A48" s="55" t="s">
        <v>507</v>
      </c>
      <c r="B48" s="8">
        <v>45504</v>
      </c>
      <c r="C48" s="9">
        <v>0.28680555555555554</v>
      </c>
      <c r="D48" s="8">
        <v>45504</v>
      </c>
      <c r="E48" s="25">
        <v>0.60347222222222219</v>
      </c>
      <c r="F48" s="292">
        <v>0.12</v>
      </c>
      <c r="G48" s="280" t="s">
        <v>12</v>
      </c>
      <c r="H48" s="280" t="s">
        <v>13</v>
      </c>
      <c r="I48" s="290"/>
    </row>
    <row r="49" spans="2:9" ht="15.75">
      <c r="B49" s="293"/>
      <c r="C49" s="294"/>
      <c r="E49" s="295"/>
      <c r="F49" s="296"/>
      <c r="I49" s="297"/>
    </row>
    <row r="50" spans="2:9" ht="15.75">
      <c r="B50" s="293"/>
      <c r="C50" s="294"/>
      <c r="E50" s="295"/>
      <c r="F50" s="296"/>
      <c r="I50" s="297"/>
    </row>
    <row r="51" spans="2:9" ht="15.75">
      <c r="B51" s="293"/>
      <c r="C51" s="294"/>
      <c r="E51" s="295"/>
      <c r="F51" s="296"/>
      <c r="I51" s="297"/>
    </row>
    <row r="52" spans="2:9" ht="15.75">
      <c r="B52" s="293"/>
      <c r="C52" s="294"/>
      <c r="E52" s="295"/>
      <c r="F52" s="296"/>
      <c r="I52" s="297"/>
    </row>
    <row r="53" spans="2:9" ht="15.75">
      <c r="B53" s="293"/>
      <c r="C53" s="294"/>
      <c r="E53" s="295"/>
      <c r="F53" s="296"/>
      <c r="I53" s="297"/>
    </row>
    <row r="54" spans="2:9" ht="15.75">
      <c r="B54" s="293"/>
      <c r="C54" s="294"/>
      <c r="E54" s="295"/>
      <c r="F54" s="296"/>
      <c r="I54" s="297"/>
    </row>
    <row r="55" spans="2:9" ht="15.75">
      <c r="B55" s="293"/>
      <c r="C55" s="294"/>
      <c r="E55" s="295"/>
      <c r="F55" s="296"/>
      <c r="I55" s="297"/>
    </row>
    <row r="56" spans="2:9" ht="15.75">
      <c r="B56" s="293"/>
      <c r="C56" s="294"/>
      <c r="E56" s="295"/>
      <c r="F56" s="296"/>
      <c r="I56" s="297"/>
    </row>
    <row r="57" spans="2:9" ht="15.75">
      <c r="B57" s="293"/>
      <c r="C57" s="294"/>
      <c r="E57" s="295"/>
      <c r="F57" s="296"/>
      <c r="I57" s="297"/>
    </row>
    <row r="58" spans="2:9" ht="15.75">
      <c r="B58" s="293"/>
      <c r="C58" s="294"/>
      <c r="E58" s="295"/>
      <c r="F58" s="296"/>
      <c r="I58" s="297"/>
    </row>
    <row r="59" spans="2:9" ht="15.75">
      <c r="B59" s="293"/>
      <c r="C59" s="294"/>
      <c r="E59" s="295"/>
      <c r="F59" s="296"/>
      <c r="I59" s="297"/>
    </row>
    <row r="60" spans="2:9" ht="15.75">
      <c r="B60" s="293"/>
      <c r="C60" s="294"/>
      <c r="E60" s="295"/>
      <c r="F60" s="296"/>
      <c r="I60" s="297"/>
    </row>
    <row r="61" spans="2:9" ht="15.75">
      <c r="B61" s="293"/>
      <c r="C61" s="294"/>
      <c r="E61" s="295"/>
      <c r="F61" s="296"/>
      <c r="I61" s="297"/>
    </row>
    <row r="62" spans="2:9" ht="15.75">
      <c r="B62" s="293"/>
      <c r="C62" s="294"/>
      <c r="E62" s="295"/>
      <c r="F62" s="296"/>
      <c r="I62" s="297"/>
    </row>
    <row r="63" spans="2:9" ht="15.75">
      <c r="B63" s="293"/>
      <c r="C63" s="294"/>
      <c r="E63" s="295"/>
      <c r="F63" s="296"/>
      <c r="I63" s="297"/>
    </row>
    <row r="64" spans="2:9" ht="15.75">
      <c r="B64" s="293"/>
      <c r="C64" s="294"/>
      <c r="E64" s="295"/>
      <c r="F64" s="296"/>
      <c r="I64" s="297"/>
    </row>
    <row r="65" spans="2:9" ht="15.75">
      <c r="B65" s="293"/>
      <c r="C65" s="294"/>
      <c r="E65" s="295"/>
      <c r="F65" s="296"/>
      <c r="I65" s="297"/>
    </row>
    <row r="66" spans="2:9" ht="15.75">
      <c r="B66" s="293"/>
      <c r="C66" s="294"/>
      <c r="E66" s="295"/>
      <c r="F66" s="296"/>
      <c r="I66" s="297"/>
    </row>
    <row r="67" spans="2:9" ht="15.75">
      <c r="B67" s="293"/>
      <c r="C67" s="294"/>
      <c r="E67" s="295"/>
      <c r="F67" s="296"/>
      <c r="I67" s="297"/>
    </row>
    <row r="68" spans="2:9" ht="15.75">
      <c r="B68" s="293"/>
      <c r="C68" s="294"/>
      <c r="E68" s="295"/>
      <c r="F68" s="296"/>
      <c r="I68" s="297"/>
    </row>
    <row r="69" spans="2:9" ht="15.75">
      <c r="B69" s="293"/>
      <c r="C69" s="294"/>
      <c r="E69" s="295"/>
      <c r="F69" s="296"/>
      <c r="I69" s="297"/>
    </row>
    <row r="70" spans="2:9" ht="15.75">
      <c r="B70" s="293"/>
      <c r="C70" s="294"/>
      <c r="E70" s="295"/>
      <c r="F70" s="296"/>
      <c r="I70" s="297"/>
    </row>
    <row r="71" spans="2:9" ht="15.75">
      <c r="B71" s="293"/>
      <c r="C71" s="294"/>
      <c r="E71" s="295"/>
      <c r="F71" s="296"/>
      <c r="I71" s="297"/>
    </row>
    <row r="72" spans="2:9" ht="15.75">
      <c r="B72" s="293"/>
      <c r="C72" s="294"/>
      <c r="E72" s="295"/>
      <c r="F72" s="296"/>
      <c r="I72" s="297"/>
    </row>
    <row r="73" spans="2:9" ht="15.75">
      <c r="B73" s="293"/>
      <c r="C73" s="294"/>
      <c r="E73" s="295"/>
      <c r="F73" s="296"/>
      <c r="I73" s="297"/>
    </row>
    <row r="74" spans="2:9" ht="15.75">
      <c r="B74" s="293"/>
      <c r="C74" s="294"/>
      <c r="E74" s="295"/>
      <c r="F74" s="296"/>
      <c r="I74" s="297"/>
    </row>
    <row r="75" spans="2:9" ht="15.75">
      <c r="B75" s="293"/>
      <c r="C75" s="294"/>
      <c r="E75" s="295"/>
      <c r="F75" s="296"/>
      <c r="I75" s="297"/>
    </row>
    <row r="76" spans="2:9" ht="15.75">
      <c r="B76" s="293"/>
      <c r="C76" s="294"/>
      <c r="E76" s="295"/>
      <c r="F76" s="296"/>
      <c r="I76" s="297"/>
    </row>
    <row r="77" spans="2:9" ht="15.75">
      <c r="B77" s="293"/>
      <c r="C77" s="294"/>
      <c r="E77" s="295"/>
      <c r="F77" s="296"/>
      <c r="I77" s="297"/>
    </row>
    <row r="78" spans="2:9" ht="15.75">
      <c r="B78" s="293"/>
      <c r="C78" s="294"/>
      <c r="E78" s="295"/>
      <c r="F78" s="296"/>
      <c r="I78" s="297"/>
    </row>
    <row r="79" spans="2:9" ht="15.75">
      <c r="B79" s="293"/>
      <c r="C79" s="294"/>
      <c r="E79" s="295"/>
      <c r="F79" s="296"/>
      <c r="I79" s="297"/>
    </row>
    <row r="80" spans="2:9" ht="15.75">
      <c r="B80" s="293"/>
      <c r="C80" s="294"/>
      <c r="E80" s="295"/>
      <c r="F80" s="296"/>
      <c r="I80" s="297"/>
    </row>
    <row r="81" spans="2:9" ht="15.75">
      <c r="B81" s="293"/>
      <c r="C81" s="294"/>
      <c r="E81" s="295"/>
      <c r="F81" s="296"/>
      <c r="I81" s="297"/>
    </row>
    <row r="82" spans="2:9" ht="15.75">
      <c r="B82" s="293"/>
      <c r="C82" s="294"/>
      <c r="E82" s="295"/>
      <c r="F82" s="296"/>
      <c r="I82" s="297"/>
    </row>
    <row r="83" spans="2:9" ht="15.75">
      <c r="B83" s="293"/>
      <c r="C83" s="294"/>
      <c r="E83" s="295"/>
      <c r="F83" s="296"/>
      <c r="I83" s="297"/>
    </row>
    <row r="84" spans="2:9" ht="15.75">
      <c r="B84" s="293"/>
      <c r="C84" s="294"/>
      <c r="E84" s="295"/>
      <c r="F84" s="296"/>
      <c r="I84" s="297"/>
    </row>
    <row r="85" spans="2:9" ht="15.75">
      <c r="B85" s="293"/>
      <c r="C85" s="294"/>
      <c r="E85" s="295"/>
      <c r="F85" s="296"/>
      <c r="I85" s="297"/>
    </row>
    <row r="86" spans="2:9" ht="15.75">
      <c r="B86" s="293"/>
      <c r="C86" s="294"/>
      <c r="E86" s="295"/>
      <c r="F86" s="296"/>
      <c r="I86" s="297"/>
    </row>
    <row r="87" spans="2:9" ht="15.75">
      <c r="B87" s="293"/>
      <c r="C87" s="294"/>
      <c r="E87" s="295"/>
      <c r="F87" s="296"/>
      <c r="I87" s="297"/>
    </row>
    <row r="88" spans="2:9" ht="15.75">
      <c r="B88" s="293"/>
      <c r="C88" s="294"/>
      <c r="E88" s="295"/>
      <c r="F88" s="296"/>
      <c r="I88" s="297"/>
    </row>
    <row r="89" spans="2:9" ht="15.75">
      <c r="B89" s="293"/>
      <c r="C89" s="294"/>
      <c r="E89" s="295"/>
      <c r="F89" s="296"/>
      <c r="I89" s="297"/>
    </row>
    <row r="90" spans="2:9" ht="15.75">
      <c r="B90" s="293"/>
      <c r="C90" s="294"/>
      <c r="E90" s="295"/>
      <c r="F90" s="296"/>
      <c r="I90" s="297"/>
    </row>
    <row r="91" spans="2:9" ht="15.75">
      <c r="B91" s="293"/>
      <c r="C91" s="294"/>
      <c r="E91" s="295"/>
      <c r="F91" s="296"/>
      <c r="I91" s="297"/>
    </row>
    <row r="92" spans="2:9" ht="15.75">
      <c r="B92" s="293"/>
      <c r="C92" s="294"/>
      <c r="E92" s="295"/>
      <c r="F92" s="296"/>
      <c r="I92" s="297"/>
    </row>
    <row r="93" spans="2:9" ht="15.75">
      <c r="B93" s="293"/>
      <c r="C93" s="294"/>
      <c r="E93" s="295"/>
      <c r="F93" s="296"/>
      <c r="I93" s="297"/>
    </row>
    <row r="94" spans="2:9" ht="15.75">
      <c r="B94" s="293"/>
      <c r="C94" s="294"/>
      <c r="E94" s="295"/>
      <c r="F94" s="296"/>
      <c r="I94" s="297"/>
    </row>
    <row r="95" spans="2:9" ht="15.75">
      <c r="B95" s="293"/>
      <c r="C95" s="294"/>
      <c r="E95" s="295"/>
      <c r="F95" s="296"/>
      <c r="I95" s="297"/>
    </row>
    <row r="96" spans="2:9" ht="15.75">
      <c r="B96" s="293"/>
      <c r="C96" s="294"/>
      <c r="E96" s="295"/>
      <c r="F96" s="296"/>
      <c r="I96" s="297"/>
    </row>
    <row r="97" spans="2:9" ht="15.75">
      <c r="B97" s="293"/>
      <c r="C97" s="294"/>
      <c r="E97" s="295"/>
      <c r="F97" s="296"/>
      <c r="I97" s="297"/>
    </row>
    <row r="98" spans="2:9" ht="15.75">
      <c r="B98" s="293"/>
      <c r="C98" s="294"/>
      <c r="E98" s="295"/>
      <c r="F98" s="296"/>
      <c r="I98" s="297"/>
    </row>
    <row r="99" spans="2:9" ht="15.75">
      <c r="B99" s="293"/>
      <c r="C99" s="294"/>
      <c r="E99" s="295"/>
      <c r="F99" s="296"/>
      <c r="I99" s="297"/>
    </row>
    <row r="100" spans="2:9" ht="15.75">
      <c r="B100" s="293"/>
      <c r="C100" s="294"/>
      <c r="E100" s="295"/>
      <c r="F100" s="296"/>
      <c r="I100" s="297"/>
    </row>
    <row r="101" spans="2:9" ht="15.75">
      <c r="B101" s="293"/>
      <c r="C101" s="294"/>
      <c r="E101" s="295"/>
      <c r="F101" s="296"/>
      <c r="I101" s="297"/>
    </row>
    <row r="102" spans="2:9" ht="15.75">
      <c r="B102" s="293"/>
      <c r="C102" s="294"/>
      <c r="E102" s="295"/>
      <c r="F102" s="296"/>
      <c r="I102" s="297"/>
    </row>
    <row r="103" spans="2:9" ht="15.75">
      <c r="B103" s="293"/>
      <c r="C103" s="294"/>
      <c r="E103" s="295"/>
      <c r="F103" s="296"/>
      <c r="I103" s="297"/>
    </row>
    <row r="104" spans="2:9" ht="15.75">
      <c r="B104" s="293"/>
      <c r="C104" s="294"/>
      <c r="E104" s="295"/>
      <c r="F104" s="296"/>
      <c r="I104" s="297"/>
    </row>
    <row r="105" spans="2:9" ht="15.75">
      <c r="B105" s="293"/>
      <c r="C105" s="294"/>
      <c r="E105" s="295"/>
      <c r="F105" s="296"/>
      <c r="I105" s="297"/>
    </row>
    <row r="106" spans="2:9" ht="15.75">
      <c r="B106" s="293"/>
      <c r="C106" s="294"/>
      <c r="E106" s="295"/>
      <c r="F106" s="296"/>
      <c r="I106" s="297"/>
    </row>
    <row r="107" spans="2:9" ht="15.75">
      <c r="B107" s="293"/>
      <c r="C107" s="294"/>
      <c r="E107" s="295"/>
      <c r="F107" s="296"/>
      <c r="I107" s="297"/>
    </row>
    <row r="108" spans="2:9" ht="15.75">
      <c r="B108" s="293"/>
      <c r="C108" s="294"/>
      <c r="E108" s="295"/>
      <c r="F108" s="296"/>
      <c r="I108" s="297"/>
    </row>
    <row r="109" spans="2:9" ht="15.75">
      <c r="B109" s="293"/>
      <c r="C109" s="294"/>
      <c r="E109" s="295"/>
      <c r="F109" s="296"/>
      <c r="I109" s="297"/>
    </row>
    <row r="110" spans="2:9" ht="15.75">
      <c r="B110" s="293"/>
      <c r="C110" s="294"/>
      <c r="E110" s="295"/>
      <c r="F110" s="296"/>
      <c r="I110" s="297"/>
    </row>
    <row r="111" spans="2:9" ht="15.75">
      <c r="B111" s="293"/>
      <c r="C111" s="294"/>
      <c r="E111" s="295"/>
      <c r="F111" s="296"/>
      <c r="I111" s="297"/>
    </row>
    <row r="112" spans="2:9" ht="15.75">
      <c r="B112" s="293"/>
      <c r="C112" s="294"/>
      <c r="E112" s="295"/>
      <c r="F112" s="296"/>
      <c r="I112" s="297"/>
    </row>
    <row r="113" spans="2:9" ht="15.75">
      <c r="B113" s="293"/>
      <c r="C113" s="294"/>
      <c r="E113" s="295"/>
      <c r="F113" s="296"/>
      <c r="I113" s="297"/>
    </row>
    <row r="114" spans="2:9" ht="15.75">
      <c r="B114" s="293"/>
      <c r="C114" s="294"/>
      <c r="E114" s="295"/>
      <c r="F114" s="296"/>
      <c r="I114" s="297"/>
    </row>
    <row r="115" spans="2:9" ht="15.75">
      <c r="B115" s="293"/>
      <c r="C115" s="294"/>
      <c r="E115" s="295"/>
      <c r="F115" s="296"/>
      <c r="I115" s="297"/>
    </row>
    <row r="116" spans="2:9" ht="15.75">
      <c r="B116" s="293"/>
      <c r="C116" s="294"/>
      <c r="E116" s="295"/>
      <c r="F116" s="296"/>
      <c r="I116" s="297"/>
    </row>
    <row r="117" spans="2:9" ht="15.75">
      <c r="B117" s="293"/>
      <c r="C117" s="294"/>
      <c r="E117" s="295"/>
      <c r="F117" s="296"/>
      <c r="I117" s="297"/>
    </row>
    <row r="118" spans="2:9" ht="15.75">
      <c r="B118" s="293"/>
      <c r="C118" s="294"/>
      <c r="E118" s="295"/>
      <c r="F118" s="296"/>
      <c r="I118" s="297"/>
    </row>
    <row r="119" spans="2:9" ht="15.75">
      <c r="B119" s="293"/>
      <c r="C119" s="294"/>
      <c r="E119" s="295"/>
      <c r="F119" s="296"/>
      <c r="I119" s="297"/>
    </row>
    <row r="120" spans="2:9" ht="15.75">
      <c r="B120" s="293"/>
      <c r="C120" s="294"/>
      <c r="E120" s="295"/>
      <c r="F120" s="296"/>
      <c r="I120" s="297"/>
    </row>
    <row r="121" spans="2:9" ht="15.75">
      <c r="B121" s="293"/>
      <c r="C121" s="294"/>
      <c r="E121" s="295"/>
      <c r="F121" s="296"/>
      <c r="I121" s="297"/>
    </row>
    <row r="122" spans="2:9" ht="15.75">
      <c r="B122" s="293"/>
      <c r="C122" s="294"/>
      <c r="E122" s="295"/>
      <c r="F122" s="296"/>
      <c r="I122" s="297"/>
    </row>
    <row r="123" spans="2:9" ht="15.75">
      <c r="B123" s="293"/>
      <c r="C123" s="294"/>
      <c r="E123" s="295"/>
      <c r="F123" s="296"/>
      <c r="I123" s="297"/>
    </row>
    <row r="124" spans="2:9" ht="15.75">
      <c r="B124" s="293"/>
      <c r="C124" s="294"/>
      <c r="E124" s="295"/>
      <c r="F124" s="296"/>
      <c r="I124" s="297"/>
    </row>
    <row r="125" spans="2:9" ht="15.75">
      <c r="B125" s="293"/>
      <c r="C125" s="294"/>
      <c r="E125" s="295"/>
      <c r="F125" s="296"/>
      <c r="I125" s="297"/>
    </row>
    <row r="126" spans="2:9" ht="15.75">
      <c r="B126" s="293"/>
      <c r="C126" s="294"/>
      <c r="E126" s="295"/>
      <c r="F126" s="296"/>
      <c r="I126" s="297"/>
    </row>
    <row r="127" spans="2:9" ht="15.75">
      <c r="B127" s="293"/>
      <c r="C127" s="294"/>
      <c r="E127" s="295"/>
      <c r="F127" s="296"/>
      <c r="I127" s="297"/>
    </row>
    <row r="128" spans="2:9" ht="15.75">
      <c r="B128" s="293"/>
      <c r="C128" s="294"/>
      <c r="E128" s="295"/>
      <c r="F128" s="296"/>
      <c r="I128" s="297"/>
    </row>
    <row r="129" spans="2:9" ht="15.75">
      <c r="B129" s="293"/>
      <c r="C129" s="294"/>
      <c r="E129" s="295"/>
      <c r="F129" s="296"/>
      <c r="I129" s="297"/>
    </row>
    <row r="130" spans="2:9" ht="15.75">
      <c r="B130" s="293"/>
      <c r="C130" s="294"/>
      <c r="E130" s="295"/>
      <c r="F130" s="296"/>
      <c r="I130" s="297"/>
    </row>
    <row r="131" spans="2:9" ht="15.75">
      <c r="B131" s="293"/>
      <c r="C131" s="294"/>
      <c r="E131" s="295"/>
      <c r="F131" s="296"/>
      <c r="I131" s="297"/>
    </row>
    <row r="132" spans="2:9" ht="15.75">
      <c r="B132" s="293"/>
      <c r="C132" s="294"/>
      <c r="E132" s="295"/>
      <c r="F132" s="296"/>
      <c r="I132" s="297"/>
    </row>
    <row r="133" spans="2:9" ht="15.75">
      <c r="B133" s="293"/>
      <c r="C133" s="294"/>
      <c r="E133" s="295"/>
      <c r="F133" s="296"/>
      <c r="I133" s="297"/>
    </row>
    <row r="134" spans="2:9" ht="15.75">
      <c r="B134" s="293"/>
      <c r="C134" s="294"/>
      <c r="E134" s="295"/>
      <c r="F134" s="296"/>
      <c r="I134" s="297"/>
    </row>
    <row r="135" spans="2:9" ht="15.75">
      <c r="B135" s="293"/>
      <c r="C135" s="294"/>
      <c r="E135" s="295"/>
      <c r="F135" s="296"/>
      <c r="I135" s="297"/>
    </row>
    <row r="136" spans="2:9" ht="15.75">
      <c r="B136" s="293"/>
      <c r="C136" s="294"/>
      <c r="E136" s="295"/>
      <c r="F136" s="296"/>
      <c r="I136" s="297"/>
    </row>
    <row r="137" spans="2:9" ht="15.75">
      <c r="B137" s="293"/>
      <c r="C137" s="294"/>
      <c r="E137" s="295"/>
      <c r="F137" s="296"/>
      <c r="I137" s="297"/>
    </row>
    <row r="138" spans="2:9" ht="15.75">
      <c r="B138" s="293"/>
      <c r="C138" s="294"/>
      <c r="E138" s="295"/>
      <c r="F138" s="296"/>
      <c r="I138" s="297"/>
    </row>
    <row r="139" spans="2:9" ht="15.75">
      <c r="B139" s="293"/>
      <c r="C139" s="294"/>
      <c r="E139" s="295"/>
      <c r="F139" s="296"/>
      <c r="I139" s="297"/>
    </row>
    <row r="140" spans="2:9" ht="15.75">
      <c r="B140" s="293"/>
      <c r="C140" s="294"/>
      <c r="E140" s="295"/>
      <c r="F140" s="296"/>
      <c r="I140" s="297"/>
    </row>
    <row r="141" spans="2:9" ht="15.75">
      <c r="B141" s="293"/>
      <c r="C141" s="294"/>
      <c r="E141" s="295"/>
      <c r="F141" s="296"/>
      <c r="I141" s="297"/>
    </row>
    <row r="142" spans="2:9" ht="15.75">
      <c r="B142" s="293"/>
      <c r="C142" s="294"/>
      <c r="E142" s="295"/>
      <c r="F142" s="296"/>
      <c r="I142" s="297"/>
    </row>
    <row r="143" spans="2:9" ht="15.75">
      <c r="B143" s="293"/>
      <c r="C143" s="294"/>
      <c r="E143" s="295"/>
      <c r="F143" s="296"/>
      <c r="I143" s="297"/>
    </row>
    <row r="144" spans="2:9" ht="15.75">
      <c r="B144" s="293"/>
      <c r="C144" s="294"/>
      <c r="E144" s="295"/>
      <c r="F144" s="296"/>
      <c r="I144" s="297"/>
    </row>
    <row r="145" spans="2:9" ht="15.75">
      <c r="B145" s="293"/>
      <c r="C145" s="294"/>
      <c r="E145" s="295"/>
      <c r="F145" s="296"/>
      <c r="I145" s="297"/>
    </row>
    <row r="146" spans="2:9" ht="15.75">
      <c r="B146" s="293"/>
      <c r="C146" s="294"/>
      <c r="E146" s="295"/>
      <c r="F146" s="296"/>
      <c r="I146" s="297"/>
    </row>
    <row r="147" spans="2:9" ht="15.75">
      <c r="B147" s="293"/>
      <c r="C147" s="294"/>
      <c r="E147" s="295"/>
      <c r="F147" s="296"/>
      <c r="I147" s="297"/>
    </row>
    <row r="148" spans="2:9" ht="15.75">
      <c r="B148" s="293"/>
      <c r="C148" s="294"/>
      <c r="E148" s="295"/>
      <c r="F148" s="296"/>
      <c r="I148" s="297"/>
    </row>
    <row r="149" spans="2:9" ht="15.75">
      <c r="B149" s="293"/>
      <c r="C149" s="294"/>
      <c r="E149" s="295"/>
      <c r="F149" s="296"/>
      <c r="I149" s="297"/>
    </row>
    <row r="150" spans="2:9" ht="15.75">
      <c r="B150" s="293"/>
      <c r="C150" s="294"/>
      <c r="E150" s="295"/>
      <c r="F150" s="296"/>
      <c r="I150" s="297"/>
    </row>
    <row r="151" spans="2:9" ht="15.75">
      <c r="B151" s="293"/>
      <c r="C151" s="294"/>
      <c r="E151" s="295"/>
      <c r="F151" s="296"/>
      <c r="I151" s="297"/>
    </row>
    <row r="152" spans="2:9" ht="15.75">
      <c r="B152" s="293"/>
      <c r="C152" s="294"/>
      <c r="E152" s="295"/>
      <c r="F152" s="296"/>
      <c r="I152" s="297"/>
    </row>
    <row r="153" spans="2:9" ht="15.75">
      <c r="B153" s="293"/>
      <c r="C153" s="294"/>
      <c r="E153" s="295"/>
      <c r="F153" s="296"/>
      <c r="I153" s="297"/>
    </row>
    <row r="154" spans="2:9" ht="15.75">
      <c r="B154" s="293"/>
      <c r="C154" s="294"/>
      <c r="E154" s="295"/>
      <c r="F154" s="296"/>
      <c r="I154" s="297"/>
    </row>
    <row r="155" spans="2:9" ht="15.75">
      <c r="B155" s="293"/>
      <c r="C155" s="294"/>
      <c r="E155" s="295"/>
      <c r="F155" s="296"/>
      <c r="I155" s="297"/>
    </row>
    <row r="156" spans="2:9" ht="15.75">
      <c r="B156" s="293"/>
      <c r="C156" s="294"/>
      <c r="E156" s="295"/>
      <c r="F156" s="296"/>
      <c r="I156" s="297"/>
    </row>
    <row r="157" spans="2:9" ht="15.75">
      <c r="B157" s="293"/>
      <c r="C157" s="294"/>
      <c r="E157" s="295"/>
      <c r="F157" s="296"/>
      <c r="I157" s="297"/>
    </row>
    <row r="158" spans="2:9" ht="15.75">
      <c r="B158" s="293"/>
      <c r="C158" s="294"/>
      <c r="E158" s="295"/>
      <c r="F158" s="296"/>
      <c r="I158" s="297"/>
    </row>
    <row r="159" spans="2:9" ht="15.75">
      <c r="B159" s="293"/>
      <c r="C159" s="294"/>
      <c r="E159" s="295"/>
      <c r="F159" s="296"/>
      <c r="I159" s="297"/>
    </row>
    <row r="160" spans="2:9" ht="15.75">
      <c r="B160" s="293"/>
      <c r="C160" s="294"/>
      <c r="E160" s="295"/>
      <c r="F160" s="296"/>
      <c r="I160" s="297"/>
    </row>
    <row r="161" spans="2:9" ht="15.75">
      <c r="B161" s="293"/>
      <c r="C161" s="294"/>
      <c r="E161" s="295"/>
      <c r="F161" s="296"/>
      <c r="I161" s="297"/>
    </row>
    <row r="162" spans="2:9" ht="15.75">
      <c r="B162" s="293"/>
      <c r="C162" s="294"/>
      <c r="E162" s="295"/>
      <c r="F162" s="296"/>
      <c r="I162" s="297"/>
    </row>
    <row r="163" spans="2:9" ht="15.75">
      <c r="B163" s="293"/>
      <c r="C163" s="294"/>
      <c r="E163" s="295"/>
      <c r="F163" s="296"/>
      <c r="I163" s="297"/>
    </row>
    <row r="164" spans="2:9" ht="15.75">
      <c r="B164" s="293"/>
      <c r="C164" s="294"/>
      <c r="E164" s="295"/>
      <c r="F164" s="296"/>
      <c r="I164" s="297"/>
    </row>
    <row r="165" spans="2:9" ht="15.75">
      <c r="B165" s="293"/>
      <c r="C165" s="294"/>
      <c r="E165" s="295"/>
      <c r="F165" s="296"/>
      <c r="I165" s="297"/>
    </row>
    <row r="166" spans="2:9" ht="15.75">
      <c r="B166" s="293"/>
      <c r="C166" s="294"/>
      <c r="E166" s="295"/>
      <c r="F166" s="296"/>
      <c r="I166" s="297"/>
    </row>
    <row r="167" spans="2:9" ht="15.75">
      <c r="B167" s="293"/>
      <c r="C167" s="294"/>
      <c r="E167" s="295"/>
      <c r="F167" s="296"/>
      <c r="I167" s="297"/>
    </row>
    <row r="168" spans="2:9" ht="15.75">
      <c r="B168" s="293"/>
      <c r="C168" s="294"/>
      <c r="E168" s="295"/>
      <c r="F168" s="296"/>
      <c r="I168" s="297"/>
    </row>
    <row r="169" spans="2:9" ht="15.75">
      <c r="B169" s="293"/>
      <c r="C169" s="294"/>
      <c r="E169" s="295"/>
      <c r="F169" s="296"/>
      <c r="I169" s="297"/>
    </row>
    <row r="170" spans="2:9" ht="15.75">
      <c r="B170" s="293"/>
      <c r="C170" s="294"/>
      <c r="E170" s="295"/>
      <c r="F170" s="296"/>
      <c r="I170" s="297"/>
    </row>
    <row r="171" spans="2:9" ht="15.75">
      <c r="B171" s="293"/>
      <c r="C171" s="294"/>
      <c r="E171" s="295"/>
      <c r="F171" s="296"/>
      <c r="I171" s="297"/>
    </row>
    <row r="172" spans="2:9" ht="15.75">
      <c r="B172" s="293"/>
      <c r="C172" s="294"/>
      <c r="E172" s="295"/>
      <c r="F172" s="296"/>
      <c r="I172" s="297"/>
    </row>
    <row r="173" spans="2:9" ht="15.75">
      <c r="B173" s="293"/>
      <c r="C173" s="294"/>
      <c r="E173" s="295"/>
      <c r="F173" s="296"/>
      <c r="I173" s="297"/>
    </row>
    <row r="174" spans="2:9" ht="15.75">
      <c r="B174" s="293"/>
      <c r="C174" s="294"/>
      <c r="E174" s="295"/>
      <c r="F174" s="296"/>
      <c r="I174" s="297"/>
    </row>
    <row r="175" spans="2:9" ht="15.75">
      <c r="B175" s="293"/>
      <c r="C175" s="294"/>
      <c r="E175" s="295"/>
      <c r="F175" s="296"/>
      <c r="I175" s="297"/>
    </row>
    <row r="176" spans="2:9" ht="15.75">
      <c r="B176" s="293"/>
      <c r="C176" s="294"/>
      <c r="E176" s="295"/>
      <c r="F176" s="296"/>
      <c r="I176" s="297"/>
    </row>
    <row r="177" spans="2:9" ht="15.75">
      <c r="B177" s="293"/>
      <c r="C177" s="294"/>
      <c r="E177" s="295"/>
      <c r="F177" s="296"/>
      <c r="I177" s="297"/>
    </row>
    <row r="178" spans="2:9" ht="15.75">
      <c r="B178" s="293"/>
      <c r="C178" s="294"/>
      <c r="E178" s="295"/>
      <c r="F178" s="296"/>
      <c r="I178" s="297"/>
    </row>
    <row r="179" spans="2:9" ht="15.75">
      <c r="B179" s="293"/>
      <c r="C179" s="294"/>
      <c r="E179" s="295"/>
      <c r="F179" s="296"/>
      <c r="I179" s="297"/>
    </row>
    <row r="180" spans="2:9" ht="15.75">
      <c r="B180" s="293"/>
      <c r="C180" s="294"/>
      <c r="E180" s="295"/>
      <c r="F180" s="296"/>
      <c r="I180" s="297"/>
    </row>
    <row r="181" spans="2:9" ht="15.75">
      <c r="B181" s="293"/>
      <c r="C181" s="294"/>
      <c r="E181" s="295"/>
      <c r="F181" s="296"/>
      <c r="I181" s="297"/>
    </row>
    <row r="182" spans="2:9" ht="15.75">
      <c r="B182" s="293"/>
      <c r="C182" s="294"/>
      <c r="E182" s="295"/>
      <c r="F182" s="296"/>
      <c r="I182" s="297"/>
    </row>
    <row r="183" spans="2:9" ht="15.75">
      <c r="B183" s="293"/>
      <c r="C183" s="294"/>
      <c r="E183" s="295"/>
      <c r="F183" s="296"/>
      <c r="I183" s="297"/>
    </row>
    <row r="184" spans="2:9" ht="15.75">
      <c r="B184" s="293"/>
      <c r="C184" s="294"/>
      <c r="E184" s="295"/>
      <c r="F184" s="296"/>
      <c r="I184" s="297"/>
    </row>
    <row r="185" spans="2:9" ht="15.75">
      <c r="B185" s="293"/>
      <c r="C185" s="294"/>
      <c r="E185" s="295"/>
      <c r="F185" s="296"/>
      <c r="I185" s="297"/>
    </row>
    <row r="186" spans="2:9" ht="15.75">
      <c r="B186" s="293"/>
      <c r="C186" s="294"/>
      <c r="E186" s="295"/>
      <c r="F186" s="296"/>
      <c r="I186" s="297"/>
    </row>
    <row r="187" spans="2:9" ht="15.75">
      <c r="B187" s="293"/>
      <c r="C187" s="294"/>
      <c r="E187" s="295"/>
      <c r="F187" s="296"/>
      <c r="I187" s="297"/>
    </row>
    <row r="188" spans="2:9" ht="15.75">
      <c r="B188" s="293"/>
      <c r="C188" s="294"/>
      <c r="E188" s="295"/>
      <c r="F188" s="296"/>
      <c r="I188" s="297"/>
    </row>
    <row r="189" spans="2:9" ht="15.75">
      <c r="B189" s="293"/>
      <c r="C189" s="294"/>
      <c r="E189" s="295"/>
      <c r="F189" s="296"/>
      <c r="I189" s="297"/>
    </row>
    <row r="190" spans="2:9" ht="15.75">
      <c r="B190" s="293"/>
      <c r="C190" s="294"/>
      <c r="E190" s="295"/>
      <c r="F190" s="296"/>
      <c r="I190" s="297"/>
    </row>
    <row r="191" spans="2:9" ht="15.75">
      <c r="B191" s="293"/>
      <c r="C191" s="294"/>
      <c r="E191" s="295"/>
      <c r="F191" s="296"/>
      <c r="I191" s="297"/>
    </row>
    <row r="192" spans="2:9" ht="15.75">
      <c r="B192" s="293"/>
      <c r="C192" s="294"/>
      <c r="E192" s="295"/>
      <c r="F192" s="296"/>
      <c r="I192" s="297"/>
    </row>
    <row r="193" spans="2:9" ht="15.75">
      <c r="B193" s="293"/>
      <c r="C193" s="294"/>
      <c r="E193" s="295"/>
      <c r="F193" s="296"/>
      <c r="I193" s="297"/>
    </row>
    <row r="194" spans="2:9" ht="15.75">
      <c r="B194" s="293"/>
      <c r="C194" s="294"/>
      <c r="E194" s="295"/>
      <c r="F194" s="296"/>
      <c r="I194" s="297"/>
    </row>
    <row r="195" spans="2:9" ht="15.75">
      <c r="B195" s="293"/>
      <c r="C195" s="294"/>
      <c r="E195" s="295"/>
      <c r="F195" s="296"/>
      <c r="I195" s="297"/>
    </row>
    <row r="196" spans="2:9" ht="15.75">
      <c r="B196" s="293"/>
      <c r="C196" s="294"/>
      <c r="E196" s="295"/>
      <c r="F196" s="296"/>
      <c r="I196" s="297"/>
    </row>
    <row r="197" spans="2:9" ht="15.75">
      <c r="B197" s="293"/>
      <c r="C197" s="294"/>
      <c r="E197" s="295"/>
      <c r="F197" s="296"/>
      <c r="I197" s="297"/>
    </row>
    <row r="198" spans="2:9" ht="15.75">
      <c r="B198" s="293"/>
      <c r="C198" s="294"/>
      <c r="E198" s="295"/>
      <c r="F198" s="296"/>
      <c r="I198" s="297"/>
    </row>
    <row r="199" spans="2:9" ht="15.75">
      <c r="B199" s="293"/>
      <c r="C199" s="294"/>
      <c r="E199" s="295"/>
      <c r="F199" s="296"/>
      <c r="I199" s="297"/>
    </row>
    <row r="200" spans="2:9" ht="15.75">
      <c r="B200" s="293"/>
      <c r="C200" s="294"/>
      <c r="E200" s="295"/>
      <c r="F200" s="296"/>
      <c r="I200" s="297"/>
    </row>
    <row r="201" spans="2:9" ht="15.75">
      <c r="B201" s="293"/>
      <c r="C201" s="294"/>
      <c r="E201" s="295"/>
      <c r="F201" s="296"/>
      <c r="I201" s="297"/>
    </row>
    <row r="202" spans="2:9" ht="15.75">
      <c r="B202" s="293"/>
      <c r="C202" s="294"/>
      <c r="E202" s="295"/>
      <c r="F202" s="296"/>
      <c r="I202" s="297"/>
    </row>
    <row r="203" spans="2:9" ht="15.75">
      <c r="B203" s="293"/>
      <c r="C203" s="294"/>
      <c r="E203" s="295"/>
      <c r="F203" s="296"/>
      <c r="I203" s="297"/>
    </row>
    <row r="204" spans="2:9" ht="15.75">
      <c r="B204" s="293"/>
      <c r="C204" s="294"/>
      <c r="E204" s="295"/>
      <c r="F204" s="296"/>
      <c r="I204" s="297"/>
    </row>
    <row r="205" spans="2:9" ht="15.75">
      <c r="B205" s="293"/>
      <c r="C205" s="294"/>
      <c r="E205" s="295"/>
      <c r="F205" s="296"/>
      <c r="I205" s="297"/>
    </row>
    <row r="206" spans="2:9" ht="15.75">
      <c r="B206" s="293"/>
      <c r="C206" s="294"/>
      <c r="E206" s="295"/>
      <c r="F206" s="296"/>
      <c r="I206" s="297"/>
    </row>
    <row r="207" spans="2:9" ht="15.75">
      <c r="B207" s="293"/>
      <c r="C207" s="294"/>
      <c r="E207" s="295"/>
      <c r="F207" s="296"/>
      <c r="I207" s="297"/>
    </row>
    <row r="208" spans="2:9" ht="15.75">
      <c r="B208" s="293"/>
      <c r="C208" s="294"/>
      <c r="E208" s="295"/>
      <c r="F208" s="296"/>
      <c r="I208" s="297"/>
    </row>
    <row r="209" spans="2:9" ht="15.75">
      <c r="B209" s="293"/>
      <c r="C209" s="294"/>
      <c r="E209" s="295"/>
      <c r="F209" s="296"/>
      <c r="I209" s="297"/>
    </row>
    <row r="210" spans="2:9" ht="15.75">
      <c r="B210" s="293"/>
      <c r="C210" s="294"/>
      <c r="E210" s="295"/>
      <c r="F210" s="296"/>
      <c r="I210" s="297"/>
    </row>
    <row r="211" spans="2:9" ht="15.75">
      <c r="B211" s="293"/>
      <c r="C211" s="294"/>
      <c r="E211" s="295"/>
      <c r="F211" s="296"/>
      <c r="I211" s="297"/>
    </row>
    <row r="212" spans="2:9" ht="15.75">
      <c r="B212" s="293"/>
      <c r="C212" s="294"/>
      <c r="E212" s="295"/>
      <c r="F212" s="296"/>
      <c r="I212" s="297"/>
    </row>
    <row r="213" spans="2:9" ht="15.75">
      <c r="B213" s="293"/>
      <c r="C213" s="294"/>
      <c r="E213" s="295"/>
      <c r="F213" s="296"/>
      <c r="I213" s="297"/>
    </row>
    <row r="214" spans="2:9" ht="15.75">
      <c r="B214" s="293"/>
      <c r="C214" s="294"/>
      <c r="E214" s="295"/>
      <c r="F214" s="296"/>
      <c r="I214" s="297"/>
    </row>
    <row r="215" spans="2:9" ht="15.75">
      <c r="B215" s="293"/>
      <c r="C215" s="294"/>
      <c r="E215" s="295"/>
      <c r="F215" s="296"/>
      <c r="I215" s="297"/>
    </row>
    <row r="216" spans="2:9" ht="15.75">
      <c r="B216" s="293"/>
      <c r="C216" s="294"/>
      <c r="E216" s="295"/>
      <c r="F216" s="296"/>
      <c r="I216" s="297"/>
    </row>
    <row r="217" spans="2:9" ht="15.75">
      <c r="B217" s="293"/>
      <c r="C217" s="294"/>
      <c r="E217" s="295"/>
      <c r="F217" s="296"/>
      <c r="I217" s="297"/>
    </row>
    <row r="218" spans="2:9" ht="15.75">
      <c r="B218" s="293"/>
      <c r="C218" s="294"/>
      <c r="E218" s="295"/>
      <c r="F218" s="296"/>
      <c r="I218" s="297"/>
    </row>
    <row r="219" spans="2:9" ht="15.75">
      <c r="B219" s="293"/>
      <c r="C219" s="294"/>
      <c r="E219" s="295"/>
      <c r="F219" s="296"/>
      <c r="I219" s="297"/>
    </row>
    <row r="220" spans="2:9" ht="15.75">
      <c r="B220" s="293"/>
      <c r="C220" s="294"/>
      <c r="E220" s="295"/>
      <c r="F220" s="296"/>
      <c r="I220" s="297"/>
    </row>
    <row r="221" spans="2:9" ht="15.75">
      <c r="B221" s="293"/>
      <c r="C221" s="294"/>
      <c r="E221" s="295"/>
      <c r="F221" s="296"/>
      <c r="I221" s="297"/>
    </row>
    <row r="222" spans="2:9" ht="15.75">
      <c r="B222" s="293"/>
      <c r="C222" s="294"/>
      <c r="E222" s="295"/>
      <c r="F222" s="296"/>
      <c r="I222" s="297"/>
    </row>
    <row r="223" spans="2:9" ht="15.75">
      <c r="B223" s="293"/>
      <c r="C223" s="294"/>
      <c r="E223" s="295"/>
      <c r="F223" s="296"/>
      <c r="I223" s="297"/>
    </row>
    <row r="224" spans="2:9" ht="15.75">
      <c r="B224" s="293"/>
      <c r="C224" s="294"/>
      <c r="E224" s="295"/>
      <c r="F224" s="296"/>
      <c r="I224" s="297"/>
    </row>
    <row r="225" spans="2:9" ht="15.75">
      <c r="B225" s="293"/>
      <c r="C225" s="294"/>
      <c r="E225" s="295"/>
      <c r="F225" s="296"/>
      <c r="I225" s="297"/>
    </row>
    <row r="226" spans="2:9" ht="15.75">
      <c r="B226" s="293"/>
      <c r="C226" s="294"/>
      <c r="E226" s="295"/>
      <c r="F226" s="296"/>
      <c r="I226" s="297"/>
    </row>
    <row r="227" spans="2:9" ht="15.75">
      <c r="B227" s="293"/>
      <c r="C227" s="294"/>
      <c r="E227" s="295"/>
      <c r="F227" s="296"/>
      <c r="I227" s="297"/>
    </row>
    <row r="228" spans="2:9" ht="15.75">
      <c r="B228" s="293"/>
      <c r="C228" s="294"/>
      <c r="E228" s="295"/>
      <c r="F228" s="296"/>
      <c r="I228" s="297"/>
    </row>
    <row r="229" spans="2:9" ht="15.75">
      <c r="B229" s="293"/>
      <c r="C229" s="294"/>
      <c r="E229" s="295"/>
      <c r="F229" s="296"/>
      <c r="I229" s="297"/>
    </row>
    <row r="230" spans="2:9" ht="15.75">
      <c r="B230" s="293"/>
      <c r="C230" s="294"/>
      <c r="E230" s="295"/>
      <c r="F230" s="296"/>
      <c r="I230" s="297"/>
    </row>
    <row r="231" spans="2:9" ht="15.75">
      <c r="B231" s="293"/>
      <c r="C231" s="294"/>
      <c r="E231" s="295"/>
      <c r="F231" s="296"/>
      <c r="I231" s="297"/>
    </row>
    <row r="232" spans="2:9" ht="15.75">
      <c r="B232" s="293"/>
      <c r="C232" s="294"/>
      <c r="E232" s="295"/>
      <c r="F232" s="296"/>
      <c r="I232" s="297"/>
    </row>
    <row r="233" spans="2:9" ht="15.75">
      <c r="B233" s="293"/>
      <c r="C233" s="294"/>
      <c r="E233" s="295"/>
      <c r="F233" s="296"/>
      <c r="I233" s="297"/>
    </row>
    <row r="234" spans="2:9" ht="15.75">
      <c r="B234" s="293"/>
      <c r="C234" s="294"/>
      <c r="E234" s="295"/>
      <c r="F234" s="296"/>
      <c r="I234" s="297"/>
    </row>
    <row r="235" spans="2:9" ht="15.75">
      <c r="B235" s="293"/>
      <c r="C235" s="294"/>
      <c r="E235" s="295"/>
      <c r="F235" s="296"/>
      <c r="I235" s="297"/>
    </row>
    <row r="236" spans="2:9" ht="15.75">
      <c r="B236" s="293"/>
      <c r="C236" s="294"/>
      <c r="E236" s="295"/>
      <c r="F236" s="296"/>
      <c r="I236" s="297"/>
    </row>
    <row r="237" spans="2:9" ht="15.75">
      <c r="B237" s="293"/>
      <c r="C237" s="294"/>
      <c r="E237" s="295"/>
      <c r="F237" s="296"/>
      <c r="I237" s="297"/>
    </row>
    <row r="238" spans="2:9" ht="15.75">
      <c r="B238" s="293"/>
      <c r="C238" s="294"/>
      <c r="E238" s="295"/>
      <c r="F238" s="296"/>
      <c r="I238" s="297"/>
    </row>
    <row r="239" spans="2:9" ht="15.75">
      <c r="B239" s="293"/>
      <c r="C239" s="294"/>
      <c r="E239" s="295"/>
      <c r="F239" s="296"/>
      <c r="I239" s="297"/>
    </row>
    <row r="240" spans="2:9" ht="15.75">
      <c r="B240" s="293"/>
      <c r="C240" s="294"/>
      <c r="E240" s="295"/>
      <c r="F240" s="296"/>
      <c r="I240" s="297"/>
    </row>
    <row r="241" spans="2:9" ht="15.75">
      <c r="B241" s="293"/>
      <c r="C241" s="294"/>
      <c r="E241" s="295"/>
      <c r="F241" s="296"/>
      <c r="I241" s="297"/>
    </row>
    <row r="242" spans="2:9" ht="15.75">
      <c r="B242" s="293"/>
      <c r="C242" s="294"/>
      <c r="E242" s="295"/>
      <c r="F242" s="296"/>
      <c r="I242" s="297"/>
    </row>
    <row r="243" spans="2:9" ht="15.75">
      <c r="B243" s="293"/>
      <c r="C243" s="294"/>
      <c r="E243" s="295"/>
      <c r="F243" s="296"/>
      <c r="I243" s="297"/>
    </row>
    <row r="244" spans="2:9" ht="15.75">
      <c r="B244" s="293"/>
      <c r="C244" s="294"/>
      <c r="E244" s="295"/>
      <c r="F244" s="296"/>
      <c r="I244" s="297"/>
    </row>
    <row r="245" spans="2:9" ht="15.75">
      <c r="B245" s="293"/>
      <c r="C245" s="294"/>
      <c r="E245" s="295"/>
      <c r="F245" s="296"/>
      <c r="I245" s="297"/>
    </row>
    <row r="246" spans="2:9" ht="15.75">
      <c r="B246" s="293"/>
      <c r="C246" s="294"/>
      <c r="E246" s="295"/>
      <c r="F246" s="296"/>
      <c r="I246" s="297"/>
    </row>
    <row r="247" spans="2:9" ht="15.75">
      <c r="B247" s="293"/>
      <c r="C247" s="294"/>
      <c r="E247" s="295"/>
      <c r="F247" s="296"/>
      <c r="I247" s="297"/>
    </row>
    <row r="248" spans="2:9" ht="15.75">
      <c r="B248" s="293"/>
      <c r="C248" s="294"/>
      <c r="E248" s="295"/>
      <c r="F248" s="296"/>
      <c r="I248" s="297"/>
    </row>
    <row r="249" spans="2:9" ht="15.75">
      <c r="B249" s="293"/>
      <c r="C249" s="294"/>
      <c r="E249" s="295"/>
      <c r="F249" s="296"/>
      <c r="I249" s="297"/>
    </row>
    <row r="250" spans="2:9" ht="15.75">
      <c r="B250" s="293"/>
      <c r="C250" s="294"/>
      <c r="E250" s="295"/>
      <c r="F250" s="296"/>
      <c r="I250" s="297"/>
    </row>
    <row r="251" spans="2:9" ht="15.75">
      <c r="B251" s="293"/>
      <c r="C251" s="294"/>
      <c r="E251" s="295"/>
      <c r="F251" s="296"/>
      <c r="I251" s="297"/>
    </row>
    <row r="252" spans="2:9" ht="15.75">
      <c r="B252" s="293"/>
      <c r="C252" s="294"/>
      <c r="E252" s="295"/>
      <c r="F252" s="296"/>
      <c r="I252" s="297"/>
    </row>
    <row r="253" spans="2:9" ht="15.75">
      <c r="B253" s="293"/>
      <c r="C253" s="294"/>
      <c r="E253" s="295"/>
      <c r="F253" s="296"/>
      <c r="I253" s="297"/>
    </row>
    <row r="254" spans="2:9" ht="15.75">
      <c r="B254" s="293"/>
      <c r="C254" s="294"/>
      <c r="E254" s="295"/>
      <c r="F254" s="296"/>
      <c r="I254" s="297"/>
    </row>
    <row r="255" spans="2:9" ht="15.75">
      <c r="B255" s="293"/>
      <c r="C255" s="294"/>
      <c r="E255" s="295"/>
      <c r="F255" s="296"/>
      <c r="I255" s="297"/>
    </row>
    <row r="256" spans="2:9" ht="15.75">
      <c r="B256" s="293"/>
      <c r="C256" s="294"/>
      <c r="E256" s="295"/>
      <c r="F256" s="296"/>
      <c r="I256" s="297"/>
    </row>
    <row r="257" spans="2:9" ht="15.75">
      <c r="B257" s="293"/>
      <c r="C257" s="294"/>
      <c r="E257" s="295"/>
      <c r="F257" s="296"/>
      <c r="I257" s="297"/>
    </row>
    <row r="258" spans="2:9" ht="15.75">
      <c r="B258" s="293"/>
      <c r="C258" s="294"/>
      <c r="E258" s="295"/>
      <c r="F258" s="296"/>
      <c r="I258" s="297"/>
    </row>
    <row r="259" spans="2:9" ht="15.75">
      <c r="B259" s="293"/>
      <c r="C259" s="294"/>
      <c r="E259" s="295"/>
      <c r="F259" s="296"/>
      <c r="I259" s="297"/>
    </row>
    <row r="260" spans="2:9" ht="15.75">
      <c r="B260" s="293"/>
      <c r="C260" s="294"/>
      <c r="E260" s="295"/>
      <c r="F260" s="296"/>
      <c r="I260" s="297"/>
    </row>
    <row r="261" spans="2:9" ht="15.75">
      <c r="B261" s="293"/>
      <c r="C261" s="294"/>
      <c r="E261" s="295"/>
      <c r="F261" s="296"/>
      <c r="I261" s="297"/>
    </row>
    <row r="262" spans="2:9" ht="15.75">
      <c r="B262" s="293"/>
      <c r="C262" s="294"/>
      <c r="E262" s="295"/>
      <c r="F262" s="296"/>
      <c r="I262" s="297"/>
    </row>
    <row r="263" spans="2:9" ht="15.75">
      <c r="B263" s="293"/>
      <c r="C263" s="294"/>
      <c r="E263" s="295"/>
      <c r="F263" s="296"/>
      <c r="I263" s="297"/>
    </row>
    <row r="264" spans="2:9" ht="15.75">
      <c r="B264" s="293"/>
      <c r="C264" s="294"/>
      <c r="E264" s="295"/>
      <c r="F264" s="296"/>
      <c r="I264" s="297"/>
    </row>
    <row r="265" spans="2:9" ht="15.75">
      <c r="B265" s="293"/>
      <c r="C265" s="294"/>
      <c r="E265" s="295"/>
      <c r="F265" s="296"/>
      <c r="I265" s="297"/>
    </row>
    <row r="266" spans="2:9" ht="15.75">
      <c r="B266" s="293"/>
      <c r="C266" s="294"/>
      <c r="E266" s="295"/>
      <c r="F266" s="296"/>
      <c r="I266" s="297"/>
    </row>
    <row r="267" spans="2:9" ht="15.75">
      <c r="B267" s="293"/>
      <c r="C267" s="294"/>
      <c r="E267" s="295"/>
      <c r="F267" s="296"/>
      <c r="I267" s="297"/>
    </row>
    <row r="268" spans="2:9" ht="15.75">
      <c r="B268" s="293"/>
      <c r="C268" s="294"/>
      <c r="E268" s="295"/>
      <c r="F268" s="296"/>
      <c r="I268" s="297"/>
    </row>
    <row r="269" spans="2:9" ht="15.75">
      <c r="B269" s="293"/>
      <c r="C269" s="294"/>
      <c r="E269" s="295"/>
      <c r="F269" s="296"/>
      <c r="I269" s="297"/>
    </row>
    <row r="270" spans="2:9" ht="15.75">
      <c r="B270" s="293"/>
      <c r="C270" s="294"/>
      <c r="E270" s="295"/>
      <c r="F270" s="296"/>
      <c r="I270" s="297"/>
    </row>
    <row r="271" spans="2:9" ht="15.75">
      <c r="B271" s="293"/>
      <c r="C271" s="294"/>
      <c r="E271" s="295"/>
      <c r="F271" s="296"/>
      <c r="I271" s="297"/>
    </row>
    <row r="272" spans="2:9" ht="15.75">
      <c r="B272" s="293"/>
      <c r="C272" s="294"/>
      <c r="E272" s="295"/>
      <c r="F272" s="296"/>
      <c r="I272" s="297"/>
    </row>
    <row r="273" spans="2:9" ht="15.75">
      <c r="B273" s="293"/>
      <c r="C273" s="294"/>
      <c r="E273" s="295"/>
      <c r="F273" s="296"/>
      <c r="I273" s="297"/>
    </row>
    <row r="274" spans="2:9" ht="15.75">
      <c r="B274" s="293"/>
      <c r="C274" s="294"/>
      <c r="E274" s="295"/>
      <c r="F274" s="296"/>
      <c r="I274" s="297"/>
    </row>
    <row r="275" spans="2:9" ht="15.75">
      <c r="B275" s="293"/>
      <c r="C275" s="294"/>
      <c r="E275" s="295"/>
      <c r="F275" s="296"/>
      <c r="I275" s="297"/>
    </row>
    <row r="276" spans="2:9" ht="15.75">
      <c r="B276" s="293"/>
      <c r="C276" s="294"/>
      <c r="E276" s="295"/>
      <c r="F276" s="296"/>
      <c r="I276" s="297"/>
    </row>
    <row r="277" spans="2:9" ht="15.75">
      <c r="B277" s="293"/>
      <c r="C277" s="294"/>
      <c r="E277" s="295"/>
      <c r="F277" s="296"/>
      <c r="I277" s="297"/>
    </row>
    <row r="278" spans="2:9" ht="15.75">
      <c r="B278" s="293"/>
      <c r="C278" s="294"/>
      <c r="E278" s="295"/>
      <c r="F278" s="296"/>
      <c r="I278" s="297"/>
    </row>
    <row r="279" spans="2:9" ht="15.75">
      <c r="B279" s="293"/>
      <c r="C279" s="294"/>
      <c r="E279" s="295"/>
      <c r="F279" s="296"/>
      <c r="I279" s="297"/>
    </row>
    <row r="280" spans="2:9" ht="15.75">
      <c r="B280" s="293"/>
      <c r="C280" s="294"/>
      <c r="E280" s="295"/>
      <c r="F280" s="296"/>
      <c r="I280" s="297"/>
    </row>
    <row r="281" spans="2:9" ht="15.75">
      <c r="B281" s="293"/>
      <c r="C281" s="294"/>
      <c r="E281" s="295"/>
      <c r="F281" s="296"/>
      <c r="I281" s="297"/>
    </row>
    <row r="282" spans="2:9" ht="15.75">
      <c r="B282" s="293"/>
      <c r="C282" s="294"/>
      <c r="E282" s="295"/>
      <c r="F282" s="296"/>
      <c r="I282" s="297"/>
    </row>
    <row r="283" spans="2:9" ht="15.75">
      <c r="B283" s="293"/>
      <c r="C283" s="294"/>
      <c r="E283" s="295"/>
      <c r="F283" s="296"/>
      <c r="I283" s="297"/>
    </row>
    <row r="284" spans="2:9" ht="15.75">
      <c r="B284" s="293"/>
      <c r="C284" s="294"/>
      <c r="E284" s="295"/>
      <c r="F284" s="296"/>
      <c r="I284" s="297"/>
    </row>
    <row r="285" spans="2:9" ht="15.75">
      <c r="B285" s="293"/>
      <c r="C285" s="294"/>
      <c r="E285" s="295"/>
      <c r="F285" s="296"/>
      <c r="I285" s="297"/>
    </row>
    <row r="286" spans="2:9" ht="15.75">
      <c r="B286" s="293"/>
      <c r="C286" s="294"/>
      <c r="E286" s="295"/>
      <c r="F286" s="296"/>
      <c r="I286" s="297"/>
    </row>
    <row r="287" spans="2:9" ht="15.75">
      <c r="B287" s="293"/>
      <c r="C287" s="294"/>
      <c r="E287" s="295"/>
      <c r="F287" s="296"/>
      <c r="I287" s="297"/>
    </row>
    <row r="288" spans="2:9" ht="15.75">
      <c r="B288" s="293"/>
      <c r="C288" s="294"/>
      <c r="E288" s="295"/>
      <c r="F288" s="296"/>
      <c r="I288" s="297"/>
    </row>
    <row r="289" spans="2:9" ht="15.75">
      <c r="B289" s="293"/>
      <c r="C289" s="294"/>
      <c r="E289" s="295"/>
      <c r="F289" s="296"/>
      <c r="I289" s="297"/>
    </row>
    <row r="290" spans="2:9" ht="15.75">
      <c r="B290" s="293"/>
      <c r="C290" s="294"/>
      <c r="E290" s="295"/>
      <c r="F290" s="296"/>
      <c r="I290" s="297"/>
    </row>
    <row r="291" spans="2:9" ht="15.75">
      <c r="B291" s="293"/>
      <c r="C291" s="294"/>
      <c r="E291" s="295"/>
      <c r="F291" s="296"/>
      <c r="I291" s="297"/>
    </row>
    <row r="292" spans="2:9" ht="15.75">
      <c r="B292" s="293"/>
      <c r="C292" s="294"/>
      <c r="E292" s="295"/>
      <c r="F292" s="296"/>
      <c r="I292" s="297"/>
    </row>
    <row r="293" spans="2:9" ht="15.75">
      <c r="B293" s="293"/>
      <c r="C293" s="294"/>
      <c r="E293" s="295"/>
      <c r="F293" s="296"/>
      <c r="I293" s="297"/>
    </row>
    <row r="294" spans="2:9" ht="15.75">
      <c r="B294" s="293"/>
      <c r="C294" s="294"/>
      <c r="E294" s="295"/>
      <c r="F294" s="296"/>
      <c r="I294" s="297"/>
    </row>
    <row r="295" spans="2:9" ht="15.75">
      <c r="B295" s="293"/>
      <c r="C295" s="294"/>
      <c r="E295" s="295"/>
      <c r="F295" s="296"/>
      <c r="I295" s="297"/>
    </row>
    <row r="296" spans="2:9" ht="15.75">
      <c r="B296" s="293"/>
      <c r="C296" s="294"/>
      <c r="E296" s="295"/>
      <c r="F296" s="296"/>
      <c r="I296" s="297"/>
    </row>
    <row r="297" spans="2:9" ht="15.75">
      <c r="B297" s="293"/>
      <c r="C297" s="294"/>
      <c r="E297" s="295"/>
      <c r="F297" s="296"/>
      <c r="I297" s="297"/>
    </row>
    <row r="298" spans="2:9" ht="15.75">
      <c r="B298" s="293"/>
      <c r="C298" s="294"/>
      <c r="E298" s="295"/>
      <c r="F298" s="296"/>
      <c r="I298" s="297"/>
    </row>
    <row r="299" spans="2:9" ht="15.75">
      <c r="B299" s="293"/>
      <c r="C299" s="294"/>
      <c r="E299" s="295"/>
      <c r="F299" s="296"/>
      <c r="I299" s="297"/>
    </row>
    <row r="300" spans="2:9" ht="15.75">
      <c r="B300" s="293"/>
      <c r="C300" s="294"/>
      <c r="E300" s="295"/>
      <c r="F300" s="296"/>
      <c r="I300" s="297"/>
    </row>
    <row r="301" spans="2:9" ht="15.75">
      <c r="B301" s="293"/>
      <c r="C301" s="294"/>
      <c r="E301" s="295"/>
      <c r="F301" s="296"/>
      <c r="I301" s="297"/>
    </row>
    <row r="302" spans="2:9" ht="15.75">
      <c r="B302" s="293"/>
      <c r="C302" s="294"/>
      <c r="E302" s="295"/>
      <c r="F302" s="296"/>
      <c r="I302" s="297"/>
    </row>
    <row r="303" spans="2:9" ht="15.75">
      <c r="B303" s="293"/>
      <c r="C303" s="294"/>
      <c r="E303" s="295"/>
      <c r="F303" s="296"/>
      <c r="I303" s="297"/>
    </row>
    <row r="304" spans="2:9" ht="15.75">
      <c r="B304" s="293"/>
      <c r="C304" s="294"/>
      <c r="E304" s="295"/>
      <c r="F304" s="296"/>
      <c r="I304" s="297"/>
    </row>
    <row r="305" spans="2:9" ht="15.75">
      <c r="B305" s="293"/>
      <c r="C305" s="294"/>
      <c r="E305" s="295"/>
      <c r="F305" s="296"/>
      <c r="I305" s="297"/>
    </row>
    <row r="306" spans="2:9" ht="15.75">
      <c r="B306" s="293"/>
      <c r="C306" s="294"/>
      <c r="E306" s="295"/>
      <c r="F306" s="296"/>
      <c r="I306" s="297"/>
    </row>
    <row r="307" spans="2:9" ht="15.75">
      <c r="B307" s="293"/>
      <c r="C307" s="294"/>
      <c r="E307" s="295"/>
      <c r="F307" s="296"/>
      <c r="I307" s="297"/>
    </row>
    <row r="308" spans="2:9" ht="15.75">
      <c r="B308" s="293"/>
      <c r="C308" s="294"/>
      <c r="E308" s="295"/>
      <c r="F308" s="296"/>
      <c r="I308" s="297"/>
    </row>
    <row r="309" spans="2:9" ht="15.75">
      <c r="B309" s="293"/>
      <c r="C309" s="294"/>
      <c r="E309" s="295"/>
      <c r="F309" s="296"/>
      <c r="I309" s="297"/>
    </row>
    <row r="310" spans="2:9" ht="15.75">
      <c r="B310" s="293"/>
      <c r="C310" s="294"/>
      <c r="E310" s="295"/>
      <c r="F310" s="296"/>
      <c r="I310" s="297"/>
    </row>
    <row r="311" spans="2:9" ht="15.75">
      <c r="B311" s="293"/>
      <c r="C311" s="294"/>
      <c r="E311" s="295"/>
      <c r="F311" s="296"/>
      <c r="I311" s="297"/>
    </row>
    <row r="312" spans="2:9" ht="15.75">
      <c r="B312" s="293"/>
      <c r="C312" s="294"/>
      <c r="E312" s="295"/>
      <c r="F312" s="296"/>
      <c r="I312" s="297"/>
    </row>
    <row r="313" spans="2:9" ht="15.75">
      <c r="B313" s="293"/>
      <c r="C313" s="294"/>
      <c r="E313" s="295"/>
      <c r="F313" s="296"/>
      <c r="I313" s="297"/>
    </row>
    <row r="314" spans="2:9" ht="15.75">
      <c r="B314" s="293"/>
      <c r="C314" s="294"/>
      <c r="E314" s="295"/>
      <c r="F314" s="296"/>
      <c r="I314" s="297"/>
    </row>
    <row r="315" spans="2:9" ht="15.75">
      <c r="B315" s="293"/>
      <c r="C315" s="294"/>
      <c r="E315" s="295"/>
      <c r="F315" s="296"/>
      <c r="I315" s="297"/>
    </row>
    <row r="316" spans="2:9" ht="15.75">
      <c r="B316" s="293"/>
      <c r="C316" s="294"/>
      <c r="E316" s="295"/>
      <c r="F316" s="296"/>
      <c r="I316" s="297"/>
    </row>
    <row r="317" spans="2:9" ht="15.75">
      <c r="B317" s="293"/>
      <c r="C317" s="294"/>
      <c r="E317" s="295"/>
      <c r="F317" s="296"/>
      <c r="I317" s="297"/>
    </row>
    <row r="318" spans="2:9" ht="15.75">
      <c r="B318" s="293"/>
      <c r="C318" s="294"/>
      <c r="E318" s="295"/>
      <c r="F318" s="296"/>
      <c r="I318" s="297"/>
    </row>
    <row r="319" spans="2:9" ht="15.75">
      <c r="B319" s="293"/>
      <c r="C319" s="294"/>
      <c r="E319" s="295"/>
      <c r="F319" s="296"/>
      <c r="I319" s="297"/>
    </row>
    <row r="320" spans="2:9" ht="15.75">
      <c r="B320" s="293"/>
      <c r="C320" s="294"/>
      <c r="E320" s="295"/>
      <c r="F320" s="296"/>
      <c r="I320" s="297"/>
    </row>
    <row r="321" spans="2:9" ht="15.75">
      <c r="B321" s="293"/>
      <c r="C321" s="294"/>
      <c r="E321" s="295"/>
      <c r="F321" s="296"/>
      <c r="I321" s="297"/>
    </row>
    <row r="322" spans="2:9" ht="15.75">
      <c r="B322" s="293"/>
      <c r="C322" s="294"/>
      <c r="E322" s="295"/>
      <c r="F322" s="296"/>
      <c r="I322" s="297"/>
    </row>
    <row r="323" spans="2:9" ht="15.75">
      <c r="B323" s="293"/>
      <c r="C323" s="294"/>
      <c r="E323" s="295"/>
      <c r="F323" s="296"/>
      <c r="I323" s="297"/>
    </row>
    <row r="324" spans="2:9" ht="15.75">
      <c r="B324" s="293"/>
      <c r="C324" s="294"/>
      <c r="E324" s="295"/>
      <c r="F324" s="296"/>
      <c r="I324" s="297"/>
    </row>
    <row r="325" spans="2:9" ht="15.75">
      <c r="B325" s="293"/>
      <c r="C325" s="294"/>
      <c r="E325" s="295"/>
      <c r="F325" s="296"/>
      <c r="I325" s="297"/>
    </row>
    <row r="326" spans="2:9" ht="15.75">
      <c r="B326" s="293"/>
      <c r="C326" s="294"/>
      <c r="E326" s="295"/>
      <c r="F326" s="296"/>
      <c r="I326" s="297"/>
    </row>
    <row r="327" spans="2:9" ht="15.75">
      <c r="B327" s="293"/>
      <c r="C327" s="294"/>
      <c r="E327" s="295"/>
      <c r="F327" s="296"/>
      <c r="I327" s="297"/>
    </row>
    <row r="328" spans="2:9" ht="15.75">
      <c r="B328" s="293"/>
      <c r="C328" s="294"/>
      <c r="E328" s="295"/>
      <c r="F328" s="296"/>
      <c r="I328" s="297"/>
    </row>
    <row r="329" spans="2:9" ht="15.75">
      <c r="B329" s="293"/>
      <c r="C329" s="294"/>
      <c r="E329" s="295"/>
      <c r="F329" s="296"/>
      <c r="I329" s="297"/>
    </row>
    <row r="330" spans="2:9" ht="15.75">
      <c r="B330" s="293"/>
      <c r="C330" s="294"/>
      <c r="E330" s="295"/>
      <c r="F330" s="296"/>
      <c r="I330" s="297"/>
    </row>
    <row r="331" spans="2:9" ht="15.75">
      <c r="B331" s="293"/>
      <c r="C331" s="294"/>
      <c r="E331" s="295"/>
      <c r="F331" s="296"/>
      <c r="I331" s="297"/>
    </row>
    <row r="332" spans="2:9" ht="15.75">
      <c r="B332" s="293"/>
      <c r="C332" s="294"/>
      <c r="E332" s="295"/>
      <c r="F332" s="296"/>
      <c r="I332" s="297"/>
    </row>
    <row r="333" spans="2:9" ht="15.75">
      <c r="B333" s="293"/>
      <c r="C333" s="294"/>
      <c r="E333" s="295"/>
      <c r="F333" s="296"/>
      <c r="I333" s="297"/>
    </row>
    <row r="334" spans="2:9" ht="15.75">
      <c r="B334" s="293"/>
      <c r="C334" s="294"/>
      <c r="E334" s="295"/>
      <c r="F334" s="296"/>
      <c r="I334" s="297"/>
    </row>
    <row r="335" spans="2:9" ht="15.75">
      <c r="B335" s="293"/>
      <c r="C335" s="294"/>
      <c r="E335" s="295"/>
      <c r="F335" s="296"/>
      <c r="I335" s="297"/>
    </row>
    <row r="336" spans="2:9" ht="15.75">
      <c r="B336" s="293"/>
      <c r="C336" s="294"/>
      <c r="E336" s="295"/>
      <c r="F336" s="296"/>
      <c r="I336" s="297"/>
    </row>
    <row r="337" spans="2:9" ht="15.75">
      <c r="B337" s="293"/>
      <c r="C337" s="294"/>
      <c r="E337" s="295"/>
      <c r="F337" s="296"/>
      <c r="I337" s="297"/>
    </row>
    <row r="338" spans="2:9" ht="15.75">
      <c r="B338" s="293"/>
      <c r="C338" s="294"/>
      <c r="E338" s="295"/>
      <c r="F338" s="296"/>
      <c r="I338" s="297"/>
    </row>
    <row r="339" spans="2:9" ht="15.75">
      <c r="B339" s="293"/>
      <c r="C339" s="294"/>
      <c r="E339" s="295"/>
      <c r="F339" s="296"/>
      <c r="I339" s="297"/>
    </row>
    <row r="340" spans="2:9" ht="15.75">
      <c r="B340" s="293"/>
      <c r="C340" s="294"/>
      <c r="E340" s="295"/>
      <c r="F340" s="296"/>
      <c r="I340" s="297"/>
    </row>
    <row r="341" spans="2:9" ht="15.75">
      <c r="B341" s="293"/>
      <c r="C341" s="294"/>
      <c r="E341" s="295"/>
      <c r="F341" s="296"/>
      <c r="I341" s="297"/>
    </row>
    <row r="342" spans="2:9" ht="15.75">
      <c r="B342" s="293"/>
      <c r="C342" s="294"/>
      <c r="E342" s="295"/>
      <c r="F342" s="296"/>
      <c r="I342" s="297"/>
    </row>
    <row r="343" spans="2:9" ht="15.75">
      <c r="B343" s="293"/>
      <c r="C343" s="294"/>
      <c r="E343" s="295"/>
      <c r="F343" s="296"/>
      <c r="I343" s="297"/>
    </row>
    <row r="344" spans="2:9" ht="15.75">
      <c r="B344" s="293"/>
      <c r="C344" s="294"/>
      <c r="E344" s="295"/>
      <c r="F344" s="296"/>
      <c r="I344" s="297"/>
    </row>
    <row r="345" spans="2:9" ht="15.75">
      <c r="B345" s="293"/>
      <c r="C345" s="294"/>
      <c r="E345" s="295"/>
      <c r="F345" s="296"/>
      <c r="I345" s="297"/>
    </row>
    <row r="346" spans="2:9" ht="15.75">
      <c r="B346" s="293"/>
      <c r="C346" s="294"/>
      <c r="E346" s="295"/>
      <c r="F346" s="296"/>
      <c r="I346" s="297"/>
    </row>
    <row r="347" spans="2:9" ht="15.75">
      <c r="B347" s="293"/>
      <c r="C347" s="294"/>
      <c r="E347" s="295"/>
      <c r="F347" s="296"/>
      <c r="I347" s="297"/>
    </row>
    <row r="348" spans="2:9" ht="15.75">
      <c r="B348" s="293"/>
      <c r="C348" s="294"/>
      <c r="E348" s="295"/>
      <c r="F348" s="296"/>
      <c r="I348" s="297"/>
    </row>
    <row r="349" spans="2:9" ht="15.75">
      <c r="B349" s="293"/>
      <c r="C349" s="294"/>
      <c r="E349" s="295"/>
      <c r="F349" s="296"/>
      <c r="I349" s="297"/>
    </row>
    <row r="350" spans="2:9" ht="15.75">
      <c r="B350" s="293"/>
      <c r="C350" s="294"/>
      <c r="E350" s="295"/>
      <c r="F350" s="296"/>
      <c r="I350" s="297"/>
    </row>
    <row r="351" spans="2:9" ht="15.75">
      <c r="B351" s="293"/>
      <c r="C351" s="294"/>
      <c r="E351" s="295"/>
      <c r="F351" s="296"/>
      <c r="I351" s="297"/>
    </row>
    <row r="352" spans="2:9" ht="15.75">
      <c r="B352" s="293"/>
      <c r="C352" s="294"/>
      <c r="E352" s="295"/>
      <c r="F352" s="296"/>
      <c r="I352" s="297"/>
    </row>
    <row r="353" spans="2:9" ht="15.75">
      <c r="B353" s="293"/>
      <c r="C353" s="294"/>
      <c r="E353" s="295"/>
      <c r="F353" s="296"/>
      <c r="I353" s="297"/>
    </row>
    <row r="354" spans="2:9" ht="15.75">
      <c r="B354" s="293"/>
      <c r="C354" s="294"/>
      <c r="E354" s="295"/>
      <c r="F354" s="296"/>
      <c r="I354" s="297"/>
    </row>
    <row r="355" spans="2:9" ht="15.75">
      <c r="B355" s="293"/>
      <c r="C355" s="294"/>
      <c r="E355" s="295"/>
      <c r="F355" s="296"/>
      <c r="I355" s="297"/>
    </row>
    <row r="356" spans="2:9" ht="15.75">
      <c r="B356" s="293"/>
      <c r="C356" s="294"/>
      <c r="E356" s="295"/>
      <c r="F356" s="296"/>
      <c r="I356" s="297"/>
    </row>
    <row r="357" spans="2:9" ht="15.75">
      <c r="B357" s="293"/>
      <c r="C357" s="294"/>
      <c r="E357" s="295"/>
      <c r="F357" s="296"/>
      <c r="I357" s="297"/>
    </row>
    <row r="358" spans="2:9" ht="15.75">
      <c r="B358" s="293"/>
      <c r="C358" s="294"/>
      <c r="E358" s="295"/>
      <c r="F358" s="296"/>
      <c r="I358" s="297"/>
    </row>
    <row r="359" spans="2:9" ht="15.75">
      <c r="B359" s="293"/>
      <c r="C359" s="294"/>
      <c r="E359" s="295"/>
      <c r="F359" s="296"/>
      <c r="I359" s="297"/>
    </row>
    <row r="360" spans="2:9" ht="15.75">
      <c r="B360" s="293"/>
      <c r="C360" s="294"/>
      <c r="E360" s="295"/>
      <c r="F360" s="296"/>
      <c r="I360" s="297"/>
    </row>
    <row r="361" spans="2:9" ht="15.75">
      <c r="B361" s="293"/>
      <c r="C361" s="294"/>
      <c r="E361" s="295"/>
      <c r="F361" s="296"/>
      <c r="I361" s="297"/>
    </row>
    <row r="362" spans="2:9" ht="15.75">
      <c r="B362" s="293"/>
      <c r="C362" s="294"/>
      <c r="E362" s="295"/>
      <c r="F362" s="296"/>
      <c r="I362" s="297"/>
    </row>
    <row r="363" spans="2:9" ht="15.75">
      <c r="B363" s="293"/>
      <c r="C363" s="294"/>
      <c r="E363" s="295"/>
      <c r="F363" s="296"/>
      <c r="I363" s="297"/>
    </row>
    <row r="364" spans="2:9" ht="15.75">
      <c r="B364" s="293"/>
      <c r="C364" s="294"/>
      <c r="E364" s="295"/>
      <c r="F364" s="296"/>
      <c r="I364" s="297"/>
    </row>
    <row r="365" spans="2:9" ht="15.75">
      <c r="B365" s="293"/>
      <c r="C365" s="294"/>
      <c r="E365" s="295"/>
      <c r="F365" s="296"/>
      <c r="I365" s="297"/>
    </row>
    <row r="366" spans="2:9" ht="15.75">
      <c r="B366" s="293"/>
      <c r="C366" s="294"/>
      <c r="E366" s="295"/>
      <c r="F366" s="296"/>
      <c r="I366" s="297"/>
    </row>
    <row r="367" spans="2:9" ht="15.75">
      <c r="B367" s="293"/>
      <c r="C367" s="294"/>
      <c r="E367" s="295"/>
      <c r="F367" s="296"/>
      <c r="I367" s="297"/>
    </row>
    <row r="368" spans="2:9" ht="15.75">
      <c r="B368" s="293"/>
      <c r="C368" s="294"/>
      <c r="E368" s="295"/>
      <c r="F368" s="296"/>
      <c r="I368" s="297"/>
    </row>
    <row r="369" spans="2:9" ht="15.75">
      <c r="B369" s="293"/>
      <c r="C369" s="294"/>
      <c r="E369" s="295"/>
      <c r="F369" s="296"/>
      <c r="I369" s="297"/>
    </row>
    <row r="370" spans="2:9" ht="15.75">
      <c r="B370" s="293"/>
      <c r="C370" s="294"/>
      <c r="E370" s="295"/>
      <c r="F370" s="296"/>
      <c r="I370" s="297"/>
    </row>
    <row r="371" spans="2:9" ht="15.75">
      <c r="B371" s="293"/>
      <c r="C371" s="294"/>
      <c r="E371" s="295"/>
      <c r="F371" s="296"/>
      <c r="I371" s="297"/>
    </row>
    <row r="372" spans="2:9" ht="15.75">
      <c r="B372" s="293"/>
      <c r="C372" s="294"/>
      <c r="E372" s="295"/>
      <c r="F372" s="296"/>
      <c r="I372" s="297"/>
    </row>
    <row r="373" spans="2:9" ht="15.75">
      <c r="B373" s="293"/>
      <c r="C373" s="294"/>
      <c r="E373" s="295"/>
      <c r="F373" s="296"/>
      <c r="I373" s="297"/>
    </row>
    <row r="374" spans="2:9" ht="15.75">
      <c r="B374" s="293"/>
      <c r="C374" s="294"/>
      <c r="E374" s="295"/>
      <c r="F374" s="296"/>
      <c r="I374" s="297"/>
    </row>
    <row r="375" spans="2:9" ht="15.75">
      <c r="B375" s="293"/>
      <c r="C375" s="294"/>
      <c r="E375" s="295"/>
      <c r="F375" s="296"/>
      <c r="I375" s="297"/>
    </row>
    <row r="376" spans="2:9" ht="15.75">
      <c r="B376" s="293"/>
      <c r="C376" s="294"/>
      <c r="E376" s="295"/>
      <c r="F376" s="296"/>
      <c r="I376" s="297"/>
    </row>
    <row r="377" spans="2:9" ht="15.75">
      <c r="B377" s="293"/>
      <c r="C377" s="294"/>
      <c r="E377" s="295"/>
      <c r="F377" s="296"/>
      <c r="I377" s="297"/>
    </row>
    <row r="378" spans="2:9" ht="15.75">
      <c r="B378" s="293"/>
      <c r="C378" s="294"/>
      <c r="E378" s="295"/>
      <c r="F378" s="296"/>
      <c r="I378" s="297"/>
    </row>
    <row r="379" spans="2:9" ht="15.75">
      <c r="B379" s="293"/>
      <c r="C379" s="294"/>
      <c r="E379" s="295"/>
      <c r="F379" s="296"/>
      <c r="I379" s="297"/>
    </row>
    <row r="380" spans="2:9" ht="15.75">
      <c r="B380" s="293"/>
      <c r="C380" s="294"/>
      <c r="E380" s="295"/>
      <c r="F380" s="296"/>
      <c r="I380" s="297"/>
    </row>
    <row r="381" spans="2:9" ht="15.75">
      <c r="B381" s="293"/>
      <c r="C381" s="294"/>
      <c r="E381" s="295"/>
      <c r="F381" s="296"/>
      <c r="I381" s="297"/>
    </row>
    <row r="382" spans="2:9" ht="15.75">
      <c r="B382" s="293"/>
      <c r="C382" s="294"/>
      <c r="E382" s="295"/>
      <c r="F382" s="296"/>
      <c r="I382" s="297"/>
    </row>
    <row r="383" spans="2:9" ht="15.75">
      <c r="B383" s="293"/>
      <c r="C383" s="294"/>
      <c r="E383" s="295"/>
      <c r="F383" s="296"/>
      <c r="I383" s="297"/>
    </row>
    <row r="384" spans="2:9" ht="15.75">
      <c r="B384" s="293"/>
      <c r="C384" s="294"/>
      <c r="E384" s="295"/>
      <c r="F384" s="296"/>
      <c r="I384" s="297"/>
    </row>
    <row r="385" spans="2:9" ht="15.75">
      <c r="B385" s="293"/>
      <c r="C385" s="294"/>
      <c r="E385" s="295"/>
      <c r="F385" s="296"/>
      <c r="I385" s="297"/>
    </row>
    <row r="386" spans="2:9" ht="15.75">
      <c r="B386" s="293"/>
      <c r="C386" s="294"/>
      <c r="E386" s="295"/>
      <c r="F386" s="296"/>
      <c r="I386" s="297"/>
    </row>
    <row r="387" spans="2:9" ht="15.75">
      <c r="B387" s="293"/>
      <c r="C387" s="294"/>
      <c r="E387" s="295"/>
      <c r="F387" s="296"/>
      <c r="I387" s="297"/>
    </row>
    <row r="388" spans="2:9" ht="15.75">
      <c r="B388" s="293"/>
      <c r="C388" s="294"/>
      <c r="E388" s="295"/>
      <c r="F388" s="296"/>
      <c r="I388" s="297"/>
    </row>
    <row r="389" spans="2:9" ht="15.75">
      <c r="B389" s="293"/>
      <c r="C389" s="294"/>
      <c r="E389" s="295"/>
      <c r="F389" s="296"/>
      <c r="I389" s="297"/>
    </row>
    <row r="390" spans="2:9" ht="15.75">
      <c r="B390" s="293"/>
      <c r="C390" s="294"/>
      <c r="E390" s="295"/>
      <c r="F390" s="296"/>
      <c r="I390" s="297"/>
    </row>
    <row r="391" spans="2:9" ht="15.75">
      <c r="B391" s="293"/>
      <c r="C391" s="294"/>
      <c r="E391" s="295"/>
      <c r="F391" s="296"/>
      <c r="I391" s="297"/>
    </row>
    <row r="392" spans="2:9" ht="15.75">
      <c r="B392" s="293"/>
      <c r="C392" s="294"/>
      <c r="E392" s="295"/>
      <c r="F392" s="296"/>
      <c r="I392" s="297"/>
    </row>
    <row r="393" spans="2:9" ht="15.75">
      <c r="B393" s="293"/>
      <c r="C393" s="294"/>
      <c r="E393" s="295"/>
      <c r="F393" s="296"/>
      <c r="I393" s="297"/>
    </row>
    <row r="394" spans="2:9" ht="15.75">
      <c r="B394" s="293"/>
      <c r="C394" s="294"/>
      <c r="E394" s="295"/>
      <c r="F394" s="296"/>
      <c r="I394" s="297"/>
    </row>
    <row r="395" spans="2:9" ht="15.75">
      <c r="B395" s="293"/>
      <c r="C395" s="294"/>
      <c r="E395" s="295"/>
      <c r="F395" s="296"/>
      <c r="I395" s="297"/>
    </row>
    <row r="396" spans="2:9" ht="15.75">
      <c r="B396" s="293"/>
      <c r="C396" s="294"/>
      <c r="E396" s="295"/>
      <c r="F396" s="296"/>
      <c r="I396" s="297"/>
    </row>
    <row r="397" spans="2:9" ht="15.75">
      <c r="B397" s="293"/>
      <c r="C397" s="294"/>
      <c r="E397" s="295"/>
      <c r="F397" s="296"/>
      <c r="I397" s="297"/>
    </row>
    <row r="398" spans="2:9" ht="15.75">
      <c r="B398" s="293"/>
      <c r="C398" s="294"/>
      <c r="E398" s="295"/>
      <c r="F398" s="296"/>
      <c r="I398" s="297"/>
    </row>
    <row r="399" spans="2:9" ht="15.75">
      <c r="B399" s="293"/>
      <c r="C399" s="294"/>
      <c r="E399" s="295"/>
      <c r="F399" s="296"/>
      <c r="I399" s="297"/>
    </row>
    <row r="400" spans="2:9" ht="15.75">
      <c r="B400" s="293"/>
      <c r="C400" s="294"/>
      <c r="E400" s="295"/>
      <c r="F400" s="296"/>
      <c r="I400" s="297"/>
    </row>
    <row r="401" spans="2:9" ht="15.75">
      <c r="B401" s="293"/>
      <c r="C401" s="294"/>
      <c r="E401" s="295"/>
      <c r="F401" s="296"/>
      <c r="I401" s="297"/>
    </row>
    <row r="402" spans="2:9" ht="15.75">
      <c r="B402" s="293"/>
      <c r="C402" s="294"/>
      <c r="E402" s="295"/>
      <c r="F402" s="296"/>
      <c r="I402" s="297"/>
    </row>
    <row r="403" spans="2:9" ht="15.75">
      <c r="B403" s="293"/>
      <c r="C403" s="294"/>
      <c r="E403" s="295"/>
      <c r="F403" s="296"/>
      <c r="I403" s="297"/>
    </row>
    <row r="404" spans="2:9" ht="15.75">
      <c r="B404" s="293"/>
      <c r="C404" s="294"/>
      <c r="E404" s="295"/>
      <c r="F404" s="296"/>
      <c r="I404" s="297"/>
    </row>
    <row r="405" spans="2:9" ht="15.75">
      <c r="B405" s="293"/>
      <c r="C405" s="294"/>
      <c r="E405" s="295"/>
      <c r="F405" s="296"/>
      <c r="I405" s="297"/>
    </row>
    <row r="406" spans="2:9" ht="15.75">
      <c r="B406" s="293"/>
      <c r="C406" s="294"/>
      <c r="E406" s="295"/>
      <c r="F406" s="296"/>
      <c r="I406" s="297"/>
    </row>
    <row r="407" spans="2:9" ht="15.75">
      <c r="B407" s="293"/>
      <c r="C407" s="294"/>
      <c r="E407" s="295"/>
      <c r="F407" s="296"/>
      <c r="I407" s="297"/>
    </row>
    <row r="408" spans="2:9" ht="15.75">
      <c r="B408" s="293"/>
      <c r="C408" s="294"/>
      <c r="E408" s="295"/>
      <c r="F408" s="296"/>
      <c r="I408" s="297"/>
    </row>
    <row r="409" spans="2:9" ht="15.75">
      <c r="B409" s="293"/>
      <c r="C409" s="294"/>
      <c r="E409" s="295"/>
      <c r="F409" s="296"/>
      <c r="I409" s="297"/>
    </row>
    <row r="410" spans="2:9" ht="15.75">
      <c r="B410" s="293"/>
      <c r="C410" s="294"/>
      <c r="E410" s="295"/>
      <c r="F410" s="296"/>
      <c r="I410" s="297"/>
    </row>
    <row r="411" spans="2:9" ht="15.75">
      <c r="B411" s="293"/>
      <c r="C411" s="294"/>
      <c r="E411" s="295"/>
      <c r="F411" s="296"/>
      <c r="I411" s="297"/>
    </row>
    <row r="412" spans="2:9" ht="15.75">
      <c r="B412" s="293"/>
      <c r="C412" s="294"/>
      <c r="E412" s="295"/>
      <c r="F412" s="296"/>
      <c r="I412" s="297"/>
    </row>
    <row r="413" spans="2:9" ht="15.75">
      <c r="B413" s="293"/>
      <c r="C413" s="294"/>
      <c r="E413" s="295"/>
      <c r="F413" s="296"/>
      <c r="I413" s="297"/>
    </row>
    <row r="414" spans="2:9" ht="15.75">
      <c r="B414" s="293"/>
      <c r="C414" s="294"/>
      <c r="E414" s="295"/>
      <c r="F414" s="296"/>
      <c r="I414" s="297"/>
    </row>
    <row r="415" spans="2:9" ht="15.75">
      <c r="B415" s="293"/>
      <c r="C415" s="294"/>
      <c r="E415" s="295"/>
      <c r="F415" s="296"/>
      <c r="I415" s="297"/>
    </row>
    <row r="416" spans="2:9" ht="15.75">
      <c r="B416" s="293"/>
      <c r="C416" s="294"/>
      <c r="E416" s="295"/>
      <c r="F416" s="296"/>
      <c r="I416" s="297"/>
    </row>
    <row r="417" spans="2:9" ht="15.75">
      <c r="B417" s="293"/>
      <c r="C417" s="294"/>
      <c r="E417" s="295"/>
      <c r="F417" s="296"/>
      <c r="I417" s="297"/>
    </row>
    <row r="418" spans="2:9" ht="15.75">
      <c r="B418" s="293"/>
      <c r="C418" s="294"/>
      <c r="E418" s="295"/>
      <c r="F418" s="296"/>
      <c r="I418" s="297"/>
    </row>
    <row r="419" spans="2:9" ht="15.75">
      <c r="B419" s="293"/>
      <c r="C419" s="294"/>
      <c r="E419" s="295"/>
      <c r="F419" s="296"/>
      <c r="I419" s="297"/>
    </row>
    <row r="420" spans="2:9" ht="15.75">
      <c r="B420" s="293"/>
      <c r="C420" s="294"/>
      <c r="E420" s="295"/>
      <c r="F420" s="296"/>
      <c r="I420" s="297"/>
    </row>
    <row r="421" spans="2:9" ht="15.75">
      <c r="B421" s="293"/>
      <c r="C421" s="294"/>
      <c r="E421" s="295"/>
      <c r="F421" s="296"/>
      <c r="I421" s="297"/>
    </row>
    <row r="422" spans="2:9" ht="15.75">
      <c r="B422" s="293"/>
      <c r="C422" s="294"/>
      <c r="E422" s="295"/>
      <c r="F422" s="296"/>
      <c r="I422" s="297"/>
    </row>
    <row r="423" spans="2:9" ht="15.75">
      <c r="B423" s="293"/>
      <c r="C423" s="294"/>
      <c r="E423" s="295"/>
      <c r="F423" s="296"/>
      <c r="I423" s="297"/>
    </row>
    <row r="424" spans="2:9" ht="15.75">
      <c r="B424" s="293"/>
      <c r="C424" s="294"/>
      <c r="E424" s="295"/>
      <c r="F424" s="296"/>
      <c r="I424" s="297"/>
    </row>
    <row r="425" spans="2:9" ht="15.75">
      <c r="B425" s="293"/>
      <c r="C425" s="294"/>
      <c r="E425" s="295"/>
      <c r="F425" s="296"/>
      <c r="I425" s="297"/>
    </row>
    <row r="426" spans="2:9" ht="15.75">
      <c r="B426" s="293"/>
      <c r="C426" s="294"/>
      <c r="E426" s="295"/>
      <c r="F426" s="296"/>
      <c r="I426" s="297"/>
    </row>
    <row r="427" spans="2:9" ht="15.75">
      <c r="B427" s="293"/>
      <c r="C427" s="294"/>
      <c r="E427" s="295"/>
      <c r="F427" s="296"/>
      <c r="I427" s="297"/>
    </row>
    <row r="428" spans="2:9" ht="15.75">
      <c r="B428" s="293"/>
      <c r="C428" s="294"/>
      <c r="E428" s="295"/>
      <c r="F428" s="296"/>
      <c r="I428" s="297"/>
    </row>
    <row r="429" spans="2:9" ht="15.75">
      <c r="B429" s="293"/>
      <c r="C429" s="294"/>
      <c r="E429" s="295"/>
      <c r="F429" s="296"/>
      <c r="I429" s="297"/>
    </row>
    <row r="430" spans="2:9" ht="15.75">
      <c r="B430" s="293"/>
      <c r="C430" s="294"/>
      <c r="E430" s="295"/>
      <c r="F430" s="296"/>
      <c r="I430" s="297"/>
    </row>
    <row r="431" spans="2:9" ht="15.75">
      <c r="B431" s="293"/>
      <c r="C431" s="294"/>
      <c r="E431" s="295"/>
      <c r="F431" s="296"/>
      <c r="I431" s="297"/>
    </row>
    <row r="432" spans="2:9" ht="15.75">
      <c r="B432" s="293"/>
      <c r="C432" s="294"/>
      <c r="E432" s="295"/>
      <c r="F432" s="296"/>
      <c r="I432" s="297"/>
    </row>
    <row r="433" spans="2:9" ht="15.75">
      <c r="B433" s="293"/>
      <c r="C433" s="294"/>
      <c r="E433" s="295"/>
      <c r="F433" s="296"/>
      <c r="I433" s="297"/>
    </row>
    <row r="434" spans="2:9" ht="15.75">
      <c r="B434" s="293"/>
      <c r="C434" s="294"/>
      <c r="E434" s="295"/>
      <c r="F434" s="296"/>
      <c r="I434" s="297"/>
    </row>
    <row r="435" spans="2:9" ht="15.75">
      <c r="B435" s="293"/>
      <c r="C435" s="294"/>
      <c r="E435" s="295"/>
      <c r="F435" s="296"/>
      <c r="I435" s="297"/>
    </row>
    <row r="436" spans="2:9" ht="15.75">
      <c r="B436" s="293"/>
      <c r="C436" s="294"/>
      <c r="E436" s="295"/>
      <c r="F436" s="296"/>
      <c r="I436" s="297"/>
    </row>
    <row r="437" spans="2:9" ht="15.75">
      <c r="B437" s="293"/>
      <c r="C437" s="294"/>
      <c r="E437" s="295"/>
      <c r="F437" s="296"/>
      <c r="I437" s="297"/>
    </row>
    <row r="438" spans="2:9" ht="15.75">
      <c r="B438" s="293"/>
      <c r="C438" s="294"/>
      <c r="E438" s="295"/>
      <c r="F438" s="296"/>
      <c r="I438" s="297"/>
    </row>
    <row r="439" spans="2:9" ht="15.75">
      <c r="B439" s="293"/>
      <c r="C439" s="294"/>
      <c r="E439" s="295"/>
      <c r="F439" s="296"/>
      <c r="I439" s="297"/>
    </row>
    <row r="440" spans="2:9" ht="15.75">
      <c r="B440" s="293"/>
      <c r="C440" s="294"/>
      <c r="E440" s="295"/>
      <c r="F440" s="296"/>
      <c r="I440" s="297"/>
    </row>
    <row r="441" spans="2:9" ht="15.75">
      <c r="B441" s="293"/>
      <c r="C441" s="294"/>
      <c r="E441" s="295"/>
      <c r="F441" s="296"/>
      <c r="I441" s="297"/>
    </row>
    <row r="442" spans="2:9" ht="15.75">
      <c r="B442" s="293"/>
      <c r="C442" s="294"/>
      <c r="E442" s="295"/>
      <c r="F442" s="296"/>
      <c r="I442" s="297"/>
    </row>
    <row r="443" spans="2:9" ht="15.75">
      <c r="B443" s="293"/>
      <c r="C443" s="294"/>
      <c r="E443" s="295"/>
      <c r="F443" s="296"/>
      <c r="I443" s="297"/>
    </row>
    <row r="444" spans="2:9" ht="15.75">
      <c r="B444" s="293"/>
      <c r="C444" s="294"/>
      <c r="E444" s="295"/>
      <c r="F444" s="296"/>
      <c r="I444" s="297"/>
    </row>
    <row r="445" spans="2:9" ht="15.75">
      <c r="B445" s="293"/>
      <c r="C445" s="294"/>
      <c r="E445" s="295"/>
      <c r="F445" s="296"/>
      <c r="I445" s="297"/>
    </row>
    <row r="446" spans="2:9" ht="15.75">
      <c r="B446" s="293"/>
      <c r="C446" s="294"/>
      <c r="E446" s="295"/>
      <c r="F446" s="296"/>
      <c r="I446" s="297"/>
    </row>
    <row r="447" spans="2:9" ht="15.75">
      <c r="B447" s="293"/>
      <c r="C447" s="294"/>
      <c r="E447" s="295"/>
      <c r="F447" s="296"/>
      <c r="I447" s="297"/>
    </row>
    <row r="448" spans="2:9" ht="15.75">
      <c r="B448" s="293"/>
      <c r="C448" s="294"/>
      <c r="E448" s="295"/>
      <c r="F448" s="296"/>
      <c r="I448" s="297"/>
    </row>
    <row r="449" spans="2:9" ht="15.75">
      <c r="B449" s="293"/>
      <c r="C449" s="294"/>
      <c r="E449" s="295"/>
      <c r="F449" s="296"/>
      <c r="I449" s="297"/>
    </row>
    <row r="450" spans="2:9" ht="15.75">
      <c r="B450" s="293"/>
      <c r="C450" s="294"/>
      <c r="E450" s="295"/>
      <c r="F450" s="296"/>
      <c r="I450" s="297"/>
    </row>
    <row r="451" spans="2:9" ht="15.75">
      <c r="B451" s="293"/>
      <c r="C451" s="294"/>
      <c r="E451" s="295"/>
      <c r="F451" s="296"/>
      <c r="I451" s="297"/>
    </row>
    <row r="452" spans="2:9" ht="15.75">
      <c r="B452" s="293"/>
      <c r="C452" s="294"/>
      <c r="E452" s="295"/>
      <c r="F452" s="296"/>
      <c r="I452" s="297"/>
    </row>
    <row r="453" spans="2:9" ht="15.75">
      <c r="B453" s="293"/>
      <c r="C453" s="294"/>
      <c r="E453" s="295"/>
      <c r="F453" s="296"/>
      <c r="I453" s="297"/>
    </row>
    <row r="454" spans="2:9" ht="15.75">
      <c r="B454" s="293"/>
      <c r="C454" s="294"/>
      <c r="E454" s="295"/>
      <c r="F454" s="296"/>
      <c r="I454" s="297"/>
    </row>
    <row r="455" spans="2:9" ht="15.75">
      <c r="B455" s="293"/>
      <c r="C455" s="294"/>
      <c r="E455" s="295"/>
      <c r="F455" s="296"/>
      <c r="I455" s="297"/>
    </row>
    <row r="456" spans="2:9" ht="15.75">
      <c r="B456" s="293"/>
      <c r="C456" s="294"/>
      <c r="E456" s="295"/>
      <c r="F456" s="296"/>
      <c r="I456" s="297"/>
    </row>
    <row r="457" spans="2:9" ht="15.75">
      <c r="B457" s="293"/>
      <c r="C457" s="294"/>
      <c r="E457" s="295"/>
      <c r="F457" s="296"/>
      <c r="I457" s="297"/>
    </row>
    <row r="458" spans="2:9" ht="15.75">
      <c r="B458" s="293"/>
      <c r="C458" s="294"/>
      <c r="E458" s="295"/>
      <c r="F458" s="296"/>
      <c r="I458" s="297"/>
    </row>
    <row r="459" spans="2:9" ht="15.75">
      <c r="B459" s="293"/>
      <c r="C459" s="294"/>
      <c r="E459" s="295"/>
      <c r="F459" s="296"/>
      <c r="I459" s="297"/>
    </row>
    <row r="460" spans="2:9" ht="15.75">
      <c r="B460" s="293"/>
      <c r="C460" s="294"/>
      <c r="E460" s="295"/>
      <c r="F460" s="296"/>
      <c r="I460" s="297"/>
    </row>
    <row r="461" spans="2:9" ht="15.75">
      <c r="B461" s="293"/>
      <c r="C461" s="294"/>
      <c r="E461" s="295"/>
      <c r="F461" s="296"/>
      <c r="I461" s="297"/>
    </row>
    <row r="462" spans="2:9" ht="15.75">
      <c r="B462" s="293"/>
      <c r="C462" s="294"/>
      <c r="E462" s="295"/>
      <c r="F462" s="296"/>
      <c r="I462" s="297"/>
    </row>
    <row r="463" spans="2:9" ht="15.75">
      <c r="B463" s="293"/>
      <c r="C463" s="294"/>
      <c r="E463" s="295"/>
      <c r="F463" s="296"/>
      <c r="I463" s="297"/>
    </row>
    <row r="464" spans="2:9" ht="15.75">
      <c r="B464" s="293"/>
      <c r="C464" s="294"/>
      <c r="E464" s="295"/>
      <c r="F464" s="296"/>
      <c r="I464" s="297"/>
    </row>
    <row r="465" spans="2:9" ht="15.75">
      <c r="B465" s="293"/>
      <c r="C465" s="294"/>
      <c r="E465" s="295"/>
      <c r="F465" s="296"/>
      <c r="I465" s="297"/>
    </row>
    <row r="466" spans="2:9" ht="15.75">
      <c r="B466" s="293"/>
      <c r="C466" s="294"/>
      <c r="E466" s="295"/>
      <c r="F466" s="296"/>
      <c r="I466" s="297"/>
    </row>
    <row r="467" spans="2:9" ht="15.75">
      <c r="B467" s="293"/>
      <c r="C467" s="294"/>
      <c r="E467" s="295"/>
      <c r="F467" s="296"/>
      <c r="I467" s="297"/>
    </row>
    <row r="468" spans="2:9" ht="15.75">
      <c r="B468" s="293"/>
      <c r="C468" s="294"/>
      <c r="E468" s="295"/>
      <c r="F468" s="296"/>
      <c r="I468" s="297"/>
    </row>
    <row r="469" spans="2:9" ht="15.75">
      <c r="B469" s="293"/>
      <c r="C469" s="294"/>
      <c r="E469" s="295"/>
      <c r="F469" s="296"/>
      <c r="I469" s="297"/>
    </row>
    <row r="470" spans="2:9" ht="15.75">
      <c r="B470" s="293"/>
      <c r="C470" s="294"/>
      <c r="E470" s="295"/>
      <c r="F470" s="296"/>
      <c r="I470" s="297"/>
    </row>
    <row r="471" spans="2:9" ht="15.75">
      <c r="B471" s="293"/>
      <c r="C471" s="294"/>
      <c r="E471" s="295"/>
      <c r="F471" s="296"/>
      <c r="I471" s="297"/>
    </row>
    <row r="472" spans="2:9" ht="15.75">
      <c r="B472" s="293"/>
      <c r="C472" s="294"/>
      <c r="E472" s="295"/>
      <c r="F472" s="296"/>
      <c r="I472" s="297"/>
    </row>
    <row r="473" spans="2:9" ht="15.75">
      <c r="B473" s="293"/>
      <c r="C473" s="294"/>
      <c r="E473" s="295"/>
      <c r="F473" s="296"/>
      <c r="I473" s="297"/>
    </row>
    <row r="474" spans="2:9" ht="15.75">
      <c r="B474" s="293"/>
      <c r="C474" s="294"/>
      <c r="E474" s="295"/>
      <c r="F474" s="296"/>
      <c r="I474" s="297"/>
    </row>
    <row r="475" spans="2:9" ht="15.75">
      <c r="B475" s="293"/>
      <c r="C475" s="294"/>
      <c r="E475" s="295"/>
      <c r="F475" s="296"/>
      <c r="I475" s="297"/>
    </row>
    <row r="476" spans="2:9" ht="15.75">
      <c r="B476" s="293"/>
      <c r="C476" s="294"/>
      <c r="E476" s="295"/>
      <c r="F476" s="296"/>
      <c r="I476" s="297"/>
    </row>
    <row r="477" spans="2:9" ht="15.75">
      <c r="B477" s="293"/>
      <c r="C477" s="294"/>
      <c r="E477" s="295"/>
      <c r="F477" s="296"/>
      <c r="I477" s="297"/>
    </row>
    <row r="478" spans="2:9" ht="15.75">
      <c r="B478" s="293"/>
      <c r="C478" s="294"/>
      <c r="E478" s="295"/>
      <c r="F478" s="296"/>
      <c r="I478" s="297"/>
    </row>
    <row r="479" spans="2:9" ht="15.75">
      <c r="B479" s="293"/>
      <c r="C479" s="294"/>
      <c r="E479" s="295"/>
      <c r="F479" s="296"/>
      <c r="I479" s="297"/>
    </row>
    <row r="480" spans="2:9" ht="15.75">
      <c r="B480" s="293"/>
      <c r="C480" s="294"/>
      <c r="E480" s="295"/>
      <c r="F480" s="296"/>
      <c r="I480" s="297"/>
    </row>
    <row r="481" spans="2:9" ht="15.75">
      <c r="B481" s="293"/>
      <c r="C481" s="294"/>
      <c r="E481" s="295"/>
      <c r="F481" s="296"/>
      <c r="I481" s="297"/>
    </row>
    <row r="482" spans="2:9" ht="15.75">
      <c r="B482" s="293"/>
      <c r="C482" s="294"/>
      <c r="E482" s="295"/>
      <c r="F482" s="296"/>
      <c r="I482" s="297"/>
    </row>
    <row r="483" spans="2:9" ht="15.75">
      <c r="B483" s="293"/>
      <c r="C483" s="294"/>
      <c r="E483" s="295"/>
      <c r="F483" s="296"/>
      <c r="I483" s="297"/>
    </row>
    <row r="484" spans="2:9" ht="15.75">
      <c r="B484" s="293"/>
      <c r="C484" s="294"/>
      <c r="E484" s="295"/>
      <c r="F484" s="296"/>
      <c r="I484" s="297"/>
    </row>
    <row r="485" spans="2:9" ht="15.75">
      <c r="B485" s="293"/>
      <c r="C485" s="294"/>
      <c r="E485" s="295"/>
      <c r="F485" s="296"/>
      <c r="I485" s="297"/>
    </row>
    <row r="486" spans="2:9" ht="15.75">
      <c r="B486" s="293"/>
      <c r="C486" s="294"/>
      <c r="E486" s="295"/>
      <c r="F486" s="296"/>
      <c r="I486" s="297"/>
    </row>
    <row r="487" spans="2:9" ht="15.75">
      <c r="B487" s="293"/>
      <c r="C487" s="294"/>
      <c r="E487" s="295"/>
      <c r="F487" s="296"/>
      <c r="I487" s="297"/>
    </row>
    <row r="488" spans="2:9" ht="15.75">
      <c r="B488" s="293"/>
      <c r="C488" s="294"/>
      <c r="E488" s="295"/>
      <c r="F488" s="296"/>
      <c r="I488" s="297"/>
    </row>
    <row r="489" spans="2:9" ht="15.75">
      <c r="B489" s="293"/>
      <c r="C489" s="294"/>
      <c r="E489" s="295"/>
      <c r="F489" s="296"/>
      <c r="I489" s="297"/>
    </row>
    <row r="490" spans="2:9" ht="15.75">
      <c r="B490" s="293"/>
      <c r="C490" s="294"/>
      <c r="E490" s="295"/>
      <c r="F490" s="296"/>
      <c r="I490" s="297"/>
    </row>
    <row r="491" spans="2:9" ht="15.75">
      <c r="B491" s="293"/>
      <c r="C491" s="294"/>
      <c r="E491" s="295"/>
      <c r="F491" s="296"/>
      <c r="I491" s="297"/>
    </row>
    <row r="492" spans="2:9" ht="15.75">
      <c r="B492" s="293"/>
      <c r="C492" s="294"/>
      <c r="E492" s="295"/>
      <c r="F492" s="296"/>
      <c r="I492" s="297"/>
    </row>
    <row r="493" spans="2:9" ht="15.75">
      <c r="B493" s="293"/>
      <c r="C493" s="294"/>
      <c r="E493" s="295"/>
      <c r="F493" s="296"/>
      <c r="I493" s="297"/>
    </row>
    <row r="494" spans="2:9" ht="15.75">
      <c r="B494" s="293"/>
      <c r="C494" s="294"/>
      <c r="E494" s="295"/>
      <c r="F494" s="296"/>
      <c r="I494" s="297"/>
    </row>
    <row r="495" spans="2:9" ht="15.75">
      <c r="B495" s="293"/>
      <c r="C495" s="294"/>
      <c r="E495" s="295"/>
      <c r="F495" s="296"/>
      <c r="I495" s="297"/>
    </row>
    <row r="496" spans="2:9" ht="15.75">
      <c r="B496" s="293"/>
      <c r="C496" s="294"/>
      <c r="E496" s="295"/>
      <c r="F496" s="296"/>
      <c r="I496" s="297"/>
    </row>
    <row r="497" spans="2:9" ht="15.75">
      <c r="B497" s="293"/>
      <c r="C497" s="294"/>
      <c r="E497" s="295"/>
      <c r="F497" s="296"/>
      <c r="I497" s="297"/>
    </row>
    <row r="498" spans="2:9" ht="15.75">
      <c r="B498" s="293"/>
      <c r="C498" s="294"/>
      <c r="E498" s="295"/>
      <c r="F498" s="296"/>
      <c r="I498" s="297"/>
    </row>
    <row r="499" spans="2:9" ht="15.75">
      <c r="B499" s="293"/>
      <c r="C499" s="294"/>
      <c r="E499" s="295"/>
      <c r="F499" s="296"/>
      <c r="I499" s="297"/>
    </row>
    <row r="500" spans="2:9" ht="15.75">
      <c r="B500" s="293"/>
      <c r="C500" s="294"/>
      <c r="E500" s="295"/>
      <c r="F500" s="296"/>
      <c r="I500" s="297"/>
    </row>
    <row r="501" spans="2:9" ht="15.75">
      <c r="B501" s="293"/>
      <c r="C501" s="294"/>
      <c r="E501" s="295"/>
      <c r="F501" s="296"/>
      <c r="I501" s="297"/>
    </row>
    <row r="502" spans="2:9" ht="15.75">
      <c r="B502" s="293"/>
      <c r="C502" s="294"/>
      <c r="E502" s="295"/>
      <c r="F502" s="296"/>
      <c r="I502" s="297"/>
    </row>
    <row r="503" spans="2:9" ht="15.75">
      <c r="B503" s="293"/>
      <c r="C503" s="294"/>
      <c r="E503" s="295"/>
      <c r="F503" s="296"/>
      <c r="I503" s="297"/>
    </row>
    <row r="504" spans="2:9" ht="15.75">
      <c r="B504" s="293"/>
      <c r="C504" s="294"/>
      <c r="E504" s="295"/>
      <c r="F504" s="296"/>
      <c r="I504" s="297"/>
    </row>
    <row r="505" spans="2:9" ht="15.75">
      <c r="B505" s="293"/>
      <c r="C505" s="294"/>
      <c r="E505" s="295"/>
      <c r="F505" s="296"/>
      <c r="I505" s="297"/>
    </row>
    <row r="506" spans="2:9" ht="15.75">
      <c r="B506" s="293"/>
      <c r="C506" s="294"/>
      <c r="E506" s="295"/>
      <c r="F506" s="296"/>
      <c r="I506" s="297"/>
    </row>
    <row r="507" spans="2:9" ht="15.75">
      <c r="B507" s="293"/>
      <c r="C507" s="294"/>
      <c r="E507" s="295"/>
      <c r="F507" s="296"/>
      <c r="I507" s="297"/>
    </row>
    <row r="508" spans="2:9" ht="15.75">
      <c r="B508" s="293"/>
      <c r="C508" s="294"/>
      <c r="E508" s="295"/>
      <c r="F508" s="296"/>
      <c r="I508" s="297"/>
    </row>
    <row r="509" spans="2:9" ht="15.75">
      <c r="B509" s="293"/>
      <c r="C509" s="294"/>
      <c r="E509" s="295"/>
      <c r="F509" s="296"/>
      <c r="I509" s="297"/>
    </row>
    <row r="510" spans="2:9" ht="15.75">
      <c r="B510" s="293"/>
      <c r="C510" s="294"/>
      <c r="E510" s="295"/>
      <c r="F510" s="296"/>
      <c r="I510" s="297"/>
    </row>
    <row r="511" spans="2:9" ht="15.75">
      <c r="B511" s="293"/>
      <c r="C511" s="294"/>
      <c r="E511" s="295"/>
      <c r="F511" s="296"/>
      <c r="I511" s="297"/>
    </row>
    <row r="512" spans="2:9" ht="15.75">
      <c r="B512" s="293"/>
      <c r="C512" s="294"/>
      <c r="E512" s="295"/>
      <c r="F512" s="296"/>
      <c r="I512" s="297"/>
    </row>
    <row r="513" spans="2:9" ht="15.75">
      <c r="B513" s="293"/>
      <c r="C513" s="294"/>
      <c r="E513" s="295"/>
      <c r="F513" s="296"/>
      <c r="I513" s="297"/>
    </row>
    <row r="514" spans="2:9" ht="15.75">
      <c r="B514" s="293"/>
      <c r="C514" s="294"/>
      <c r="E514" s="295"/>
      <c r="F514" s="296"/>
      <c r="I514" s="297"/>
    </row>
    <row r="515" spans="2:9" ht="15.75">
      <c r="B515" s="293"/>
      <c r="C515" s="294"/>
      <c r="E515" s="295"/>
      <c r="F515" s="296"/>
      <c r="I515" s="297"/>
    </row>
    <row r="516" spans="2:9" ht="15.75">
      <c r="B516" s="293"/>
      <c r="C516" s="294"/>
      <c r="E516" s="295"/>
      <c r="F516" s="296"/>
      <c r="I516" s="297"/>
    </row>
    <row r="517" spans="2:9" ht="15.75">
      <c r="B517" s="293"/>
      <c r="C517" s="294"/>
      <c r="E517" s="295"/>
      <c r="F517" s="296"/>
      <c r="I517" s="297"/>
    </row>
    <row r="518" spans="2:9" ht="15.75">
      <c r="B518" s="293"/>
      <c r="C518" s="294"/>
      <c r="E518" s="295"/>
      <c r="F518" s="296"/>
      <c r="I518" s="297"/>
    </row>
    <row r="519" spans="2:9" ht="15.75">
      <c r="B519" s="293"/>
      <c r="C519" s="294"/>
      <c r="E519" s="295"/>
      <c r="F519" s="296"/>
      <c r="I519" s="297"/>
    </row>
    <row r="520" spans="2:9" ht="15.75">
      <c r="B520" s="293"/>
      <c r="C520" s="294"/>
      <c r="E520" s="295"/>
      <c r="F520" s="296"/>
      <c r="I520" s="297"/>
    </row>
    <row r="521" spans="2:9" ht="15.75">
      <c r="B521" s="293"/>
      <c r="C521" s="294"/>
      <c r="E521" s="295"/>
      <c r="F521" s="296"/>
      <c r="I521" s="297"/>
    </row>
    <row r="522" spans="2:9" ht="15.75">
      <c r="B522" s="293"/>
      <c r="C522" s="294"/>
      <c r="E522" s="295"/>
      <c r="F522" s="296"/>
      <c r="I522" s="297"/>
    </row>
    <row r="523" spans="2:9" ht="15.75">
      <c r="B523" s="293"/>
      <c r="C523" s="294"/>
      <c r="E523" s="295"/>
      <c r="F523" s="296"/>
      <c r="I523" s="297"/>
    </row>
    <row r="524" spans="2:9" ht="15.75">
      <c r="B524" s="293"/>
      <c r="C524" s="294"/>
      <c r="E524" s="295"/>
      <c r="F524" s="296"/>
      <c r="I524" s="297"/>
    </row>
    <row r="525" spans="2:9" ht="15.75">
      <c r="B525" s="293"/>
      <c r="C525" s="294"/>
      <c r="E525" s="295"/>
      <c r="F525" s="296"/>
      <c r="I525" s="297"/>
    </row>
    <row r="526" spans="2:9" ht="15.75">
      <c r="B526" s="293"/>
      <c r="C526" s="294"/>
      <c r="E526" s="295"/>
      <c r="F526" s="296"/>
      <c r="I526" s="297"/>
    </row>
    <row r="527" spans="2:9" ht="15.75">
      <c r="B527" s="293"/>
      <c r="C527" s="294"/>
      <c r="E527" s="295"/>
      <c r="F527" s="296"/>
      <c r="I527" s="297"/>
    </row>
    <row r="528" spans="2:9" ht="15.75">
      <c r="B528" s="293"/>
      <c r="C528" s="294"/>
      <c r="E528" s="295"/>
      <c r="F528" s="296"/>
      <c r="I528" s="297"/>
    </row>
    <row r="529" spans="2:9" ht="15.75">
      <c r="B529" s="293"/>
      <c r="C529" s="294"/>
      <c r="E529" s="295"/>
      <c r="F529" s="296"/>
      <c r="I529" s="297"/>
    </row>
    <row r="530" spans="2:9" ht="15.75">
      <c r="B530" s="293"/>
      <c r="C530" s="294"/>
      <c r="E530" s="295"/>
      <c r="F530" s="296"/>
      <c r="I530" s="297"/>
    </row>
    <row r="531" spans="2:9" ht="15.75">
      <c r="B531" s="293"/>
      <c r="C531" s="294"/>
      <c r="E531" s="295"/>
      <c r="F531" s="296"/>
      <c r="I531" s="297"/>
    </row>
    <row r="532" spans="2:9" ht="15.75">
      <c r="B532" s="293"/>
      <c r="C532" s="294"/>
      <c r="E532" s="295"/>
      <c r="F532" s="296"/>
      <c r="I532" s="297"/>
    </row>
    <row r="533" spans="2:9" ht="15.75">
      <c r="B533" s="293"/>
      <c r="C533" s="294"/>
      <c r="E533" s="295"/>
      <c r="F533" s="296"/>
      <c r="I533" s="297"/>
    </row>
    <row r="534" spans="2:9" ht="15.75">
      <c r="B534" s="293"/>
      <c r="C534" s="294"/>
      <c r="E534" s="295"/>
      <c r="F534" s="296"/>
      <c r="I534" s="297"/>
    </row>
    <row r="535" spans="2:9" ht="15.75">
      <c r="B535" s="293"/>
      <c r="C535" s="294"/>
      <c r="E535" s="295"/>
      <c r="F535" s="296"/>
      <c r="I535" s="297"/>
    </row>
    <row r="536" spans="2:9" ht="15.75">
      <c r="B536" s="293"/>
      <c r="C536" s="294"/>
      <c r="E536" s="295"/>
      <c r="F536" s="296"/>
      <c r="I536" s="297"/>
    </row>
    <row r="537" spans="2:9" ht="15.75">
      <c r="B537" s="293"/>
      <c r="C537" s="294"/>
      <c r="E537" s="295"/>
      <c r="F537" s="296"/>
      <c r="I537" s="297"/>
    </row>
    <row r="538" spans="2:9" ht="15.75">
      <c r="B538" s="293"/>
      <c r="C538" s="294"/>
      <c r="E538" s="295"/>
      <c r="F538" s="296"/>
      <c r="I538" s="297"/>
    </row>
    <row r="539" spans="2:9" ht="15.75">
      <c r="B539" s="293"/>
      <c r="C539" s="294"/>
      <c r="E539" s="295"/>
      <c r="F539" s="296"/>
      <c r="I539" s="297"/>
    </row>
    <row r="540" spans="2:9" ht="15.75">
      <c r="B540" s="293"/>
      <c r="C540" s="294"/>
      <c r="E540" s="295"/>
      <c r="F540" s="296"/>
      <c r="I540" s="297"/>
    </row>
    <row r="541" spans="2:9" ht="15.75">
      <c r="B541" s="293"/>
      <c r="C541" s="294"/>
      <c r="E541" s="295"/>
      <c r="F541" s="296"/>
      <c r="I541" s="297"/>
    </row>
    <row r="542" spans="2:9" ht="15.75">
      <c r="B542" s="293"/>
      <c r="C542" s="294"/>
      <c r="E542" s="295"/>
      <c r="F542" s="296"/>
      <c r="I542" s="297"/>
    </row>
    <row r="543" spans="2:9" ht="15.75">
      <c r="B543" s="293"/>
      <c r="C543" s="294"/>
      <c r="E543" s="295"/>
      <c r="F543" s="296"/>
      <c r="I543" s="297"/>
    </row>
    <row r="544" spans="2:9" ht="15.75">
      <c r="B544" s="293"/>
      <c r="C544" s="294"/>
      <c r="E544" s="295"/>
      <c r="F544" s="296"/>
      <c r="I544" s="297"/>
    </row>
    <row r="545" spans="2:9" ht="15.75">
      <c r="B545" s="293"/>
      <c r="C545" s="294"/>
      <c r="E545" s="295"/>
      <c r="F545" s="296"/>
      <c r="I545" s="297"/>
    </row>
    <row r="546" spans="2:9" ht="15.75">
      <c r="B546" s="293"/>
      <c r="C546" s="294"/>
      <c r="E546" s="295"/>
      <c r="F546" s="296"/>
      <c r="I546" s="297"/>
    </row>
    <row r="547" spans="2:9" ht="15.75">
      <c r="B547" s="293"/>
      <c r="C547" s="294"/>
      <c r="E547" s="295"/>
      <c r="F547" s="296"/>
      <c r="I547" s="297"/>
    </row>
    <row r="548" spans="2:9" ht="15.75">
      <c r="B548" s="293"/>
      <c r="C548" s="294"/>
      <c r="E548" s="295"/>
      <c r="F548" s="296"/>
      <c r="I548" s="297"/>
    </row>
    <row r="549" spans="2:9" ht="15.75">
      <c r="B549" s="293"/>
      <c r="C549" s="294"/>
      <c r="E549" s="295"/>
      <c r="F549" s="296"/>
      <c r="I549" s="297"/>
    </row>
    <row r="550" spans="2:9" ht="15.75">
      <c r="B550" s="293"/>
      <c r="C550" s="294"/>
      <c r="E550" s="295"/>
      <c r="F550" s="296"/>
      <c r="I550" s="297"/>
    </row>
    <row r="551" spans="2:9" ht="15.75">
      <c r="B551" s="293"/>
      <c r="C551" s="294"/>
      <c r="E551" s="295"/>
      <c r="F551" s="296"/>
      <c r="I551" s="297"/>
    </row>
    <row r="552" spans="2:9" ht="15.75">
      <c r="B552" s="293"/>
      <c r="C552" s="294"/>
      <c r="E552" s="295"/>
      <c r="F552" s="296"/>
      <c r="I552" s="297"/>
    </row>
    <row r="553" spans="2:9" ht="15.75">
      <c r="B553" s="293"/>
      <c r="C553" s="294"/>
      <c r="E553" s="295"/>
      <c r="F553" s="296"/>
      <c r="I553" s="297"/>
    </row>
    <row r="554" spans="2:9" ht="15.75">
      <c r="B554" s="293"/>
      <c r="C554" s="294"/>
      <c r="E554" s="295"/>
      <c r="F554" s="296"/>
      <c r="I554" s="297"/>
    </row>
    <row r="555" spans="2:9" ht="15.75">
      <c r="B555" s="293"/>
      <c r="C555" s="294"/>
      <c r="E555" s="295"/>
      <c r="F555" s="296"/>
      <c r="I555" s="297"/>
    </row>
    <row r="556" spans="2:9" ht="15.75">
      <c r="B556" s="293"/>
      <c r="C556" s="294"/>
      <c r="E556" s="295"/>
      <c r="F556" s="296"/>
      <c r="I556" s="297"/>
    </row>
    <row r="557" spans="2:9" ht="15.75">
      <c r="B557" s="293"/>
      <c r="C557" s="294"/>
      <c r="E557" s="295"/>
      <c r="F557" s="296"/>
      <c r="I557" s="297"/>
    </row>
    <row r="558" spans="2:9" ht="15.75">
      <c r="B558" s="293"/>
      <c r="C558" s="294"/>
      <c r="E558" s="295"/>
      <c r="F558" s="296"/>
      <c r="I558" s="297"/>
    </row>
    <row r="559" spans="2:9" ht="15.75">
      <c r="B559" s="293"/>
      <c r="C559" s="294"/>
      <c r="E559" s="295"/>
      <c r="F559" s="296"/>
      <c r="I559" s="297"/>
    </row>
    <row r="560" spans="2:9" ht="15.75">
      <c r="B560" s="293"/>
      <c r="C560" s="294"/>
      <c r="E560" s="295"/>
      <c r="F560" s="296"/>
      <c r="I560" s="297"/>
    </row>
    <row r="561" spans="2:9" ht="15.75">
      <c r="B561" s="293"/>
      <c r="C561" s="294"/>
      <c r="E561" s="295"/>
      <c r="F561" s="296"/>
      <c r="I561" s="297"/>
    </row>
    <row r="562" spans="2:9" ht="15.75">
      <c r="B562" s="293"/>
      <c r="C562" s="294"/>
      <c r="E562" s="295"/>
      <c r="F562" s="296"/>
      <c r="I562" s="297"/>
    </row>
    <row r="563" spans="2:9" ht="15.75">
      <c r="B563" s="293"/>
      <c r="C563" s="294"/>
      <c r="E563" s="295"/>
      <c r="F563" s="296"/>
      <c r="I563" s="297"/>
    </row>
    <row r="564" spans="2:9" ht="15.75">
      <c r="B564" s="293"/>
      <c r="C564" s="294"/>
      <c r="E564" s="295"/>
      <c r="F564" s="296"/>
      <c r="I564" s="297"/>
    </row>
    <row r="565" spans="2:9" ht="15.75">
      <c r="B565" s="293"/>
      <c r="C565" s="294"/>
      <c r="E565" s="295"/>
      <c r="F565" s="296"/>
      <c r="I565" s="297"/>
    </row>
    <row r="566" spans="2:9" ht="15.75">
      <c r="B566" s="293"/>
      <c r="C566" s="294"/>
      <c r="E566" s="295"/>
      <c r="F566" s="296"/>
      <c r="I566" s="297"/>
    </row>
    <row r="567" spans="2:9" ht="15.75">
      <c r="B567" s="293"/>
      <c r="C567" s="294"/>
      <c r="E567" s="295"/>
      <c r="F567" s="296"/>
      <c r="I567" s="297"/>
    </row>
    <row r="568" spans="2:9" ht="15.75">
      <c r="B568" s="293"/>
      <c r="C568" s="294"/>
      <c r="E568" s="295"/>
      <c r="F568" s="296"/>
      <c r="I568" s="297"/>
    </row>
    <row r="569" spans="2:9" ht="15.75">
      <c r="B569" s="293"/>
      <c r="C569" s="294"/>
      <c r="E569" s="295"/>
      <c r="F569" s="296"/>
      <c r="I569" s="297"/>
    </row>
    <row r="570" spans="2:9" ht="15.75">
      <c r="B570" s="293"/>
      <c r="C570" s="294"/>
      <c r="E570" s="295"/>
      <c r="F570" s="296"/>
      <c r="I570" s="297"/>
    </row>
    <row r="571" spans="2:9" ht="15.75">
      <c r="B571" s="293"/>
      <c r="C571" s="294"/>
      <c r="E571" s="295"/>
      <c r="F571" s="296"/>
      <c r="I571" s="297"/>
    </row>
    <row r="572" spans="2:9" ht="15.75">
      <c r="B572" s="293"/>
      <c r="C572" s="294"/>
      <c r="E572" s="295"/>
      <c r="F572" s="296"/>
      <c r="I572" s="297"/>
    </row>
    <row r="573" spans="2:9" ht="15.75">
      <c r="B573" s="293"/>
      <c r="C573" s="294"/>
      <c r="E573" s="295"/>
      <c r="F573" s="296"/>
      <c r="I573" s="297"/>
    </row>
    <row r="574" spans="2:9" ht="15.75">
      <c r="B574" s="293"/>
      <c r="C574" s="294"/>
      <c r="E574" s="295"/>
      <c r="F574" s="296"/>
      <c r="I574" s="297"/>
    </row>
    <row r="575" spans="2:9" ht="15.75">
      <c r="B575" s="293"/>
      <c r="C575" s="294"/>
      <c r="E575" s="295"/>
      <c r="F575" s="296"/>
      <c r="I575" s="297"/>
    </row>
    <row r="576" spans="2:9" ht="15.75">
      <c r="B576" s="293"/>
      <c r="C576" s="294"/>
      <c r="E576" s="295"/>
      <c r="F576" s="296"/>
      <c r="I576" s="297"/>
    </row>
    <row r="577" spans="2:9" ht="15.75">
      <c r="B577" s="293"/>
      <c r="C577" s="294"/>
      <c r="E577" s="295"/>
      <c r="F577" s="296"/>
      <c r="I577" s="297"/>
    </row>
    <row r="578" spans="2:9" ht="15.75">
      <c r="B578" s="293"/>
      <c r="C578" s="294"/>
      <c r="E578" s="295"/>
      <c r="F578" s="296"/>
      <c r="I578" s="297"/>
    </row>
    <row r="579" spans="2:9" ht="15.75">
      <c r="B579" s="293"/>
      <c r="C579" s="294"/>
      <c r="E579" s="295"/>
      <c r="F579" s="296"/>
      <c r="I579" s="297"/>
    </row>
    <row r="580" spans="2:9" ht="15.75">
      <c r="B580" s="293"/>
      <c r="C580" s="294"/>
      <c r="E580" s="295"/>
      <c r="F580" s="296"/>
      <c r="I580" s="297"/>
    </row>
    <row r="581" spans="2:9" ht="15.75">
      <c r="B581" s="293"/>
      <c r="C581" s="294"/>
      <c r="E581" s="295"/>
      <c r="F581" s="296"/>
      <c r="I581" s="297"/>
    </row>
    <row r="582" spans="2:9" ht="15.75">
      <c r="B582" s="293"/>
      <c r="C582" s="294"/>
      <c r="E582" s="295"/>
      <c r="F582" s="296"/>
      <c r="I582" s="297"/>
    </row>
    <row r="583" spans="2:9" ht="15.75">
      <c r="B583" s="293"/>
      <c r="C583" s="294"/>
      <c r="E583" s="295"/>
      <c r="F583" s="296"/>
      <c r="I583" s="297"/>
    </row>
    <row r="584" spans="2:9" ht="15.75">
      <c r="B584" s="293"/>
      <c r="C584" s="294"/>
      <c r="E584" s="295"/>
      <c r="F584" s="296"/>
      <c r="I584" s="297"/>
    </row>
    <row r="585" spans="2:9" ht="15.75">
      <c r="B585" s="293"/>
      <c r="C585" s="294"/>
      <c r="E585" s="295"/>
      <c r="F585" s="296"/>
      <c r="I585" s="297"/>
    </row>
    <row r="586" spans="2:9" ht="15.75">
      <c r="B586" s="293"/>
      <c r="C586" s="294"/>
      <c r="E586" s="295"/>
      <c r="F586" s="296"/>
      <c r="I586" s="297"/>
    </row>
    <row r="587" spans="2:9" ht="15.75">
      <c r="B587" s="293"/>
      <c r="C587" s="294"/>
      <c r="E587" s="295"/>
      <c r="F587" s="296"/>
      <c r="I587" s="297"/>
    </row>
    <row r="588" spans="2:9" ht="15.75">
      <c r="B588" s="293"/>
      <c r="C588" s="294"/>
      <c r="E588" s="295"/>
      <c r="F588" s="296"/>
      <c r="I588" s="297"/>
    </row>
    <row r="589" spans="2:9" ht="15.75">
      <c r="B589" s="293"/>
      <c r="C589" s="294"/>
      <c r="E589" s="295"/>
      <c r="F589" s="296"/>
      <c r="I589" s="297"/>
    </row>
    <row r="590" spans="2:9" ht="15.75">
      <c r="B590" s="293"/>
      <c r="C590" s="294"/>
      <c r="E590" s="295"/>
      <c r="F590" s="296"/>
      <c r="I590" s="297"/>
    </row>
    <row r="591" spans="2:9" ht="15.75">
      <c r="B591" s="293"/>
      <c r="C591" s="294"/>
      <c r="E591" s="295"/>
      <c r="F591" s="296"/>
      <c r="I591" s="297"/>
    </row>
    <row r="592" spans="2:9" ht="15.75">
      <c r="B592" s="293"/>
      <c r="C592" s="294"/>
      <c r="E592" s="295"/>
      <c r="F592" s="296"/>
      <c r="I592" s="297"/>
    </row>
    <row r="593" spans="2:9" ht="15.75">
      <c r="B593" s="293"/>
      <c r="C593" s="294"/>
      <c r="E593" s="295"/>
      <c r="F593" s="296"/>
      <c r="I593" s="297"/>
    </row>
    <row r="594" spans="2:9" ht="15.75">
      <c r="B594" s="293"/>
      <c r="C594" s="294"/>
      <c r="E594" s="295"/>
      <c r="F594" s="296"/>
      <c r="I594" s="297"/>
    </row>
    <row r="595" spans="2:9" ht="15.75">
      <c r="B595" s="293"/>
      <c r="C595" s="294"/>
      <c r="E595" s="295"/>
      <c r="F595" s="296"/>
      <c r="I595" s="297"/>
    </row>
    <row r="596" spans="2:9" ht="15.75">
      <c r="B596" s="293"/>
      <c r="C596" s="294"/>
      <c r="E596" s="295"/>
      <c r="F596" s="296"/>
      <c r="I596" s="297"/>
    </row>
    <row r="597" spans="2:9" ht="15.75">
      <c r="B597" s="293"/>
      <c r="C597" s="294"/>
      <c r="E597" s="295"/>
      <c r="F597" s="296"/>
      <c r="I597" s="297"/>
    </row>
    <row r="598" spans="2:9" ht="15.75">
      <c r="B598" s="293"/>
      <c r="C598" s="294"/>
      <c r="E598" s="295"/>
      <c r="F598" s="296"/>
      <c r="I598" s="297"/>
    </row>
    <row r="599" spans="2:9" ht="15.75">
      <c r="B599" s="293"/>
      <c r="C599" s="294"/>
      <c r="E599" s="295"/>
      <c r="F599" s="296"/>
      <c r="I599" s="297"/>
    </row>
    <row r="600" spans="2:9" ht="15.75">
      <c r="B600" s="293"/>
      <c r="C600" s="294"/>
      <c r="E600" s="295"/>
      <c r="F600" s="296"/>
      <c r="I600" s="297"/>
    </row>
    <row r="601" spans="2:9" ht="15.75">
      <c r="B601" s="293"/>
      <c r="C601" s="294"/>
      <c r="E601" s="295"/>
      <c r="F601" s="296"/>
      <c r="I601" s="297"/>
    </row>
    <row r="602" spans="2:9" ht="15.75">
      <c r="B602" s="293"/>
      <c r="C602" s="294"/>
      <c r="E602" s="295"/>
      <c r="F602" s="296"/>
      <c r="I602" s="297"/>
    </row>
    <row r="603" spans="2:9" ht="15.75">
      <c r="B603" s="293"/>
      <c r="C603" s="294"/>
      <c r="E603" s="295"/>
      <c r="F603" s="296"/>
      <c r="I603" s="297"/>
    </row>
    <row r="604" spans="2:9" ht="15.75">
      <c r="B604" s="293"/>
      <c r="C604" s="294"/>
      <c r="E604" s="295"/>
      <c r="F604" s="296"/>
      <c r="I604" s="297"/>
    </row>
    <row r="605" spans="2:9" ht="15.75">
      <c r="B605" s="293"/>
      <c r="C605" s="294"/>
      <c r="E605" s="295"/>
      <c r="F605" s="296"/>
      <c r="I605" s="297"/>
    </row>
    <row r="606" spans="2:9" ht="15.75">
      <c r="B606" s="293"/>
      <c r="C606" s="294"/>
      <c r="E606" s="295"/>
      <c r="F606" s="296"/>
      <c r="I606" s="297"/>
    </row>
    <row r="607" spans="2:9" ht="15.75">
      <c r="B607" s="293"/>
      <c r="C607" s="294"/>
      <c r="E607" s="295"/>
      <c r="F607" s="296"/>
      <c r="I607" s="297"/>
    </row>
    <row r="608" spans="2:9" ht="15.75">
      <c r="B608" s="293"/>
      <c r="C608" s="294"/>
      <c r="E608" s="295"/>
      <c r="F608" s="296"/>
      <c r="I608" s="297"/>
    </row>
    <row r="609" spans="2:9" ht="15.75">
      <c r="B609" s="293"/>
      <c r="C609" s="294"/>
      <c r="E609" s="295"/>
      <c r="F609" s="296"/>
      <c r="I609" s="297"/>
    </row>
    <row r="610" spans="2:9" ht="15.75">
      <c r="B610" s="293"/>
      <c r="C610" s="294"/>
      <c r="E610" s="295"/>
      <c r="F610" s="296"/>
      <c r="I610" s="297"/>
    </row>
    <row r="611" spans="2:9" ht="15.75">
      <c r="B611" s="293"/>
      <c r="C611" s="294"/>
      <c r="E611" s="295"/>
      <c r="F611" s="296"/>
      <c r="I611" s="297"/>
    </row>
    <row r="612" spans="2:9" ht="15.75">
      <c r="B612" s="293"/>
      <c r="C612" s="294"/>
      <c r="E612" s="295"/>
      <c r="F612" s="296"/>
      <c r="I612" s="297"/>
    </row>
    <row r="613" spans="2:9" ht="15.75">
      <c r="B613" s="293"/>
      <c r="C613" s="294"/>
      <c r="E613" s="295"/>
      <c r="F613" s="296"/>
      <c r="I613" s="297"/>
    </row>
    <row r="614" spans="2:9" ht="15.75">
      <c r="B614" s="293"/>
      <c r="C614" s="294"/>
      <c r="E614" s="295"/>
      <c r="F614" s="296"/>
      <c r="I614" s="297"/>
    </row>
    <row r="615" spans="2:9" ht="15.75">
      <c r="B615" s="293"/>
      <c r="C615" s="294"/>
      <c r="E615" s="295"/>
      <c r="F615" s="296"/>
      <c r="I615" s="297"/>
    </row>
    <row r="616" spans="2:9" ht="15.75">
      <c r="B616" s="293"/>
      <c r="C616" s="294"/>
      <c r="E616" s="295"/>
      <c r="F616" s="296"/>
      <c r="I616" s="297"/>
    </row>
    <row r="617" spans="2:9" ht="15.75">
      <c r="B617" s="293"/>
      <c r="C617" s="294"/>
      <c r="E617" s="295"/>
      <c r="F617" s="296"/>
      <c r="I617" s="297"/>
    </row>
    <row r="618" spans="2:9" ht="15.75">
      <c r="B618" s="293"/>
      <c r="C618" s="294"/>
      <c r="E618" s="295"/>
      <c r="F618" s="296"/>
      <c r="I618" s="297"/>
    </row>
    <row r="619" spans="2:9" ht="15.75">
      <c r="B619" s="293"/>
      <c r="C619" s="294"/>
      <c r="E619" s="295"/>
      <c r="F619" s="296"/>
      <c r="I619" s="297"/>
    </row>
    <row r="620" spans="2:9" ht="15.75">
      <c r="B620" s="293"/>
      <c r="C620" s="294"/>
      <c r="E620" s="295"/>
      <c r="F620" s="296"/>
      <c r="I620" s="297"/>
    </row>
    <row r="621" spans="2:9" ht="15.75">
      <c r="B621" s="293"/>
      <c r="C621" s="294"/>
      <c r="E621" s="295"/>
      <c r="F621" s="296"/>
      <c r="I621" s="297"/>
    </row>
    <row r="622" spans="2:9" ht="15.75">
      <c r="B622" s="293"/>
      <c r="C622" s="294"/>
      <c r="E622" s="295"/>
      <c r="F622" s="296"/>
      <c r="I622" s="297"/>
    </row>
    <row r="623" spans="2:9" ht="15.75">
      <c r="B623" s="293"/>
      <c r="C623" s="294"/>
      <c r="E623" s="295"/>
      <c r="F623" s="296"/>
      <c r="I623" s="297"/>
    </row>
    <row r="624" spans="2:9" ht="15.75">
      <c r="B624" s="293"/>
      <c r="C624" s="294"/>
      <c r="E624" s="295"/>
      <c r="F624" s="296"/>
      <c r="I624" s="297"/>
    </row>
    <row r="625" spans="2:9" ht="15.75">
      <c r="B625" s="293"/>
      <c r="C625" s="294"/>
      <c r="E625" s="295"/>
      <c r="F625" s="296"/>
      <c r="I625" s="297"/>
    </row>
    <row r="626" spans="2:9" ht="15.75">
      <c r="B626" s="293"/>
      <c r="C626" s="294"/>
      <c r="E626" s="295"/>
      <c r="F626" s="296"/>
      <c r="I626" s="297"/>
    </row>
    <row r="627" spans="2:9" ht="15.75">
      <c r="B627" s="293"/>
      <c r="C627" s="294"/>
      <c r="E627" s="295"/>
      <c r="F627" s="296"/>
      <c r="I627" s="297"/>
    </row>
    <row r="628" spans="2:9" ht="15.75">
      <c r="B628" s="293"/>
      <c r="C628" s="294"/>
      <c r="E628" s="295"/>
      <c r="F628" s="296"/>
      <c r="I628" s="297"/>
    </row>
    <row r="629" spans="2:9" ht="15.75">
      <c r="B629" s="293"/>
      <c r="C629" s="294"/>
      <c r="E629" s="295"/>
      <c r="F629" s="296"/>
      <c r="I629" s="297"/>
    </row>
    <row r="630" spans="2:9" ht="15.75">
      <c r="B630" s="293"/>
      <c r="C630" s="294"/>
      <c r="E630" s="295"/>
      <c r="F630" s="296"/>
      <c r="I630" s="297"/>
    </row>
    <row r="631" spans="2:9" ht="15.75">
      <c r="B631" s="293"/>
      <c r="C631" s="294"/>
      <c r="E631" s="295"/>
      <c r="F631" s="296"/>
      <c r="I631" s="297"/>
    </row>
    <row r="632" spans="2:9" ht="15.75">
      <c r="B632" s="293"/>
      <c r="C632" s="294"/>
      <c r="E632" s="295"/>
      <c r="F632" s="296"/>
      <c r="I632" s="297"/>
    </row>
    <row r="633" spans="2:9" ht="15.75">
      <c r="B633" s="293"/>
      <c r="C633" s="294"/>
      <c r="E633" s="295"/>
      <c r="F633" s="296"/>
      <c r="I633" s="297"/>
    </row>
    <row r="634" spans="2:9" ht="15.75">
      <c r="B634" s="293"/>
      <c r="C634" s="294"/>
      <c r="E634" s="295"/>
      <c r="F634" s="296"/>
      <c r="I634" s="297"/>
    </row>
    <row r="635" spans="2:9" ht="15.75">
      <c r="B635" s="293"/>
      <c r="C635" s="294"/>
      <c r="E635" s="295"/>
      <c r="F635" s="296"/>
      <c r="I635" s="297"/>
    </row>
    <row r="636" spans="2:9" ht="15.75">
      <c r="B636" s="293"/>
      <c r="C636" s="294"/>
      <c r="E636" s="295"/>
      <c r="F636" s="296"/>
      <c r="I636" s="297"/>
    </row>
    <row r="637" spans="2:9" ht="15.75">
      <c r="B637" s="293"/>
      <c r="C637" s="294"/>
      <c r="E637" s="295"/>
      <c r="F637" s="296"/>
      <c r="I637" s="297"/>
    </row>
    <row r="638" spans="2:9" ht="15.75">
      <c r="B638" s="293"/>
      <c r="C638" s="294"/>
      <c r="E638" s="295"/>
      <c r="F638" s="296"/>
      <c r="I638" s="297"/>
    </row>
    <row r="639" spans="2:9" ht="15.75">
      <c r="B639" s="293"/>
      <c r="C639" s="294"/>
      <c r="E639" s="295"/>
      <c r="F639" s="296"/>
      <c r="I639" s="297"/>
    </row>
    <row r="640" spans="2:9" ht="15.75">
      <c r="B640" s="293"/>
      <c r="C640" s="294"/>
      <c r="E640" s="295"/>
      <c r="F640" s="296"/>
      <c r="I640" s="297"/>
    </row>
    <row r="641" spans="2:9" ht="15.75">
      <c r="B641" s="293"/>
      <c r="C641" s="294"/>
      <c r="E641" s="295"/>
      <c r="F641" s="296"/>
      <c r="I641" s="297"/>
    </row>
    <row r="642" spans="2:9" ht="15.75">
      <c r="B642" s="293"/>
      <c r="C642" s="294"/>
      <c r="E642" s="295"/>
      <c r="F642" s="296"/>
      <c r="I642" s="297"/>
    </row>
    <row r="643" spans="2:9" ht="15.75">
      <c r="B643" s="293"/>
      <c r="C643" s="294"/>
      <c r="E643" s="295"/>
      <c r="F643" s="296"/>
      <c r="I643" s="297"/>
    </row>
    <row r="644" spans="2:9" ht="15.75">
      <c r="B644" s="293"/>
      <c r="C644" s="294"/>
      <c r="E644" s="295"/>
      <c r="F644" s="296"/>
      <c r="I644" s="297"/>
    </row>
    <row r="645" spans="2:9" ht="15.75">
      <c r="B645" s="293"/>
      <c r="C645" s="294"/>
      <c r="E645" s="295"/>
      <c r="F645" s="296"/>
      <c r="I645" s="297"/>
    </row>
    <row r="646" spans="2:9" ht="15.75">
      <c r="B646" s="293"/>
      <c r="C646" s="294"/>
      <c r="E646" s="295"/>
      <c r="F646" s="296"/>
      <c r="I646" s="297"/>
    </row>
    <row r="647" spans="2:9" ht="15.75">
      <c r="B647" s="293"/>
      <c r="C647" s="294"/>
      <c r="E647" s="295"/>
      <c r="F647" s="296"/>
      <c r="I647" s="297"/>
    </row>
    <row r="648" spans="2:9" ht="15.75">
      <c r="B648" s="293"/>
      <c r="C648" s="294"/>
      <c r="E648" s="295"/>
      <c r="F648" s="296"/>
      <c r="I648" s="297"/>
    </row>
    <row r="649" spans="2:9" ht="15.75">
      <c r="B649" s="293"/>
      <c r="C649" s="294"/>
      <c r="E649" s="295"/>
      <c r="F649" s="296"/>
      <c r="I649" s="297"/>
    </row>
    <row r="650" spans="2:9" ht="15.75">
      <c r="B650" s="293"/>
      <c r="C650" s="294"/>
      <c r="E650" s="295"/>
      <c r="F650" s="296"/>
      <c r="I650" s="297"/>
    </row>
    <row r="651" spans="2:9" ht="15.75">
      <c r="B651" s="293"/>
      <c r="C651" s="294"/>
      <c r="E651" s="295"/>
      <c r="F651" s="296"/>
      <c r="I651" s="297"/>
    </row>
    <row r="652" spans="2:9" ht="15.75">
      <c r="B652" s="293"/>
      <c r="C652" s="294"/>
      <c r="E652" s="295"/>
      <c r="F652" s="296"/>
      <c r="I652" s="297"/>
    </row>
    <row r="653" spans="2:9" ht="15.75">
      <c r="B653" s="293"/>
      <c r="C653" s="294"/>
      <c r="E653" s="295"/>
      <c r="F653" s="296"/>
      <c r="I653" s="297"/>
    </row>
    <row r="654" spans="2:9" ht="15.75">
      <c r="B654" s="293"/>
      <c r="C654" s="294"/>
      <c r="E654" s="295"/>
      <c r="F654" s="296"/>
      <c r="I654" s="297"/>
    </row>
    <row r="655" spans="2:9" ht="15.75">
      <c r="B655" s="293"/>
      <c r="C655" s="294"/>
      <c r="E655" s="295"/>
      <c r="F655" s="296"/>
      <c r="I655" s="297"/>
    </row>
    <row r="656" spans="2:9" ht="15.75">
      <c r="B656" s="293"/>
      <c r="C656" s="294"/>
      <c r="E656" s="295"/>
      <c r="F656" s="296"/>
      <c r="I656" s="297"/>
    </row>
    <row r="657" spans="2:9" ht="15.75">
      <c r="B657" s="293"/>
      <c r="C657" s="294"/>
      <c r="E657" s="295"/>
      <c r="F657" s="296"/>
      <c r="I657" s="297"/>
    </row>
    <row r="658" spans="2:9" ht="15.75">
      <c r="B658" s="293"/>
      <c r="C658" s="294"/>
      <c r="E658" s="295"/>
      <c r="F658" s="296"/>
      <c r="I658" s="297"/>
    </row>
    <row r="659" spans="2:9" ht="15.75">
      <c r="B659" s="293"/>
      <c r="C659" s="294"/>
      <c r="E659" s="295"/>
      <c r="F659" s="296"/>
      <c r="I659" s="297"/>
    </row>
    <row r="660" spans="2:9" ht="15.75">
      <c r="B660" s="293"/>
      <c r="C660" s="294"/>
      <c r="E660" s="295"/>
      <c r="F660" s="296"/>
      <c r="I660" s="297"/>
    </row>
    <row r="661" spans="2:9" ht="15.75">
      <c r="B661" s="293"/>
      <c r="C661" s="294"/>
      <c r="E661" s="295"/>
      <c r="F661" s="296"/>
      <c r="I661" s="297"/>
    </row>
    <row r="662" spans="2:9" ht="15.75">
      <c r="B662" s="293"/>
      <c r="C662" s="294"/>
      <c r="E662" s="295"/>
      <c r="F662" s="296"/>
      <c r="I662" s="297"/>
    </row>
    <row r="663" spans="2:9" ht="15.75">
      <c r="B663" s="293"/>
      <c r="C663" s="294"/>
      <c r="E663" s="295"/>
      <c r="F663" s="296"/>
      <c r="I663" s="297"/>
    </row>
    <row r="664" spans="2:9" ht="15.75">
      <c r="B664" s="293"/>
      <c r="C664" s="294"/>
      <c r="E664" s="295"/>
      <c r="F664" s="296"/>
      <c r="I664" s="297"/>
    </row>
    <row r="665" spans="2:9" ht="15.75">
      <c r="B665" s="293"/>
      <c r="C665" s="294"/>
      <c r="E665" s="295"/>
      <c r="F665" s="296"/>
      <c r="I665" s="297"/>
    </row>
    <row r="666" spans="2:9" ht="15.75">
      <c r="B666" s="293"/>
      <c r="C666" s="294"/>
      <c r="E666" s="295"/>
      <c r="F666" s="296"/>
      <c r="I666" s="297"/>
    </row>
    <row r="667" spans="2:9" ht="15.75">
      <c r="B667" s="293"/>
      <c r="C667" s="294"/>
      <c r="E667" s="295"/>
      <c r="F667" s="296"/>
      <c r="I667" s="297"/>
    </row>
    <row r="668" spans="2:9" ht="15.75">
      <c r="B668" s="293"/>
      <c r="C668" s="294"/>
      <c r="E668" s="295"/>
      <c r="F668" s="296"/>
      <c r="I668" s="297"/>
    </row>
    <row r="669" spans="2:9" ht="15.75">
      <c r="B669" s="293"/>
      <c r="C669" s="294"/>
      <c r="E669" s="295"/>
      <c r="F669" s="296"/>
      <c r="I669" s="297"/>
    </row>
    <row r="670" spans="2:9" ht="15.75">
      <c r="B670" s="293"/>
      <c r="C670" s="294"/>
      <c r="E670" s="295"/>
      <c r="F670" s="296"/>
      <c r="I670" s="297"/>
    </row>
    <row r="671" spans="2:9" ht="15.75">
      <c r="B671" s="293"/>
      <c r="C671" s="294"/>
      <c r="E671" s="295"/>
      <c r="F671" s="296"/>
      <c r="I671" s="297"/>
    </row>
    <row r="672" spans="2:9" ht="15.75">
      <c r="B672" s="293"/>
      <c r="C672" s="294"/>
      <c r="E672" s="295"/>
      <c r="F672" s="296"/>
      <c r="I672" s="297"/>
    </row>
    <row r="673" spans="2:9" ht="15.75">
      <c r="B673" s="293"/>
      <c r="C673" s="294"/>
      <c r="E673" s="295"/>
      <c r="F673" s="296"/>
      <c r="I673" s="297"/>
    </row>
    <row r="674" spans="2:9" ht="15.75">
      <c r="B674" s="293"/>
      <c r="C674" s="294"/>
      <c r="E674" s="295"/>
      <c r="F674" s="296"/>
      <c r="I674" s="297"/>
    </row>
    <row r="675" spans="2:9" ht="15.75">
      <c r="B675" s="293"/>
      <c r="C675" s="294"/>
      <c r="E675" s="295"/>
      <c r="F675" s="296"/>
      <c r="I675" s="297"/>
    </row>
    <row r="676" spans="2:9" ht="15.75">
      <c r="B676" s="293"/>
      <c r="C676" s="294"/>
      <c r="E676" s="295"/>
      <c r="F676" s="296"/>
      <c r="I676" s="297"/>
    </row>
    <row r="677" spans="2:9" ht="15.75">
      <c r="B677" s="293"/>
      <c r="C677" s="294"/>
      <c r="E677" s="295"/>
      <c r="F677" s="296"/>
      <c r="I677" s="297"/>
    </row>
    <row r="678" spans="2:9" ht="15.75">
      <c r="B678" s="293"/>
      <c r="C678" s="294"/>
      <c r="E678" s="295"/>
      <c r="F678" s="296"/>
      <c r="I678" s="297"/>
    </row>
    <row r="679" spans="2:9" ht="15.75">
      <c r="B679" s="293"/>
      <c r="C679" s="294"/>
      <c r="E679" s="295"/>
      <c r="F679" s="296"/>
      <c r="I679" s="297"/>
    </row>
    <row r="680" spans="2:9" ht="15.75">
      <c r="B680" s="293"/>
      <c r="C680" s="294"/>
      <c r="E680" s="295"/>
      <c r="F680" s="296"/>
      <c r="I680" s="297"/>
    </row>
    <row r="681" spans="2:9" ht="15.75">
      <c r="B681" s="293"/>
      <c r="C681" s="294"/>
      <c r="E681" s="295"/>
      <c r="F681" s="296"/>
      <c r="I681" s="297"/>
    </row>
    <row r="682" spans="2:9" ht="15.75">
      <c r="B682" s="293"/>
      <c r="C682" s="294"/>
      <c r="E682" s="295"/>
      <c r="F682" s="296"/>
      <c r="I682" s="297"/>
    </row>
    <row r="683" spans="2:9" ht="15.75">
      <c r="B683" s="293"/>
      <c r="C683" s="294"/>
      <c r="E683" s="295"/>
      <c r="F683" s="296"/>
      <c r="I683" s="297"/>
    </row>
    <row r="684" spans="2:9" ht="15.75">
      <c r="B684" s="293"/>
      <c r="C684" s="294"/>
      <c r="E684" s="295"/>
      <c r="F684" s="296"/>
      <c r="I684" s="297"/>
    </row>
    <row r="685" spans="2:9" ht="15.75">
      <c r="B685" s="293"/>
      <c r="C685" s="294"/>
      <c r="E685" s="295"/>
      <c r="F685" s="296"/>
      <c r="I685" s="297"/>
    </row>
    <row r="686" spans="2:9" ht="15.75">
      <c r="B686" s="293"/>
      <c r="C686" s="294"/>
      <c r="E686" s="295"/>
      <c r="F686" s="296"/>
      <c r="I686" s="297"/>
    </row>
    <row r="687" spans="2:9" ht="15.75">
      <c r="B687" s="293"/>
      <c r="C687" s="294"/>
      <c r="E687" s="295"/>
      <c r="F687" s="296"/>
      <c r="I687" s="297"/>
    </row>
    <row r="688" spans="2:9" ht="15.75">
      <c r="B688" s="293"/>
      <c r="C688" s="294"/>
      <c r="E688" s="295"/>
      <c r="F688" s="296"/>
      <c r="I688" s="297"/>
    </row>
    <row r="689" spans="2:9" ht="15.75">
      <c r="B689" s="293"/>
      <c r="C689" s="294"/>
      <c r="E689" s="295"/>
      <c r="F689" s="296"/>
      <c r="I689" s="297"/>
    </row>
    <row r="690" spans="2:9" ht="15.75">
      <c r="B690" s="293"/>
      <c r="C690" s="294"/>
      <c r="E690" s="295"/>
      <c r="F690" s="296"/>
      <c r="I690" s="297"/>
    </row>
    <row r="691" spans="2:9" ht="15.75">
      <c r="B691" s="293"/>
      <c r="C691" s="294"/>
      <c r="E691" s="295"/>
      <c r="F691" s="296"/>
      <c r="I691" s="297"/>
    </row>
    <row r="692" spans="2:9" ht="15.75">
      <c r="B692" s="293"/>
      <c r="C692" s="294"/>
      <c r="E692" s="295"/>
      <c r="F692" s="296"/>
      <c r="I692" s="297"/>
    </row>
    <row r="693" spans="2:9" ht="15.75">
      <c r="B693" s="293"/>
      <c r="C693" s="294"/>
      <c r="E693" s="295"/>
      <c r="F693" s="296"/>
      <c r="I693" s="297"/>
    </row>
    <row r="694" spans="2:9" ht="15.75">
      <c r="B694" s="293"/>
      <c r="C694" s="294"/>
      <c r="E694" s="295"/>
      <c r="F694" s="296"/>
      <c r="I694" s="297"/>
    </row>
    <row r="695" spans="2:9" ht="15.75">
      <c r="B695" s="293"/>
      <c r="C695" s="294"/>
      <c r="E695" s="295"/>
      <c r="F695" s="296"/>
      <c r="I695" s="297"/>
    </row>
    <row r="696" spans="2:9" ht="15.75">
      <c r="B696" s="293"/>
      <c r="C696" s="294"/>
      <c r="E696" s="295"/>
      <c r="F696" s="296"/>
      <c r="I696" s="297"/>
    </row>
    <row r="697" spans="2:9" ht="15.75">
      <c r="B697" s="293"/>
      <c r="C697" s="294"/>
      <c r="E697" s="295"/>
      <c r="F697" s="296"/>
      <c r="I697" s="297"/>
    </row>
    <row r="698" spans="2:9" ht="15.75">
      <c r="B698" s="293"/>
      <c r="C698" s="294"/>
      <c r="E698" s="295"/>
      <c r="F698" s="296"/>
      <c r="I698" s="297"/>
    </row>
    <row r="699" spans="2:9" ht="15.75">
      <c r="B699" s="293"/>
      <c r="C699" s="294"/>
      <c r="E699" s="295"/>
      <c r="F699" s="296"/>
      <c r="I699" s="297"/>
    </row>
    <row r="700" spans="2:9" ht="15.75">
      <c r="B700" s="293"/>
      <c r="C700" s="294"/>
      <c r="E700" s="295"/>
      <c r="F700" s="296"/>
      <c r="I700" s="297"/>
    </row>
    <row r="701" spans="2:9" ht="15.75">
      <c r="B701" s="293"/>
      <c r="C701" s="294"/>
      <c r="E701" s="295"/>
      <c r="F701" s="296"/>
      <c r="I701" s="297"/>
    </row>
    <row r="702" spans="2:9" ht="15.75">
      <c r="B702" s="293"/>
      <c r="C702" s="294"/>
      <c r="E702" s="295"/>
      <c r="F702" s="296"/>
      <c r="I702" s="297"/>
    </row>
    <row r="703" spans="2:9" ht="15.75">
      <c r="B703" s="293"/>
      <c r="C703" s="294"/>
      <c r="E703" s="295"/>
      <c r="F703" s="296"/>
      <c r="I703" s="297"/>
    </row>
    <row r="704" spans="2:9" ht="15.75">
      <c r="B704" s="293"/>
      <c r="C704" s="294"/>
      <c r="E704" s="295"/>
      <c r="F704" s="296"/>
      <c r="I704" s="297"/>
    </row>
    <row r="705" spans="2:9" ht="15.75">
      <c r="B705" s="293"/>
      <c r="C705" s="294"/>
      <c r="E705" s="295"/>
      <c r="F705" s="296"/>
      <c r="I705" s="297"/>
    </row>
    <row r="706" spans="2:9" ht="15.75">
      <c r="B706" s="293"/>
      <c r="C706" s="294"/>
      <c r="E706" s="295"/>
      <c r="F706" s="296"/>
      <c r="I706" s="297"/>
    </row>
    <row r="707" spans="2:9" ht="15.75">
      <c r="B707" s="293"/>
      <c r="C707" s="294"/>
      <c r="E707" s="295"/>
      <c r="F707" s="296"/>
      <c r="I707" s="297"/>
    </row>
    <row r="708" spans="2:9" ht="15.75">
      <c r="B708" s="293"/>
      <c r="C708" s="294"/>
      <c r="E708" s="295"/>
      <c r="F708" s="296"/>
      <c r="I708" s="297"/>
    </row>
    <row r="709" spans="2:9" ht="15.75">
      <c r="B709" s="293"/>
      <c r="C709" s="294"/>
      <c r="E709" s="295"/>
      <c r="F709" s="296"/>
      <c r="I709" s="297"/>
    </row>
    <row r="710" spans="2:9" ht="15.75">
      <c r="B710" s="293"/>
      <c r="C710" s="294"/>
      <c r="E710" s="295"/>
      <c r="F710" s="296"/>
      <c r="I710" s="297"/>
    </row>
    <row r="711" spans="2:9" ht="15.75">
      <c r="B711" s="293"/>
      <c r="C711" s="294"/>
      <c r="E711" s="295"/>
      <c r="F711" s="296"/>
      <c r="I711" s="297"/>
    </row>
    <row r="712" spans="2:9" ht="15.75">
      <c r="B712" s="293"/>
      <c r="C712" s="294"/>
      <c r="E712" s="295"/>
      <c r="F712" s="296"/>
      <c r="I712" s="297"/>
    </row>
    <row r="713" spans="2:9" ht="15.75">
      <c r="B713" s="293"/>
      <c r="C713" s="294"/>
      <c r="E713" s="295"/>
      <c r="F713" s="296"/>
      <c r="I713" s="297"/>
    </row>
    <row r="714" spans="2:9" ht="15.75">
      <c r="B714" s="293"/>
      <c r="C714" s="294"/>
      <c r="E714" s="295"/>
      <c r="F714" s="296"/>
      <c r="I714" s="297"/>
    </row>
    <row r="715" spans="2:9" ht="15.75">
      <c r="B715" s="293"/>
      <c r="C715" s="294"/>
      <c r="E715" s="295"/>
      <c r="F715" s="296"/>
      <c r="I715" s="297"/>
    </row>
    <row r="716" spans="2:9" ht="15.75">
      <c r="B716" s="293"/>
      <c r="C716" s="294"/>
      <c r="E716" s="295"/>
      <c r="F716" s="296"/>
      <c r="I716" s="297"/>
    </row>
    <row r="717" spans="2:9" ht="15.75">
      <c r="B717" s="293"/>
      <c r="C717" s="294"/>
      <c r="E717" s="295"/>
      <c r="F717" s="296"/>
      <c r="I717" s="297"/>
    </row>
    <row r="718" spans="2:9" ht="15.75">
      <c r="B718" s="293"/>
      <c r="C718" s="294"/>
      <c r="E718" s="295"/>
      <c r="F718" s="296"/>
      <c r="I718" s="297"/>
    </row>
    <row r="719" spans="2:9" ht="15.75">
      <c r="B719" s="293"/>
      <c r="C719" s="294"/>
      <c r="E719" s="295"/>
      <c r="F719" s="296"/>
      <c r="I719" s="297"/>
    </row>
    <row r="720" spans="2:9" ht="15.75">
      <c r="B720" s="293"/>
      <c r="C720" s="294"/>
      <c r="E720" s="295"/>
      <c r="F720" s="296"/>
      <c r="I720" s="297"/>
    </row>
    <row r="721" spans="2:9" ht="15.75">
      <c r="B721" s="293"/>
      <c r="C721" s="294"/>
      <c r="E721" s="295"/>
      <c r="F721" s="296"/>
      <c r="I721" s="297"/>
    </row>
    <row r="722" spans="2:9" ht="15.75">
      <c r="B722" s="293"/>
      <c r="C722" s="294"/>
      <c r="E722" s="295"/>
      <c r="F722" s="296"/>
      <c r="I722" s="297"/>
    </row>
    <row r="723" spans="2:9" ht="15.75">
      <c r="B723" s="293"/>
      <c r="C723" s="294"/>
      <c r="E723" s="295"/>
      <c r="F723" s="296"/>
      <c r="I723" s="297"/>
    </row>
    <row r="724" spans="2:9" ht="15.75">
      <c r="B724" s="293"/>
      <c r="C724" s="294"/>
      <c r="E724" s="295"/>
      <c r="F724" s="296"/>
      <c r="I724" s="297"/>
    </row>
    <row r="725" spans="2:9" ht="15.75">
      <c r="B725" s="293"/>
      <c r="C725" s="294"/>
      <c r="E725" s="295"/>
      <c r="F725" s="296"/>
      <c r="I725" s="297"/>
    </row>
    <row r="726" spans="2:9" ht="15.75">
      <c r="B726" s="293"/>
      <c r="C726" s="294"/>
      <c r="E726" s="295"/>
      <c r="F726" s="296"/>
      <c r="I726" s="297"/>
    </row>
    <row r="727" spans="2:9" ht="15.75">
      <c r="B727" s="293"/>
      <c r="C727" s="294"/>
      <c r="E727" s="295"/>
      <c r="F727" s="296"/>
      <c r="I727" s="297"/>
    </row>
    <row r="728" spans="2:9" ht="15.75">
      <c r="B728" s="293"/>
      <c r="C728" s="294"/>
      <c r="E728" s="295"/>
      <c r="F728" s="296"/>
      <c r="I728" s="297"/>
    </row>
    <row r="729" spans="2:9" ht="15.75">
      <c r="B729" s="293"/>
      <c r="C729" s="294"/>
      <c r="E729" s="295"/>
      <c r="F729" s="296"/>
      <c r="I729" s="297"/>
    </row>
    <row r="730" spans="2:9" ht="15.75">
      <c r="B730" s="293"/>
      <c r="C730" s="294"/>
      <c r="E730" s="295"/>
      <c r="F730" s="296"/>
      <c r="I730" s="297"/>
    </row>
    <row r="731" spans="2:9" ht="15.75">
      <c r="B731" s="293"/>
      <c r="C731" s="294"/>
      <c r="E731" s="295"/>
      <c r="F731" s="296"/>
      <c r="I731" s="297"/>
    </row>
    <row r="732" spans="2:9" ht="15.75">
      <c r="B732" s="293"/>
      <c r="C732" s="294"/>
      <c r="E732" s="295"/>
      <c r="F732" s="296"/>
      <c r="I732" s="297"/>
    </row>
    <row r="733" spans="2:9" ht="15.75">
      <c r="B733" s="293"/>
      <c r="C733" s="294"/>
      <c r="E733" s="295"/>
      <c r="F733" s="296"/>
      <c r="I733" s="297"/>
    </row>
    <row r="734" spans="2:9" ht="15.75">
      <c r="B734" s="293"/>
      <c r="C734" s="294"/>
      <c r="E734" s="295"/>
      <c r="F734" s="296"/>
      <c r="I734" s="297"/>
    </row>
    <row r="735" spans="2:9" ht="15.75">
      <c r="B735" s="293"/>
      <c r="C735" s="294"/>
      <c r="E735" s="295"/>
      <c r="F735" s="296"/>
      <c r="I735" s="297"/>
    </row>
    <row r="736" spans="2:9" ht="15.75">
      <c r="B736" s="293"/>
      <c r="C736" s="294"/>
      <c r="E736" s="295"/>
      <c r="F736" s="296"/>
      <c r="I736" s="297"/>
    </row>
    <row r="737" spans="2:9" ht="15.75">
      <c r="B737" s="293"/>
      <c r="C737" s="294"/>
      <c r="E737" s="295"/>
      <c r="F737" s="296"/>
      <c r="I737" s="297"/>
    </row>
    <row r="738" spans="2:9" ht="15.75">
      <c r="B738" s="293"/>
      <c r="C738" s="294"/>
      <c r="E738" s="295"/>
      <c r="F738" s="296"/>
      <c r="I738" s="297"/>
    </row>
    <row r="739" spans="2:9" ht="15.75">
      <c r="B739" s="293"/>
      <c r="C739" s="294"/>
      <c r="E739" s="295"/>
      <c r="F739" s="296"/>
      <c r="I739" s="297"/>
    </row>
    <row r="740" spans="2:9" ht="15.75">
      <c r="B740" s="293"/>
      <c r="C740" s="294"/>
      <c r="E740" s="295"/>
      <c r="F740" s="296"/>
      <c r="I740" s="297"/>
    </row>
    <row r="741" spans="2:9" ht="15.75">
      <c r="B741" s="293"/>
      <c r="C741" s="294"/>
      <c r="E741" s="295"/>
      <c r="F741" s="296"/>
      <c r="I741" s="297"/>
    </row>
    <row r="742" spans="2:9" ht="15.75">
      <c r="B742" s="293"/>
      <c r="C742" s="294"/>
      <c r="E742" s="295"/>
      <c r="F742" s="296"/>
      <c r="I742" s="297"/>
    </row>
    <row r="743" spans="2:9" ht="15.75">
      <c r="B743" s="293"/>
      <c r="C743" s="294"/>
      <c r="E743" s="295"/>
      <c r="F743" s="296"/>
      <c r="I743" s="297"/>
    </row>
    <row r="744" spans="2:9" ht="15.75">
      <c r="B744" s="293"/>
      <c r="C744" s="294"/>
      <c r="E744" s="295"/>
      <c r="F744" s="296"/>
      <c r="I744" s="297"/>
    </row>
    <row r="745" spans="2:9" ht="15.75">
      <c r="B745" s="293"/>
      <c r="C745" s="294"/>
      <c r="E745" s="295"/>
      <c r="F745" s="296"/>
      <c r="I745" s="297"/>
    </row>
    <row r="746" spans="2:9" ht="15.75">
      <c r="B746" s="293"/>
      <c r="C746" s="294"/>
      <c r="E746" s="295"/>
      <c r="F746" s="296"/>
      <c r="I746" s="297"/>
    </row>
    <row r="747" spans="2:9" ht="15.75">
      <c r="B747" s="293"/>
      <c r="C747" s="294"/>
      <c r="E747" s="295"/>
      <c r="F747" s="296"/>
      <c r="I747" s="297"/>
    </row>
    <row r="748" spans="2:9" ht="15.75">
      <c r="B748" s="293"/>
      <c r="C748" s="294"/>
      <c r="E748" s="295"/>
      <c r="F748" s="296"/>
      <c r="I748" s="297"/>
    </row>
    <row r="749" spans="2:9" ht="15.75">
      <c r="B749" s="293"/>
      <c r="C749" s="294"/>
      <c r="E749" s="295"/>
      <c r="F749" s="296"/>
      <c r="I749" s="297"/>
    </row>
    <row r="750" spans="2:9" ht="15.75">
      <c r="B750" s="293"/>
      <c r="C750" s="294"/>
      <c r="E750" s="295"/>
      <c r="F750" s="296"/>
      <c r="I750" s="297"/>
    </row>
    <row r="751" spans="2:9" ht="15.75">
      <c r="B751" s="293"/>
      <c r="C751" s="294"/>
      <c r="E751" s="295"/>
      <c r="F751" s="296"/>
      <c r="I751" s="297"/>
    </row>
    <row r="752" spans="2:9" ht="15.75">
      <c r="B752" s="293"/>
      <c r="C752" s="294"/>
      <c r="E752" s="295"/>
      <c r="F752" s="296"/>
      <c r="I752" s="297"/>
    </row>
    <row r="753" spans="2:9" ht="15.75">
      <c r="B753" s="293"/>
      <c r="C753" s="294"/>
      <c r="E753" s="295"/>
      <c r="F753" s="296"/>
      <c r="I753" s="297"/>
    </row>
    <row r="754" spans="2:9" ht="15.75">
      <c r="B754" s="293"/>
      <c r="C754" s="294"/>
      <c r="E754" s="295"/>
      <c r="F754" s="296"/>
      <c r="I754" s="297"/>
    </row>
    <row r="755" spans="2:9" ht="15.75">
      <c r="B755" s="293"/>
      <c r="C755" s="294"/>
      <c r="E755" s="295"/>
      <c r="F755" s="296"/>
      <c r="I755" s="297"/>
    </row>
    <row r="756" spans="2:9" ht="15.75">
      <c r="B756" s="293"/>
      <c r="C756" s="294"/>
      <c r="E756" s="295"/>
      <c r="F756" s="296"/>
      <c r="I756" s="297"/>
    </row>
    <row r="757" spans="2:9" ht="15.75">
      <c r="B757" s="293"/>
      <c r="C757" s="294"/>
      <c r="E757" s="295"/>
      <c r="F757" s="296"/>
      <c r="I757" s="297"/>
    </row>
    <row r="758" spans="2:9" ht="15.75">
      <c r="B758" s="293"/>
      <c r="C758" s="294"/>
      <c r="E758" s="295"/>
      <c r="F758" s="296"/>
      <c r="I758" s="297"/>
    </row>
    <row r="759" spans="2:9" ht="15.75">
      <c r="B759" s="293"/>
      <c r="C759" s="294"/>
      <c r="E759" s="295"/>
      <c r="F759" s="296"/>
      <c r="I759" s="297"/>
    </row>
    <row r="760" spans="2:9" ht="15.75">
      <c r="B760" s="293"/>
      <c r="C760" s="294"/>
      <c r="E760" s="295"/>
      <c r="F760" s="296"/>
      <c r="I760" s="297"/>
    </row>
    <row r="761" spans="2:9" ht="15.75">
      <c r="B761" s="293"/>
      <c r="C761" s="294"/>
      <c r="E761" s="295"/>
      <c r="F761" s="296"/>
      <c r="I761" s="297"/>
    </row>
    <row r="762" spans="2:9" ht="15.75">
      <c r="B762" s="293"/>
      <c r="C762" s="294"/>
      <c r="E762" s="295"/>
      <c r="F762" s="296"/>
      <c r="I762" s="297"/>
    </row>
    <row r="763" spans="2:9" ht="15.75">
      <c r="B763" s="293"/>
      <c r="C763" s="294"/>
      <c r="E763" s="295"/>
      <c r="F763" s="296"/>
      <c r="I763" s="297"/>
    </row>
    <row r="764" spans="2:9" ht="15.75">
      <c r="B764" s="293"/>
      <c r="C764" s="294"/>
      <c r="E764" s="295"/>
      <c r="F764" s="296"/>
      <c r="I764" s="297"/>
    </row>
    <row r="765" spans="2:9" ht="15.75">
      <c r="B765" s="293"/>
      <c r="C765" s="294"/>
      <c r="E765" s="295"/>
      <c r="F765" s="296"/>
      <c r="I765" s="297"/>
    </row>
    <row r="766" spans="2:9" ht="15.75">
      <c r="B766" s="293"/>
      <c r="C766" s="294"/>
      <c r="E766" s="295"/>
      <c r="F766" s="296"/>
      <c r="I766" s="297"/>
    </row>
    <row r="767" spans="2:9" ht="15.75">
      <c r="B767" s="293"/>
      <c r="C767" s="294"/>
      <c r="E767" s="295"/>
      <c r="F767" s="296"/>
      <c r="I767" s="297"/>
    </row>
    <row r="768" spans="2:9" ht="15.75">
      <c r="B768" s="293"/>
      <c r="C768" s="294"/>
      <c r="E768" s="295"/>
      <c r="F768" s="296"/>
      <c r="I768" s="297"/>
    </row>
    <row r="769" spans="2:9" ht="15.75">
      <c r="B769" s="293"/>
      <c r="C769" s="294"/>
      <c r="E769" s="295"/>
      <c r="F769" s="296"/>
      <c r="I769" s="297"/>
    </row>
    <row r="770" spans="2:9" ht="15.75">
      <c r="B770" s="293"/>
      <c r="C770" s="294"/>
      <c r="E770" s="295"/>
      <c r="F770" s="296"/>
      <c r="I770" s="297"/>
    </row>
    <row r="771" spans="2:9" ht="15.75">
      <c r="B771" s="293"/>
      <c r="C771" s="294"/>
      <c r="E771" s="295"/>
      <c r="F771" s="296"/>
      <c r="I771" s="297"/>
    </row>
    <row r="772" spans="2:9" ht="15.75">
      <c r="B772" s="293"/>
      <c r="C772" s="294"/>
      <c r="E772" s="295"/>
      <c r="F772" s="296"/>
      <c r="I772" s="297"/>
    </row>
    <row r="773" spans="2:9" ht="15.75">
      <c r="B773" s="293"/>
      <c r="C773" s="294"/>
      <c r="E773" s="295"/>
      <c r="F773" s="296"/>
      <c r="I773" s="297"/>
    </row>
    <row r="774" spans="2:9" ht="15.75">
      <c r="B774" s="293"/>
      <c r="C774" s="294"/>
      <c r="E774" s="295"/>
      <c r="F774" s="296"/>
      <c r="I774" s="297"/>
    </row>
    <row r="775" spans="2:9" ht="15.75">
      <c r="B775" s="293"/>
      <c r="C775" s="294"/>
      <c r="E775" s="295"/>
      <c r="F775" s="296"/>
      <c r="I775" s="297"/>
    </row>
    <row r="776" spans="2:9" ht="15.75">
      <c r="B776" s="293"/>
      <c r="C776" s="294"/>
      <c r="E776" s="295"/>
      <c r="F776" s="296"/>
      <c r="I776" s="297"/>
    </row>
    <row r="777" spans="2:9" ht="15.75">
      <c r="B777" s="293"/>
      <c r="C777" s="294"/>
      <c r="E777" s="295"/>
      <c r="F777" s="296"/>
      <c r="I777" s="297"/>
    </row>
    <row r="778" spans="2:9" ht="15.75">
      <c r="B778" s="293"/>
      <c r="C778" s="294"/>
      <c r="E778" s="295"/>
      <c r="F778" s="296"/>
      <c r="I778" s="297"/>
    </row>
    <row r="779" spans="2:9" ht="15.75">
      <c r="B779" s="293"/>
      <c r="C779" s="294"/>
      <c r="E779" s="295"/>
      <c r="F779" s="296"/>
      <c r="I779" s="297"/>
    </row>
    <row r="780" spans="2:9" ht="15.75">
      <c r="B780" s="293"/>
      <c r="C780" s="294"/>
      <c r="E780" s="295"/>
      <c r="F780" s="296"/>
      <c r="I780" s="297"/>
    </row>
    <row r="781" spans="2:9" ht="15.75">
      <c r="B781" s="293"/>
      <c r="C781" s="294"/>
      <c r="E781" s="295"/>
      <c r="F781" s="296"/>
      <c r="I781" s="297"/>
    </row>
    <row r="782" spans="2:9" ht="15.75">
      <c r="B782" s="293"/>
      <c r="C782" s="294"/>
      <c r="E782" s="295"/>
      <c r="F782" s="296"/>
      <c r="I782" s="297"/>
    </row>
    <row r="783" spans="2:9" ht="15.75">
      <c r="B783" s="293"/>
      <c r="C783" s="294"/>
      <c r="E783" s="295"/>
      <c r="F783" s="296"/>
      <c r="I783" s="297"/>
    </row>
    <row r="784" spans="2:9" ht="15.75">
      <c r="B784" s="293"/>
      <c r="C784" s="294"/>
      <c r="E784" s="295"/>
      <c r="F784" s="296"/>
      <c r="I784" s="297"/>
    </row>
    <row r="785" spans="2:9" ht="15.75">
      <c r="B785" s="293"/>
      <c r="C785" s="294"/>
      <c r="E785" s="295"/>
      <c r="F785" s="296"/>
      <c r="I785" s="297"/>
    </row>
    <row r="786" spans="2:9" ht="15.75">
      <c r="B786" s="293"/>
      <c r="C786" s="294"/>
      <c r="E786" s="295"/>
      <c r="F786" s="296"/>
      <c r="I786" s="297"/>
    </row>
    <row r="787" spans="2:9" ht="15.75">
      <c r="B787" s="293"/>
      <c r="C787" s="294"/>
      <c r="E787" s="295"/>
      <c r="F787" s="296"/>
      <c r="I787" s="297"/>
    </row>
    <row r="788" spans="2:9" ht="15.75">
      <c r="B788" s="293"/>
      <c r="C788" s="294"/>
      <c r="E788" s="295"/>
      <c r="F788" s="296"/>
      <c r="I788" s="297"/>
    </row>
    <row r="789" spans="2:9" ht="15.75">
      <c r="B789" s="293"/>
      <c r="C789" s="294"/>
      <c r="E789" s="295"/>
      <c r="F789" s="296"/>
      <c r="I789" s="297"/>
    </row>
    <row r="790" spans="2:9" ht="15.75">
      <c r="B790" s="293"/>
      <c r="C790" s="294"/>
      <c r="E790" s="295"/>
      <c r="F790" s="296"/>
      <c r="I790" s="297"/>
    </row>
    <row r="791" spans="2:9" ht="15.75">
      <c r="B791" s="293"/>
      <c r="C791" s="294"/>
      <c r="E791" s="295"/>
      <c r="F791" s="296"/>
      <c r="I791" s="297"/>
    </row>
    <row r="792" spans="2:9" ht="15.75">
      <c r="B792" s="293"/>
      <c r="C792" s="294"/>
      <c r="E792" s="295"/>
      <c r="F792" s="296"/>
      <c r="I792" s="297"/>
    </row>
    <row r="793" spans="2:9" ht="15.75">
      <c r="B793" s="293"/>
      <c r="C793" s="294"/>
      <c r="E793" s="295"/>
      <c r="F793" s="296"/>
      <c r="I793" s="297"/>
    </row>
    <row r="794" spans="2:9" ht="15.75">
      <c r="B794" s="293"/>
      <c r="C794" s="294"/>
      <c r="E794" s="295"/>
      <c r="F794" s="296"/>
      <c r="I794" s="297"/>
    </row>
    <row r="795" spans="2:9" ht="15.75">
      <c r="B795" s="293"/>
      <c r="C795" s="294"/>
      <c r="E795" s="295"/>
      <c r="F795" s="296"/>
      <c r="I795" s="297"/>
    </row>
    <row r="796" spans="2:9" ht="15.75">
      <c r="B796" s="293"/>
      <c r="C796" s="294"/>
      <c r="E796" s="295"/>
      <c r="F796" s="296"/>
      <c r="I796" s="297"/>
    </row>
    <row r="797" spans="2:9" ht="15.75">
      <c r="B797" s="293"/>
      <c r="C797" s="294"/>
      <c r="E797" s="295"/>
      <c r="F797" s="296"/>
      <c r="I797" s="297"/>
    </row>
    <row r="798" spans="2:9" ht="15.75">
      <c r="B798" s="293"/>
      <c r="C798" s="294"/>
      <c r="E798" s="295"/>
      <c r="F798" s="296"/>
      <c r="I798" s="297"/>
    </row>
    <row r="799" spans="2:9" ht="15.75">
      <c r="B799" s="293"/>
      <c r="C799" s="294"/>
      <c r="E799" s="295"/>
      <c r="F799" s="296"/>
      <c r="I799" s="297"/>
    </row>
    <row r="800" spans="2:9" ht="15.75">
      <c r="B800" s="293"/>
      <c r="C800" s="294"/>
      <c r="E800" s="295"/>
      <c r="F800" s="296"/>
      <c r="I800" s="297"/>
    </row>
    <row r="801" spans="2:9" ht="15.75">
      <c r="B801" s="293"/>
      <c r="C801" s="294"/>
      <c r="E801" s="295"/>
      <c r="F801" s="296"/>
      <c r="I801" s="297"/>
    </row>
    <row r="802" spans="2:9" ht="15.75">
      <c r="B802" s="293"/>
      <c r="C802" s="294"/>
      <c r="E802" s="295"/>
      <c r="F802" s="296"/>
      <c r="I802" s="297"/>
    </row>
    <row r="803" spans="2:9" ht="15.75">
      <c r="B803" s="293"/>
      <c r="C803" s="294"/>
      <c r="E803" s="295"/>
      <c r="F803" s="296"/>
      <c r="I803" s="297"/>
    </row>
    <row r="804" spans="2:9" ht="15.75">
      <c r="B804" s="293"/>
      <c r="C804" s="294"/>
      <c r="E804" s="295"/>
      <c r="F804" s="296"/>
      <c r="I804" s="297"/>
    </row>
    <row r="805" spans="2:9" ht="15.75">
      <c r="B805" s="293"/>
      <c r="C805" s="294"/>
      <c r="E805" s="295"/>
      <c r="F805" s="296"/>
      <c r="I805" s="297"/>
    </row>
    <row r="806" spans="2:9" ht="15.75">
      <c r="B806" s="293"/>
      <c r="C806" s="294"/>
      <c r="E806" s="295"/>
      <c r="F806" s="296"/>
      <c r="I806" s="297"/>
    </row>
    <row r="807" spans="2:9" ht="15.75">
      <c r="B807" s="293"/>
      <c r="C807" s="294"/>
      <c r="E807" s="295"/>
      <c r="F807" s="296"/>
      <c r="I807" s="297"/>
    </row>
    <row r="808" spans="2:9" ht="15.75">
      <c r="B808" s="293"/>
      <c r="C808" s="294"/>
      <c r="E808" s="295"/>
      <c r="F808" s="296"/>
      <c r="I808" s="297"/>
    </row>
    <row r="809" spans="2:9" ht="15.75">
      <c r="B809" s="293"/>
      <c r="C809" s="294"/>
      <c r="E809" s="295"/>
      <c r="F809" s="296"/>
      <c r="I809" s="297"/>
    </row>
    <row r="810" spans="2:9" ht="15.75">
      <c r="B810" s="293"/>
      <c r="C810" s="294"/>
      <c r="E810" s="295"/>
      <c r="F810" s="296"/>
      <c r="I810" s="297"/>
    </row>
    <row r="811" spans="2:9" ht="15.75">
      <c r="B811" s="293"/>
      <c r="C811" s="294"/>
      <c r="E811" s="295"/>
      <c r="F811" s="296"/>
      <c r="I811" s="297"/>
    </row>
    <row r="812" spans="2:9" ht="15.75">
      <c r="B812" s="293"/>
      <c r="C812" s="294"/>
      <c r="E812" s="295"/>
      <c r="F812" s="296"/>
      <c r="I812" s="297"/>
    </row>
    <row r="813" spans="2:9" ht="15.75">
      <c r="B813" s="293"/>
      <c r="C813" s="294"/>
      <c r="E813" s="295"/>
      <c r="F813" s="296"/>
      <c r="I813" s="297"/>
    </row>
    <row r="814" spans="2:9" ht="15.75">
      <c r="B814" s="293"/>
      <c r="C814" s="294"/>
      <c r="E814" s="295"/>
      <c r="F814" s="296"/>
      <c r="I814" s="297"/>
    </row>
    <row r="815" spans="2:9" ht="15.75">
      <c r="B815" s="293"/>
      <c r="C815" s="294"/>
      <c r="E815" s="295"/>
      <c r="F815" s="296"/>
      <c r="I815" s="297"/>
    </row>
    <row r="816" spans="2:9" ht="15.75">
      <c r="B816" s="293"/>
      <c r="C816" s="294"/>
      <c r="E816" s="295"/>
      <c r="F816" s="296"/>
      <c r="I816" s="297"/>
    </row>
    <row r="817" spans="2:9" ht="15.75">
      <c r="B817" s="293"/>
      <c r="C817" s="294"/>
      <c r="E817" s="295"/>
      <c r="F817" s="296"/>
      <c r="I817" s="297"/>
    </row>
    <row r="818" spans="2:9" ht="15.75">
      <c r="B818" s="293"/>
      <c r="C818" s="294"/>
      <c r="E818" s="295"/>
      <c r="F818" s="296"/>
      <c r="I818" s="297"/>
    </row>
    <row r="819" spans="2:9" ht="15.75">
      <c r="B819" s="293"/>
      <c r="C819" s="294"/>
      <c r="E819" s="295"/>
      <c r="F819" s="296"/>
      <c r="I819" s="297"/>
    </row>
    <row r="820" spans="2:9" ht="15.75">
      <c r="B820" s="293"/>
      <c r="C820" s="294"/>
      <c r="E820" s="295"/>
      <c r="F820" s="296"/>
      <c r="I820" s="297"/>
    </row>
    <row r="821" spans="2:9" ht="15.75">
      <c r="B821" s="293"/>
      <c r="C821" s="294"/>
      <c r="E821" s="295"/>
      <c r="F821" s="296"/>
      <c r="I821" s="297"/>
    </row>
    <row r="822" spans="2:9" ht="15.75">
      <c r="B822" s="293"/>
      <c r="C822" s="294"/>
      <c r="E822" s="295"/>
      <c r="F822" s="296"/>
      <c r="I822" s="297"/>
    </row>
    <row r="823" spans="2:9" ht="15.75">
      <c r="B823" s="293"/>
      <c r="C823" s="294"/>
      <c r="E823" s="295"/>
      <c r="F823" s="296"/>
      <c r="I823" s="297"/>
    </row>
    <row r="824" spans="2:9" ht="15.75">
      <c r="B824" s="293"/>
      <c r="C824" s="294"/>
      <c r="E824" s="295"/>
      <c r="F824" s="296"/>
      <c r="I824" s="297"/>
    </row>
    <row r="825" spans="2:9" ht="15.75">
      <c r="B825" s="293"/>
      <c r="C825" s="294"/>
      <c r="E825" s="295"/>
      <c r="F825" s="296"/>
      <c r="I825" s="297"/>
    </row>
    <row r="826" spans="2:9" ht="15.75">
      <c r="B826" s="293"/>
      <c r="C826" s="294"/>
      <c r="E826" s="295"/>
      <c r="F826" s="296"/>
      <c r="I826" s="297"/>
    </row>
    <row r="827" spans="2:9" ht="15.75">
      <c r="B827" s="293"/>
      <c r="C827" s="294"/>
      <c r="E827" s="295"/>
      <c r="F827" s="296"/>
      <c r="I827" s="297"/>
    </row>
    <row r="828" spans="2:9" ht="15.75">
      <c r="B828" s="293"/>
      <c r="C828" s="294"/>
      <c r="E828" s="295"/>
      <c r="F828" s="296"/>
      <c r="I828" s="297"/>
    </row>
    <row r="829" spans="2:9" ht="15.75">
      <c r="B829" s="293"/>
      <c r="C829" s="294"/>
      <c r="E829" s="295"/>
      <c r="F829" s="296"/>
      <c r="I829" s="297"/>
    </row>
    <row r="830" spans="2:9" ht="15.75">
      <c r="B830" s="293"/>
      <c r="C830" s="294"/>
      <c r="E830" s="295"/>
      <c r="F830" s="296"/>
      <c r="I830" s="297"/>
    </row>
    <row r="831" spans="2:9" ht="15.75">
      <c r="B831" s="293"/>
      <c r="C831" s="294"/>
      <c r="E831" s="295"/>
      <c r="F831" s="296"/>
      <c r="I831" s="297"/>
    </row>
    <row r="832" spans="2:9" ht="15.75">
      <c r="B832" s="293"/>
      <c r="C832" s="294"/>
      <c r="E832" s="295"/>
      <c r="F832" s="296"/>
      <c r="I832" s="297"/>
    </row>
    <row r="833" spans="2:9" ht="15.75">
      <c r="B833" s="293"/>
      <c r="C833" s="294"/>
      <c r="E833" s="295"/>
      <c r="F833" s="296"/>
      <c r="I833" s="297"/>
    </row>
    <row r="834" spans="2:9" ht="15.75">
      <c r="B834" s="293"/>
      <c r="C834" s="294"/>
      <c r="E834" s="295"/>
      <c r="F834" s="296"/>
      <c r="I834" s="297"/>
    </row>
    <row r="835" spans="2:9" ht="15.75">
      <c r="B835" s="293"/>
      <c r="C835" s="294"/>
      <c r="E835" s="295"/>
      <c r="F835" s="296"/>
      <c r="I835" s="297"/>
    </row>
    <row r="836" spans="2:9" ht="15.75">
      <c r="B836" s="293"/>
      <c r="C836" s="294"/>
      <c r="E836" s="295"/>
      <c r="F836" s="296"/>
      <c r="I836" s="297"/>
    </row>
    <row r="837" spans="2:9" ht="15.75">
      <c r="B837" s="293"/>
      <c r="C837" s="294"/>
      <c r="E837" s="295"/>
      <c r="F837" s="296"/>
      <c r="I837" s="297"/>
    </row>
    <row r="838" spans="2:9" ht="15.75">
      <c r="B838" s="293"/>
      <c r="C838" s="294"/>
      <c r="E838" s="295"/>
      <c r="F838" s="296"/>
      <c r="I838" s="297"/>
    </row>
    <row r="839" spans="2:9" ht="15.75">
      <c r="B839" s="293"/>
      <c r="C839" s="294"/>
      <c r="E839" s="295"/>
      <c r="F839" s="296"/>
      <c r="I839" s="297"/>
    </row>
    <row r="840" spans="2:9" ht="15.75">
      <c r="B840" s="293"/>
      <c r="C840" s="294"/>
      <c r="E840" s="295"/>
      <c r="F840" s="296"/>
      <c r="I840" s="297"/>
    </row>
    <row r="841" spans="2:9" ht="15.75">
      <c r="B841" s="293"/>
      <c r="C841" s="294"/>
      <c r="E841" s="295"/>
      <c r="F841" s="296"/>
      <c r="I841" s="297"/>
    </row>
    <row r="842" spans="2:9" ht="15.75">
      <c r="B842" s="293"/>
      <c r="C842" s="294"/>
      <c r="E842" s="295"/>
      <c r="F842" s="296"/>
      <c r="I842" s="297"/>
    </row>
    <row r="843" spans="2:9" ht="15.75">
      <c r="B843" s="293"/>
      <c r="C843" s="294"/>
      <c r="E843" s="295"/>
      <c r="F843" s="296"/>
      <c r="I843" s="297"/>
    </row>
    <row r="844" spans="2:9" ht="15.75">
      <c r="B844" s="293"/>
      <c r="C844" s="294"/>
      <c r="E844" s="295"/>
      <c r="F844" s="296"/>
      <c r="I844" s="297"/>
    </row>
    <row r="845" spans="2:9" ht="15.75">
      <c r="B845" s="293"/>
      <c r="C845" s="294"/>
      <c r="E845" s="295"/>
      <c r="F845" s="296"/>
      <c r="I845" s="297"/>
    </row>
    <row r="846" spans="2:9" ht="15.75">
      <c r="B846" s="293"/>
      <c r="C846" s="294"/>
      <c r="E846" s="295"/>
      <c r="F846" s="296"/>
      <c r="I846" s="297"/>
    </row>
    <row r="847" spans="2:9" ht="15.75">
      <c r="B847" s="293"/>
      <c r="C847" s="294"/>
      <c r="E847" s="295"/>
      <c r="F847" s="296"/>
      <c r="I847" s="297"/>
    </row>
    <row r="848" spans="2:9" ht="15.75">
      <c r="B848" s="293"/>
      <c r="C848" s="294"/>
      <c r="E848" s="295"/>
      <c r="F848" s="296"/>
      <c r="I848" s="297"/>
    </row>
    <row r="849" spans="2:9" ht="15.75">
      <c r="B849" s="293"/>
      <c r="C849" s="294"/>
      <c r="E849" s="295"/>
      <c r="F849" s="296"/>
      <c r="I849" s="297"/>
    </row>
    <row r="850" spans="2:9" ht="15.75">
      <c r="B850" s="293"/>
      <c r="C850" s="294"/>
      <c r="E850" s="295"/>
      <c r="F850" s="296"/>
      <c r="I850" s="297"/>
    </row>
    <row r="851" spans="2:9" ht="15.75">
      <c r="B851" s="293"/>
      <c r="C851" s="294"/>
      <c r="E851" s="295"/>
      <c r="F851" s="296"/>
      <c r="I851" s="297"/>
    </row>
    <row r="852" spans="2:9" ht="15.75">
      <c r="B852" s="293"/>
      <c r="C852" s="294"/>
      <c r="E852" s="295"/>
      <c r="F852" s="296"/>
      <c r="I852" s="297"/>
    </row>
    <row r="853" spans="2:9" ht="15.75">
      <c r="B853" s="293"/>
      <c r="C853" s="294"/>
      <c r="E853" s="295"/>
      <c r="F853" s="296"/>
      <c r="I853" s="297"/>
    </row>
    <row r="854" spans="2:9" ht="15.75">
      <c r="B854" s="293"/>
      <c r="C854" s="294"/>
      <c r="E854" s="295"/>
      <c r="F854" s="296"/>
      <c r="I854" s="297"/>
    </row>
    <row r="855" spans="2:9" ht="15.75">
      <c r="B855" s="293"/>
      <c r="C855" s="294"/>
      <c r="E855" s="295"/>
      <c r="F855" s="296"/>
      <c r="I855" s="297"/>
    </row>
    <row r="856" spans="2:9" ht="15.75">
      <c r="B856" s="293"/>
      <c r="C856" s="294"/>
      <c r="E856" s="295"/>
      <c r="F856" s="296"/>
      <c r="I856" s="297"/>
    </row>
    <row r="857" spans="2:9" ht="15.75">
      <c r="B857" s="293"/>
      <c r="C857" s="294"/>
      <c r="E857" s="295"/>
      <c r="F857" s="296"/>
      <c r="I857" s="297"/>
    </row>
    <row r="858" spans="2:9" ht="15.75">
      <c r="B858" s="293"/>
      <c r="C858" s="294"/>
      <c r="E858" s="295"/>
      <c r="F858" s="296"/>
      <c r="I858" s="297"/>
    </row>
    <row r="859" spans="2:9" ht="15.75">
      <c r="B859" s="293"/>
      <c r="C859" s="294"/>
      <c r="E859" s="295"/>
      <c r="F859" s="296"/>
      <c r="I859" s="297"/>
    </row>
    <row r="860" spans="2:9" ht="15.75">
      <c r="B860" s="293"/>
      <c r="C860" s="294"/>
      <c r="E860" s="295"/>
      <c r="F860" s="296"/>
      <c r="I860" s="297"/>
    </row>
    <row r="861" spans="2:9" ht="15.75">
      <c r="B861" s="293"/>
      <c r="C861" s="294"/>
      <c r="E861" s="295"/>
      <c r="F861" s="296"/>
      <c r="I861" s="297"/>
    </row>
    <row r="862" spans="2:9" ht="15.75">
      <c r="B862" s="293"/>
      <c r="C862" s="294"/>
      <c r="E862" s="295"/>
      <c r="F862" s="296"/>
      <c r="I862" s="297"/>
    </row>
    <row r="863" spans="2:9" ht="15.75">
      <c r="B863" s="293"/>
      <c r="C863" s="294"/>
      <c r="E863" s="295"/>
      <c r="F863" s="296"/>
      <c r="I863" s="297"/>
    </row>
    <row r="864" spans="2:9" ht="15.75">
      <c r="B864" s="293"/>
      <c r="C864" s="294"/>
      <c r="E864" s="295"/>
      <c r="F864" s="296"/>
      <c r="I864" s="297"/>
    </row>
    <row r="865" spans="2:9" ht="15.75">
      <c r="B865" s="293"/>
      <c r="C865" s="294"/>
      <c r="E865" s="295"/>
      <c r="F865" s="296"/>
      <c r="I865" s="297"/>
    </row>
    <row r="866" spans="2:9" ht="15.75">
      <c r="B866" s="293"/>
      <c r="C866" s="294"/>
      <c r="E866" s="295"/>
      <c r="F866" s="296"/>
      <c r="I866" s="297"/>
    </row>
    <row r="867" spans="2:9" ht="15.75">
      <c r="B867" s="293"/>
      <c r="C867" s="294"/>
      <c r="E867" s="295"/>
      <c r="F867" s="296"/>
      <c r="I867" s="297"/>
    </row>
    <row r="868" spans="2:9" ht="15.75">
      <c r="B868" s="293"/>
      <c r="C868" s="294"/>
      <c r="E868" s="295"/>
      <c r="F868" s="296"/>
      <c r="I868" s="297"/>
    </row>
    <row r="869" spans="2:9" ht="15.75">
      <c r="B869" s="293"/>
      <c r="C869" s="294"/>
      <c r="E869" s="295"/>
      <c r="F869" s="296"/>
      <c r="I869" s="297"/>
    </row>
    <row r="870" spans="2:9" ht="15.75">
      <c r="B870" s="293"/>
      <c r="C870" s="294"/>
      <c r="E870" s="295"/>
      <c r="F870" s="296"/>
      <c r="I870" s="297"/>
    </row>
    <row r="871" spans="2:9" ht="15.75">
      <c r="B871" s="293"/>
      <c r="C871" s="294"/>
      <c r="E871" s="295"/>
      <c r="F871" s="296"/>
      <c r="I871" s="297"/>
    </row>
    <row r="872" spans="2:9" ht="15.75">
      <c r="B872" s="293"/>
      <c r="C872" s="294"/>
      <c r="E872" s="295"/>
      <c r="F872" s="296"/>
      <c r="I872" s="297"/>
    </row>
    <row r="873" spans="2:9" ht="15.75">
      <c r="B873" s="293"/>
      <c r="C873" s="294"/>
      <c r="E873" s="295"/>
      <c r="F873" s="296"/>
      <c r="I873" s="297"/>
    </row>
    <row r="874" spans="2:9" ht="15.75">
      <c r="B874" s="293"/>
      <c r="C874" s="294"/>
      <c r="E874" s="295"/>
      <c r="F874" s="296"/>
      <c r="I874" s="297"/>
    </row>
    <row r="875" spans="2:9" ht="15.75">
      <c r="B875" s="293"/>
      <c r="C875" s="294"/>
      <c r="E875" s="295"/>
      <c r="F875" s="296"/>
      <c r="I875" s="297"/>
    </row>
    <row r="876" spans="2:9" ht="15.75">
      <c r="B876" s="293"/>
      <c r="C876" s="294"/>
      <c r="E876" s="295"/>
      <c r="F876" s="296"/>
      <c r="I876" s="297"/>
    </row>
    <row r="877" spans="2:9" ht="15.75">
      <c r="B877" s="293"/>
      <c r="C877" s="294"/>
      <c r="E877" s="295"/>
      <c r="F877" s="296"/>
      <c r="I877" s="297"/>
    </row>
    <row r="878" spans="2:9" ht="15.75">
      <c r="B878" s="293"/>
      <c r="C878" s="294"/>
      <c r="E878" s="295"/>
      <c r="F878" s="296"/>
      <c r="I878" s="297"/>
    </row>
    <row r="879" spans="2:9" ht="15.75">
      <c r="B879" s="293"/>
      <c r="C879" s="294"/>
      <c r="E879" s="295"/>
      <c r="F879" s="296"/>
      <c r="I879" s="297"/>
    </row>
    <row r="880" spans="2:9" ht="15.75">
      <c r="B880" s="293"/>
      <c r="C880" s="294"/>
      <c r="E880" s="295"/>
      <c r="F880" s="296"/>
      <c r="I880" s="297"/>
    </row>
    <row r="881" spans="2:9" ht="15.75">
      <c r="B881" s="293"/>
      <c r="C881" s="294"/>
      <c r="E881" s="295"/>
      <c r="F881" s="296"/>
      <c r="I881" s="297"/>
    </row>
    <row r="882" spans="2:9" ht="15.75">
      <c r="B882" s="293"/>
      <c r="C882" s="294"/>
      <c r="E882" s="295"/>
      <c r="F882" s="296"/>
      <c r="I882" s="297"/>
    </row>
    <row r="883" spans="2:9" ht="15.75">
      <c r="B883" s="293"/>
      <c r="C883" s="294"/>
      <c r="E883" s="295"/>
      <c r="F883" s="296"/>
      <c r="I883" s="297"/>
    </row>
    <row r="884" spans="2:9" ht="15.75">
      <c r="B884" s="293"/>
      <c r="C884" s="294"/>
      <c r="E884" s="295"/>
      <c r="F884" s="296"/>
      <c r="I884" s="297"/>
    </row>
    <row r="885" spans="2:9" ht="15.75">
      <c r="B885" s="293"/>
      <c r="C885" s="294"/>
      <c r="E885" s="295"/>
      <c r="F885" s="296"/>
      <c r="I885" s="297"/>
    </row>
    <row r="886" spans="2:9" ht="15.75">
      <c r="B886" s="293"/>
      <c r="C886" s="294"/>
      <c r="E886" s="295"/>
      <c r="F886" s="296"/>
      <c r="I886" s="297"/>
    </row>
    <row r="887" spans="2:9" ht="15.75">
      <c r="B887" s="293"/>
      <c r="C887" s="294"/>
      <c r="E887" s="295"/>
      <c r="F887" s="296"/>
      <c r="I887" s="297"/>
    </row>
    <row r="888" spans="2:9" ht="15.75">
      <c r="B888" s="293"/>
      <c r="C888" s="294"/>
      <c r="E888" s="295"/>
      <c r="F888" s="296"/>
      <c r="I888" s="297"/>
    </row>
    <row r="889" spans="2:9" ht="15.75">
      <c r="B889" s="293"/>
      <c r="C889" s="294"/>
      <c r="E889" s="295"/>
      <c r="F889" s="296"/>
      <c r="I889" s="297"/>
    </row>
    <row r="890" spans="2:9" ht="15.75">
      <c r="B890" s="293"/>
      <c r="C890" s="294"/>
      <c r="E890" s="295"/>
      <c r="F890" s="296"/>
      <c r="I890" s="297"/>
    </row>
    <row r="891" spans="2:9" ht="15.75">
      <c r="B891" s="293"/>
      <c r="C891" s="294"/>
      <c r="E891" s="295"/>
      <c r="F891" s="296"/>
      <c r="I891" s="297"/>
    </row>
    <row r="892" spans="2:9" ht="15.75">
      <c r="B892" s="293"/>
      <c r="C892" s="294"/>
      <c r="E892" s="295"/>
      <c r="F892" s="296"/>
      <c r="I892" s="297"/>
    </row>
    <row r="893" spans="2:9" ht="15.75">
      <c r="B893" s="293"/>
      <c r="C893" s="294"/>
      <c r="E893" s="295"/>
      <c r="F893" s="296"/>
      <c r="I893" s="297"/>
    </row>
    <row r="894" spans="2:9" ht="15.75">
      <c r="B894" s="293"/>
      <c r="C894" s="294"/>
      <c r="E894" s="295"/>
      <c r="F894" s="296"/>
      <c r="I894" s="297"/>
    </row>
    <row r="895" spans="2:9" ht="15.75">
      <c r="B895" s="293"/>
      <c r="C895" s="294"/>
      <c r="E895" s="295"/>
      <c r="F895" s="296"/>
      <c r="I895" s="297"/>
    </row>
    <row r="896" spans="2:9" ht="15.75">
      <c r="B896" s="293"/>
      <c r="C896" s="294"/>
      <c r="E896" s="295"/>
      <c r="F896" s="296"/>
      <c r="I896" s="297"/>
    </row>
    <row r="897" spans="2:9" ht="15.75">
      <c r="B897" s="293"/>
      <c r="C897" s="294"/>
      <c r="E897" s="295"/>
      <c r="F897" s="296"/>
      <c r="I897" s="297"/>
    </row>
    <row r="898" spans="2:9" ht="15.75">
      <c r="B898" s="293"/>
      <c r="C898" s="294"/>
      <c r="E898" s="295"/>
      <c r="F898" s="296"/>
      <c r="I898" s="297"/>
    </row>
    <row r="899" spans="2:9" ht="15.75">
      <c r="B899" s="293"/>
      <c r="C899" s="294"/>
      <c r="E899" s="295"/>
      <c r="F899" s="296"/>
      <c r="I899" s="297"/>
    </row>
    <row r="900" spans="2:9" ht="15.75">
      <c r="B900" s="293"/>
      <c r="C900" s="294"/>
      <c r="E900" s="295"/>
      <c r="F900" s="296"/>
      <c r="I900" s="297"/>
    </row>
    <row r="901" spans="2:9" ht="15.75">
      <c r="B901" s="293"/>
      <c r="C901" s="294"/>
      <c r="E901" s="295"/>
      <c r="F901" s="296"/>
      <c r="I901" s="297"/>
    </row>
    <row r="902" spans="2:9" ht="15.75">
      <c r="B902" s="293"/>
      <c r="C902" s="294"/>
      <c r="E902" s="295"/>
      <c r="F902" s="296"/>
      <c r="I902" s="297"/>
    </row>
    <row r="903" spans="2:9" ht="15.75">
      <c r="B903" s="293"/>
      <c r="C903" s="294"/>
      <c r="E903" s="295"/>
      <c r="F903" s="296"/>
      <c r="I903" s="297"/>
    </row>
    <row r="904" spans="2:9" ht="15.75">
      <c r="B904" s="293"/>
      <c r="C904" s="294"/>
      <c r="E904" s="295"/>
      <c r="F904" s="296"/>
      <c r="I904" s="297"/>
    </row>
    <row r="905" spans="2:9" ht="15.75">
      <c r="B905" s="293"/>
      <c r="C905" s="294"/>
      <c r="E905" s="295"/>
      <c r="F905" s="296"/>
      <c r="I905" s="297"/>
    </row>
    <row r="906" spans="2:9" ht="15.75">
      <c r="B906" s="293"/>
      <c r="C906" s="294"/>
      <c r="E906" s="295"/>
      <c r="F906" s="296"/>
      <c r="I906" s="297"/>
    </row>
    <row r="907" spans="2:9" ht="15.75">
      <c r="B907" s="293"/>
      <c r="C907" s="294"/>
      <c r="E907" s="295"/>
      <c r="F907" s="296"/>
      <c r="I907" s="297"/>
    </row>
    <row r="908" spans="2:9" ht="15.75">
      <c r="B908" s="293"/>
      <c r="C908" s="294"/>
      <c r="E908" s="295"/>
      <c r="F908" s="296"/>
      <c r="I908" s="297"/>
    </row>
    <row r="909" spans="2:9" ht="15.75">
      <c r="B909" s="293"/>
      <c r="C909" s="294"/>
      <c r="E909" s="295"/>
      <c r="F909" s="296"/>
      <c r="I909" s="297"/>
    </row>
    <row r="910" spans="2:9" ht="15.75">
      <c r="B910" s="293"/>
      <c r="C910" s="294"/>
      <c r="E910" s="295"/>
      <c r="F910" s="296"/>
      <c r="I910" s="297"/>
    </row>
    <row r="911" spans="2:9" ht="15.75">
      <c r="B911" s="293"/>
      <c r="C911" s="294"/>
      <c r="E911" s="295"/>
      <c r="F911" s="296"/>
      <c r="I911" s="297"/>
    </row>
    <row r="912" spans="2:9" ht="15.75">
      <c r="B912" s="293"/>
      <c r="C912" s="294"/>
      <c r="E912" s="295"/>
      <c r="F912" s="296"/>
      <c r="I912" s="297"/>
    </row>
    <row r="913" spans="2:9" ht="15.75">
      <c r="B913" s="293"/>
      <c r="C913" s="294"/>
      <c r="E913" s="295"/>
      <c r="F913" s="296"/>
      <c r="I913" s="297"/>
    </row>
    <row r="914" spans="2:9" ht="15.75">
      <c r="B914" s="293"/>
      <c r="C914" s="294"/>
      <c r="E914" s="295"/>
      <c r="F914" s="296"/>
      <c r="I914" s="297"/>
    </row>
    <row r="915" spans="2:9" ht="15.75">
      <c r="B915" s="293"/>
      <c r="C915" s="294"/>
      <c r="E915" s="295"/>
      <c r="F915" s="296"/>
      <c r="I915" s="297"/>
    </row>
    <row r="916" spans="2:9" ht="15.75">
      <c r="B916" s="293"/>
      <c r="C916" s="294"/>
      <c r="E916" s="295"/>
      <c r="F916" s="296"/>
      <c r="I916" s="297"/>
    </row>
    <row r="917" spans="2:9" ht="15.75">
      <c r="B917" s="293"/>
      <c r="C917" s="294"/>
      <c r="E917" s="295"/>
      <c r="F917" s="296"/>
      <c r="I917" s="297"/>
    </row>
    <row r="918" spans="2:9" ht="15.75">
      <c r="B918" s="293"/>
      <c r="C918" s="294"/>
      <c r="E918" s="295"/>
      <c r="F918" s="296"/>
      <c r="I918" s="297"/>
    </row>
    <row r="919" spans="2:9" ht="15.75">
      <c r="B919" s="293"/>
      <c r="C919" s="294"/>
      <c r="E919" s="295"/>
      <c r="F919" s="296"/>
      <c r="I919" s="297"/>
    </row>
    <row r="920" spans="2:9" ht="15.75">
      <c r="B920" s="293"/>
      <c r="C920" s="294"/>
      <c r="E920" s="295"/>
      <c r="F920" s="296"/>
      <c r="I920" s="297"/>
    </row>
    <row r="921" spans="2:9" ht="15.75">
      <c r="B921" s="293"/>
      <c r="C921" s="294"/>
      <c r="E921" s="295"/>
      <c r="F921" s="296"/>
      <c r="I921" s="297"/>
    </row>
    <row r="922" spans="2:9" ht="15.75">
      <c r="B922" s="293"/>
      <c r="C922" s="294"/>
      <c r="E922" s="295"/>
      <c r="F922" s="296"/>
      <c r="I922" s="297"/>
    </row>
    <row r="923" spans="2:9" ht="15.75">
      <c r="B923" s="293"/>
      <c r="C923" s="294"/>
      <c r="E923" s="295"/>
      <c r="F923" s="296"/>
      <c r="I923" s="297"/>
    </row>
    <row r="924" spans="2:9" ht="15.75">
      <c r="B924" s="293"/>
      <c r="C924" s="294"/>
      <c r="E924" s="295"/>
      <c r="F924" s="296"/>
      <c r="I924" s="297"/>
    </row>
    <row r="925" spans="2:9" ht="15.75">
      <c r="B925" s="293"/>
      <c r="C925" s="294"/>
      <c r="E925" s="295"/>
      <c r="F925" s="296"/>
      <c r="I925" s="297"/>
    </row>
    <row r="926" spans="2:9" ht="15.75">
      <c r="B926" s="293"/>
      <c r="C926" s="294"/>
      <c r="E926" s="295"/>
      <c r="F926" s="296"/>
      <c r="I926" s="297"/>
    </row>
    <row r="927" spans="2:9" ht="15.75">
      <c r="B927" s="293"/>
      <c r="C927" s="294"/>
      <c r="E927" s="295"/>
      <c r="F927" s="296"/>
      <c r="I927" s="297"/>
    </row>
    <row r="928" spans="2:9" ht="15.75">
      <c r="B928" s="293"/>
      <c r="C928" s="294"/>
      <c r="E928" s="295"/>
      <c r="F928" s="296"/>
      <c r="I928" s="297"/>
    </row>
    <row r="929" spans="2:9" ht="15.75">
      <c r="B929" s="293"/>
      <c r="C929" s="294"/>
      <c r="E929" s="295"/>
      <c r="F929" s="296"/>
      <c r="I929" s="297"/>
    </row>
    <row r="930" spans="2:9" ht="15.75">
      <c r="B930" s="293"/>
      <c r="C930" s="294"/>
      <c r="E930" s="295"/>
      <c r="F930" s="296"/>
      <c r="I930" s="297"/>
    </row>
    <row r="931" spans="2:9" ht="15.75">
      <c r="B931" s="293"/>
      <c r="C931" s="294"/>
      <c r="E931" s="295"/>
      <c r="F931" s="296"/>
      <c r="I931" s="297"/>
    </row>
    <row r="932" spans="2:9" ht="15.75">
      <c r="B932" s="293"/>
      <c r="C932" s="294"/>
      <c r="E932" s="295"/>
      <c r="F932" s="296"/>
      <c r="I932" s="297"/>
    </row>
    <row r="933" spans="2:9" ht="15.75">
      <c r="B933" s="293"/>
      <c r="C933" s="294"/>
      <c r="E933" s="295"/>
      <c r="F933" s="296"/>
      <c r="I933" s="297"/>
    </row>
    <row r="934" spans="2:9" ht="15.75">
      <c r="B934" s="293"/>
      <c r="C934" s="294"/>
      <c r="E934" s="295"/>
      <c r="F934" s="296"/>
      <c r="I934" s="297"/>
    </row>
    <row r="935" spans="2:9" ht="15.75">
      <c r="B935" s="293"/>
      <c r="C935" s="294"/>
      <c r="E935" s="295"/>
      <c r="F935" s="296"/>
      <c r="I935" s="297"/>
    </row>
    <row r="936" spans="2:9" ht="15.75">
      <c r="B936" s="293"/>
      <c r="C936" s="294"/>
      <c r="E936" s="295"/>
      <c r="F936" s="296"/>
      <c r="I936" s="297"/>
    </row>
    <row r="937" spans="2:9" ht="15.75">
      <c r="B937" s="293"/>
      <c r="C937" s="294"/>
      <c r="E937" s="295"/>
      <c r="F937" s="296"/>
      <c r="I937" s="297"/>
    </row>
    <row r="938" spans="2:9" ht="15.75">
      <c r="B938" s="293"/>
      <c r="C938" s="294"/>
      <c r="E938" s="295"/>
      <c r="F938" s="296"/>
      <c r="I938" s="297"/>
    </row>
    <row r="939" spans="2:9" ht="15.75">
      <c r="B939" s="293"/>
      <c r="C939" s="294"/>
      <c r="E939" s="295"/>
      <c r="F939" s="296"/>
      <c r="I939" s="297"/>
    </row>
    <row r="940" spans="2:9" ht="15.75">
      <c r="B940" s="293"/>
      <c r="C940" s="294"/>
      <c r="E940" s="295"/>
      <c r="F940" s="296"/>
      <c r="I940" s="297"/>
    </row>
    <row r="941" spans="2:9" ht="15.75">
      <c r="B941" s="293"/>
      <c r="C941" s="294"/>
      <c r="E941" s="295"/>
      <c r="F941" s="296"/>
      <c r="I941" s="297"/>
    </row>
    <row r="942" spans="2:9" ht="15.75">
      <c r="B942" s="293"/>
      <c r="C942" s="294"/>
      <c r="E942" s="295"/>
      <c r="F942" s="296"/>
      <c r="I942" s="297"/>
    </row>
    <row r="943" spans="2:9" ht="15.75">
      <c r="B943" s="293"/>
      <c r="C943" s="294"/>
      <c r="E943" s="295"/>
      <c r="F943" s="296"/>
      <c r="I943" s="297"/>
    </row>
    <row r="944" spans="2:9" ht="15.75">
      <c r="B944" s="293"/>
      <c r="C944" s="294"/>
      <c r="E944" s="295"/>
      <c r="F944" s="296"/>
      <c r="I944" s="297"/>
    </row>
    <row r="945" spans="2:9" ht="15.75">
      <c r="B945" s="293"/>
      <c r="C945" s="294"/>
      <c r="E945" s="295"/>
      <c r="F945" s="296"/>
      <c r="I945" s="297"/>
    </row>
    <row r="946" spans="2:9" ht="15.75">
      <c r="B946" s="293"/>
      <c r="C946" s="294"/>
      <c r="E946" s="295"/>
      <c r="F946" s="296"/>
      <c r="I946" s="297"/>
    </row>
    <row r="947" spans="2:9" ht="15.75">
      <c r="B947" s="293"/>
      <c r="C947" s="294"/>
      <c r="E947" s="295"/>
      <c r="F947" s="296"/>
      <c r="I947" s="297"/>
    </row>
    <row r="948" spans="2:9" ht="15.75">
      <c r="B948" s="293"/>
      <c r="C948" s="294"/>
      <c r="E948" s="295"/>
      <c r="F948" s="296"/>
      <c r="I948" s="297"/>
    </row>
    <row r="949" spans="2:9" ht="15.75">
      <c r="B949" s="293"/>
      <c r="C949" s="294"/>
      <c r="E949" s="295"/>
      <c r="F949" s="296"/>
      <c r="I949" s="297"/>
    </row>
    <row r="950" spans="2:9" ht="15.75">
      <c r="B950" s="293"/>
      <c r="C950" s="294"/>
      <c r="E950" s="295"/>
      <c r="F950" s="296"/>
      <c r="I950" s="297"/>
    </row>
    <row r="951" spans="2:9" ht="15.75">
      <c r="B951" s="293"/>
      <c r="C951" s="294"/>
      <c r="E951" s="295"/>
      <c r="F951" s="296"/>
      <c r="I951" s="297"/>
    </row>
    <row r="952" spans="2:9" ht="15.75">
      <c r="B952" s="293"/>
      <c r="C952" s="294"/>
      <c r="E952" s="295"/>
      <c r="F952" s="296"/>
      <c r="I952" s="297"/>
    </row>
    <row r="953" spans="2:9" ht="15.75">
      <c r="B953" s="293"/>
      <c r="C953" s="294"/>
      <c r="E953" s="295"/>
      <c r="F953" s="296"/>
      <c r="I953" s="297"/>
    </row>
    <row r="954" spans="2:9" ht="15.75">
      <c r="B954" s="293"/>
      <c r="C954" s="294"/>
      <c r="E954" s="295"/>
      <c r="F954" s="296"/>
      <c r="I954" s="297"/>
    </row>
    <row r="955" spans="2:9" ht="15.75">
      <c r="B955" s="293"/>
      <c r="C955" s="294"/>
      <c r="E955" s="295"/>
      <c r="F955" s="296"/>
      <c r="I955" s="297"/>
    </row>
    <row r="956" spans="2:9" ht="15.75">
      <c r="B956" s="293"/>
      <c r="C956" s="294"/>
      <c r="E956" s="295"/>
      <c r="F956" s="296"/>
      <c r="I956" s="297"/>
    </row>
    <row r="957" spans="2:9" ht="15.75">
      <c r="B957" s="293"/>
      <c r="C957" s="294"/>
      <c r="E957" s="295"/>
      <c r="F957" s="296"/>
      <c r="I957" s="297"/>
    </row>
    <row r="958" spans="2:9" ht="15.75">
      <c r="B958" s="293"/>
      <c r="C958" s="294"/>
      <c r="E958" s="295"/>
      <c r="F958" s="296"/>
      <c r="I958" s="297"/>
    </row>
    <row r="959" spans="2:9" ht="15.75">
      <c r="B959" s="293"/>
      <c r="C959" s="294"/>
      <c r="E959" s="295"/>
      <c r="F959" s="296"/>
      <c r="I959" s="297"/>
    </row>
    <row r="960" spans="2:9" ht="15.75">
      <c r="B960" s="293"/>
      <c r="C960" s="294"/>
      <c r="E960" s="295"/>
      <c r="F960" s="296"/>
      <c r="I960" s="297"/>
    </row>
    <row r="961" spans="2:9" ht="15.75">
      <c r="B961" s="293"/>
      <c r="C961" s="294"/>
      <c r="E961" s="295"/>
      <c r="F961" s="296"/>
      <c r="I961" s="297"/>
    </row>
    <row r="962" spans="2:9" ht="15.75">
      <c r="B962" s="293"/>
      <c r="C962" s="294"/>
      <c r="E962" s="295"/>
      <c r="F962" s="296"/>
      <c r="I962" s="297"/>
    </row>
    <row r="963" spans="2:9" ht="15.75">
      <c r="B963" s="293"/>
      <c r="C963" s="294"/>
      <c r="E963" s="295"/>
      <c r="F963" s="296"/>
      <c r="I963" s="297"/>
    </row>
    <row r="964" spans="2:9" ht="15.75">
      <c r="B964" s="293"/>
      <c r="C964" s="294"/>
      <c r="E964" s="295"/>
      <c r="F964" s="296"/>
      <c r="I964" s="297"/>
    </row>
    <row r="965" spans="2:9" ht="15.75">
      <c r="B965" s="293"/>
      <c r="C965" s="294"/>
      <c r="E965" s="295"/>
      <c r="F965" s="296"/>
      <c r="I965" s="297"/>
    </row>
    <row r="966" spans="2:9" ht="15.75">
      <c r="B966" s="293"/>
      <c r="C966" s="294"/>
      <c r="E966" s="295"/>
      <c r="F966" s="296"/>
      <c r="I966" s="297"/>
    </row>
    <row r="967" spans="2:9" ht="15.75">
      <c r="B967" s="293"/>
      <c r="C967" s="294"/>
      <c r="E967" s="295"/>
      <c r="F967" s="296"/>
      <c r="I967" s="297"/>
    </row>
    <row r="968" spans="2:9" ht="15.75">
      <c r="B968" s="293"/>
      <c r="C968" s="294"/>
      <c r="E968" s="295"/>
      <c r="F968" s="296"/>
      <c r="I968" s="297"/>
    </row>
    <row r="969" spans="2:9" ht="15.75">
      <c r="B969" s="293"/>
      <c r="C969" s="294"/>
      <c r="E969" s="295"/>
      <c r="F969" s="296"/>
      <c r="I969" s="297"/>
    </row>
    <row r="970" spans="2:9" ht="15.75">
      <c r="B970" s="293"/>
      <c r="C970" s="294"/>
      <c r="E970" s="295"/>
      <c r="F970" s="296"/>
      <c r="I970" s="297"/>
    </row>
    <row r="971" spans="2:9" ht="15.75">
      <c r="B971" s="293"/>
      <c r="C971" s="294"/>
      <c r="E971" s="295"/>
      <c r="F971" s="296"/>
      <c r="I971" s="297"/>
    </row>
    <row r="972" spans="2:9" ht="15.75">
      <c r="B972" s="293"/>
      <c r="C972" s="294"/>
      <c r="E972" s="295"/>
      <c r="F972" s="296"/>
      <c r="I972" s="297"/>
    </row>
    <row r="973" spans="2:9" ht="15.75">
      <c r="B973" s="293"/>
      <c r="C973" s="294"/>
      <c r="E973" s="295"/>
      <c r="F973" s="296"/>
      <c r="I973" s="297"/>
    </row>
    <row r="974" spans="2:9" ht="15.75">
      <c r="B974" s="293"/>
      <c r="C974" s="294"/>
      <c r="E974" s="295"/>
      <c r="F974" s="296"/>
      <c r="I974" s="297"/>
    </row>
    <row r="975" spans="2:9" ht="15.75">
      <c r="B975" s="293"/>
      <c r="C975" s="294"/>
      <c r="E975" s="295"/>
      <c r="F975" s="296"/>
      <c r="I975" s="297"/>
    </row>
    <row r="976" spans="2:9" ht="15.75">
      <c r="B976" s="293"/>
      <c r="C976" s="294"/>
      <c r="E976" s="295"/>
      <c r="F976" s="296"/>
      <c r="I976" s="297"/>
    </row>
    <row r="977" spans="2:9" ht="15.75">
      <c r="B977" s="293"/>
      <c r="C977" s="294"/>
      <c r="E977" s="295"/>
      <c r="F977" s="296"/>
      <c r="I977" s="297"/>
    </row>
    <row r="978" spans="2:9" ht="15.75">
      <c r="B978" s="293"/>
      <c r="C978" s="294"/>
      <c r="E978" s="295"/>
      <c r="F978" s="296"/>
      <c r="I978" s="297"/>
    </row>
    <row r="979" spans="2:9" ht="15.75">
      <c r="B979" s="293"/>
      <c r="C979" s="294"/>
      <c r="E979" s="295"/>
      <c r="F979" s="296"/>
      <c r="I979" s="297"/>
    </row>
    <row r="980" spans="2:9" ht="15.75">
      <c r="B980" s="293"/>
      <c r="C980" s="294"/>
      <c r="E980" s="295"/>
      <c r="F980" s="296"/>
      <c r="I980" s="297"/>
    </row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AE845"/>
  <sheetViews>
    <sheetView tabSelected="1" topLeftCell="I1" workbookViewId="0">
      <selection activeCell="P1" sqref="P1"/>
    </sheetView>
  </sheetViews>
  <sheetFormatPr defaultColWidth="11.25" defaultRowHeight="15" customHeight="1"/>
  <cols>
    <col min="1" max="1" width="9.875" customWidth="1"/>
    <col min="2" max="2" width="9.25" customWidth="1"/>
    <col min="3" max="3" width="12.5" customWidth="1"/>
    <col min="4" max="4" width="6.625" customWidth="1"/>
    <col min="5" max="5" width="12.75" customWidth="1"/>
    <col min="6" max="6" width="14.5" customWidth="1"/>
    <col min="7" max="7" width="6.25" customWidth="1"/>
    <col min="8" max="8" width="9.125" customWidth="1"/>
    <col min="9" max="9" width="9.875" customWidth="1"/>
    <col min="10" max="10" width="9.75" customWidth="1"/>
    <col min="11" max="11" width="9.375" customWidth="1"/>
    <col min="12" max="12" width="8.875" customWidth="1"/>
    <col min="13" max="13" width="9.125" customWidth="1"/>
    <col min="14" max="14" width="9.5" customWidth="1"/>
    <col min="15" max="15" width="9" customWidth="1"/>
    <col min="16" max="16" width="7.125" customWidth="1"/>
    <col min="17" max="18" width="9.625" customWidth="1"/>
    <col min="19" max="24" width="6.75" customWidth="1"/>
    <col min="25" max="25" width="8.875" customWidth="1"/>
    <col min="26" max="26" width="9.5" customWidth="1"/>
    <col min="27" max="27" width="12.5" customWidth="1"/>
    <col min="28" max="28" width="9.625" customWidth="1"/>
    <col min="29" max="29" width="9.125" customWidth="1"/>
    <col min="30" max="30" width="33.125" customWidth="1"/>
    <col min="31" max="31" width="11.25" customWidth="1"/>
  </cols>
  <sheetData>
    <row r="1" spans="1:31" ht="51">
      <c r="A1" s="161" t="s">
        <v>0</v>
      </c>
      <c r="B1" s="161" t="s">
        <v>508</v>
      </c>
      <c r="C1" s="161" t="s">
        <v>509</v>
      </c>
      <c r="D1" s="161" t="s">
        <v>510</v>
      </c>
      <c r="E1" s="161" t="s">
        <v>511</v>
      </c>
      <c r="F1" s="161" t="s">
        <v>512</v>
      </c>
      <c r="G1" s="161" t="s">
        <v>513</v>
      </c>
      <c r="H1" s="161" t="s">
        <v>514</v>
      </c>
      <c r="I1" s="161" t="s">
        <v>515</v>
      </c>
      <c r="J1" s="161" t="s">
        <v>516</v>
      </c>
      <c r="K1" s="161" t="s">
        <v>517</v>
      </c>
      <c r="L1" s="161" t="s">
        <v>518</v>
      </c>
      <c r="M1" s="161" t="s">
        <v>519</v>
      </c>
      <c r="N1" s="161" t="s">
        <v>520</v>
      </c>
      <c r="O1" s="161" t="s">
        <v>521</v>
      </c>
      <c r="P1" s="298" t="s">
        <v>522</v>
      </c>
      <c r="Q1" s="161" t="s">
        <v>523</v>
      </c>
      <c r="R1" s="161" t="s">
        <v>524</v>
      </c>
      <c r="S1" s="161" t="s">
        <v>525</v>
      </c>
      <c r="T1" s="161" t="s">
        <v>526</v>
      </c>
      <c r="U1" s="161" t="s">
        <v>527</v>
      </c>
      <c r="V1" s="161" t="s">
        <v>528</v>
      </c>
      <c r="W1" s="161" t="s">
        <v>529</v>
      </c>
      <c r="X1" s="161" t="s">
        <v>530</v>
      </c>
      <c r="Y1" s="161" t="s">
        <v>531</v>
      </c>
      <c r="Z1" s="161" t="s">
        <v>532</v>
      </c>
      <c r="AA1" s="161" t="s">
        <v>533</v>
      </c>
      <c r="AB1" s="161" t="s">
        <v>534</v>
      </c>
      <c r="AC1" s="161" t="s">
        <v>535</v>
      </c>
      <c r="AD1" s="161"/>
      <c r="AE1" s="299"/>
    </row>
    <row r="2" spans="1:31" ht="15.75">
      <c r="A2" s="300" t="s">
        <v>536</v>
      </c>
      <c r="B2" s="300" t="s">
        <v>537</v>
      </c>
      <c r="C2" s="300"/>
      <c r="D2" s="300" t="s">
        <v>538</v>
      </c>
      <c r="E2" s="300">
        <v>1</v>
      </c>
      <c r="F2" s="301">
        <v>45468.400694444441</v>
      </c>
      <c r="G2" s="300">
        <v>1</v>
      </c>
      <c r="H2" s="300">
        <v>48.589399999999998</v>
      </c>
      <c r="I2" s="300">
        <v>13.2463</v>
      </c>
      <c r="J2" s="300">
        <v>-26.567544000000002</v>
      </c>
      <c r="K2" s="300">
        <v>-25.020855999999998</v>
      </c>
      <c r="L2" s="300">
        <v>1021.83</v>
      </c>
      <c r="M2" s="300">
        <v>68.500640000000004</v>
      </c>
      <c r="N2" s="300">
        <v>11303.60463</v>
      </c>
      <c r="O2" s="300">
        <v>11303.60463</v>
      </c>
      <c r="P2" s="302">
        <v>2057.7437909999999</v>
      </c>
      <c r="Q2" s="302" t="s">
        <v>12</v>
      </c>
      <c r="R2" s="302" t="s">
        <v>539</v>
      </c>
      <c r="S2" s="302">
        <v>10</v>
      </c>
      <c r="T2" s="302">
        <v>5</v>
      </c>
      <c r="U2" s="302">
        <v>0.7</v>
      </c>
      <c r="V2" s="302">
        <v>0.7</v>
      </c>
      <c r="W2" s="302">
        <v>0.7</v>
      </c>
      <c r="X2" s="300">
        <v>2000</v>
      </c>
      <c r="Y2" s="300" t="s">
        <v>540</v>
      </c>
      <c r="Z2" s="300">
        <v>0.2</v>
      </c>
      <c r="AA2" s="300" t="s">
        <v>541</v>
      </c>
      <c r="AB2" s="300" t="s">
        <v>542</v>
      </c>
      <c r="AC2" s="300">
        <v>220</v>
      </c>
      <c r="AD2" s="158"/>
      <c r="AE2" s="188"/>
    </row>
    <row r="3" spans="1:31" ht="15.75">
      <c r="A3" s="300" t="s">
        <v>543</v>
      </c>
      <c r="B3" s="300" t="s">
        <v>537</v>
      </c>
      <c r="C3" s="300"/>
      <c r="D3" s="300" t="s">
        <v>538</v>
      </c>
      <c r="E3" s="300">
        <v>1</v>
      </c>
      <c r="F3" s="301">
        <v>45468.40347222222</v>
      </c>
      <c r="G3" s="300">
        <v>1</v>
      </c>
      <c r="H3" s="300">
        <v>51.370800000000003</v>
      </c>
      <c r="I3" s="300">
        <v>14.783099999999999</v>
      </c>
      <c r="J3" s="300">
        <v>-31.145319000000001</v>
      </c>
      <c r="K3" s="300">
        <v>-27.328875</v>
      </c>
      <c r="L3" s="300">
        <v>975.58699999999999</v>
      </c>
      <c r="M3" s="300">
        <v>68.499953000000005</v>
      </c>
      <c r="N3" s="300">
        <v>11261.511829999999</v>
      </c>
      <c r="O3" s="300">
        <v>11261.511829999999</v>
      </c>
      <c r="P3" s="302">
        <v>2050.2138209999998</v>
      </c>
      <c r="Q3" s="302" t="s">
        <v>12</v>
      </c>
      <c r="R3" s="302" t="s">
        <v>539</v>
      </c>
      <c r="S3" s="302">
        <v>10</v>
      </c>
      <c r="T3" s="302">
        <v>5</v>
      </c>
      <c r="U3" s="302">
        <v>0.7</v>
      </c>
      <c r="V3" s="302">
        <v>0.7</v>
      </c>
      <c r="W3" s="302">
        <v>0.7</v>
      </c>
      <c r="X3" s="300">
        <v>2000</v>
      </c>
      <c r="Y3" s="300" t="s">
        <v>540</v>
      </c>
      <c r="Z3" s="300">
        <v>0.2</v>
      </c>
      <c r="AA3" s="300" t="s">
        <v>541</v>
      </c>
      <c r="AB3" s="300" t="s">
        <v>542</v>
      </c>
      <c r="AC3" s="300">
        <v>220</v>
      </c>
      <c r="AD3" s="158"/>
      <c r="AE3" s="188"/>
    </row>
    <row r="4" spans="1:31" ht="15.75">
      <c r="A4" s="300" t="s">
        <v>544</v>
      </c>
      <c r="B4" s="300" t="s">
        <v>537</v>
      </c>
      <c r="C4" s="300"/>
      <c r="D4" s="300" t="s">
        <v>538</v>
      </c>
      <c r="E4" s="300">
        <v>1</v>
      </c>
      <c r="F4" s="301">
        <v>45468.40625</v>
      </c>
      <c r="G4" s="300">
        <v>1</v>
      </c>
      <c r="H4" s="300">
        <v>51.377400000000002</v>
      </c>
      <c r="I4" s="300">
        <v>15.6531</v>
      </c>
      <c r="J4" s="300">
        <v>-28.219294000000001</v>
      </c>
      <c r="K4" s="300">
        <v>-26.590888</v>
      </c>
      <c r="L4" s="300">
        <v>988.33399999999995</v>
      </c>
      <c r="M4" s="300">
        <v>67.500425000000007</v>
      </c>
      <c r="N4" s="300">
        <v>11287.29509</v>
      </c>
      <c r="O4" s="300">
        <v>11287.29509</v>
      </c>
      <c r="P4" s="302">
        <v>2054.8261819999998</v>
      </c>
      <c r="Q4" s="302" t="s">
        <v>12</v>
      </c>
      <c r="R4" s="302" t="s">
        <v>539</v>
      </c>
      <c r="S4" s="302">
        <v>10</v>
      </c>
      <c r="T4" s="302">
        <v>5</v>
      </c>
      <c r="U4" s="302">
        <v>0.7</v>
      </c>
      <c r="V4" s="302">
        <v>0.7</v>
      </c>
      <c r="W4" s="302">
        <v>0.7</v>
      </c>
      <c r="X4" s="300">
        <v>2000</v>
      </c>
      <c r="Y4" s="300" t="s">
        <v>540</v>
      </c>
      <c r="Z4" s="300">
        <v>0.2</v>
      </c>
      <c r="AA4" s="300" t="s">
        <v>541</v>
      </c>
      <c r="AB4" s="300" t="s">
        <v>542</v>
      </c>
      <c r="AC4" s="300">
        <v>220</v>
      </c>
      <c r="AD4" s="158"/>
      <c r="AE4" s="188"/>
    </row>
    <row r="5" spans="1:31" ht="15.75">
      <c r="A5" s="300" t="s">
        <v>545</v>
      </c>
      <c r="B5" s="300" t="s">
        <v>537</v>
      </c>
      <c r="C5" s="300"/>
      <c r="D5" s="300" t="s">
        <v>538</v>
      </c>
      <c r="E5" s="300">
        <v>1</v>
      </c>
      <c r="F5" s="301">
        <v>45468.408333333333</v>
      </c>
      <c r="G5" s="300">
        <v>1</v>
      </c>
      <c r="H5" s="300">
        <v>51.377400000000002</v>
      </c>
      <c r="I5" s="300">
        <v>15.777699999999999</v>
      </c>
      <c r="J5" s="300">
        <v>-28.023530999999998</v>
      </c>
      <c r="K5" s="300">
        <v>-26.484249999999999</v>
      </c>
      <c r="L5" s="300">
        <v>994.60599999999999</v>
      </c>
      <c r="M5" s="300">
        <v>69.500411</v>
      </c>
      <c r="N5" s="300">
        <v>11274.34851</v>
      </c>
      <c r="O5" s="300">
        <v>11274.34851</v>
      </c>
      <c r="P5" s="302">
        <v>2052.5101709999999</v>
      </c>
      <c r="Q5" s="302" t="s">
        <v>12</v>
      </c>
      <c r="R5" s="302" t="s">
        <v>539</v>
      </c>
      <c r="S5" s="302">
        <v>10</v>
      </c>
      <c r="T5" s="302">
        <v>5</v>
      </c>
      <c r="U5" s="302">
        <v>0.7</v>
      </c>
      <c r="V5" s="302">
        <v>0.7</v>
      </c>
      <c r="W5" s="302">
        <v>0.7</v>
      </c>
      <c r="X5" s="300">
        <v>2000</v>
      </c>
      <c r="Y5" s="300" t="s">
        <v>540</v>
      </c>
      <c r="Z5" s="300">
        <v>0.2</v>
      </c>
      <c r="AA5" s="300" t="s">
        <v>541</v>
      </c>
      <c r="AB5" s="300" t="s">
        <v>542</v>
      </c>
      <c r="AC5" s="300">
        <v>220</v>
      </c>
      <c r="AD5" s="158"/>
      <c r="AE5" s="188"/>
    </row>
    <row r="6" spans="1:31" ht="15.75">
      <c r="A6" s="300" t="s">
        <v>546</v>
      </c>
      <c r="B6" s="300" t="s">
        <v>537</v>
      </c>
      <c r="C6" s="300"/>
      <c r="D6" s="300" t="s">
        <v>538</v>
      </c>
      <c r="E6" s="300">
        <v>1</v>
      </c>
      <c r="F6" s="301">
        <v>45468.420138888891</v>
      </c>
      <c r="G6" s="300">
        <v>1</v>
      </c>
      <c r="H6" s="300">
        <v>51.377400000000002</v>
      </c>
      <c r="I6" s="300">
        <v>15.2919</v>
      </c>
      <c r="J6" s="300">
        <v>-27.653493999999998</v>
      </c>
      <c r="K6" s="300">
        <v>-26.012844000000001</v>
      </c>
      <c r="L6" s="300">
        <v>973.32299999999998</v>
      </c>
      <c r="M6" s="300">
        <v>65.501092</v>
      </c>
      <c r="N6" s="300">
        <v>11231.02282</v>
      </c>
      <c r="O6" s="300">
        <v>11231.02282</v>
      </c>
      <c r="P6" s="302">
        <v>2044.7596510000001</v>
      </c>
      <c r="Q6" s="302" t="s">
        <v>12</v>
      </c>
      <c r="R6" s="302" t="s">
        <v>539</v>
      </c>
      <c r="S6" s="302">
        <v>10</v>
      </c>
      <c r="T6" s="302">
        <v>5</v>
      </c>
      <c r="U6" s="302">
        <v>0.7</v>
      </c>
      <c r="V6" s="302">
        <v>0.7</v>
      </c>
      <c r="W6" s="302">
        <v>0.7</v>
      </c>
      <c r="X6" s="300">
        <v>2000</v>
      </c>
      <c r="Y6" s="300" t="s">
        <v>540</v>
      </c>
      <c r="Z6" s="300">
        <v>0.2</v>
      </c>
      <c r="AA6" s="300" t="s">
        <v>541</v>
      </c>
      <c r="AB6" s="300" t="s">
        <v>542</v>
      </c>
      <c r="AC6" s="300">
        <v>220</v>
      </c>
      <c r="AD6" s="158"/>
      <c r="AE6" s="188"/>
    </row>
    <row r="7" spans="1:31" ht="15.75">
      <c r="A7" s="300" t="s">
        <v>547</v>
      </c>
      <c r="B7" s="300" t="s">
        <v>537</v>
      </c>
      <c r="C7" s="300"/>
      <c r="D7" s="300" t="s">
        <v>538</v>
      </c>
      <c r="E7" s="300">
        <v>1</v>
      </c>
      <c r="F7" s="301">
        <v>45468.42291666667</v>
      </c>
      <c r="G7" s="300">
        <v>1</v>
      </c>
      <c r="H7" s="300">
        <v>51.380699999999997</v>
      </c>
      <c r="I7" s="300">
        <v>15.347</v>
      </c>
      <c r="J7" s="300">
        <v>-27.537206000000001</v>
      </c>
      <c r="K7" s="300">
        <v>-26.118919000000002</v>
      </c>
      <c r="L7" s="300">
        <v>979.81200000000001</v>
      </c>
      <c r="M7" s="300">
        <v>68.998841999999996</v>
      </c>
      <c r="N7" s="300">
        <v>11250.564479999999</v>
      </c>
      <c r="O7" s="300">
        <v>11250.564479999999</v>
      </c>
      <c r="P7" s="302">
        <v>2048.2554530000002</v>
      </c>
      <c r="Q7" s="302" t="s">
        <v>12</v>
      </c>
      <c r="R7" s="302" t="s">
        <v>539</v>
      </c>
      <c r="S7" s="302">
        <v>10</v>
      </c>
      <c r="T7" s="302">
        <v>5</v>
      </c>
      <c r="U7" s="302">
        <v>0.7</v>
      </c>
      <c r="V7" s="302">
        <v>0.7</v>
      </c>
      <c r="W7" s="302">
        <v>0.7</v>
      </c>
      <c r="X7" s="300">
        <v>2000</v>
      </c>
      <c r="Y7" s="300" t="s">
        <v>540</v>
      </c>
      <c r="Z7" s="300">
        <v>0.2</v>
      </c>
      <c r="AA7" s="300" t="s">
        <v>541</v>
      </c>
      <c r="AB7" s="300" t="s">
        <v>542</v>
      </c>
      <c r="AC7" s="300">
        <v>220</v>
      </c>
      <c r="AD7" s="158"/>
      <c r="AE7" s="188"/>
    </row>
    <row r="8" spans="1:31" ht="15.75">
      <c r="A8" s="300" t="s">
        <v>548</v>
      </c>
      <c r="B8" s="300" t="s">
        <v>537</v>
      </c>
      <c r="C8" s="300"/>
      <c r="D8" s="300" t="s">
        <v>538</v>
      </c>
      <c r="E8" s="300">
        <v>1</v>
      </c>
      <c r="F8" s="301">
        <v>45468.425694444442</v>
      </c>
      <c r="G8" s="300">
        <v>1</v>
      </c>
      <c r="H8" s="300">
        <v>51.377400000000002</v>
      </c>
      <c r="I8" s="300">
        <v>14.414099999999999</v>
      </c>
      <c r="J8" s="300">
        <v>-27.47955</v>
      </c>
      <c r="K8" s="300">
        <v>-25.756712</v>
      </c>
      <c r="L8" s="300">
        <v>987.60400000000004</v>
      </c>
      <c r="M8" s="300">
        <v>66.499859999999998</v>
      </c>
      <c r="N8" s="300">
        <v>11264.5497</v>
      </c>
      <c r="O8" s="300">
        <v>11264.5497</v>
      </c>
      <c r="P8" s="302">
        <v>2050.7572650000002</v>
      </c>
      <c r="Q8" s="302" t="s">
        <v>12</v>
      </c>
      <c r="R8" s="302" t="s">
        <v>539</v>
      </c>
      <c r="S8" s="302">
        <v>10</v>
      </c>
      <c r="T8" s="302">
        <v>5</v>
      </c>
      <c r="U8" s="302">
        <v>0.7</v>
      </c>
      <c r="V8" s="302">
        <v>0.7</v>
      </c>
      <c r="W8" s="302">
        <v>0.7</v>
      </c>
      <c r="X8" s="300">
        <v>2000</v>
      </c>
      <c r="Y8" s="300" t="s">
        <v>540</v>
      </c>
      <c r="Z8" s="300">
        <v>0.2</v>
      </c>
      <c r="AA8" s="300" t="s">
        <v>541</v>
      </c>
      <c r="AB8" s="300" t="s">
        <v>542</v>
      </c>
      <c r="AC8" s="300">
        <v>220</v>
      </c>
      <c r="AD8" s="158"/>
      <c r="AE8" s="188"/>
    </row>
    <row r="9" spans="1:31" ht="15.75">
      <c r="A9" s="300" t="s">
        <v>549</v>
      </c>
      <c r="B9" s="300" t="s">
        <v>537</v>
      </c>
      <c r="C9" s="300"/>
      <c r="D9" s="300" t="s">
        <v>538</v>
      </c>
      <c r="E9" s="300">
        <v>1</v>
      </c>
      <c r="F9" s="301">
        <v>45468.428472222222</v>
      </c>
      <c r="G9" s="300">
        <v>1</v>
      </c>
      <c r="H9" s="300">
        <v>51.377400000000002</v>
      </c>
      <c r="I9" s="300">
        <v>13.360300000000001</v>
      </c>
      <c r="J9" s="300">
        <v>-27.520769000000001</v>
      </c>
      <c r="K9" s="300">
        <v>-25.434569</v>
      </c>
      <c r="L9" s="300">
        <v>994.27099999999996</v>
      </c>
      <c r="M9" s="300">
        <v>62.998178000000003</v>
      </c>
      <c r="N9" s="300">
        <v>11261.670260000001</v>
      </c>
      <c r="O9" s="300">
        <v>11261.670260000001</v>
      </c>
      <c r="P9" s="302">
        <v>2050.2421629999999</v>
      </c>
      <c r="Q9" s="302" t="s">
        <v>12</v>
      </c>
      <c r="R9" s="302" t="s">
        <v>539</v>
      </c>
      <c r="S9" s="302">
        <v>10</v>
      </c>
      <c r="T9" s="302">
        <v>5</v>
      </c>
      <c r="U9" s="302">
        <v>0.7</v>
      </c>
      <c r="V9" s="302">
        <v>0.7</v>
      </c>
      <c r="W9" s="302">
        <v>0.7</v>
      </c>
      <c r="X9" s="300">
        <v>2000</v>
      </c>
      <c r="Y9" s="300" t="s">
        <v>540</v>
      </c>
      <c r="Z9" s="300">
        <v>0.2</v>
      </c>
      <c r="AA9" s="300" t="s">
        <v>541</v>
      </c>
      <c r="AB9" s="300" t="s">
        <v>542</v>
      </c>
      <c r="AC9" s="300">
        <v>220</v>
      </c>
      <c r="AD9" s="158"/>
      <c r="AE9" s="188"/>
    </row>
    <row r="10" spans="1:31" ht="15.75">
      <c r="A10" s="300" t="s">
        <v>550</v>
      </c>
      <c r="B10" s="300" t="s">
        <v>551</v>
      </c>
      <c r="C10" s="300" t="s">
        <v>552</v>
      </c>
      <c r="D10" s="300" t="s">
        <v>538</v>
      </c>
      <c r="E10" s="300">
        <v>0.8</v>
      </c>
      <c r="F10" s="301">
        <v>45468.434027777781</v>
      </c>
      <c r="G10" s="300">
        <v>1</v>
      </c>
      <c r="H10" s="300">
        <v>51.374099999999999</v>
      </c>
      <c r="I10" s="300">
        <v>12.533099999999999</v>
      </c>
      <c r="J10" s="300">
        <v>-27.337236999999998</v>
      </c>
      <c r="K10" s="300">
        <v>-25.567287</v>
      </c>
      <c r="L10" s="300">
        <v>969.69200000000001</v>
      </c>
      <c r="M10" s="300">
        <v>62.498764000000001</v>
      </c>
      <c r="N10" s="300">
        <v>9106.6105399999997</v>
      </c>
      <c r="O10" s="300">
        <v>9211.1092499999995</v>
      </c>
      <c r="P10" s="302">
        <v>2070.3456999999999</v>
      </c>
      <c r="Q10" s="302" t="s">
        <v>12</v>
      </c>
      <c r="R10" s="302" t="s">
        <v>553</v>
      </c>
      <c r="S10" s="302">
        <v>10</v>
      </c>
      <c r="T10" s="302">
        <v>5</v>
      </c>
      <c r="U10" s="302">
        <v>0.7</v>
      </c>
      <c r="V10" s="302">
        <v>0.7</v>
      </c>
      <c r="W10" s="302">
        <v>0.7</v>
      </c>
      <c r="X10" s="300">
        <v>2000</v>
      </c>
      <c r="Y10" s="300" t="s">
        <v>540</v>
      </c>
      <c r="Z10" s="300">
        <v>0.2</v>
      </c>
      <c r="AA10" s="300" t="s">
        <v>541</v>
      </c>
      <c r="AB10" s="300" t="s">
        <v>542</v>
      </c>
      <c r="AC10" s="300">
        <v>220</v>
      </c>
      <c r="AD10" s="158"/>
      <c r="AE10" s="188"/>
    </row>
    <row r="11" spans="1:31" ht="15.75">
      <c r="A11" s="300" t="s">
        <v>554</v>
      </c>
      <c r="B11" s="300" t="s">
        <v>551</v>
      </c>
      <c r="C11" s="300" t="s">
        <v>552</v>
      </c>
      <c r="D11" s="300" t="s">
        <v>538</v>
      </c>
      <c r="E11" s="300">
        <v>0.8</v>
      </c>
      <c r="F11" s="301">
        <v>45468.436111111114</v>
      </c>
      <c r="G11" s="300">
        <v>1</v>
      </c>
      <c r="H11" s="300">
        <v>51.377400000000002</v>
      </c>
      <c r="I11" s="300">
        <v>11.856999999999999</v>
      </c>
      <c r="J11" s="300">
        <v>-27.288888</v>
      </c>
      <c r="K11" s="300">
        <v>-25.647606</v>
      </c>
      <c r="L11" s="300">
        <v>996.33</v>
      </c>
      <c r="M11" s="300">
        <v>60.499985000000002</v>
      </c>
      <c r="N11" s="300">
        <v>9177.8159340000002</v>
      </c>
      <c r="O11" s="300">
        <v>9211.1092499999995</v>
      </c>
      <c r="P11" s="302">
        <v>2070.3456999999999</v>
      </c>
      <c r="Q11" s="302" t="s">
        <v>12</v>
      </c>
      <c r="R11" s="302" t="s">
        <v>553</v>
      </c>
      <c r="S11" s="302">
        <v>10</v>
      </c>
      <c r="T11" s="302">
        <v>5</v>
      </c>
      <c r="U11" s="302">
        <v>0.7</v>
      </c>
      <c r="V11" s="302">
        <v>0.7</v>
      </c>
      <c r="W11" s="302">
        <v>0.7</v>
      </c>
      <c r="X11" s="300">
        <v>2000</v>
      </c>
      <c r="Y11" s="300" t="s">
        <v>540</v>
      </c>
      <c r="Z11" s="300">
        <v>0.2</v>
      </c>
      <c r="AA11" s="300" t="s">
        <v>541</v>
      </c>
      <c r="AB11" s="300" t="s">
        <v>542</v>
      </c>
      <c r="AC11" s="300">
        <v>220</v>
      </c>
      <c r="AD11" s="158"/>
      <c r="AE11" s="188"/>
    </row>
    <row r="12" spans="1:31" ht="15.75">
      <c r="A12" s="300" t="s">
        <v>555</v>
      </c>
      <c r="B12" s="300" t="s">
        <v>551</v>
      </c>
      <c r="C12" s="300" t="s">
        <v>552</v>
      </c>
      <c r="D12" s="300" t="s">
        <v>538</v>
      </c>
      <c r="E12" s="300">
        <v>0.8</v>
      </c>
      <c r="F12" s="301">
        <v>45468.438888888886</v>
      </c>
      <c r="G12" s="300">
        <v>1</v>
      </c>
      <c r="H12" s="300">
        <v>51.377400000000002</v>
      </c>
      <c r="I12" s="300">
        <v>10.577999999999999</v>
      </c>
      <c r="J12" s="300">
        <v>-27.275831</v>
      </c>
      <c r="K12" s="300">
        <v>-25.831281000000001</v>
      </c>
      <c r="L12" s="300">
        <v>1009.71</v>
      </c>
      <c r="M12" s="300">
        <v>62.498617000000003</v>
      </c>
      <c r="N12" s="300">
        <v>9203.5169289999994</v>
      </c>
      <c r="O12" s="300">
        <v>9211.1092499999995</v>
      </c>
      <c r="P12" s="302">
        <v>2070.3456999999999</v>
      </c>
      <c r="Q12" s="302" t="s">
        <v>12</v>
      </c>
      <c r="R12" s="302" t="s">
        <v>539</v>
      </c>
      <c r="S12" s="302">
        <v>10</v>
      </c>
      <c r="T12" s="302">
        <v>5</v>
      </c>
      <c r="U12" s="302">
        <v>0.7</v>
      </c>
      <c r="V12" s="302">
        <v>0.7</v>
      </c>
      <c r="W12" s="302">
        <v>0.7</v>
      </c>
      <c r="X12" s="300">
        <v>2000</v>
      </c>
      <c r="Y12" s="300" t="s">
        <v>540</v>
      </c>
      <c r="Z12" s="300">
        <v>0.2</v>
      </c>
      <c r="AA12" s="300" t="s">
        <v>541</v>
      </c>
      <c r="AB12" s="300" t="s">
        <v>542</v>
      </c>
      <c r="AC12" s="300">
        <v>220</v>
      </c>
      <c r="AD12" s="158"/>
      <c r="AE12" s="188"/>
    </row>
    <row r="13" spans="1:31" ht="15.75">
      <c r="A13" s="300" t="s">
        <v>556</v>
      </c>
      <c r="B13" s="300" t="s">
        <v>551</v>
      </c>
      <c r="C13" s="300" t="s">
        <v>552</v>
      </c>
      <c r="D13" s="300" t="s">
        <v>538</v>
      </c>
      <c r="E13" s="300">
        <v>0.8</v>
      </c>
      <c r="F13" s="301">
        <v>45468.441666666666</v>
      </c>
      <c r="G13" s="300">
        <v>1</v>
      </c>
      <c r="H13" s="300">
        <v>51.374099999999999</v>
      </c>
      <c r="I13" s="300">
        <v>9.5924600000000009</v>
      </c>
      <c r="J13" s="300">
        <v>-27.264030999999999</v>
      </c>
      <c r="K13" s="300">
        <v>-25.805456</v>
      </c>
      <c r="L13" s="300">
        <v>999.06899999999996</v>
      </c>
      <c r="M13" s="300">
        <v>63.498913000000002</v>
      </c>
      <c r="N13" s="300">
        <v>9218.7015719999999</v>
      </c>
      <c r="O13" s="300">
        <v>9211.1092499999995</v>
      </c>
      <c r="P13" s="302">
        <v>2070.3456999999999</v>
      </c>
      <c r="Q13" s="302" t="s">
        <v>12</v>
      </c>
      <c r="R13" s="302" t="s">
        <v>539</v>
      </c>
      <c r="S13" s="302">
        <v>10</v>
      </c>
      <c r="T13" s="302">
        <v>5</v>
      </c>
      <c r="U13" s="302">
        <v>0.7</v>
      </c>
      <c r="V13" s="302">
        <v>0.7</v>
      </c>
      <c r="W13" s="302">
        <v>0.7</v>
      </c>
      <c r="X13" s="300">
        <v>2000</v>
      </c>
      <c r="Y13" s="300" t="s">
        <v>540</v>
      </c>
      <c r="Z13" s="300">
        <v>0.2</v>
      </c>
      <c r="AA13" s="300" t="s">
        <v>541</v>
      </c>
      <c r="AB13" s="300" t="s">
        <v>542</v>
      </c>
      <c r="AC13" s="300">
        <v>220</v>
      </c>
      <c r="AD13" s="158"/>
      <c r="AE13" s="188"/>
    </row>
    <row r="14" spans="1:31" ht="15.75">
      <c r="A14" s="303" t="s">
        <v>557</v>
      </c>
      <c r="B14" s="303" t="s">
        <v>558</v>
      </c>
      <c r="C14" s="303" t="s">
        <v>552</v>
      </c>
      <c r="D14" s="303" t="s">
        <v>538</v>
      </c>
      <c r="E14" s="303">
        <v>1</v>
      </c>
      <c r="F14" s="304">
        <v>45468.444444444445</v>
      </c>
      <c r="G14" s="303">
        <v>1</v>
      </c>
      <c r="H14" s="303">
        <v>51.374099999999999</v>
      </c>
      <c r="I14" s="303">
        <v>9.2760800000000003</v>
      </c>
      <c r="J14" s="303">
        <v>-27.199149999999999</v>
      </c>
      <c r="K14" s="303">
        <v>-25.490950000000002</v>
      </c>
      <c r="L14" s="303">
        <v>1059.33</v>
      </c>
      <c r="M14" s="303">
        <v>68.000073</v>
      </c>
      <c r="N14" s="303">
        <v>11567.505499999999</v>
      </c>
      <c r="O14" s="303">
        <v>11563.006600000001</v>
      </c>
      <c r="P14" s="305">
        <v>2070.3456999999999</v>
      </c>
      <c r="Q14" s="302" t="s">
        <v>12</v>
      </c>
      <c r="R14" s="305" t="s">
        <v>539</v>
      </c>
      <c r="S14" s="305">
        <v>10</v>
      </c>
      <c r="T14" s="305">
        <v>5</v>
      </c>
      <c r="U14" s="305">
        <v>0.7</v>
      </c>
      <c r="V14" s="305">
        <v>0.7</v>
      </c>
      <c r="W14" s="305">
        <v>0.7</v>
      </c>
      <c r="X14" s="303">
        <v>2000</v>
      </c>
      <c r="Y14" s="303" t="s">
        <v>540</v>
      </c>
      <c r="Z14" s="303">
        <v>0.2</v>
      </c>
      <c r="AA14" s="303" t="s">
        <v>541</v>
      </c>
      <c r="AB14" s="303" t="s">
        <v>542</v>
      </c>
      <c r="AC14" s="303">
        <v>220</v>
      </c>
      <c r="AD14" s="158"/>
      <c r="AE14" s="188"/>
    </row>
    <row r="15" spans="1:31" ht="15.75">
      <c r="A15" s="300" t="s">
        <v>559</v>
      </c>
      <c r="B15" s="300" t="s">
        <v>558</v>
      </c>
      <c r="C15" s="300" t="s">
        <v>552</v>
      </c>
      <c r="D15" s="300" t="s">
        <v>538</v>
      </c>
      <c r="E15" s="300">
        <v>1</v>
      </c>
      <c r="F15" s="301">
        <v>45468.447222222225</v>
      </c>
      <c r="G15" s="300">
        <v>1</v>
      </c>
      <c r="H15" s="300">
        <v>51.377400000000002</v>
      </c>
      <c r="I15" s="300">
        <v>8.7850099999999998</v>
      </c>
      <c r="J15" s="300">
        <v>-27.085412000000002</v>
      </c>
      <c r="K15" s="300">
        <v>-25.378388000000001</v>
      </c>
      <c r="L15" s="300">
        <v>1080.33</v>
      </c>
      <c r="M15" s="300">
        <v>65.000084999999999</v>
      </c>
      <c r="N15" s="300">
        <v>11558.50769</v>
      </c>
      <c r="O15" s="300">
        <v>11563.006600000001</v>
      </c>
      <c r="P15" s="302">
        <v>2070.3456999999999</v>
      </c>
      <c r="Q15" s="302" t="s">
        <v>12</v>
      </c>
      <c r="R15" s="302" t="s">
        <v>539</v>
      </c>
      <c r="S15" s="302">
        <v>10</v>
      </c>
      <c r="T15" s="302">
        <v>5</v>
      </c>
      <c r="U15" s="302">
        <v>0.7</v>
      </c>
      <c r="V15" s="302">
        <v>0.7</v>
      </c>
      <c r="W15" s="302">
        <v>0.7</v>
      </c>
      <c r="X15" s="300">
        <v>2000</v>
      </c>
      <c r="Y15" s="300" t="s">
        <v>540</v>
      </c>
      <c r="Z15" s="300">
        <v>0.2</v>
      </c>
      <c r="AA15" s="300" t="s">
        <v>541</v>
      </c>
      <c r="AB15" s="300" t="s">
        <v>542</v>
      </c>
      <c r="AC15" s="300">
        <v>220</v>
      </c>
      <c r="AD15" s="158"/>
      <c r="AE15" s="188"/>
    </row>
    <row r="16" spans="1:31" ht="15.75">
      <c r="A16" s="300" t="s">
        <v>560</v>
      </c>
      <c r="B16" s="300" t="s">
        <v>561</v>
      </c>
      <c r="C16" s="300" t="s">
        <v>552</v>
      </c>
      <c r="D16" s="300" t="s">
        <v>538</v>
      </c>
      <c r="E16" s="300">
        <v>1.2</v>
      </c>
      <c r="F16" s="301">
        <v>45468.45</v>
      </c>
      <c r="G16" s="300">
        <v>1</v>
      </c>
      <c r="H16" s="300">
        <v>51.374099999999999</v>
      </c>
      <c r="I16" s="300">
        <v>8.7214799999999997</v>
      </c>
      <c r="J16" s="300">
        <v>-27.072606</v>
      </c>
      <c r="K16" s="300">
        <v>-25.085425000000001</v>
      </c>
      <c r="L16" s="300">
        <v>1091.0899999999999</v>
      </c>
      <c r="M16" s="300">
        <v>74.500626999999994</v>
      </c>
      <c r="N16" s="300">
        <v>13946.73357</v>
      </c>
      <c r="O16" s="300">
        <v>13943.629510000001</v>
      </c>
      <c r="P16" s="302">
        <v>2070.3456999999999</v>
      </c>
      <c r="Q16" s="302" t="s">
        <v>12</v>
      </c>
      <c r="R16" s="302" t="s">
        <v>539</v>
      </c>
      <c r="S16" s="302">
        <v>10</v>
      </c>
      <c r="T16" s="302">
        <v>5</v>
      </c>
      <c r="U16" s="302">
        <v>0.7</v>
      </c>
      <c r="V16" s="306">
        <v>0.7</v>
      </c>
      <c r="W16" s="302">
        <v>0.7</v>
      </c>
      <c r="X16" s="300">
        <v>2000</v>
      </c>
      <c r="Y16" s="300" t="s">
        <v>540</v>
      </c>
      <c r="Z16" s="300">
        <v>0.2</v>
      </c>
      <c r="AA16" s="300" t="s">
        <v>541</v>
      </c>
      <c r="AB16" s="300" t="s">
        <v>542</v>
      </c>
      <c r="AC16" s="300">
        <v>220</v>
      </c>
      <c r="AD16" s="158"/>
      <c r="AE16" s="188"/>
    </row>
    <row r="17" spans="1:31" ht="15.75">
      <c r="A17" s="300" t="s">
        <v>562</v>
      </c>
      <c r="B17" s="300" t="s">
        <v>561</v>
      </c>
      <c r="C17" s="300" t="s">
        <v>552</v>
      </c>
      <c r="D17" s="300" t="s">
        <v>538</v>
      </c>
      <c r="E17" s="300">
        <v>1.2</v>
      </c>
      <c r="F17" s="301">
        <v>45468.452777777777</v>
      </c>
      <c r="G17" s="300">
        <v>1</v>
      </c>
      <c r="H17" s="300">
        <v>51.374099999999999</v>
      </c>
      <c r="I17" s="300">
        <v>8.51248</v>
      </c>
      <c r="J17" s="300">
        <v>-26.986412000000001</v>
      </c>
      <c r="K17" s="300">
        <v>-24.983694</v>
      </c>
      <c r="L17" s="300">
        <v>1082.03</v>
      </c>
      <c r="M17" s="300">
        <v>69.499320999999995</v>
      </c>
      <c r="N17" s="300">
        <v>13940.525449999999</v>
      </c>
      <c r="O17" s="300">
        <v>13943.629510000001</v>
      </c>
      <c r="P17" s="302">
        <v>2070.3456999999999</v>
      </c>
      <c r="Q17" s="302" t="s">
        <v>12</v>
      </c>
      <c r="R17" s="302" t="s">
        <v>539</v>
      </c>
      <c r="S17" s="302">
        <v>10</v>
      </c>
      <c r="T17" s="302">
        <v>5</v>
      </c>
      <c r="U17" s="302">
        <v>0.7</v>
      </c>
      <c r="V17" s="306">
        <v>0.7</v>
      </c>
      <c r="W17" s="302">
        <v>0.7</v>
      </c>
      <c r="X17" s="300">
        <v>2000</v>
      </c>
      <c r="Y17" s="300" t="s">
        <v>540</v>
      </c>
      <c r="Z17" s="300">
        <v>0.2</v>
      </c>
      <c r="AA17" s="300" t="s">
        <v>541</v>
      </c>
      <c r="AB17" s="300" t="s">
        <v>542</v>
      </c>
      <c r="AC17" s="300">
        <v>220</v>
      </c>
      <c r="AD17" s="158"/>
      <c r="AE17" s="188"/>
    </row>
    <row r="18" spans="1:31" ht="15.75">
      <c r="A18" s="300" t="s">
        <v>563</v>
      </c>
      <c r="B18" s="300">
        <v>2</v>
      </c>
      <c r="C18" s="300">
        <v>1</v>
      </c>
      <c r="D18" s="300" t="s">
        <v>564</v>
      </c>
      <c r="E18" s="300">
        <v>1</v>
      </c>
      <c r="F18" s="301">
        <v>45468.456250000003</v>
      </c>
      <c r="G18" s="300">
        <v>1</v>
      </c>
      <c r="H18" s="300">
        <v>51.370800000000003</v>
      </c>
      <c r="I18" s="300">
        <v>8.4656099999999999</v>
      </c>
      <c r="J18" s="300">
        <v>-26.97045</v>
      </c>
      <c r="K18" s="300">
        <v>-25.336625000000002</v>
      </c>
      <c r="L18" s="300">
        <v>1097.26</v>
      </c>
      <c r="M18" s="300">
        <v>67.499679999999998</v>
      </c>
      <c r="N18" s="300">
        <v>11644.25555</v>
      </c>
      <c r="O18" s="300">
        <v>11686.234</v>
      </c>
      <c r="P18" s="302">
        <v>2090.2335710000002</v>
      </c>
      <c r="Q18" s="302" t="s">
        <v>12</v>
      </c>
      <c r="R18" s="302" t="s">
        <v>553</v>
      </c>
      <c r="S18" s="302">
        <v>10</v>
      </c>
      <c r="T18" s="302">
        <v>5</v>
      </c>
      <c r="U18" s="302">
        <v>0.7</v>
      </c>
      <c r="V18" s="306">
        <v>0.7</v>
      </c>
      <c r="W18" s="302">
        <v>0.7</v>
      </c>
      <c r="X18" s="300">
        <v>2000</v>
      </c>
      <c r="Y18" s="300" t="s">
        <v>540</v>
      </c>
      <c r="Z18" s="300">
        <v>0.2</v>
      </c>
      <c r="AA18" s="300" t="s">
        <v>541</v>
      </c>
      <c r="AB18" s="300" t="s">
        <v>542</v>
      </c>
      <c r="AC18" s="300">
        <v>220</v>
      </c>
      <c r="AD18" s="158"/>
      <c r="AE18" s="188"/>
    </row>
    <row r="19" spans="1:31" ht="15.75">
      <c r="A19" s="300" t="s">
        <v>565</v>
      </c>
      <c r="B19" s="300">
        <v>2</v>
      </c>
      <c r="C19" s="300">
        <v>1</v>
      </c>
      <c r="D19" s="300" t="s">
        <v>564</v>
      </c>
      <c r="E19" s="300">
        <v>1</v>
      </c>
      <c r="F19" s="301">
        <v>45468.459027777775</v>
      </c>
      <c r="G19" s="300">
        <v>1</v>
      </c>
      <c r="H19" s="300">
        <v>51.380699999999997</v>
      </c>
      <c r="I19" s="300">
        <v>8.4445399999999999</v>
      </c>
      <c r="J19" s="300">
        <v>-26.973769000000001</v>
      </c>
      <c r="K19" s="300">
        <v>-25.550131</v>
      </c>
      <c r="L19" s="300">
        <v>1100.3800000000001</v>
      </c>
      <c r="M19" s="300">
        <v>71.499624999999995</v>
      </c>
      <c r="N19" s="300">
        <v>11681.79314</v>
      </c>
      <c r="O19" s="300">
        <v>11686.234</v>
      </c>
      <c r="P19" s="302">
        <v>2090.2335710000002</v>
      </c>
      <c r="Q19" s="302" t="s">
        <v>12</v>
      </c>
      <c r="R19" s="302" t="s">
        <v>539</v>
      </c>
      <c r="S19" s="302">
        <v>10</v>
      </c>
      <c r="T19" s="302">
        <v>5</v>
      </c>
      <c r="U19" s="302">
        <v>0.7</v>
      </c>
      <c r="V19" s="306">
        <v>0.7</v>
      </c>
      <c r="W19" s="302">
        <v>0.7</v>
      </c>
      <c r="X19" s="300">
        <v>2000</v>
      </c>
      <c r="Y19" s="300" t="s">
        <v>540</v>
      </c>
      <c r="Z19" s="300">
        <v>0.2</v>
      </c>
      <c r="AA19" s="300" t="s">
        <v>541</v>
      </c>
      <c r="AB19" s="300" t="s">
        <v>542</v>
      </c>
      <c r="AC19" s="300">
        <v>220</v>
      </c>
      <c r="AD19" s="158"/>
      <c r="AE19" s="188"/>
    </row>
    <row r="20" spans="1:31" ht="15.75">
      <c r="A20" s="300" t="s">
        <v>566</v>
      </c>
      <c r="B20" s="300">
        <v>2</v>
      </c>
      <c r="C20" s="300">
        <v>1</v>
      </c>
      <c r="D20" s="300" t="s">
        <v>564</v>
      </c>
      <c r="E20" s="300">
        <v>1</v>
      </c>
      <c r="F20" s="301">
        <v>45468.461805555555</v>
      </c>
      <c r="G20" s="300">
        <v>1</v>
      </c>
      <c r="H20" s="300">
        <v>51.374099999999999</v>
      </c>
      <c r="I20" s="300">
        <v>8.4291499999999999</v>
      </c>
      <c r="J20" s="300">
        <v>-26.831631000000002</v>
      </c>
      <c r="K20" s="300">
        <v>-25.702999999999999</v>
      </c>
      <c r="L20" s="300">
        <v>1086.56</v>
      </c>
      <c r="M20" s="300">
        <v>74.498146000000006</v>
      </c>
      <c r="N20" s="300">
        <v>11690.674859999999</v>
      </c>
      <c r="O20" s="300">
        <v>11686.234</v>
      </c>
      <c r="P20" s="302">
        <v>2090.2335710000002</v>
      </c>
      <c r="Q20" s="302" t="s">
        <v>12</v>
      </c>
      <c r="R20" s="302" t="s">
        <v>539</v>
      </c>
      <c r="S20" s="302">
        <v>10</v>
      </c>
      <c r="T20" s="302">
        <v>5</v>
      </c>
      <c r="U20" s="302">
        <v>0.7</v>
      </c>
      <c r="V20" s="306">
        <v>0.7</v>
      </c>
      <c r="W20" s="302">
        <v>0.7</v>
      </c>
      <c r="X20" s="300">
        <v>2000</v>
      </c>
      <c r="Y20" s="300" t="s">
        <v>540</v>
      </c>
      <c r="Z20" s="300">
        <v>0.2</v>
      </c>
      <c r="AA20" s="300" t="s">
        <v>541</v>
      </c>
      <c r="AB20" s="300" t="s">
        <v>542</v>
      </c>
      <c r="AC20" s="300">
        <v>220</v>
      </c>
      <c r="AD20" s="158"/>
      <c r="AE20" s="188"/>
    </row>
    <row r="21" spans="1:31" ht="15.75">
      <c r="A21" s="300" t="s">
        <v>567</v>
      </c>
      <c r="B21" s="300">
        <v>3</v>
      </c>
      <c r="C21" s="300">
        <v>2</v>
      </c>
      <c r="D21" s="300" t="s">
        <v>568</v>
      </c>
      <c r="E21" s="300">
        <v>1</v>
      </c>
      <c r="F21" s="301">
        <v>45468.465277777781</v>
      </c>
      <c r="G21" s="300">
        <v>1</v>
      </c>
      <c r="H21" s="300">
        <v>51.380699999999997</v>
      </c>
      <c r="I21" s="300">
        <v>8.2549200000000003</v>
      </c>
      <c r="J21" s="300">
        <v>-26.863356</v>
      </c>
      <c r="K21" s="300">
        <v>-25.062038000000001</v>
      </c>
      <c r="L21" s="300">
        <v>1086.19</v>
      </c>
      <c r="M21" s="300">
        <v>66.000324000000006</v>
      </c>
      <c r="N21" s="300">
        <v>11661.299650000001</v>
      </c>
      <c r="O21" s="300">
        <v>11669.69248</v>
      </c>
      <c r="P21" s="302">
        <v>2087.338988</v>
      </c>
      <c r="Q21" s="302" t="s">
        <v>12</v>
      </c>
      <c r="R21" s="302" t="s">
        <v>539</v>
      </c>
      <c r="S21" s="302">
        <v>10</v>
      </c>
      <c r="T21" s="302">
        <v>5</v>
      </c>
      <c r="U21" s="302">
        <v>0.7</v>
      </c>
      <c r="V21" s="306">
        <v>0.7</v>
      </c>
      <c r="W21" s="302">
        <v>0.7</v>
      </c>
      <c r="X21" s="300">
        <v>2000</v>
      </c>
      <c r="Y21" s="300" t="s">
        <v>540</v>
      </c>
      <c r="Z21" s="300">
        <v>0.2</v>
      </c>
      <c r="AA21" s="300" t="s">
        <v>541</v>
      </c>
      <c r="AB21" s="300" t="s">
        <v>542</v>
      </c>
      <c r="AC21" s="300">
        <v>220</v>
      </c>
      <c r="AD21" s="158"/>
      <c r="AE21" s="188"/>
    </row>
    <row r="22" spans="1:31" ht="15.75">
      <c r="A22" s="300" t="s">
        <v>569</v>
      </c>
      <c r="B22" s="300">
        <v>3</v>
      </c>
      <c r="C22" s="300">
        <v>2</v>
      </c>
      <c r="D22" s="300" t="s">
        <v>568</v>
      </c>
      <c r="E22" s="300">
        <v>1</v>
      </c>
      <c r="F22" s="301">
        <v>45468.468055555553</v>
      </c>
      <c r="G22" s="300">
        <v>1</v>
      </c>
      <c r="H22" s="300">
        <v>51.377400000000002</v>
      </c>
      <c r="I22" s="300">
        <v>8.2592599999999994</v>
      </c>
      <c r="J22" s="300">
        <v>-26.738762000000001</v>
      </c>
      <c r="K22" s="300">
        <v>-25.269831</v>
      </c>
      <c r="L22" s="300">
        <v>1075.23</v>
      </c>
      <c r="M22" s="300">
        <v>69.000185999999999</v>
      </c>
      <c r="N22" s="300">
        <v>11678.085300000001</v>
      </c>
      <c r="O22" s="300">
        <v>11669.69248</v>
      </c>
      <c r="P22" s="302">
        <v>2087.338988</v>
      </c>
      <c r="Q22" s="302" t="s">
        <v>12</v>
      </c>
      <c r="R22" s="302" t="s">
        <v>539</v>
      </c>
      <c r="S22" s="302">
        <v>10</v>
      </c>
      <c r="T22" s="302">
        <v>5</v>
      </c>
      <c r="U22" s="302">
        <v>0.7</v>
      </c>
      <c r="V22" s="306">
        <v>0.7</v>
      </c>
      <c r="W22" s="302">
        <v>0.7</v>
      </c>
      <c r="X22" s="300">
        <v>2000</v>
      </c>
      <c r="Y22" s="300" t="s">
        <v>540</v>
      </c>
      <c r="Z22" s="300">
        <v>0.2</v>
      </c>
      <c r="AA22" s="300" t="s">
        <v>541</v>
      </c>
      <c r="AB22" s="300" t="s">
        <v>542</v>
      </c>
      <c r="AC22" s="300">
        <v>220</v>
      </c>
      <c r="AD22" s="158"/>
      <c r="AE22" s="188"/>
    </row>
    <row r="23" spans="1:31" ht="15.75">
      <c r="A23" s="300" t="s">
        <v>570</v>
      </c>
      <c r="B23" s="300">
        <v>4</v>
      </c>
      <c r="C23" s="300">
        <v>118</v>
      </c>
      <c r="D23" s="300" t="s">
        <v>571</v>
      </c>
      <c r="E23" s="300">
        <v>1</v>
      </c>
      <c r="F23" s="301">
        <v>45468.47152777778</v>
      </c>
      <c r="G23" s="300">
        <v>1</v>
      </c>
      <c r="H23" s="300">
        <v>51.377400000000002</v>
      </c>
      <c r="I23" s="300">
        <v>8.0808400000000002</v>
      </c>
      <c r="J23" s="300">
        <v>-26.738375000000001</v>
      </c>
      <c r="K23" s="300">
        <v>-25.154125000000001</v>
      </c>
      <c r="L23" s="300">
        <v>1076.1400000000001</v>
      </c>
      <c r="M23" s="300">
        <v>68.499574999999993</v>
      </c>
      <c r="N23" s="300">
        <v>11646.27475</v>
      </c>
      <c r="O23" s="300">
        <v>11682.503430000001</v>
      </c>
      <c r="P23" s="302">
        <v>2089.580762</v>
      </c>
      <c r="Q23" s="302" t="s">
        <v>12</v>
      </c>
      <c r="R23" s="302" t="s">
        <v>553</v>
      </c>
      <c r="S23" s="302">
        <v>10</v>
      </c>
      <c r="T23" s="302">
        <v>5</v>
      </c>
      <c r="U23" s="302">
        <v>0.7</v>
      </c>
      <c r="V23" s="306">
        <v>0.7</v>
      </c>
      <c r="W23" s="302">
        <v>0.7</v>
      </c>
      <c r="X23" s="300">
        <v>2000</v>
      </c>
      <c r="Y23" s="300" t="s">
        <v>540</v>
      </c>
      <c r="Z23" s="300">
        <v>0.2</v>
      </c>
      <c r="AA23" s="300" t="s">
        <v>541</v>
      </c>
      <c r="AB23" s="300" t="s">
        <v>542</v>
      </c>
      <c r="AC23" s="300">
        <v>220</v>
      </c>
      <c r="AD23" s="158"/>
      <c r="AE23" s="188"/>
    </row>
    <row r="24" spans="1:31" ht="15.75">
      <c r="A24" s="300" t="s">
        <v>572</v>
      </c>
      <c r="B24" s="300">
        <v>4</v>
      </c>
      <c r="C24" s="300">
        <v>118</v>
      </c>
      <c r="D24" s="300" t="s">
        <v>571</v>
      </c>
      <c r="E24" s="300">
        <v>1</v>
      </c>
      <c r="F24" s="301">
        <v>45468.474305555559</v>
      </c>
      <c r="G24" s="300">
        <v>1</v>
      </c>
      <c r="H24" s="300">
        <v>51.374099999999999</v>
      </c>
      <c r="I24" s="300">
        <v>8.1104900000000004</v>
      </c>
      <c r="J24" s="300">
        <v>-26.757469</v>
      </c>
      <c r="K24" s="300">
        <v>-24.869630999999998</v>
      </c>
      <c r="L24" s="300">
        <v>1085.1600000000001</v>
      </c>
      <c r="M24" s="300">
        <v>65.999835000000004</v>
      </c>
      <c r="N24" s="300">
        <v>11678.65501</v>
      </c>
      <c r="O24" s="300">
        <v>11682.503430000001</v>
      </c>
      <c r="P24" s="302">
        <v>2089.580762</v>
      </c>
      <c r="Q24" s="302" t="s">
        <v>12</v>
      </c>
      <c r="R24" s="302" t="s">
        <v>539</v>
      </c>
      <c r="S24" s="302">
        <v>10</v>
      </c>
      <c r="T24" s="302">
        <v>5</v>
      </c>
      <c r="U24" s="302">
        <v>0.7</v>
      </c>
      <c r="V24" s="306">
        <v>0.7</v>
      </c>
      <c r="W24" s="302">
        <v>0.7</v>
      </c>
      <c r="X24" s="300">
        <v>2000</v>
      </c>
      <c r="Y24" s="300" t="s">
        <v>540</v>
      </c>
      <c r="Z24" s="300">
        <v>0.2</v>
      </c>
      <c r="AA24" s="300" t="s">
        <v>541</v>
      </c>
      <c r="AB24" s="300" t="s">
        <v>542</v>
      </c>
      <c r="AC24" s="300">
        <v>220</v>
      </c>
      <c r="AD24" s="158"/>
      <c r="AE24" s="188"/>
    </row>
    <row r="25" spans="1:31" ht="15.75">
      <c r="A25" s="300" t="s">
        <v>573</v>
      </c>
      <c r="B25" s="300">
        <v>4</v>
      </c>
      <c r="C25" s="300">
        <v>118</v>
      </c>
      <c r="D25" s="300" t="s">
        <v>571</v>
      </c>
      <c r="E25" s="300">
        <v>1</v>
      </c>
      <c r="F25" s="301">
        <v>45468.477083333331</v>
      </c>
      <c r="G25" s="300">
        <v>1</v>
      </c>
      <c r="H25" s="300">
        <v>51.380699999999997</v>
      </c>
      <c r="I25" s="300">
        <v>8.0542800000000003</v>
      </c>
      <c r="J25" s="300">
        <v>-26.588519000000002</v>
      </c>
      <c r="K25" s="300">
        <v>-24.755624999999998</v>
      </c>
      <c r="L25" s="300">
        <v>1102.0899999999999</v>
      </c>
      <c r="M25" s="300">
        <v>67.998840000000001</v>
      </c>
      <c r="N25" s="300">
        <v>11686.351849999999</v>
      </c>
      <c r="O25" s="300">
        <v>11682.503430000001</v>
      </c>
      <c r="P25" s="302">
        <v>2089.580762</v>
      </c>
      <c r="Q25" s="302" t="s">
        <v>12</v>
      </c>
      <c r="R25" s="302" t="s">
        <v>539</v>
      </c>
      <c r="S25" s="302">
        <v>10</v>
      </c>
      <c r="T25" s="302">
        <v>5</v>
      </c>
      <c r="U25" s="302">
        <v>0.7</v>
      </c>
      <c r="V25" s="306">
        <v>0.7</v>
      </c>
      <c r="W25" s="302">
        <v>0.7</v>
      </c>
      <c r="X25" s="300">
        <v>2000</v>
      </c>
      <c r="Y25" s="300" t="s">
        <v>540</v>
      </c>
      <c r="Z25" s="300">
        <v>0.2</v>
      </c>
      <c r="AA25" s="300" t="s">
        <v>541</v>
      </c>
      <c r="AB25" s="300" t="s">
        <v>542</v>
      </c>
      <c r="AC25" s="300">
        <v>220</v>
      </c>
      <c r="AD25" s="158"/>
      <c r="AE25" s="188"/>
    </row>
    <row r="26" spans="1:31" ht="15.75">
      <c r="A26" s="300" t="s">
        <v>574</v>
      </c>
      <c r="B26" s="300">
        <v>5</v>
      </c>
      <c r="C26" s="300">
        <v>119</v>
      </c>
      <c r="D26" s="300" t="s">
        <v>575</v>
      </c>
      <c r="E26" s="300">
        <v>1</v>
      </c>
      <c r="F26" s="301">
        <v>45468.480555555558</v>
      </c>
      <c r="G26" s="300">
        <v>1</v>
      </c>
      <c r="H26" s="300">
        <v>51.384</v>
      </c>
      <c r="I26" s="300">
        <v>8.0636600000000005</v>
      </c>
      <c r="J26" s="300">
        <v>-26.583881000000002</v>
      </c>
      <c r="K26" s="300">
        <v>-24.294069</v>
      </c>
      <c r="L26" s="300">
        <v>1068.6400000000001</v>
      </c>
      <c r="M26" s="300">
        <v>67.998724999999993</v>
      </c>
      <c r="N26" s="300">
        <v>11640.320540000001</v>
      </c>
      <c r="O26" s="300">
        <v>11689.62256</v>
      </c>
      <c r="P26" s="302">
        <v>2090.8265299999998</v>
      </c>
      <c r="Q26" s="302" t="s">
        <v>12</v>
      </c>
      <c r="R26" s="302" t="s">
        <v>553</v>
      </c>
      <c r="S26" s="302">
        <v>10</v>
      </c>
      <c r="T26" s="302">
        <v>5</v>
      </c>
      <c r="U26" s="302">
        <v>0.7</v>
      </c>
      <c r="V26" s="306">
        <v>0.7</v>
      </c>
      <c r="W26" s="302">
        <v>0.7</v>
      </c>
      <c r="X26" s="300">
        <v>2000</v>
      </c>
      <c r="Y26" s="300" t="s">
        <v>540</v>
      </c>
      <c r="Z26" s="300">
        <v>0.2</v>
      </c>
      <c r="AA26" s="300" t="s">
        <v>541</v>
      </c>
      <c r="AB26" s="300" t="s">
        <v>542</v>
      </c>
      <c r="AC26" s="300">
        <v>220</v>
      </c>
      <c r="AD26" s="158"/>
      <c r="AE26" s="188"/>
    </row>
    <row r="27" spans="1:31" ht="15.75">
      <c r="A27" s="300" t="s">
        <v>576</v>
      </c>
      <c r="B27" s="300">
        <v>5</v>
      </c>
      <c r="C27" s="300">
        <v>119</v>
      </c>
      <c r="D27" s="300" t="s">
        <v>575</v>
      </c>
      <c r="E27" s="300">
        <v>1</v>
      </c>
      <c r="F27" s="301">
        <v>45468.48333333333</v>
      </c>
      <c r="G27" s="300">
        <v>1</v>
      </c>
      <c r="H27" s="300">
        <v>51.377400000000002</v>
      </c>
      <c r="I27" s="300">
        <v>8.1814400000000003</v>
      </c>
      <c r="J27" s="300">
        <v>-26.448056000000001</v>
      </c>
      <c r="K27" s="300">
        <v>-25.046325</v>
      </c>
      <c r="L27" s="300">
        <v>1104.79</v>
      </c>
      <c r="M27" s="300">
        <v>70.999705000000006</v>
      </c>
      <c r="N27" s="300">
        <v>11695.23875</v>
      </c>
      <c r="O27" s="300">
        <v>11689.62256</v>
      </c>
      <c r="P27" s="302">
        <v>2090.8265299999998</v>
      </c>
      <c r="Q27" s="302" t="s">
        <v>12</v>
      </c>
      <c r="R27" s="302" t="s">
        <v>539</v>
      </c>
      <c r="S27" s="302">
        <v>10</v>
      </c>
      <c r="T27" s="302">
        <v>5</v>
      </c>
      <c r="U27" s="302">
        <v>0.7</v>
      </c>
      <c r="V27" s="306">
        <v>0.7</v>
      </c>
      <c r="W27" s="302">
        <v>0.7</v>
      </c>
      <c r="X27" s="300">
        <v>2000</v>
      </c>
      <c r="Y27" s="300" t="s">
        <v>540</v>
      </c>
      <c r="Z27" s="300">
        <v>0.2</v>
      </c>
      <c r="AA27" s="300" t="s">
        <v>541</v>
      </c>
      <c r="AB27" s="300" t="s">
        <v>542</v>
      </c>
      <c r="AC27" s="300">
        <v>220</v>
      </c>
      <c r="AD27" s="158"/>
      <c r="AE27" s="188"/>
    </row>
    <row r="28" spans="1:31" ht="15.75">
      <c r="A28" s="300" t="s">
        <v>577</v>
      </c>
      <c r="B28" s="300">
        <v>5</v>
      </c>
      <c r="C28" s="300">
        <v>119</v>
      </c>
      <c r="D28" s="300" t="s">
        <v>575</v>
      </c>
      <c r="E28" s="300">
        <v>1</v>
      </c>
      <c r="F28" s="301">
        <v>45468.486111111109</v>
      </c>
      <c r="G28" s="300">
        <v>1</v>
      </c>
      <c r="H28" s="300">
        <v>51.380699999999997</v>
      </c>
      <c r="I28" s="300">
        <v>8.0390300000000003</v>
      </c>
      <c r="J28" s="300">
        <v>-26.439806000000001</v>
      </c>
      <c r="K28" s="300">
        <v>-24.817675000000001</v>
      </c>
      <c r="L28" s="300">
        <v>1081.1500000000001</v>
      </c>
      <c r="M28" s="300">
        <v>66.000932000000006</v>
      </c>
      <c r="N28" s="300">
        <v>11684.006369999999</v>
      </c>
      <c r="O28" s="300">
        <v>11689.62256</v>
      </c>
      <c r="P28" s="302">
        <v>2090.8265299999998</v>
      </c>
      <c r="Q28" s="302" t="s">
        <v>12</v>
      </c>
      <c r="R28" s="302" t="s">
        <v>539</v>
      </c>
      <c r="S28" s="302">
        <v>10</v>
      </c>
      <c r="T28" s="302">
        <v>5</v>
      </c>
      <c r="U28" s="302">
        <v>0.7</v>
      </c>
      <c r="V28" s="306">
        <v>0.7</v>
      </c>
      <c r="W28" s="302">
        <v>0.7</v>
      </c>
      <c r="X28" s="300">
        <v>2000</v>
      </c>
      <c r="Y28" s="300" t="s">
        <v>540</v>
      </c>
      <c r="Z28" s="300">
        <v>0.2</v>
      </c>
      <c r="AA28" s="300" t="s">
        <v>541</v>
      </c>
      <c r="AB28" s="300" t="s">
        <v>542</v>
      </c>
      <c r="AC28" s="300">
        <v>220</v>
      </c>
      <c r="AD28" s="158"/>
      <c r="AE28" s="188"/>
    </row>
    <row r="29" spans="1:31" ht="15.75">
      <c r="A29" s="300" t="s">
        <v>578</v>
      </c>
      <c r="B29" s="300">
        <v>6</v>
      </c>
      <c r="C29" s="300">
        <v>105</v>
      </c>
      <c r="D29" s="300" t="s">
        <v>579</v>
      </c>
      <c r="E29" s="300">
        <v>1</v>
      </c>
      <c r="F29" s="301">
        <v>45468.488888888889</v>
      </c>
      <c r="G29" s="300">
        <v>1</v>
      </c>
      <c r="H29" s="300">
        <v>51.374099999999999</v>
      </c>
      <c r="I29" s="300">
        <v>8.03904</v>
      </c>
      <c r="J29" s="300">
        <v>-26.571894</v>
      </c>
      <c r="K29" s="300">
        <v>-24.683788</v>
      </c>
      <c r="L29" s="300">
        <v>1089.29</v>
      </c>
      <c r="M29" s="300">
        <v>69.000286000000003</v>
      </c>
      <c r="N29" s="300">
        <v>11661.197389999999</v>
      </c>
      <c r="O29" s="300">
        <v>11664.07979</v>
      </c>
      <c r="P29" s="302">
        <v>2086.3568310000001</v>
      </c>
      <c r="Q29" s="302" t="s">
        <v>12</v>
      </c>
      <c r="R29" s="302" t="s">
        <v>539</v>
      </c>
      <c r="S29" s="302">
        <v>10</v>
      </c>
      <c r="T29" s="302">
        <v>5</v>
      </c>
      <c r="U29" s="302">
        <v>0.7</v>
      </c>
      <c r="V29" s="306">
        <v>0.7</v>
      </c>
      <c r="W29" s="302">
        <v>0.7</v>
      </c>
      <c r="X29" s="300">
        <v>2000</v>
      </c>
      <c r="Y29" s="300" t="s">
        <v>540</v>
      </c>
      <c r="Z29" s="300">
        <v>0.2</v>
      </c>
      <c r="AA29" s="300" t="s">
        <v>541</v>
      </c>
      <c r="AB29" s="300" t="s">
        <v>542</v>
      </c>
      <c r="AC29" s="300">
        <v>220</v>
      </c>
      <c r="AD29" s="158"/>
      <c r="AE29" s="188"/>
    </row>
    <row r="30" spans="1:31" ht="15.75">
      <c r="A30" s="300" t="s">
        <v>580</v>
      </c>
      <c r="B30" s="300">
        <v>6</v>
      </c>
      <c r="C30" s="300">
        <v>105</v>
      </c>
      <c r="D30" s="300" t="s">
        <v>579</v>
      </c>
      <c r="E30" s="300">
        <v>1</v>
      </c>
      <c r="F30" s="301">
        <v>45468.491666666669</v>
      </c>
      <c r="G30" s="300">
        <v>1</v>
      </c>
      <c r="H30" s="300">
        <v>51.370800000000003</v>
      </c>
      <c r="I30" s="300">
        <v>8.0211100000000002</v>
      </c>
      <c r="J30" s="300">
        <v>-26.397594000000002</v>
      </c>
      <c r="K30" s="300">
        <v>-24.8918</v>
      </c>
      <c r="L30" s="300">
        <v>1089.43</v>
      </c>
      <c r="M30" s="300">
        <v>68.500071000000005</v>
      </c>
      <c r="N30" s="300">
        <v>11666.96219</v>
      </c>
      <c r="O30" s="300">
        <v>11664.07979</v>
      </c>
      <c r="P30" s="302">
        <v>2086.3568310000001</v>
      </c>
      <c r="Q30" s="302" t="s">
        <v>12</v>
      </c>
      <c r="R30" s="302" t="s">
        <v>539</v>
      </c>
      <c r="S30" s="302">
        <v>10</v>
      </c>
      <c r="T30" s="302">
        <v>5</v>
      </c>
      <c r="U30" s="302">
        <v>0.7</v>
      </c>
      <c r="V30" s="306">
        <v>0.7</v>
      </c>
      <c r="W30" s="302">
        <v>0.7</v>
      </c>
      <c r="X30" s="300">
        <v>2000</v>
      </c>
      <c r="Y30" s="300" t="s">
        <v>540</v>
      </c>
      <c r="Z30" s="300">
        <v>0.2</v>
      </c>
      <c r="AA30" s="300" t="s">
        <v>541</v>
      </c>
      <c r="AB30" s="300" t="s">
        <v>542</v>
      </c>
      <c r="AC30" s="300">
        <v>220</v>
      </c>
      <c r="AD30" s="158"/>
      <c r="AE30" s="188"/>
    </row>
    <row r="31" spans="1:31" ht="15.75">
      <c r="A31" s="300" t="s">
        <v>581</v>
      </c>
      <c r="B31" s="300">
        <v>7</v>
      </c>
      <c r="C31" s="300">
        <v>106</v>
      </c>
      <c r="D31" s="300" t="s">
        <v>582</v>
      </c>
      <c r="E31" s="300">
        <v>1</v>
      </c>
      <c r="F31" s="301">
        <v>45468.495138888888</v>
      </c>
      <c r="G31" s="300">
        <v>1</v>
      </c>
      <c r="H31" s="300">
        <v>51.380699999999997</v>
      </c>
      <c r="I31" s="300">
        <v>8.0319699999999994</v>
      </c>
      <c r="J31" s="300">
        <v>-26.325313000000001</v>
      </c>
      <c r="K31" s="300">
        <v>-24.947562999999999</v>
      </c>
      <c r="L31" s="300">
        <v>1094.49</v>
      </c>
      <c r="M31" s="300">
        <v>69.499088</v>
      </c>
      <c r="N31" s="300">
        <v>11670.613069999999</v>
      </c>
      <c r="O31" s="300">
        <v>11667.44044</v>
      </c>
      <c r="P31" s="302">
        <v>2086.9449060000002</v>
      </c>
      <c r="Q31" s="302" t="s">
        <v>12</v>
      </c>
      <c r="R31" s="302" t="s">
        <v>539</v>
      </c>
      <c r="S31" s="302">
        <v>10</v>
      </c>
      <c r="T31" s="302">
        <v>5</v>
      </c>
      <c r="U31" s="302">
        <v>0.7</v>
      </c>
      <c r="V31" s="306">
        <v>0.7</v>
      </c>
      <c r="W31" s="302">
        <v>0.7</v>
      </c>
      <c r="X31" s="300">
        <v>2000</v>
      </c>
      <c r="Y31" s="300" t="s">
        <v>540</v>
      </c>
      <c r="Z31" s="300">
        <v>0.2</v>
      </c>
      <c r="AA31" s="300" t="s">
        <v>541</v>
      </c>
      <c r="AB31" s="300" t="s">
        <v>542</v>
      </c>
      <c r="AC31" s="300">
        <v>220</v>
      </c>
      <c r="AD31" s="158"/>
      <c r="AE31" s="188"/>
    </row>
    <row r="32" spans="1:31" ht="15.75">
      <c r="A32" s="300" t="s">
        <v>583</v>
      </c>
      <c r="B32" s="300">
        <v>7</v>
      </c>
      <c r="C32" s="300">
        <v>106</v>
      </c>
      <c r="D32" s="300" t="s">
        <v>582</v>
      </c>
      <c r="E32" s="300">
        <v>1</v>
      </c>
      <c r="F32" s="301">
        <v>45468.497916666667</v>
      </c>
      <c r="G32" s="300">
        <v>1</v>
      </c>
      <c r="H32" s="300">
        <v>51.377400000000002</v>
      </c>
      <c r="I32" s="300">
        <v>8.0153700000000008</v>
      </c>
      <c r="J32" s="300">
        <v>-26.227687</v>
      </c>
      <c r="K32" s="300">
        <v>-24.748594000000001</v>
      </c>
      <c r="L32" s="300">
        <v>1078.82</v>
      </c>
      <c r="M32" s="300">
        <v>67.499200999999999</v>
      </c>
      <c r="N32" s="300">
        <v>11664.2678</v>
      </c>
      <c r="O32" s="300">
        <v>11667.44044</v>
      </c>
      <c r="P32" s="302">
        <v>2086.9449060000002</v>
      </c>
      <c r="Q32" s="302" t="s">
        <v>12</v>
      </c>
      <c r="R32" s="302" t="s">
        <v>539</v>
      </c>
      <c r="S32" s="302">
        <v>10</v>
      </c>
      <c r="T32" s="302">
        <v>5</v>
      </c>
      <c r="U32" s="302">
        <v>0.7</v>
      </c>
      <c r="V32" s="306">
        <v>0.7</v>
      </c>
      <c r="W32" s="302">
        <v>0.7</v>
      </c>
      <c r="X32" s="300">
        <v>2000</v>
      </c>
      <c r="Y32" s="300" t="s">
        <v>540</v>
      </c>
      <c r="Z32" s="300">
        <v>0.2</v>
      </c>
      <c r="AA32" s="300" t="s">
        <v>541</v>
      </c>
      <c r="AB32" s="300" t="s">
        <v>542</v>
      </c>
      <c r="AC32" s="300">
        <v>220</v>
      </c>
      <c r="AD32" s="158"/>
      <c r="AE32" s="188"/>
    </row>
    <row r="33" spans="1:31" ht="15.75">
      <c r="A33" s="300" t="s">
        <v>584</v>
      </c>
      <c r="B33" s="300">
        <v>8</v>
      </c>
      <c r="C33" s="300">
        <v>14</v>
      </c>
      <c r="D33" s="300" t="s">
        <v>585</v>
      </c>
      <c r="E33" s="300">
        <v>1</v>
      </c>
      <c r="F33" s="301">
        <v>45468.501388888886</v>
      </c>
      <c r="G33" s="300">
        <v>1</v>
      </c>
      <c r="H33" s="300">
        <v>51.377400000000002</v>
      </c>
      <c r="I33" s="300">
        <v>7.8833799999999998</v>
      </c>
      <c r="J33" s="300">
        <v>-26.243269000000002</v>
      </c>
      <c r="K33" s="300">
        <v>-24.855263000000001</v>
      </c>
      <c r="L33" s="300">
        <v>1073.26</v>
      </c>
      <c r="M33" s="300">
        <v>68.499246999999997</v>
      </c>
      <c r="N33" s="300">
        <v>11649.01282</v>
      </c>
      <c r="O33" s="300">
        <v>11611.773080000001</v>
      </c>
      <c r="P33" s="302">
        <v>2077.2037399999999</v>
      </c>
      <c r="Q33" s="302" t="s">
        <v>12</v>
      </c>
      <c r="R33" s="302" t="s">
        <v>553</v>
      </c>
      <c r="S33" s="302">
        <v>10</v>
      </c>
      <c r="T33" s="302">
        <v>5</v>
      </c>
      <c r="U33" s="302">
        <v>0.7</v>
      </c>
      <c r="V33" s="306">
        <v>0.7</v>
      </c>
      <c r="W33" s="302">
        <v>0.7</v>
      </c>
      <c r="X33" s="300">
        <v>2000</v>
      </c>
      <c r="Y33" s="300" t="s">
        <v>540</v>
      </c>
      <c r="Z33" s="300">
        <v>0.2</v>
      </c>
      <c r="AA33" s="300" t="s">
        <v>541</v>
      </c>
      <c r="AB33" s="300" t="s">
        <v>542</v>
      </c>
      <c r="AC33" s="300">
        <v>220</v>
      </c>
      <c r="AD33" s="158"/>
      <c r="AE33" s="188"/>
    </row>
    <row r="34" spans="1:31" ht="15.75">
      <c r="A34" s="300" t="s">
        <v>586</v>
      </c>
      <c r="B34" s="300">
        <v>8</v>
      </c>
      <c r="C34" s="300">
        <v>14</v>
      </c>
      <c r="D34" s="300" t="s">
        <v>585</v>
      </c>
      <c r="E34" s="300">
        <v>1</v>
      </c>
      <c r="F34" s="301">
        <v>45468.504166666666</v>
      </c>
      <c r="G34" s="300">
        <v>1</v>
      </c>
      <c r="H34" s="300">
        <v>51.374099999999999</v>
      </c>
      <c r="I34" s="300">
        <v>7.8391900000000003</v>
      </c>
      <c r="J34" s="300">
        <v>-26.203849999999999</v>
      </c>
      <c r="K34" s="300">
        <v>-24.769456000000002</v>
      </c>
      <c r="L34" s="300">
        <v>1068.99</v>
      </c>
      <c r="M34" s="300">
        <v>68.999848999999998</v>
      </c>
      <c r="N34" s="300">
        <v>11607.27893</v>
      </c>
      <c r="O34" s="300">
        <v>11611.773080000001</v>
      </c>
      <c r="P34" s="302">
        <v>2077.2037399999999</v>
      </c>
      <c r="Q34" s="302" t="s">
        <v>12</v>
      </c>
      <c r="R34" s="302" t="s">
        <v>539</v>
      </c>
      <c r="S34" s="302">
        <v>10</v>
      </c>
      <c r="T34" s="302">
        <v>5</v>
      </c>
      <c r="U34" s="302">
        <v>0.7</v>
      </c>
      <c r="V34" s="306">
        <v>0.7</v>
      </c>
      <c r="W34" s="302">
        <v>0.7</v>
      </c>
      <c r="X34" s="300">
        <v>2000</v>
      </c>
      <c r="Y34" s="300" t="s">
        <v>540</v>
      </c>
      <c r="Z34" s="300">
        <v>0.2</v>
      </c>
      <c r="AA34" s="300" t="s">
        <v>541</v>
      </c>
      <c r="AB34" s="300" t="s">
        <v>542</v>
      </c>
      <c r="AC34" s="300">
        <v>220</v>
      </c>
      <c r="AD34" s="158"/>
      <c r="AE34" s="188"/>
    </row>
    <row r="35" spans="1:31" ht="15.75">
      <c r="A35" s="300" t="s">
        <v>587</v>
      </c>
      <c r="B35" s="300">
        <v>8</v>
      </c>
      <c r="C35" s="300">
        <v>14</v>
      </c>
      <c r="D35" s="300" t="s">
        <v>585</v>
      </c>
      <c r="E35" s="300">
        <v>1</v>
      </c>
      <c r="F35" s="301">
        <v>45468.506944444445</v>
      </c>
      <c r="G35" s="300">
        <v>1</v>
      </c>
      <c r="H35" s="300">
        <v>51.374099999999999</v>
      </c>
      <c r="I35" s="300">
        <v>7.9209100000000001</v>
      </c>
      <c r="J35" s="300">
        <v>-26.288250000000001</v>
      </c>
      <c r="K35" s="300">
        <v>-24.482669000000001</v>
      </c>
      <c r="L35" s="300">
        <v>1041.25</v>
      </c>
      <c r="M35" s="300">
        <v>65.500630000000001</v>
      </c>
      <c r="N35" s="300">
        <v>11616.267239999999</v>
      </c>
      <c r="O35" s="300">
        <v>11611.773080000001</v>
      </c>
      <c r="P35" s="302">
        <v>2077.2037399999999</v>
      </c>
      <c r="Q35" s="302" t="s">
        <v>12</v>
      </c>
      <c r="R35" s="302" t="s">
        <v>539</v>
      </c>
      <c r="S35" s="302">
        <v>10</v>
      </c>
      <c r="T35" s="302">
        <v>5</v>
      </c>
      <c r="U35" s="302">
        <v>0.7</v>
      </c>
      <c r="V35" s="306">
        <v>0.7</v>
      </c>
      <c r="W35" s="302">
        <v>0.7</v>
      </c>
      <c r="X35" s="300">
        <v>2000</v>
      </c>
      <c r="Y35" s="300" t="s">
        <v>540</v>
      </c>
      <c r="Z35" s="300">
        <v>0.2</v>
      </c>
      <c r="AA35" s="300" t="s">
        <v>541</v>
      </c>
      <c r="AB35" s="300" t="s">
        <v>542</v>
      </c>
      <c r="AC35" s="300">
        <v>220</v>
      </c>
      <c r="AD35" s="158"/>
      <c r="AE35" s="188"/>
    </row>
    <row r="36" spans="1:31" ht="15.75">
      <c r="A36" s="300" t="s">
        <v>588</v>
      </c>
      <c r="B36" s="300">
        <v>9</v>
      </c>
      <c r="C36" s="300">
        <v>15</v>
      </c>
      <c r="D36" s="300" t="s">
        <v>589</v>
      </c>
      <c r="E36" s="300">
        <v>1</v>
      </c>
      <c r="F36" s="301">
        <v>45468.510416666664</v>
      </c>
      <c r="G36" s="300">
        <v>1</v>
      </c>
      <c r="H36" s="300">
        <v>51.377400000000002</v>
      </c>
      <c r="I36" s="300">
        <v>7.7745800000000003</v>
      </c>
      <c r="J36" s="300">
        <v>-26.291706000000001</v>
      </c>
      <c r="K36" s="300">
        <v>-24.812663000000001</v>
      </c>
      <c r="L36" s="300">
        <v>1074.69</v>
      </c>
      <c r="M36" s="300">
        <v>69.500313000000006</v>
      </c>
      <c r="N36" s="300">
        <v>11583.897940000001</v>
      </c>
      <c r="O36" s="300">
        <v>11587.20996</v>
      </c>
      <c r="P36" s="302">
        <v>2072.905467</v>
      </c>
      <c r="Q36" s="302" t="s">
        <v>12</v>
      </c>
      <c r="R36" s="302" t="s">
        <v>539</v>
      </c>
      <c r="S36" s="302">
        <v>10</v>
      </c>
      <c r="T36" s="302">
        <v>5</v>
      </c>
      <c r="U36" s="302">
        <v>0.7</v>
      </c>
      <c r="V36" s="306">
        <v>0.7</v>
      </c>
      <c r="W36" s="302">
        <v>0.7</v>
      </c>
      <c r="X36" s="300">
        <v>2000</v>
      </c>
      <c r="Y36" s="300" t="s">
        <v>540</v>
      </c>
      <c r="Z36" s="300">
        <v>0.2</v>
      </c>
      <c r="AA36" s="300" t="s">
        <v>541</v>
      </c>
      <c r="AB36" s="300" t="s">
        <v>542</v>
      </c>
      <c r="AC36" s="300">
        <v>220</v>
      </c>
      <c r="AD36" s="158"/>
      <c r="AE36" s="188"/>
    </row>
    <row r="37" spans="1:31" ht="15.75">
      <c r="A37" s="300" t="s">
        <v>590</v>
      </c>
      <c r="B37" s="300">
        <v>9</v>
      </c>
      <c r="C37" s="300">
        <v>15</v>
      </c>
      <c r="D37" s="300" t="s">
        <v>589</v>
      </c>
      <c r="E37" s="300">
        <v>1</v>
      </c>
      <c r="F37" s="301">
        <v>45468.513194444444</v>
      </c>
      <c r="G37" s="300">
        <v>1</v>
      </c>
      <c r="H37" s="300">
        <v>51.374099999999999</v>
      </c>
      <c r="I37" s="300">
        <v>7.95885</v>
      </c>
      <c r="J37" s="300">
        <v>-26.249844</v>
      </c>
      <c r="K37" s="300">
        <v>-24.477900000000002</v>
      </c>
      <c r="L37" s="300">
        <v>1065.24</v>
      </c>
      <c r="M37" s="300">
        <v>65.999364999999997</v>
      </c>
      <c r="N37" s="300">
        <v>11590.52198</v>
      </c>
      <c r="O37" s="300">
        <v>11587.20996</v>
      </c>
      <c r="P37" s="302">
        <v>2072.905467</v>
      </c>
      <c r="Q37" s="302" t="s">
        <v>12</v>
      </c>
      <c r="R37" s="302" t="s">
        <v>539</v>
      </c>
      <c r="S37" s="302">
        <v>10</v>
      </c>
      <c r="T37" s="302">
        <v>5</v>
      </c>
      <c r="U37" s="302">
        <v>0.7</v>
      </c>
      <c r="V37" s="306">
        <v>0.7</v>
      </c>
      <c r="W37" s="302">
        <v>0.7</v>
      </c>
      <c r="X37" s="300">
        <v>2000</v>
      </c>
      <c r="Y37" s="300" t="s">
        <v>540</v>
      </c>
      <c r="Z37" s="300">
        <v>0.2</v>
      </c>
      <c r="AA37" s="300" t="s">
        <v>541</v>
      </c>
      <c r="AB37" s="300" t="s">
        <v>542</v>
      </c>
      <c r="AC37" s="300">
        <v>220</v>
      </c>
      <c r="AD37" s="158"/>
      <c r="AE37" s="188"/>
    </row>
    <row r="38" spans="1:31" ht="15.75">
      <c r="A38" s="300" t="s">
        <v>591</v>
      </c>
      <c r="B38" s="300" t="s">
        <v>551</v>
      </c>
      <c r="C38" s="300" t="s">
        <v>552</v>
      </c>
      <c r="D38" s="300" t="s">
        <v>538</v>
      </c>
      <c r="E38" s="300">
        <v>0.8</v>
      </c>
      <c r="F38" s="301">
        <v>45468.51666666667</v>
      </c>
      <c r="G38" s="300">
        <v>1</v>
      </c>
      <c r="H38" s="300">
        <v>51.380699999999997</v>
      </c>
      <c r="I38" s="300">
        <v>7.87805</v>
      </c>
      <c r="J38" s="300">
        <v>-26.032988</v>
      </c>
      <c r="K38" s="300">
        <v>-24.933363</v>
      </c>
      <c r="L38" s="300">
        <v>999.00900000000001</v>
      </c>
      <c r="M38" s="300">
        <v>68.000949000000006</v>
      </c>
      <c r="N38" s="300">
        <v>9245.4886480000005</v>
      </c>
      <c r="O38" s="300">
        <v>9237.9347730000009</v>
      </c>
      <c r="P38" s="302">
        <v>2070.3456999999999</v>
      </c>
      <c r="Q38" s="302" t="s">
        <v>12</v>
      </c>
      <c r="R38" s="302" t="s">
        <v>539</v>
      </c>
      <c r="S38" s="302">
        <v>10</v>
      </c>
      <c r="T38" s="302">
        <v>5</v>
      </c>
      <c r="U38" s="302">
        <v>0.7</v>
      </c>
      <c r="V38" s="306">
        <v>0.7</v>
      </c>
      <c r="W38" s="302">
        <v>0.7</v>
      </c>
      <c r="X38" s="300">
        <v>2000</v>
      </c>
      <c r="Y38" s="300" t="s">
        <v>540</v>
      </c>
      <c r="Z38" s="300">
        <v>0.2</v>
      </c>
      <c r="AA38" s="300" t="s">
        <v>541</v>
      </c>
      <c r="AB38" s="300" t="s">
        <v>542</v>
      </c>
      <c r="AC38" s="300">
        <v>220</v>
      </c>
      <c r="AD38" s="158"/>
      <c r="AE38" s="188"/>
    </row>
    <row r="39" spans="1:31" ht="15.75">
      <c r="A39" s="300" t="s">
        <v>592</v>
      </c>
      <c r="B39" s="300" t="s">
        <v>551</v>
      </c>
      <c r="C39" s="300" t="s">
        <v>552</v>
      </c>
      <c r="D39" s="300" t="s">
        <v>538</v>
      </c>
      <c r="E39" s="300">
        <v>0.8</v>
      </c>
      <c r="F39" s="301">
        <v>45468.519444444442</v>
      </c>
      <c r="G39" s="300">
        <v>1</v>
      </c>
      <c r="H39" s="300">
        <v>51.380699999999997</v>
      </c>
      <c r="I39" s="300">
        <v>7.9429800000000004</v>
      </c>
      <c r="J39" s="300">
        <v>-26.045062999999999</v>
      </c>
      <c r="K39" s="300">
        <v>-24.843050000000002</v>
      </c>
      <c r="L39" s="300">
        <v>995.65300000000002</v>
      </c>
      <c r="M39" s="300">
        <v>65.500913999999995</v>
      </c>
      <c r="N39" s="300">
        <v>9230.3808969999991</v>
      </c>
      <c r="O39" s="300">
        <v>9237.9347730000009</v>
      </c>
      <c r="P39" s="302">
        <v>2070.3456999999999</v>
      </c>
      <c r="Q39" s="302" t="s">
        <v>12</v>
      </c>
      <c r="R39" s="302" t="s">
        <v>539</v>
      </c>
      <c r="S39" s="302">
        <v>10</v>
      </c>
      <c r="T39" s="302">
        <v>5</v>
      </c>
      <c r="U39" s="302">
        <v>0.7</v>
      </c>
      <c r="V39" s="306">
        <v>0.7</v>
      </c>
      <c r="W39" s="302">
        <v>0.7</v>
      </c>
      <c r="X39" s="300">
        <v>2000</v>
      </c>
      <c r="Y39" s="300" t="s">
        <v>540</v>
      </c>
      <c r="Z39" s="300">
        <v>0.2</v>
      </c>
      <c r="AA39" s="300" t="s">
        <v>541</v>
      </c>
      <c r="AB39" s="300" t="s">
        <v>542</v>
      </c>
      <c r="AC39" s="300">
        <v>220</v>
      </c>
      <c r="AD39" s="158"/>
      <c r="AE39" s="188"/>
    </row>
    <row r="40" spans="1:31" ht="15.75">
      <c r="A40" s="303" t="s">
        <v>593</v>
      </c>
      <c r="B40" s="303" t="s">
        <v>558</v>
      </c>
      <c r="C40" s="303" t="s">
        <v>552</v>
      </c>
      <c r="D40" s="303" t="s">
        <v>538</v>
      </c>
      <c r="E40" s="303">
        <v>1</v>
      </c>
      <c r="F40" s="304">
        <v>45468.522222222222</v>
      </c>
      <c r="G40" s="303">
        <v>1</v>
      </c>
      <c r="H40" s="303">
        <v>51.377400000000002</v>
      </c>
      <c r="I40" s="303">
        <v>7.82775</v>
      </c>
      <c r="J40" s="303">
        <v>-26.002880999999999</v>
      </c>
      <c r="K40" s="303">
        <v>-24.583444</v>
      </c>
      <c r="L40" s="303">
        <v>1062.51</v>
      </c>
      <c r="M40" s="303">
        <v>68.499278000000004</v>
      </c>
      <c r="N40" s="303">
        <v>11563.323899999999</v>
      </c>
      <c r="O40" s="303">
        <v>11569.896769999999</v>
      </c>
      <c r="P40" s="305">
        <v>2070.3456999999999</v>
      </c>
      <c r="Q40" s="302" t="s">
        <v>12</v>
      </c>
      <c r="R40" s="305" t="s">
        <v>539</v>
      </c>
      <c r="S40" s="305">
        <v>10</v>
      </c>
      <c r="T40" s="305">
        <v>5</v>
      </c>
      <c r="U40" s="305">
        <v>0.7</v>
      </c>
      <c r="V40" s="307">
        <v>0.7</v>
      </c>
      <c r="W40" s="305">
        <v>0.7</v>
      </c>
      <c r="X40" s="303">
        <v>2000</v>
      </c>
      <c r="Y40" s="303" t="s">
        <v>540</v>
      </c>
      <c r="Z40" s="303">
        <v>0.2</v>
      </c>
      <c r="AA40" s="303" t="s">
        <v>541</v>
      </c>
      <c r="AB40" s="303" t="s">
        <v>542</v>
      </c>
      <c r="AC40" s="303">
        <v>220</v>
      </c>
      <c r="AD40" s="158"/>
      <c r="AE40" s="188"/>
    </row>
    <row r="41" spans="1:31" ht="15.75">
      <c r="A41" s="300" t="s">
        <v>594</v>
      </c>
      <c r="B41" s="300" t="s">
        <v>558</v>
      </c>
      <c r="C41" s="300" t="s">
        <v>552</v>
      </c>
      <c r="D41" s="300" t="s">
        <v>538</v>
      </c>
      <c r="E41" s="300">
        <v>1</v>
      </c>
      <c r="F41" s="301">
        <v>45468.525000000001</v>
      </c>
      <c r="G41" s="300">
        <v>1</v>
      </c>
      <c r="H41" s="300">
        <v>51.384</v>
      </c>
      <c r="I41" s="300">
        <v>7.8211599999999999</v>
      </c>
      <c r="J41" s="300">
        <v>-25.980430999999999</v>
      </c>
      <c r="K41" s="300">
        <v>-24.345787999999999</v>
      </c>
      <c r="L41" s="300">
        <v>1075.8699999999999</v>
      </c>
      <c r="M41" s="300">
        <v>65.499238000000005</v>
      </c>
      <c r="N41" s="300">
        <v>11576.469639999999</v>
      </c>
      <c r="O41" s="300">
        <v>11569.896769999999</v>
      </c>
      <c r="P41" s="302">
        <v>2070.3456999999999</v>
      </c>
      <c r="Q41" s="302" t="s">
        <v>12</v>
      </c>
      <c r="R41" s="302" t="s">
        <v>539</v>
      </c>
      <c r="S41" s="302">
        <v>10</v>
      </c>
      <c r="T41" s="302">
        <v>5</v>
      </c>
      <c r="U41" s="302">
        <v>0.7</v>
      </c>
      <c r="V41" s="306">
        <v>0.7</v>
      </c>
      <c r="W41" s="302">
        <v>0.7</v>
      </c>
      <c r="X41" s="300">
        <v>2000</v>
      </c>
      <c r="Y41" s="300" t="s">
        <v>540</v>
      </c>
      <c r="Z41" s="300">
        <v>0.2</v>
      </c>
      <c r="AA41" s="300" t="s">
        <v>541</v>
      </c>
      <c r="AB41" s="300" t="s">
        <v>542</v>
      </c>
      <c r="AC41" s="300">
        <v>220</v>
      </c>
      <c r="AD41" s="158"/>
      <c r="AE41" s="188"/>
    </row>
    <row r="42" spans="1:31" ht="15.75">
      <c r="A42" s="300" t="s">
        <v>595</v>
      </c>
      <c r="B42" s="300" t="s">
        <v>561</v>
      </c>
      <c r="C42" s="300" t="s">
        <v>552</v>
      </c>
      <c r="D42" s="300" t="s">
        <v>538</v>
      </c>
      <c r="E42" s="300">
        <v>1.2</v>
      </c>
      <c r="F42" s="301">
        <v>45468.527777777781</v>
      </c>
      <c r="G42" s="300">
        <v>1</v>
      </c>
      <c r="H42" s="300">
        <v>51.380699999999997</v>
      </c>
      <c r="I42" s="300">
        <v>7.7945799999999998</v>
      </c>
      <c r="J42" s="300">
        <v>-25.970911999999998</v>
      </c>
      <c r="K42" s="300">
        <v>-24.294862999999999</v>
      </c>
      <c r="L42" s="300">
        <v>1101.03</v>
      </c>
      <c r="M42" s="300">
        <v>72.001046000000002</v>
      </c>
      <c r="N42" s="300">
        <v>13930.694649999999</v>
      </c>
      <c r="O42" s="300">
        <v>13934.188249999999</v>
      </c>
      <c r="P42" s="302">
        <v>2070.3456999999999</v>
      </c>
      <c r="Q42" s="302" t="s">
        <v>12</v>
      </c>
      <c r="R42" s="302" t="s">
        <v>539</v>
      </c>
      <c r="S42" s="302">
        <v>10</v>
      </c>
      <c r="T42" s="302">
        <v>5</v>
      </c>
      <c r="U42" s="302">
        <v>0.7</v>
      </c>
      <c r="V42" s="306">
        <v>0.7</v>
      </c>
      <c r="W42" s="302">
        <v>0.7</v>
      </c>
      <c r="X42" s="300">
        <v>2000</v>
      </c>
      <c r="Y42" s="300" t="s">
        <v>540</v>
      </c>
      <c r="Z42" s="300">
        <v>0.2</v>
      </c>
      <c r="AA42" s="300" t="s">
        <v>541</v>
      </c>
      <c r="AB42" s="300" t="s">
        <v>542</v>
      </c>
      <c r="AC42" s="300">
        <v>220</v>
      </c>
      <c r="AD42" s="158"/>
      <c r="AE42" s="188"/>
    </row>
    <row r="43" spans="1:31" ht="15.75">
      <c r="A43" s="300" t="s">
        <v>596</v>
      </c>
      <c r="B43" s="300" t="s">
        <v>561</v>
      </c>
      <c r="C43" s="300" t="s">
        <v>552</v>
      </c>
      <c r="D43" s="300" t="s">
        <v>538</v>
      </c>
      <c r="E43" s="300">
        <v>1.2</v>
      </c>
      <c r="F43" s="301">
        <v>45468.530555555553</v>
      </c>
      <c r="G43" s="300">
        <v>1</v>
      </c>
      <c r="H43" s="300">
        <v>51.377400000000002</v>
      </c>
      <c r="I43" s="300">
        <v>7.8392499999999998</v>
      </c>
      <c r="J43" s="300">
        <v>-25.980305999999999</v>
      </c>
      <c r="K43" s="300">
        <v>-23.426475</v>
      </c>
      <c r="L43" s="300">
        <v>1098.8900000000001</v>
      </c>
      <c r="M43" s="300">
        <v>69.000108999999995</v>
      </c>
      <c r="N43" s="300">
        <v>13937.681850000001</v>
      </c>
      <c r="O43" s="300">
        <v>13934.188249999999</v>
      </c>
      <c r="P43" s="302">
        <v>2070.3456999999999</v>
      </c>
      <c r="Q43" s="302" t="s">
        <v>12</v>
      </c>
      <c r="R43" s="302" t="s">
        <v>539</v>
      </c>
      <c r="S43" s="302">
        <v>10</v>
      </c>
      <c r="T43" s="302">
        <v>5</v>
      </c>
      <c r="U43" s="302">
        <v>0.7</v>
      </c>
      <c r="V43" s="306">
        <v>0.7</v>
      </c>
      <c r="W43" s="302">
        <v>0.7</v>
      </c>
      <c r="X43" s="300">
        <v>2000</v>
      </c>
      <c r="Y43" s="300" t="s">
        <v>540</v>
      </c>
      <c r="Z43" s="300">
        <v>0.2</v>
      </c>
      <c r="AA43" s="300" t="s">
        <v>541</v>
      </c>
      <c r="AB43" s="300" t="s">
        <v>542</v>
      </c>
      <c r="AC43" s="300">
        <v>220</v>
      </c>
      <c r="AD43" s="158"/>
      <c r="AE43" s="188"/>
    </row>
    <row r="44" spans="1:31" ht="15.75">
      <c r="A44" s="300" t="s">
        <v>597</v>
      </c>
      <c r="B44" s="300">
        <v>2</v>
      </c>
      <c r="C44" s="300">
        <v>79</v>
      </c>
      <c r="D44" s="300" t="s">
        <v>564</v>
      </c>
      <c r="E44" s="300">
        <v>1</v>
      </c>
      <c r="F44" s="301">
        <v>45468.53402777778</v>
      </c>
      <c r="G44" s="300">
        <v>1</v>
      </c>
      <c r="H44" s="300">
        <v>51.380699999999997</v>
      </c>
      <c r="I44" s="300">
        <v>7.7931499999999998</v>
      </c>
      <c r="J44" s="300">
        <v>-25.995000000000001</v>
      </c>
      <c r="K44" s="300">
        <v>-24.037330999999998</v>
      </c>
      <c r="L44" s="300">
        <v>1053.06</v>
      </c>
      <c r="M44" s="300">
        <v>64.502027999999996</v>
      </c>
      <c r="N44" s="300">
        <v>11532.172</v>
      </c>
      <c r="O44" s="302">
        <v>11532.82195</v>
      </c>
      <c r="P44" s="302">
        <v>2061.9075899999998</v>
      </c>
      <c r="Q44" s="302" t="s">
        <v>12</v>
      </c>
      <c r="R44" s="302" t="s">
        <v>539</v>
      </c>
      <c r="S44" s="302">
        <v>10</v>
      </c>
      <c r="T44" s="302">
        <v>5</v>
      </c>
      <c r="U44" s="302">
        <v>0.7</v>
      </c>
      <c r="V44" s="302">
        <v>0.7</v>
      </c>
      <c r="W44" s="302">
        <v>0.7</v>
      </c>
      <c r="X44" s="300">
        <v>2000</v>
      </c>
      <c r="Y44" s="300" t="s">
        <v>540</v>
      </c>
      <c r="Z44" s="300">
        <v>0.2</v>
      </c>
      <c r="AA44" s="300" t="s">
        <v>541</v>
      </c>
      <c r="AB44" s="300" t="s">
        <v>542</v>
      </c>
      <c r="AC44" s="300">
        <v>220</v>
      </c>
      <c r="AD44" s="158"/>
      <c r="AE44" s="188"/>
    </row>
    <row r="45" spans="1:31" ht="15.75">
      <c r="A45" s="300" t="s">
        <v>598</v>
      </c>
      <c r="B45" s="300">
        <v>2</v>
      </c>
      <c r="C45" s="300">
        <v>79</v>
      </c>
      <c r="D45" s="300" t="s">
        <v>564</v>
      </c>
      <c r="E45" s="300">
        <v>1</v>
      </c>
      <c r="F45" s="301">
        <v>45468.536805555559</v>
      </c>
      <c r="G45" s="300">
        <v>1</v>
      </c>
      <c r="H45" s="300">
        <v>51.374099999999999</v>
      </c>
      <c r="I45" s="300">
        <v>7.7627300000000004</v>
      </c>
      <c r="J45" s="300">
        <v>-25.903199999999998</v>
      </c>
      <c r="K45" s="300">
        <v>-23.855830999999998</v>
      </c>
      <c r="L45" s="300">
        <v>1061.53</v>
      </c>
      <c r="M45" s="300">
        <v>65.998847999999995</v>
      </c>
      <c r="N45" s="300">
        <v>11533.4719</v>
      </c>
      <c r="O45" s="302">
        <v>11532.82195</v>
      </c>
      <c r="P45" s="302">
        <v>2061.9075899999998</v>
      </c>
      <c r="Q45" s="302" t="s">
        <v>12</v>
      </c>
      <c r="R45" s="302" t="s">
        <v>539</v>
      </c>
      <c r="S45" s="302">
        <v>10</v>
      </c>
      <c r="T45" s="302">
        <v>5</v>
      </c>
      <c r="U45" s="302">
        <v>0.7</v>
      </c>
      <c r="V45" s="302">
        <v>0.7</v>
      </c>
      <c r="W45" s="302">
        <v>0.7</v>
      </c>
      <c r="X45" s="300">
        <v>2000</v>
      </c>
      <c r="Y45" s="300" t="s">
        <v>540</v>
      </c>
      <c r="Z45" s="300">
        <v>0.2</v>
      </c>
      <c r="AA45" s="300" t="s">
        <v>541</v>
      </c>
      <c r="AB45" s="300" t="s">
        <v>542</v>
      </c>
      <c r="AC45" s="300">
        <v>220</v>
      </c>
      <c r="AD45" s="158"/>
      <c r="AE45" s="188"/>
    </row>
    <row r="46" spans="1:31" ht="15.75">
      <c r="A46" s="300" t="s">
        <v>599</v>
      </c>
      <c r="B46" s="300">
        <v>3</v>
      </c>
      <c r="C46" s="300">
        <v>80</v>
      </c>
      <c r="D46" s="300" t="s">
        <v>568</v>
      </c>
      <c r="E46" s="300">
        <v>1</v>
      </c>
      <c r="F46" s="301">
        <v>45468.540277777778</v>
      </c>
      <c r="G46" s="300">
        <v>1</v>
      </c>
      <c r="H46" s="300">
        <v>51.380699999999997</v>
      </c>
      <c r="I46" s="300">
        <v>7.7645499999999998</v>
      </c>
      <c r="J46" s="300">
        <v>-25.836656000000001</v>
      </c>
      <c r="K46" s="300">
        <v>-24.261619</v>
      </c>
      <c r="L46" s="300">
        <v>1090.1600000000001</v>
      </c>
      <c r="M46" s="300">
        <v>66.499272000000005</v>
      </c>
      <c r="N46" s="300">
        <v>11552.596380000001</v>
      </c>
      <c r="O46" s="302">
        <v>11555.30536</v>
      </c>
      <c r="P46" s="302">
        <v>2065.8723190000001</v>
      </c>
      <c r="Q46" s="302" t="s">
        <v>12</v>
      </c>
      <c r="R46" s="302" t="s">
        <v>539</v>
      </c>
      <c r="S46" s="302">
        <v>10</v>
      </c>
      <c r="T46" s="302">
        <v>5</v>
      </c>
      <c r="U46" s="302">
        <v>0.7</v>
      </c>
      <c r="V46" s="302">
        <v>0.7</v>
      </c>
      <c r="W46" s="302">
        <v>0.7</v>
      </c>
      <c r="X46" s="300">
        <v>2000</v>
      </c>
      <c r="Y46" s="300" t="s">
        <v>540</v>
      </c>
      <c r="Z46" s="300">
        <v>0.2</v>
      </c>
      <c r="AA46" s="300" t="s">
        <v>541</v>
      </c>
      <c r="AB46" s="300" t="s">
        <v>542</v>
      </c>
      <c r="AC46" s="300">
        <v>220</v>
      </c>
      <c r="AD46" s="158"/>
      <c r="AE46" s="188"/>
    </row>
    <row r="47" spans="1:31" ht="15.75">
      <c r="A47" s="300" t="s">
        <v>600</v>
      </c>
      <c r="B47" s="300">
        <v>3</v>
      </c>
      <c r="C47" s="300">
        <v>80</v>
      </c>
      <c r="D47" s="300" t="s">
        <v>568</v>
      </c>
      <c r="E47" s="300">
        <v>1</v>
      </c>
      <c r="F47" s="301">
        <v>45468.543055555558</v>
      </c>
      <c r="G47" s="300">
        <v>1</v>
      </c>
      <c r="H47" s="300">
        <v>51.374099999999999</v>
      </c>
      <c r="I47" s="300">
        <v>7.7420200000000001</v>
      </c>
      <c r="J47" s="300">
        <v>-25.906013000000002</v>
      </c>
      <c r="K47" s="300">
        <v>-24.622236999999998</v>
      </c>
      <c r="L47" s="300">
        <v>1053.29</v>
      </c>
      <c r="M47" s="300">
        <v>72.999003999999999</v>
      </c>
      <c r="N47" s="300">
        <v>11558.01434</v>
      </c>
      <c r="O47" s="302">
        <v>11555.30536</v>
      </c>
      <c r="P47" s="302">
        <v>2065.8723190000001</v>
      </c>
      <c r="Q47" s="302" t="s">
        <v>12</v>
      </c>
      <c r="R47" s="302" t="s">
        <v>539</v>
      </c>
      <c r="S47" s="302">
        <v>10</v>
      </c>
      <c r="T47" s="302">
        <v>5</v>
      </c>
      <c r="U47" s="302">
        <v>0.7</v>
      </c>
      <c r="V47" s="302">
        <v>0.7</v>
      </c>
      <c r="W47" s="302">
        <v>0.7</v>
      </c>
      <c r="X47" s="300">
        <v>2000</v>
      </c>
      <c r="Y47" s="300" t="s">
        <v>540</v>
      </c>
      <c r="Z47" s="300">
        <v>0.2</v>
      </c>
      <c r="AA47" s="300" t="s">
        <v>541</v>
      </c>
      <c r="AB47" s="300" t="s">
        <v>542</v>
      </c>
      <c r="AC47" s="300">
        <v>220</v>
      </c>
      <c r="AD47" s="158"/>
      <c r="AE47" s="188"/>
    </row>
    <row r="48" spans="1:31" ht="15.75">
      <c r="A48" s="300" t="s">
        <v>601</v>
      </c>
      <c r="B48" s="300">
        <v>4</v>
      </c>
      <c r="C48" s="300">
        <v>66</v>
      </c>
      <c r="D48" s="300" t="s">
        <v>571</v>
      </c>
      <c r="E48" s="300">
        <v>1</v>
      </c>
      <c r="F48" s="301">
        <v>45468.546527777777</v>
      </c>
      <c r="G48" s="300">
        <v>1</v>
      </c>
      <c r="H48" s="300">
        <v>51.384</v>
      </c>
      <c r="I48" s="300">
        <v>7.7579799999999999</v>
      </c>
      <c r="J48" s="300">
        <v>-25.708631</v>
      </c>
      <c r="K48" s="300">
        <v>-24.606587999999999</v>
      </c>
      <c r="L48" s="300">
        <v>907.93600000000004</v>
      </c>
      <c r="M48" s="300">
        <v>64.000467999999998</v>
      </c>
      <c r="N48" s="300">
        <v>6625.0965040000001</v>
      </c>
      <c r="O48" s="302">
        <v>6709.2783920000002</v>
      </c>
      <c r="P48" s="302">
        <v>1211.3229510000001</v>
      </c>
      <c r="Q48" s="302" t="s">
        <v>280</v>
      </c>
      <c r="R48" s="302" t="s">
        <v>553</v>
      </c>
      <c r="S48" s="302">
        <v>10</v>
      </c>
      <c r="T48" s="302">
        <v>5</v>
      </c>
      <c r="U48" s="302">
        <v>0.7</v>
      </c>
      <c r="V48" s="302">
        <v>0.7</v>
      </c>
      <c r="W48" s="302">
        <v>0.7</v>
      </c>
      <c r="X48" s="300">
        <v>2000</v>
      </c>
      <c r="Y48" s="300" t="s">
        <v>540</v>
      </c>
      <c r="Z48" s="300">
        <v>0.2</v>
      </c>
      <c r="AA48" s="300" t="s">
        <v>541</v>
      </c>
      <c r="AB48" s="300" t="s">
        <v>542</v>
      </c>
      <c r="AC48" s="300">
        <v>220</v>
      </c>
      <c r="AD48" s="158"/>
      <c r="AE48" s="188"/>
    </row>
    <row r="49" spans="1:31" ht="15.75">
      <c r="A49" s="303" t="s">
        <v>602</v>
      </c>
      <c r="B49" s="303">
        <v>4</v>
      </c>
      <c r="C49" s="303">
        <v>66</v>
      </c>
      <c r="D49" s="303" t="s">
        <v>571</v>
      </c>
      <c r="E49" s="303">
        <v>1</v>
      </c>
      <c r="F49" s="304">
        <v>45468.549305555556</v>
      </c>
      <c r="G49" s="303">
        <v>1</v>
      </c>
      <c r="H49" s="303">
        <v>51.377400000000002</v>
      </c>
      <c r="I49" s="303">
        <v>7.7506300000000001</v>
      </c>
      <c r="J49" s="303">
        <v>-25.669581000000001</v>
      </c>
      <c r="K49" s="303">
        <v>-24.937725</v>
      </c>
      <c r="L49" s="303">
        <v>898.76900000000001</v>
      </c>
      <c r="M49" s="303">
        <v>71.999305000000007</v>
      </c>
      <c r="N49" s="303">
        <v>6787.1721500000003</v>
      </c>
      <c r="O49" s="303">
        <v>6709.2783920000002</v>
      </c>
      <c r="P49" s="305">
        <v>1211.3229510000001</v>
      </c>
      <c r="Q49" s="302" t="s">
        <v>280</v>
      </c>
      <c r="R49" s="305" t="s">
        <v>553</v>
      </c>
      <c r="S49" s="305">
        <v>10</v>
      </c>
      <c r="T49" s="305">
        <v>5</v>
      </c>
      <c r="U49" s="305">
        <v>0.7</v>
      </c>
      <c r="V49" s="307">
        <v>0.7</v>
      </c>
      <c r="W49" s="305">
        <v>0.7</v>
      </c>
      <c r="X49" s="303">
        <v>2000</v>
      </c>
      <c r="Y49" s="303" t="s">
        <v>540</v>
      </c>
      <c r="Z49" s="303">
        <v>0.2</v>
      </c>
      <c r="AA49" s="303" t="s">
        <v>541</v>
      </c>
      <c r="AB49" s="303" t="s">
        <v>542</v>
      </c>
      <c r="AC49" s="303">
        <v>220</v>
      </c>
      <c r="AD49" s="412" t="s">
        <v>603</v>
      </c>
      <c r="AE49" s="188"/>
    </row>
    <row r="50" spans="1:31" ht="15.75">
      <c r="A50" s="303" t="s">
        <v>604</v>
      </c>
      <c r="B50" s="303">
        <v>4</v>
      </c>
      <c r="C50" s="303">
        <v>66</v>
      </c>
      <c r="D50" s="303" t="s">
        <v>571</v>
      </c>
      <c r="E50" s="303">
        <v>1</v>
      </c>
      <c r="F50" s="304">
        <v>45468.552083333336</v>
      </c>
      <c r="G50" s="303">
        <v>1</v>
      </c>
      <c r="H50" s="303">
        <v>51.374099999999999</v>
      </c>
      <c r="I50" s="303">
        <v>7.4942700000000002</v>
      </c>
      <c r="J50" s="303">
        <v>-25.565225000000002</v>
      </c>
      <c r="K50" s="303">
        <v>-24.688763000000002</v>
      </c>
      <c r="L50" s="303">
        <v>910.38400000000001</v>
      </c>
      <c r="M50" s="303">
        <v>69.000254999999996</v>
      </c>
      <c r="N50" s="303">
        <v>6705.5407299999997</v>
      </c>
      <c r="O50" s="303">
        <v>6709.2783920000002</v>
      </c>
      <c r="P50" s="305">
        <v>1211.3229510000001</v>
      </c>
      <c r="Q50" s="302" t="s">
        <v>280</v>
      </c>
      <c r="R50" s="305" t="s">
        <v>539</v>
      </c>
      <c r="S50" s="305">
        <v>10</v>
      </c>
      <c r="T50" s="305">
        <v>5</v>
      </c>
      <c r="U50" s="305">
        <v>0.7</v>
      </c>
      <c r="V50" s="307">
        <v>0.7</v>
      </c>
      <c r="W50" s="305">
        <v>0.7</v>
      </c>
      <c r="X50" s="303">
        <v>2000</v>
      </c>
      <c r="Y50" s="303" t="s">
        <v>540</v>
      </c>
      <c r="Z50" s="303">
        <v>0.2</v>
      </c>
      <c r="AA50" s="303" t="s">
        <v>541</v>
      </c>
      <c r="AB50" s="303" t="s">
        <v>542</v>
      </c>
      <c r="AC50" s="303">
        <v>220</v>
      </c>
      <c r="AD50" s="413"/>
      <c r="AE50" s="188"/>
    </row>
    <row r="51" spans="1:31" ht="15.75">
      <c r="A51" s="303" t="s">
        <v>605</v>
      </c>
      <c r="B51" s="303">
        <v>4</v>
      </c>
      <c r="C51" s="303">
        <v>66</v>
      </c>
      <c r="D51" s="303" t="s">
        <v>571</v>
      </c>
      <c r="E51" s="303">
        <v>1</v>
      </c>
      <c r="F51" s="304">
        <v>45468.554861111108</v>
      </c>
      <c r="G51" s="303">
        <v>1</v>
      </c>
      <c r="H51" s="303">
        <v>51.380699999999997</v>
      </c>
      <c r="I51" s="303">
        <v>7.3614800000000002</v>
      </c>
      <c r="J51" s="303">
        <v>-25.658619000000002</v>
      </c>
      <c r="K51" s="303">
        <v>-24.741356</v>
      </c>
      <c r="L51" s="303">
        <v>734.07399999999996</v>
      </c>
      <c r="M51" s="303">
        <v>71.999134999999995</v>
      </c>
      <c r="N51" s="303">
        <v>6713.0160530000003</v>
      </c>
      <c r="O51" s="303">
        <v>6709.2783920000002</v>
      </c>
      <c r="P51" s="305">
        <v>1211.3229510000001</v>
      </c>
      <c r="Q51" s="302" t="s">
        <v>280</v>
      </c>
      <c r="R51" s="305" t="s">
        <v>539</v>
      </c>
      <c r="S51" s="305">
        <v>10</v>
      </c>
      <c r="T51" s="305">
        <v>5</v>
      </c>
      <c r="U51" s="305">
        <v>0.7</v>
      </c>
      <c r="V51" s="307">
        <v>0.7</v>
      </c>
      <c r="W51" s="305">
        <v>0.7</v>
      </c>
      <c r="X51" s="303">
        <v>2000</v>
      </c>
      <c r="Y51" s="303" t="s">
        <v>540</v>
      </c>
      <c r="Z51" s="303">
        <v>0.2</v>
      </c>
      <c r="AA51" s="303" t="s">
        <v>541</v>
      </c>
      <c r="AB51" s="303" t="s">
        <v>542</v>
      </c>
      <c r="AC51" s="303">
        <v>220</v>
      </c>
      <c r="AD51" s="413"/>
      <c r="AE51" s="188"/>
    </row>
    <row r="52" spans="1:31" ht="15.75">
      <c r="A52" s="303" t="s">
        <v>606</v>
      </c>
      <c r="B52" s="303">
        <v>5</v>
      </c>
      <c r="C52" s="303">
        <v>67</v>
      </c>
      <c r="D52" s="303" t="s">
        <v>575</v>
      </c>
      <c r="E52" s="303">
        <v>1</v>
      </c>
      <c r="F52" s="304">
        <v>45468.558333333334</v>
      </c>
      <c r="G52" s="303">
        <v>1</v>
      </c>
      <c r="H52" s="303">
        <v>51.377400000000002</v>
      </c>
      <c r="I52" s="303">
        <v>7.3363199999999997</v>
      </c>
      <c r="J52" s="303">
        <v>-25.461656000000001</v>
      </c>
      <c r="K52" s="303">
        <v>-24.189869000000002</v>
      </c>
      <c r="L52" s="303">
        <v>439.01900000000001</v>
      </c>
      <c r="M52" s="303">
        <v>130.00088299999999</v>
      </c>
      <c r="N52" s="303">
        <v>6598.7650279999998</v>
      </c>
      <c r="O52" s="303">
        <v>0</v>
      </c>
      <c r="P52" s="305">
        <v>0</v>
      </c>
      <c r="Q52" s="302" t="s">
        <v>280</v>
      </c>
      <c r="R52" s="305" t="s">
        <v>607</v>
      </c>
      <c r="S52" s="305">
        <v>10</v>
      </c>
      <c r="T52" s="305">
        <v>5</v>
      </c>
      <c r="U52" s="305">
        <v>0.7</v>
      </c>
      <c r="V52" s="307">
        <v>0.7</v>
      </c>
      <c r="W52" s="305">
        <v>0.7</v>
      </c>
      <c r="X52" s="303">
        <v>2000</v>
      </c>
      <c r="Y52" s="303" t="s">
        <v>540</v>
      </c>
      <c r="Z52" s="303">
        <v>0.2</v>
      </c>
      <c r="AA52" s="303" t="s">
        <v>541</v>
      </c>
      <c r="AB52" s="303" t="s">
        <v>542</v>
      </c>
      <c r="AC52" s="303">
        <v>220</v>
      </c>
      <c r="AD52" s="413"/>
      <c r="AE52" s="188"/>
    </row>
    <row r="53" spans="1:31" ht="15.75">
      <c r="A53" s="303" t="s">
        <v>608</v>
      </c>
      <c r="B53" s="303">
        <v>5</v>
      </c>
      <c r="C53" s="303">
        <v>67</v>
      </c>
      <c r="D53" s="303" t="s">
        <v>575</v>
      </c>
      <c r="E53" s="303">
        <v>1</v>
      </c>
      <c r="F53" s="304">
        <v>45468.561805555553</v>
      </c>
      <c r="G53" s="303">
        <v>1</v>
      </c>
      <c r="H53" s="303">
        <v>51.374099999999999</v>
      </c>
      <c r="I53" s="303">
        <v>7.12094</v>
      </c>
      <c r="J53" s="303">
        <v>-10.309476</v>
      </c>
      <c r="K53" s="303">
        <v>-11.248856</v>
      </c>
      <c r="L53" s="303">
        <v>6.8299599999999998</v>
      </c>
      <c r="M53" s="303">
        <v>47.499639999999999</v>
      </c>
      <c r="N53" s="303">
        <v>211.75710000000001</v>
      </c>
      <c r="O53" s="303">
        <v>0</v>
      </c>
      <c r="P53" s="305">
        <v>0</v>
      </c>
      <c r="Q53" s="302" t="s">
        <v>280</v>
      </c>
      <c r="R53" s="305" t="s">
        <v>607</v>
      </c>
      <c r="S53" s="305">
        <v>10</v>
      </c>
      <c r="T53" s="305">
        <v>5</v>
      </c>
      <c r="U53" s="305">
        <v>0.7</v>
      </c>
      <c r="V53" s="307">
        <v>0.7</v>
      </c>
      <c r="W53" s="305">
        <v>0.7</v>
      </c>
      <c r="X53" s="303">
        <v>2000</v>
      </c>
      <c r="Y53" s="303" t="s">
        <v>540</v>
      </c>
      <c r="Z53" s="303">
        <v>0.2</v>
      </c>
      <c r="AA53" s="303" t="s">
        <v>541</v>
      </c>
      <c r="AB53" s="303" t="s">
        <v>542</v>
      </c>
      <c r="AC53" s="303">
        <v>220</v>
      </c>
      <c r="AD53" s="413"/>
      <c r="AE53" s="188"/>
    </row>
    <row r="54" spans="1:31" ht="15.75">
      <c r="A54" s="303" t="s">
        <v>609</v>
      </c>
      <c r="B54" s="303">
        <v>5</v>
      </c>
      <c r="C54" s="303">
        <v>67</v>
      </c>
      <c r="D54" s="303" t="s">
        <v>575</v>
      </c>
      <c r="E54" s="303">
        <v>1</v>
      </c>
      <c r="F54" s="304">
        <v>45468.563888888886</v>
      </c>
      <c r="G54" s="303">
        <v>1</v>
      </c>
      <c r="H54" s="303">
        <v>51.377400000000002</v>
      </c>
      <c r="I54" s="303">
        <v>7.2878600000000002</v>
      </c>
      <c r="J54" s="303">
        <v>-21.135605999999999</v>
      </c>
      <c r="K54" s="303">
        <v>-11.201706</v>
      </c>
      <c r="L54" s="303">
        <v>59.2879</v>
      </c>
      <c r="M54" s="303">
        <v>138.502038</v>
      </c>
      <c r="N54" s="303">
        <v>2214.629093</v>
      </c>
      <c r="O54" s="303">
        <v>0</v>
      </c>
      <c r="P54" s="305">
        <v>0</v>
      </c>
      <c r="Q54" s="302" t="s">
        <v>280</v>
      </c>
      <c r="R54" s="305" t="s">
        <v>607</v>
      </c>
      <c r="S54" s="305">
        <v>10</v>
      </c>
      <c r="T54" s="305">
        <v>5</v>
      </c>
      <c r="U54" s="305">
        <v>0.7</v>
      </c>
      <c r="V54" s="307">
        <v>0.7</v>
      </c>
      <c r="W54" s="305">
        <v>0.7</v>
      </c>
      <c r="X54" s="303">
        <v>2000</v>
      </c>
      <c r="Y54" s="303" t="s">
        <v>540</v>
      </c>
      <c r="Z54" s="303">
        <v>0.2</v>
      </c>
      <c r="AA54" s="303" t="s">
        <v>541</v>
      </c>
      <c r="AB54" s="303" t="s">
        <v>542</v>
      </c>
      <c r="AC54" s="303">
        <v>220</v>
      </c>
      <c r="AD54" s="413"/>
      <c r="AE54" s="188"/>
    </row>
    <row r="55" spans="1:31" ht="15.75">
      <c r="A55" s="303" t="s">
        <v>610</v>
      </c>
      <c r="B55" s="303">
        <v>5</v>
      </c>
      <c r="C55" s="303">
        <v>67</v>
      </c>
      <c r="D55" s="303" t="s">
        <v>575</v>
      </c>
      <c r="E55" s="303">
        <v>1</v>
      </c>
      <c r="F55" s="304">
        <v>45468.567361111112</v>
      </c>
      <c r="G55" s="303">
        <v>1</v>
      </c>
      <c r="H55" s="303">
        <v>51.370800000000003</v>
      </c>
      <c r="I55" s="303">
        <v>7.3119899999999998</v>
      </c>
      <c r="J55" s="303">
        <v>-16.40015</v>
      </c>
      <c r="K55" s="303">
        <v>-11.489293999999999</v>
      </c>
      <c r="L55" s="303">
        <v>56.612499999999997</v>
      </c>
      <c r="M55" s="303">
        <v>118.500694</v>
      </c>
      <c r="N55" s="303">
        <v>1821.229617</v>
      </c>
      <c r="O55" s="303">
        <v>0</v>
      </c>
      <c r="P55" s="305">
        <v>0</v>
      </c>
      <c r="Q55" s="302" t="s">
        <v>280</v>
      </c>
      <c r="R55" s="305" t="s">
        <v>607</v>
      </c>
      <c r="S55" s="305">
        <v>10</v>
      </c>
      <c r="T55" s="305">
        <v>5</v>
      </c>
      <c r="U55" s="305">
        <v>0.7</v>
      </c>
      <c r="V55" s="307">
        <v>0.7</v>
      </c>
      <c r="W55" s="305">
        <v>0.7</v>
      </c>
      <c r="X55" s="303">
        <v>2000</v>
      </c>
      <c r="Y55" s="303" t="s">
        <v>540</v>
      </c>
      <c r="Z55" s="303">
        <v>0.2</v>
      </c>
      <c r="AA55" s="303" t="s">
        <v>541</v>
      </c>
      <c r="AB55" s="303" t="s">
        <v>542</v>
      </c>
      <c r="AC55" s="303">
        <v>220</v>
      </c>
      <c r="AD55" s="413"/>
      <c r="AE55" s="188"/>
    </row>
    <row r="56" spans="1:31" ht="15.75">
      <c r="A56" s="303" t="s">
        <v>611</v>
      </c>
      <c r="B56" s="303">
        <v>5</v>
      </c>
      <c r="C56" s="303">
        <v>67</v>
      </c>
      <c r="D56" s="303" t="s">
        <v>575</v>
      </c>
      <c r="E56" s="303">
        <v>1</v>
      </c>
      <c r="F56" s="304">
        <v>45468.570833333331</v>
      </c>
      <c r="G56" s="303">
        <v>1</v>
      </c>
      <c r="H56" s="303">
        <v>51.377400000000002</v>
      </c>
      <c r="I56" s="303">
        <v>7.0985800000000001</v>
      </c>
      <c r="J56" s="303">
        <v>-14.509831</v>
      </c>
      <c r="K56" s="303">
        <v>-14.507868999999999</v>
      </c>
      <c r="L56" s="303">
        <v>4.4074900000000001</v>
      </c>
      <c r="M56" s="303">
        <v>52.499018999999997</v>
      </c>
      <c r="N56" s="303">
        <v>246.755921</v>
      </c>
      <c r="O56" s="303">
        <v>0</v>
      </c>
      <c r="P56" s="305">
        <v>0</v>
      </c>
      <c r="Q56" s="302" t="s">
        <v>280</v>
      </c>
      <c r="R56" s="305" t="s">
        <v>607</v>
      </c>
      <c r="S56" s="305">
        <v>10</v>
      </c>
      <c r="T56" s="305">
        <v>5</v>
      </c>
      <c r="U56" s="305">
        <v>0.7</v>
      </c>
      <c r="V56" s="307">
        <v>0.7</v>
      </c>
      <c r="W56" s="305">
        <v>0.7</v>
      </c>
      <c r="X56" s="303">
        <v>2000</v>
      </c>
      <c r="Y56" s="303" t="s">
        <v>612</v>
      </c>
      <c r="Z56" s="303">
        <v>0.01</v>
      </c>
      <c r="AA56" s="303" t="s">
        <v>541</v>
      </c>
      <c r="AB56" s="303" t="s">
        <v>542</v>
      </c>
      <c r="AC56" s="303">
        <v>220</v>
      </c>
      <c r="AD56" s="413"/>
      <c r="AE56" s="188"/>
    </row>
    <row r="57" spans="1:31" ht="15.75">
      <c r="A57" s="303" t="s">
        <v>613</v>
      </c>
      <c r="B57" s="303">
        <v>5</v>
      </c>
      <c r="C57" s="303">
        <v>67</v>
      </c>
      <c r="D57" s="303" t="s">
        <v>575</v>
      </c>
      <c r="E57" s="303">
        <v>1</v>
      </c>
      <c r="F57" s="304">
        <v>45468.573611111111</v>
      </c>
      <c r="G57" s="303">
        <v>2</v>
      </c>
      <c r="H57" s="303">
        <v>51.380699999999997</v>
      </c>
      <c r="I57" s="303">
        <v>7.1191500000000003</v>
      </c>
      <c r="J57" s="303">
        <v>-14.732525000000001</v>
      </c>
      <c r="K57" s="303">
        <v>-15.020168999999999</v>
      </c>
      <c r="L57" s="303">
        <v>-1.01566</v>
      </c>
      <c r="M57" s="303">
        <v>69.000045</v>
      </c>
      <c r="N57" s="303">
        <v>170.27552499999999</v>
      </c>
      <c r="O57" s="303">
        <v>0</v>
      </c>
      <c r="P57" s="305">
        <v>0</v>
      </c>
      <c r="Q57" s="302" t="s">
        <v>280</v>
      </c>
      <c r="R57" s="305" t="s">
        <v>607</v>
      </c>
      <c r="S57" s="305">
        <v>10</v>
      </c>
      <c r="T57" s="305">
        <v>5</v>
      </c>
      <c r="U57" s="305">
        <v>0.7</v>
      </c>
      <c r="V57" s="307">
        <v>0.7</v>
      </c>
      <c r="W57" s="305">
        <v>0.7</v>
      </c>
      <c r="X57" s="303">
        <v>2000</v>
      </c>
      <c r="Y57" s="303" t="s">
        <v>540</v>
      </c>
      <c r="Z57" s="303">
        <v>0.2</v>
      </c>
      <c r="AA57" s="303" t="s">
        <v>541</v>
      </c>
      <c r="AB57" s="303" t="s">
        <v>542</v>
      </c>
      <c r="AC57" s="303">
        <v>220</v>
      </c>
      <c r="AD57" s="413"/>
      <c r="AE57" s="188"/>
    </row>
    <row r="58" spans="1:31" ht="15.75">
      <c r="A58" s="303" t="s">
        <v>614</v>
      </c>
      <c r="B58" s="303">
        <v>5</v>
      </c>
      <c r="C58" s="303">
        <v>67</v>
      </c>
      <c r="D58" s="303" t="s">
        <v>575</v>
      </c>
      <c r="E58" s="303">
        <v>1</v>
      </c>
      <c r="F58" s="304">
        <v>45468.576388888891</v>
      </c>
      <c r="G58" s="303">
        <v>2</v>
      </c>
      <c r="H58" s="303">
        <v>51.380699999999997</v>
      </c>
      <c r="I58" s="303">
        <v>7.0731999999999999</v>
      </c>
      <c r="J58" s="303">
        <v>-17.684512000000002</v>
      </c>
      <c r="K58" s="303">
        <v>-16.943981000000001</v>
      </c>
      <c r="L58" s="303">
        <v>-1.9765299999999999</v>
      </c>
      <c r="M58" s="303">
        <v>66.500173000000004</v>
      </c>
      <c r="N58" s="303">
        <v>270.416853</v>
      </c>
      <c r="O58" s="303">
        <v>0</v>
      </c>
      <c r="P58" s="305">
        <v>0</v>
      </c>
      <c r="Q58" s="302" t="s">
        <v>280</v>
      </c>
      <c r="R58" s="305" t="s">
        <v>607</v>
      </c>
      <c r="S58" s="305">
        <v>10</v>
      </c>
      <c r="T58" s="305">
        <v>5</v>
      </c>
      <c r="U58" s="305">
        <v>0.7</v>
      </c>
      <c r="V58" s="307">
        <v>0.7</v>
      </c>
      <c r="W58" s="305">
        <v>0.7</v>
      </c>
      <c r="X58" s="303">
        <v>2000</v>
      </c>
      <c r="Y58" s="303" t="s">
        <v>540</v>
      </c>
      <c r="Z58" s="303">
        <v>0.2</v>
      </c>
      <c r="AA58" s="303" t="s">
        <v>541</v>
      </c>
      <c r="AB58" s="303" t="s">
        <v>542</v>
      </c>
      <c r="AC58" s="303">
        <v>220</v>
      </c>
      <c r="AD58" s="413"/>
      <c r="AE58" s="188"/>
    </row>
    <row r="59" spans="1:31" ht="15.75">
      <c r="A59" s="303" t="s">
        <v>615</v>
      </c>
      <c r="B59" s="303">
        <v>5</v>
      </c>
      <c r="C59" s="303">
        <v>67</v>
      </c>
      <c r="D59" s="303" t="s">
        <v>575</v>
      </c>
      <c r="E59" s="303">
        <v>1</v>
      </c>
      <c r="F59" s="304">
        <v>45468.57916666667</v>
      </c>
      <c r="G59" s="303">
        <v>2</v>
      </c>
      <c r="H59" s="303">
        <v>51.377400000000002</v>
      </c>
      <c r="I59" s="303">
        <v>6.9944300000000004</v>
      </c>
      <c r="J59" s="303">
        <v>-14.917731</v>
      </c>
      <c r="K59" s="303">
        <v>-15.803406000000001</v>
      </c>
      <c r="L59" s="303">
        <v>0.53358499999999998</v>
      </c>
      <c r="M59" s="303">
        <v>93.000204999999994</v>
      </c>
      <c r="N59" s="303">
        <v>272.95572700000002</v>
      </c>
      <c r="O59" s="303">
        <v>0</v>
      </c>
      <c r="P59" s="305">
        <v>0</v>
      </c>
      <c r="Q59" s="302" t="s">
        <v>280</v>
      </c>
      <c r="R59" s="305" t="s">
        <v>607</v>
      </c>
      <c r="S59" s="305">
        <v>10</v>
      </c>
      <c r="T59" s="305">
        <v>5</v>
      </c>
      <c r="U59" s="305">
        <v>0.7</v>
      </c>
      <c r="V59" s="307">
        <v>0.7</v>
      </c>
      <c r="W59" s="305">
        <v>0.7</v>
      </c>
      <c r="X59" s="303">
        <v>2000</v>
      </c>
      <c r="Y59" s="303" t="s">
        <v>540</v>
      </c>
      <c r="Z59" s="303">
        <v>0.2</v>
      </c>
      <c r="AA59" s="303" t="s">
        <v>541</v>
      </c>
      <c r="AB59" s="303" t="s">
        <v>542</v>
      </c>
      <c r="AC59" s="303">
        <v>220</v>
      </c>
      <c r="AD59" s="413"/>
      <c r="AE59" s="188"/>
    </row>
    <row r="60" spans="1:31" ht="15.75">
      <c r="A60" s="303" t="s">
        <v>616</v>
      </c>
      <c r="B60" s="303">
        <v>5</v>
      </c>
      <c r="C60" s="303">
        <v>67</v>
      </c>
      <c r="D60" s="303" t="s">
        <v>575</v>
      </c>
      <c r="E60" s="303">
        <v>1</v>
      </c>
      <c r="F60" s="304">
        <v>45468.581944444442</v>
      </c>
      <c r="G60" s="303">
        <v>2</v>
      </c>
      <c r="H60" s="303">
        <v>51.384</v>
      </c>
      <c r="I60" s="303">
        <v>6.8856799999999998</v>
      </c>
      <c r="J60" s="303">
        <v>-16.846056000000001</v>
      </c>
      <c r="K60" s="303">
        <v>-17.023181000000001</v>
      </c>
      <c r="L60" s="303">
        <v>-1.68038</v>
      </c>
      <c r="M60" s="303">
        <v>48.999491999999996</v>
      </c>
      <c r="N60" s="303">
        <v>193.74031600000001</v>
      </c>
      <c r="O60" s="303">
        <v>0</v>
      </c>
      <c r="P60" s="305">
        <v>0</v>
      </c>
      <c r="Q60" s="302" t="s">
        <v>280</v>
      </c>
      <c r="R60" s="305" t="s">
        <v>607</v>
      </c>
      <c r="S60" s="305">
        <v>10</v>
      </c>
      <c r="T60" s="305">
        <v>5</v>
      </c>
      <c r="U60" s="305">
        <v>0.7</v>
      </c>
      <c r="V60" s="307">
        <v>0.7</v>
      </c>
      <c r="W60" s="305">
        <v>0.7</v>
      </c>
      <c r="X60" s="303">
        <v>2000</v>
      </c>
      <c r="Y60" s="303" t="s">
        <v>540</v>
      </c>
      <c r="Z60" s="303">
        <v>0.2</v>
      </c>
      <c r="AA60" s="303" t="s">
        <v>541</v>
      </c>
      <c r="AB60" s="303" t="s">
        <v>542</v>
      </c>
      <c r="AC60" s="303">
        <v>220</v>
      </c>
      <c r="AD60" s="413"/>
      <c r="AE60" s="188"/>
    </row>
    <row r="61" spans="1:31" ht="15.75">
      <c r="A61" s="303" t="s">
        <v>617</v>
      </c>
      <c r="B61" s="303">
        <v>5</v>
      </c>
      <c r="C61" s="303">
        <v>67</v>
      </c>
      <c r="D61" s="303" t="s">
        <v>575</v>
      </c>
      <c r="E61" s="303">
        <v>1</v>
      </c>
      <c r="F61" s="304">
        <v>45468.584722222222</v>
      </c>
      <c r="G61" s="303">
        <v>2</v>
      </c>
      <c r="H61" s="303">
        <v>51.380699999999997</v>
      </c>
      <c r="I61" s="303">
        <v>6.9020999999999999</v>
      </c>
      <c r="J61" s="303">
        <v>-16.115438000000001</v>
      </c>
      <c r="K61" s="303">
        <v>-16.752624999999998</v>
      </c>
      <c r="L61" s="303">
        <v>1.4132800000000001</v>
      </c>
      <c r="M61" s="303">
        <v>67.499987000000004</v>
      </c>
      <c r="N61" s="303">
        <v>264.08029199999999</v>
      </c>
      <c r="O61" s="303">
        <v>0</v>
      </c>
      <c r="P61" s="305">
        <v>0</v>
      </c>
      <c r="Q61" s="302" t="s">
        <v>280</v>
      </c>
      <c r="R61" s="305" t="s">
        <v>607</v>
      </c>
      <c r="S61" s="305">
        <v>10</v>
      </c>
      <c r="T61" s="305">
        <v>5</v>
      </c>
      <c r="U61" s="305">
        <v>0.7</v>
      </c>
      <c r="V61" s="307">
        <v>0.7</v>
      </c>
      <c r="W61" s="305">
        <v>0.7</v>
      </c>
      <c r="X61" s="303">
        <v>2000</v>
      </c>
      <c r="Y61" s="303" t="s">
        <v>540</v>
      </c>
      <c r="Z61" s="303">
        <v>0.2</v>
      </c>
      <c r="AA61" s="303" t="s">
        <v>541</v>
      </c>
      <c r="AB61" s="303" t="s">
        <v>542</v>
      </c>
      <c r="AC61" s="303">
        <v>220</v>
      </c>
      <c r="AD61" s="413"/>
      <c r="AE61" s="188"/>
    </row>
    <row r="62" spans="1:31" ht="15.75">
      <c r="A62" s="300" t="s">
        <v>618</v>
      </c>
      <c r="B62" s="300">
        <v>6</v>
      </c>
      <c r="C62" s="300">
        <v>92</v>
      </c>
      <c r="D62" s="300" t="s">
        <v>579</v>
      </c>
      <c r="E62" s="300">
        <v>1</v>
      </c>
      <c r="F62" s="301">
        <v>45468.588194444441</v>
      </c>
      <c r="G62" s="300">
        <v>1</v>
      </c>
      <c r="H62" s="300">
        <v>51.380699999999997</v>
      </c>
      <c r="I62" s="300">
        <v>6.7700800000000001</v>
      </c>
      <c r="J62" s="300">
        <v>-15.9062</v>
      </c>
      <c r="K62" s="300">
        <v>-16.866568999999998</v>
      </c>
      <c r="L62" s="300">
        <v>7.2975999999999999E-2</v>
      </c>
      <c r="M62" s="300">
        <v>52.000014999999998</v>
      </c>
      <c r="N62" s="300">
        <v>211.21934099999999</v>
      </c>
      <c r="O62" s="300">
        <v>0</v>
      </c>
      <c r="P62" s="302">
        <v>0</v>
      </c>
      <c r="Q62" s="302" t="s">
        <v>280</v>
      </c>
      <c r="R62" s="302" t="s">
        <v>619</v>
      </c>
      <c r="S62" s="302">
        <v>10</v>
      </c>
      <c r="T62" s="302">
        <v>5</v>
      </c>
      <c r="U62" s="302">
        <v>0.7</v>
      </c>
      <c r="V62" s="306">
        <v>0.7</v>
      </c>
      <c r="W62" s="302">
        <v>0.7</v>
      </c>
      <c r="X62" s="300">
        <v>2000</v>
      </c>
      <c r="Y62" s="300" t="s">
        <v>540</v>
      </c>
      <c r="Z62" s="300">
        <v>0.2</v>
      </c>
      <c r="AA62" s="300" t="s">
        <v>541</v>
      </c>
      <c r="AB62" s="300" t="s">
        <v>542</v>
      </c>
      <c r="AC62" s="300">
        <v>220</v>
      </c>
      <c r="AD62" s="158"/>
      <c r="AE62" s="188"/>
    </row>
    <row r="63" spans="1:31" ht="15.75">
      <c r="A63" s="300" t="s">
        <v>620</v>
      </c>
      <c r="B63" s="300">
        <v>6</v>
      </c>
      <c r="C63" s="300">
        <v>92</v>
      </c>
      <c r="D63" s="300" t="s">
        <v>579</v>
      </c>
      <c r="E63" s="300">
        <v>1</v>
      </c>
      <c r="F63" s="301">
        <v>45468.59097222222</v>
      </c>
      <c r="G63" s="300">
        <v>1</v>
      </c>
      <c r="H63" s="300">
        <v>51.377400000000002</v>
      </c>
      <c r="I63" s="300">
        <v>6.8979400000000002</v>
      </c>
      <c r="J63" s="300">
        <v>-18.285831000000002</v>
      </c>
      <c r="K63" s="300">
        <v>-16.847019</v>
      </c>
      <c r="L63" s="300">
        <v>-2.6573500000000001</v>
      </c>
      <c r="M63" s="300">
        <v>49.500909</v>
      </c>
      <c r="N63" s="300">
        <v>187.49171200000001</v>
      </c>
      <c r="O63" s="300">
        <v>0</v>
      </c>
      <c r="P63" s="302">
        <v>0</v>
      </c>
      <c r="Q63" s="302" t="s">
        <v>280</v>
      </c>
      <c r="R63" s="302" t="s">
        <v>619</v>
      </c>
      <c r="S63" s="302">
        <v>10</v>
      </c>
      <c r="T63" s="302">
        <v>5</v>
      </c>
      <c r="U63" s="302">
        <v>0.7</v>
      </c>
      <c r="V63" s="306">
        <v>0.7</v>
      </c>
      <c r="W63" s="302">
        <v>0.7</v>
      </c>
      <c r="X63" s="300">
        <v>2000</v>
      </c>
      <c r="Y63" s="300" t="s">
        <v>540</v>
      </c>
      <c r="Z63" s="300">
        <v>0.2</v>
      </c>
      <c r="AA63" s="300" t="s">
        <v>541</v>
      </c>
      <c r="AB63" s="300" t="s">
        <v>542</v>
      </c>
      <c r="AC63" s="300">
        <v>220</v>
      </c>
      <c r="AD63" s="158"/>
      <c r="AE63" s="188"/>
    </row>
    <row r="64" spans="1:31" ht="15.75">
      <c r="A64" s="300" t="s">
        <v>621</v>
      </c>
      <c r="B64" s="300">
        <v>6</v>
      </c>
      <c r="C64" s="300">
        <v>92</v>
      </c>
      <c r="D64" s="300" t="s">
        <v>579</v>
      </c>
      <c r="E64" s="300">
        <v>1</v>
      </c>
      <c r="F64" s="301">
        <v>45468.593055555553</v>
      </c>
      <c r="G64" s="300">
        <v>1</v>
      </c>
      <c r="H64" s="300">
        <v>51.380699999999997</v>
      </c>
      <c r="I64" s="300">
        <v>6.9638099999999996</v>
      </c>
      <c r="J64" s="300">
        <v>-20.744456</v>
      </c>
      <c r="K64" s="300">
        <v>-22.987718999999998</v>
      </c>
      <c r="L64" s="300">
        <v>1862.45</v>
      </c>
      <c r="M64" s="300">
        <v>83.999650000000003</v>
      </c>
      <c r="N64" s="300">
        <v>11148.72766</v>
      </c>
      <c r="O64" s="300">
        <v>0</v>
      </c>
      <c r="P64" s="302">
        <v>0</v>
      </c>
      <c r="Q64" s="302" t="s">
        <v>280</v>
      </c>
      <c r="R64" s="302" t="s">
        <v>619</v>
      </c>
      <c r="S64" s="302">
        <v>10</v>
      </c>
      <c r="T64" s="302">
        <v>5</v>
      </c>
      <c r="U64" s="302">
        <v>0.7</v>
      </c>
      <c r="V64" s="306">
        <v>0.7</v>
      </c>
      <c r="W64" s="302">
        <v>0.7</v>
      </c>
      <c r="X64" s="300">
        <v>2000</v>
      </c>
      <c r="Y64" s="300" t="s">
        <v>540</v>
      </c>
      <c r="Z64" s="300">
        <v>0.2</v>
      </c>
      <c r="AA64" s="300" t="s">
        <v>541</v>
      </c>
      <c r="AB64" s="300" t="s">
        <v>542</v>
      </c>
      <c r="AC64" s="300">
        <v>220</v>
      </c>
      <c r="AD64" s="158"/>
      <c r="AE64" s="188"/>
    </row>
    <row r="65" spans="1:31" ht="15.75">
      <c r="A65" s="300" t="s">
        <v>622</v>
      </c>
      <c r="B65" s="300">
        <v>6</v>
      </c>
      <c r="C65" s="300">
        <v>92</v>
      </c>
      <c r="D65" s="300" t="s">
        <v>579</v>
      </c>
      <c r="E65" s="300">
        <v>1</v>
      </c>
      <c r="F65" s="301"/>
      <c r="G65" s="300">
        <v>1</v>
      </c>
      <c r="H65" s="300">
        <v>0</v>
      </c>
      <c r="I65" s="300">
        <v>0</v>
      </c>
      <c r="J65" s="300">
        <v>0</v>
      </c>
      <c r="K65" s="300">
        <v>0</v>
      </c>
      <c r="L65" s="300">
        <v>0</v>
      </c>
      <c r="M65" s="300">
        <v>0</v>
      </c>
      <c r="N65" s="300">
        <v>0</v>
      </c>
      <c r="O65" s="300">
        <v>0</v>
      </c>
      <c r="P65" s="302">
        <v>0</v>
      </c>
      <c r="Q65" s="302" t="s">
        <v>280</v>
      </c>
      <c r="R65" s="302" t="s">
        <v>623</v>
      </c>
      <c r="S65" s="302">
        <v>10</v>
      </c>
      <c r="T65" s="302">
        <v>5</v>
      </c>
      <c r="U65" s="302">
        <v>0.7</v>
      </c>
      <c r="V65" s="306">
        <v>0.7</v>
      </c>
      <c r="W65" s="302">
        <v>0.7</v>
      </c>
      <c r="X65" s="300">
        <v>2000</v>
      </c>
      <c r="Y65" s="300"/>
      <c r="Z65" s="300"/>
      <c r="AA65" s="300" t="s">
        <v>541</v>
      </c>
      <c r="AB65" s="300" t="s">
        <v>542</v>
      </c>
      <c r="AC65" s="300">
        <v>220</v>
      </c>
      <c r="AD65" s="158"/>
      <c r="AE65" s="188"/>
    </row>
    <row r="66" spans="1:31" ht="15.75">
      <c r="A66" s="300" t="s">
        <v>624</v>
      </c>
      <c r="B66" s="300">
        <v>6</v>
      </c>
      <c r="C66" s="300">
        <v>92</v>
      </c>
      <c r="D66" s="300" t="s">
        <v>579</v>
      </c>
      <c r="E66" s="300">
        <v>1</v>
      </c>
      <c r="F66" s="301">
        <v>45468.604166666664</v>
      </c>
      <c r="G66" s="300">
        <v>1</v>
      </c>
      <c r="H66" s="300">
        <v>51.377400000000002</v>
      </c>
      <c r="I66" s="300">
        <v>6.2255500000000001</v>
      </c>
      <c r="J66" s="300">
        <v>-25.059774999999998</v>
      </c>
      <c r="K66" s="300">
        <v>-23.558212000000001</v>
      </c>
      <c r="L66" s="300">
        <v>1053.19</v>
      </c>
      <c r="M66" s="300">
        <v>68.999627000000004</v>
      </c>
      <c r="N66" s="300">
        <v>11861.814039999999</v>
      </c>
      <c r="O66" s="300">
        <v>11834.096299999999</v>
      </c>
      <c r="P66" s="302">
        <v>2115.034369</v>
      </c>
      <c r="Q66" s="302" t="s">
        <v>12</v>
      </c>
      <c r="R66" s="302" t="s">
        <v>553</v>
      </c>
      <c r="S66" s="302">
        <v>10</v>
      </c>
      <c r="T66" s="302">
        <v>5</v>
      </c>
      <c r="U66" s="302">
        <v>0.7</v>
      </c>
      <c r="V66" s="306">
        <v>0.7</v>
      </c>
      <c r="W66" s="302">
        <v>0.7</v>
      </c>
      <c r="X66" s="300">
        <v>2000</v>
      </c>
      <c r="Y66" s="300" t="s">
        <v>540</v>
      </c>
      <c r="Z66" s="300">
        <v>0.2</v>
      </c>
      <c r="AA66" s="300" t="s">
        <v>541</v>
      </c>
      <c r="AB66" s="300" t="s">
        <v>542</v>
      </c>
      <c r="AC66" s="300">
        <v>220</v>
      </c>
      <c r="AD66" s="158"/>
      <c r="AE66" s="188"/>
    </row>
    <row r="67" spans="1:31" ht="15.75">
      <c r="A67" s="300" t="s">
        <v>625</v>
      </c>
      <c r="B67" s="300">
        <v>6</v>
      </c>
      <c r="C67" s="300">
        <v>92</v>
      </c>
      <c r="D67" s="300" t="s">
        <v>579</v>
      </c>
      <c r="E67" s="300">
        <v>1</v>
      </c>
      <c r="F67" s="301">
        <v>45468.606944444444</v>
      </c>
      <c r="G67" s="300">
        <v>1</v>
      </c>
      <c r="H67" s="300">
        <v>51.377400000000002</v>
      </c>
      <c r="I67" s="300">
        <v>6.6697600000000001</v>
      </c>
      <c r="J67" s="300">
        <v>-25.431531</v>
      </c>
      <c r="K67" s="300">
        <v>-23.781437</v>
      </c>
      <c r="L67" s="300">
        <v>1083.5999999999999</v>
      </c>
      <c r="M67" s="300">
        <v>73.500511000000003</v>
      </c>
      <c r="N67" s="300">
        <v>11828.195519999999</v>
      </c>
      <c r="O67" s="300">
        <v>11834.096299999999</v>
      </c>
      <c r="P67" s="302">
        <v>2115.034369</v>
      </c>
      <c r="Q67" s="302" t="s">
        <v>12</v>
      </c>
      <c r="R67" s="302" t="s">
        <v>539</v>
      </c>
      <c r="S67" s="302">
        <v>10</v>
      </c>
      <c r="T67" s="302">
        <v>5</v>
      </c>
      <c r="U67" s="302">
        <v>0.7</v>
      </c>
      <c r="V67" s="306">
        <v>0.7</v>
      </c>
      <c r="W67" s="302">
        <v>0.7</v>
      </c>
      <c r="X67" s="300">
        <v>2000</v>
      </c>
      <c r="Y67" s="300" t="s">
        <v>540</v>
      </c>
      <c r="Z67" s="300">
        <v>0.2</v>
      </c>
      <c r="AA67" s="300" t="s">
        <v>541</v>
      </c>
      <c r="AB67" s="300" t="s">
        <v>542</v>
      </c>
      <c r="AC67" s="300">
        <v>220</v>
      </c>
      <c r="AD67" s="158"/>
      <c r="AE67" s="188"/>
    </row>
    <row r="68" spans="1:31" ht="15.75">
      <c r="A68" s="300" t="s">
        <v>626</v>
      </c>
      <c r="B68" s="300">
        <v>6</v>
      </c>
      <c r="C68" s="300">
        <v>92</v>
      </c>
      <c r="D68" s="300" t="s">
        <v>579</v>
      </c>
      <c r="E68" s="300">
        <v>1</v>
      </c>
      <c r="F68" s="301">
        <v>45468.609722222223</v>
      </c>
      <c r="G68" s="300">
        <v>1</v>
      </c>
      <c r="H68" s="300">
        <v>51.380699999999997</v>
      </c>
      <c r="I68" s="300">
        <v>6.9500500000000001</v>
      </c>
      <c r="J68" s="300">
        <v>-25.318218999999999</v>
      </c>
      <c r="K68" s="300">
        <v>-23.666619000000001</v>
      </c>
      <c r="L68" s="300">
        <v>1089.79</v>
      </c>
      <c r="M68" s="300">
        <v>67.499726999999993</v>
      </c>
      <c r="N68" s="300">
        <v>11839.997079999999</v>
      </c>
      <c r="O68" s="300">
        <v>11834.096299999999</v>
      </c>
      <c r="P68" s="302">
        <v>2115.034369</v>
      </c>
      <c r="Q68" s="302" t="s">
        <v>12</v>
      </c>
      <c r="R68" s="302" t="s">
        <v>539</v>
      </c>
      <c r="S68" s="302">
        <v>10</v>
      </c>
      <c r="T68" s="302">
        <v>5</v>
      </c>
      <c r="U68" s="302">
        <v>0.7</v>
      </c>
      <c r="V68" s="306">
        <v>0.7</v>
      </c>
      <c r="W68" s="302">
        <v>0.7</v>
      </c>
      <c r="X68" s="300">
        <v>2000</v>
      </c>
      <c r="Y68" s="300" t="s">
        <v>540</v>
      </c>
      <c r="Z68" s="300">
        <v>0.2</v>
      </c>
      <c r="AA68" s="300" t="s">
        <v>541</v>
      </c>
      <c r="AB68" s="300" t="s">
        <v>542</v>
      </c>
      <c r="AC68" s="300">
        <v>220</v>
      </c>
      <c r="AD68" s="158"/>
      <c r="AE68" s="188"/>
    </row>
    <row r="69" spans="1:31" ht="15.75">
      <c r="A69" s="300" t="s">
        <v>627</v>
      </c>
      <c r="B69" s="300">
        <v>7</v>
      </c>
      <c r="C69" s="300">
        <v>93</v>
      </c>
      <c r="D69" s="300" t="s">
        <v>582</v>
      </c>
      <c r="E69" s="300">
        <v>1</v>
      </c>
      <c r="F69" s="301">
        <v>45468.613194444442</v>
      </c>
      <c r="G69" s="300">
        <v>1</v>
      </c>
      <c r="H69" s="300">
        <v>51.380699999999997</v>
      </c>
      <c r="I69" s="300">
        <v>7.22628</v>
      </c>
      <c r="J69" s="300">
        <v>-25.444199999999999</v>
      </c>
      <c r="K69" s="300">
        <v>-23.569268999999998</v>
      </c>
      <c r="L69" s="300">
        <v>1115.8499999999999</v>
      </c>
      <c r="M69" s="300">
        <v>65.000927000000004</v>
      </c>
      <c r="N69" s="300">
        <v>11879.350850000001</v>
      </c>
      <c r="O69" s="300">
        <v>11890.755080000001</v>
      </c>
      <c r="P69" s="302">
        <v>2125.0255889999999</v>
      </c>
      <c r="Q69" s="302" t="s">
        <v>12</v>
      </c>
      <c r="R69" s="302" t="s">
        <v>539</v>
      </c>
      <c r="S69" s="302">
        <v>10</v>
      </c>
      <c r="T69" s="302">
        <v>5</v>
      </c>
      <c r="U69" s="302">
        <v>0.7</v>
      </c>
      <c r="V69" s="306">
        <v>0.7</v>
      </c>
      <c r="W69" s="302">
        <v>0.7</v>
      </c>
      <c r="X69" s="300">
        <v>2000</v>
      </c>
      <c r="Y69" s="300" t="s">
        <v>540</v>
      </c>
      <c r="Z69" s="300">
        <v>0.2</v>
      </c>
      <c r="AA69" s="300" t="s">
        <v>541</v>
      </c>
      <c r="AB69" s="300" t="s">
        <v>542</v>
      </c>
      <c r="AC69" s="300">
        <v>220</v>
      </c>
      <c r="AD69" s="158"/>
      <c r="AE69" s="188"/>
    </row>
    <row r="70" spans="1:31" ht="15.75">
      <c r="A70" s="300" t="s">
        <v>628</v>
      </c>
      <c r="B70" s="300">
        <v>7</v>
      </c>
      <c r="C70" s="300">
        <v>93</v>
      </c>
      <c r="D70" s="300" t="s">
        <v>582</v>
      </c>
      <c r="E70" s="300">
        <v>1</v>
      </c>
      <c r="F70" s="301">
        <v>45468.615972222222</v>
      </c>
      <c r="G70" s="300">
        <v>1</v>
      </c>
      <c r="H70" s="300">
        <v>51.380699999999997</v>
      </c>
      <c r="I70" s="300">
        <v>7.4173400000000003</v>
      </c>
      <c r="J70" s="300">
        <v>-25.373863</v>
      </c>
      <c r="K70" s="300">
        <v>-23.924068999999999</v>
      </c>
      <c r="L70" s="300">
        <v>1111.99</v>
      </c>
      <c r="M70" s="300">
        <v>69.998711999999998</v>
      </c>
      <c r="N70" s="300">
        <v>11902.159309999999</v>
      </c>
      <c r="O70" s="300">
        <v>11890.755080000001</v>
      </c>
      <c r="P70" s="302">
        <v>2125.0255889999999</v>
      </c>
      <c r="Q70" s="302" t="s">
        <v>12</v>
      </c>
      <c r="R70" s="302" t="s">
        <v>539</v>
      </c>
      <c r="S70" s="302">
        <v>10</v>
      </c>
      <c r="T70" s="302">
        <v>5</v>
      </c>
      <c r="U70" s="302">
        <v>0.7</v>
      </c>
      <c r="V70" s="306">
        <v>0.7</v>
      </c>
      <c r="W70" s="302">
        <v>0.7</v>
      </c>
      <c r="X70" s="300">
        <v>2000</v>
      </c>
      <c r="Y70" s="300" t="s">
        <v>540</v>
      </c>
      <c r="Z70" s="300">
        <v>0.2</v>
      </c>
      <c r="AA70" s="300" t="s">
        <v>541</v>
      </c>
      <c r="AB70" s="300" t="s">
        <v>542</v>
      </c>
      <c r="AC70" s="300">
        <v>220</v>
      </c>
      <c r="AD70" s="158"/>
      <c r="AE70" s="188"/>
    </row>
    <row r="71" spans="1:31" ht="15.75">
      <c r="A71" s="300" t="s">
        <v>629</v>
      </c>
      <c r="B71" s="300">
        <v>8</v>
      </c>
      <c r="C71" s="300">
        <v>53</v>
      </c>
      <c r="D71" s="300" t="s">
        <v>585</v>
      </c>
      <c r="E71" s="300">
        <v>1</v>
      </c>
      <c r="F71" s="301">
        <v>45468.619444444441</v>
      </c>
      <c r="G71" s="300">
        <v>1</v>
      </c>
      <c r="H71" s="300">
        <v>51.377400000000002</v>
      </c>
      <c r="I71" s="300">
        <v>7.6258400000000002</v>
      </c>
      <c r="J71" s="300">
        <v>-25.257487000000001</v>
      </c>
      <c r="K71" s="300">
        <v>-23.926206000000001</v>
      </c>
      <c r="L71" s="300">
        <v>1117.95</v>
      </c>
      <c r="M71" s="300">
        <v>69.000716999999995</v>
      </c>
      <c r="N71" s="300">
        <v>11905.868479999999</v>
      </c>
      <c r="O71" s="300">
        <v>11891.75013</v>
      </c>
      <c r="P71" s="302">
        <v>2125.2010580000001</v>
      </c>
      <c r="Q71" s="302" t="s">
        <v>12</v>
      </c>
      <c r="R71" s="302" t="s">
        <v>553</v>
      </c>
      <c r="S71" s="302">
        <v>10</v>
      </c>
      <c r="T71" s="302">
        <v>5</v>
      </c>
      <c r="U71" s="302">
        <v>0.7</v>
      </c>
      <c r="V71" s="306">
        <v>0.7</v>
      </c>
      <c r="W71" s="302">
        <v>0.7</v>
      </c>
      <c r="X71" s="300">
        <v>2000</v>
      </c>
      <c r="Y71" s="300" t="s">
        <v>540</v>
      </c>
      <c r="Z71" s="300">
        <v>0.2</v>
      </c>
      <c r="AA71" s="300" t="s">
        <v>541</v>
      </c>
      <c r="AB71" s="300" t="s">
        <v>542</v>
      </c>
      <c r="AC71" s="300">
        <v>220</v>
      </c>
      <c r="AD71" s="158"/>
      <c r="AE71" s="188"/>
    </row>
    <row r="72" spans="1:31" ht="15.75">
      <c r="A72" s="300" t="s">
        <v>630</v>
      </c>
      <c r="B72" s="300">
        <v>8</v>
      </c>
      <c r="C72" s="300">
        <v>53</v>
      </c>
      <c r="D72" s="300" t="s">
        <v>585</v>
      </c>
      <c r="E72" s="300">
        <v>1</v>
      </c>
      <c r="F72" s="301">
        <v>45468.62222222222</v>
      </c>
      <c r="G72" s="300">
        <v>1</v>
      </c>
      <c r="H72" s="300">
        <v>51.377400000000002</v>
      </c>
      <c r="I72" s="300">
        <v>7.7961600000000004</v>
      </c>
      <c r="J72" s="300">
        <v>-25.373968999999999</v>
      </c>
      <c r="K72" s="300">
        <v>-23.350338000000001</v>
      </c>
      <c r="L72" s="300">
        <v>1101.06</v>
      </c>
      <c r="M72" s="300">
        <v>65.499478999999994</v>
      </c>
      <c r="N72" s="300">
        <v>11880.189549999999</v>
      </c>
      <c r="O72" s="300">
        <v>11891.75013</v>
      </c>
      <c r="P72" s="302">
        <v>2125.2010580000001</v>
      </c>
      <c r="Q72" s="302" t="s">
        <v>12</v>
      </c>
      <c r="R72" s="302" t="s">
        <v>539</v>
      </c>
      <c r="S72" s="302">
        <v>10</v>
      </c>
      <c r="T72" s="302">
        <v>5</v>
      </c>
      <c r="U72" s="302">
        <v>0.7</v>
      </c>
      <c r="V72" s="306">
        <v>0.7</v>
      </c>
      <c r="W72" s="302">
        <v>0.7</v>
      </c>
      <c r="X72" s="300">
        <v>2000</v>
      </c>
      <c r="Y72" s="300" t="s">
        <v>540</v>
      </c>
      <c r="Z72" s="300">
        <v>0.2</v>
      </c>
      <c r="AA72" s="300" t="s">
        <v>541</v>
      </c>
      <c r="AB72" s="300" t="s">
        <v>542</v>
      </c>
      <c r="AC72" s="300">
        <v>220</v>
      </c>
      <c r="AD72" s="158"/>
      <c r="AE72" s="188"/>
    </row>
    <row r="73" spans="1:31" ht="15.75">
      <c r="A73" s="300" t="s">
        <v>631</v>
      </c>
      <c r="B73" s="300">
        <v>8</v>
      </c>
      <c r="C73" s="300">
        <v>53</v>
      </c>
      <c r="D73" s="300" t="s">
        <v>585</v>
      </c>
      <c r="E73" s="300">
        <v>1</v>
      </c>
      <c r="F73" s="301">
        <v>45468.625</v>
      </c>
      <c r="G73" s="300">
        <v>1</v>
      </c>
      <c r="H73" s="300">
        <v>51.380699999999997</v>
      </c>
      <c r="I73" s="300">
        <v>7.7635300000000003</v>
      </c>
      <c r="J73" s="300">
        <v>-25.291499999999999</v>
      </c>
      <c r="K73" s="300">
        <v>-23.617175</v>
      </c>
      <c r="L73" s="300">
        <v>1136.6400000000001</v>
      </c>
      <c r="M73" s="300">
        <v>70.500269000000003</v>
      </c>
      <c r="N73" s="300">
        <v>11903.310719999999</v>
      </c>
      <c r="O73" s="300">
        <v>11891.75013</v>
      </c>
      <c r="P73" s="302">
        <v>2125.2010580000001</v>
      </c>
      <c r="Q73" s="302" t="s">
        <v>12</v>
      </c>
      <c r="R73" s="302" t="s">
        <v>539</v>
      </c>
      <c r="S73" s="302">
        <v>10</v>
      </c>
      <c r="T73" s="302">
        <v>5</v>
      </c>
      <c r="U73" s="302">
        <v>0.7</v>
      </c>
      <c r="V73" s="306">
        <v>0.7</v>
      </c>
      <c r="W73" s="302">
        <v>0.7</v>
      </c>
      <c r="X73" s="300">
        <v>2000</v>
      </c>
      <c r="Y73" s="300" t="s">
        <v>540</v>
      </c>
      <c r="Z73" s="300">
        <v>0.2</v>
      </c>
      <c r="AA73" s="300" t="s">
        <v>541</v>
      </c>
      <c r="AB73" s="300" t="s">
        <v>542</v>
      </c>
      <c r="AC73" s="300">
        <v>220</v>
      </c>
      <c r="AD73" s="158"/>
      <c r="AE73" s="188"/>
    </row>
    <row r="74" spans="1:31" ht="15.75">
      <c r="A74" s="300" t="s">
        <v>632</v>
      </c>
      <c r="B74" s="300">
        <v>9</v>
      </c>
      <c r="C74" s="300">
        <v>54</v>
      </c>
      <c r="D74" s="300" t="s">
        <v>589</v>
      </c>
      <c r="E74" s="300">
        <v>1</v>
      </c>
      <c r="F74" s="301">
        <v>45468.628472222219</v>
      </c>
      <c r="G74" s="300">
        <v>1</v>
      </c>
      <c r="H74" s="300">
        <v>51.374099999999999</v>
      </c>
      <c r="I74" s="300">
        <v>7.8687399999999998</v>
      </c>
      <c r="J74" s="300">
        <v>-25.181369</v>
      </c>
      <c r="K74" s="300">
        <v>-23.538806000000001</v>
      </c>
      <c r="L74" s="300">
        <v>1078.26</v>
      </c>
      <c r="M74" s="300">
        <v>68.498431999999994</v>
      </c>
      <c r="N74" s="300">
        <v>11894.660959999999</v>
      </c>
      <c r="O74" s="300">
        <v>11889.839449999999</v>
      </c>
      <c r="P74" s="302">
        <v>2124.8641259999999</v>
      </c>
      <c r="Q74" s="302" t="s">
        <v>12</v>
      </c>
      <c r="R74" s="302" t="s">
        <v>539</v>
      </c>
      <c r="S74" s="302">
        <v>10</v>
      </c>
      <c r="T74" s="302">
        <v>5</v>
      </c>
      <c r="U74" s="302">
        <v>0.7</v>
      </c>
      <c r="V74" s="306">
        <v>0.7</v>
      </c>
      <c r="W74" s="302">
        <v>0.7</v>
      </c>
      <c r="X74" s="300">
        <v>2000</v>
      </c>
      <c r="Y74" s="300" t="s">
        <v>540</v>
      </c>
      <c r="Z74" s="300">
        <v>0.2</v>
      </c>
      <c r="AA74" s="300" t="s">
        <v>541</v>
      </c>
      <c r="AB74" s="300" t="s">
        <v>542</v>
      </c>
      <c r="AC74" s="300">
        <v>220</v>
      </c>
      <c r="AD74" s="158"/>
      <c r="AE74" s="188"/>
    </row>
    <row r="75" spans="1:31" ht="15.75">
      <c r="A75" s="300" t="s">
        <v>633</v>
      </c>
      <c r="B75" s="300">
        <v>9</v>
      </c>
      <c r="C75" s="300">
        <v>54</v>
      </c>
      <c r="D75" s="300" t="s">
        <v>589</v>
      </c>
      <c r="E75" s="300">
        <v>1</v>
      </c>
      <c r="F75" s="301">
        <v>45468.631249999999</v>
      </c>
      <c r="G75" s="300">
        <v>1</v>
      </c>
      <c r="H75" s="300">
        <v>51.380699999999997</v>
      </c>
      <c r="I75" s="300">
        <v>7.9246600000000003</v>
      </c>
      <c r="J75" s="300">
        <v>-25.229137000000001</v>
      </c>
      <c r="K75" s="300">
        <v>-23.763213</v>
      </c>
      <c r="L75" s="300">
        <v>1085.67</v>
      </c>
      <c r="M75" s="300">
        <v>70.000082000000006</v>
      </c>
      <c r="N75" s="300">
        <v>11885.01793</v>
      </c>
      <c r="O75" s="300">
        <v>11889.839449999999</v>
      </c>
      <c r="P75" s="302">
        <v>2124.8641259999999</v>
      </c>
      <c r="Q75" s="302" t="s">
        <v>12</v>
      </c>
      <c r="R75" s="302" t="s">
        <v>539</v>
      </c>
      <c r="S75" s="302">
        <v>10</v>
      </c>
      <c r="T75" s="302">
        <v>5</v>
      </c>
      <c r="U75" s="302">
        <v>0.7</v>
      </c>
      <c r="V75" s="306">
        <v>0.7</v>
      </c>
      <c r="W75" s="302">
        <v>0.7</v>
      </c>
      <c r="X75" s="300">
        <v>2000</v>
      </c>
      <c r="Y75" s="300" t="s">
        <v>540</v>
      </c>
      <c r="Z75" s="300">
        <v>0.2</v>
      </c>
      <c r="AA75" s="300" t="s">
        <v>541</v>
      </c>
      <c r="AB75" s="300" t="s">
        <v>542</v>
      </c>
      <c r="AC75" s="300">
        <v>220</v>
      </c>
      <c r="AD75" s="158"/>
      <c r="AE75" s="188"/>
    </row>
    <row r="76" spans="1:31" ht="15.75">
      <c r="A76" s="300" t="s">
        <v>634</v>
      </c>
      <c r="B76" s="300" t="s">
        <v>551</v>
      </c>
      <c r="C76" s="300" t="s">
        <v>552</v>
      </c>
      <c r="D76" s="300" t="s">
        <v>538</v>
      </c>
      <c r="E76" s="300">
        <v>0.8</v>
      </c>
      <c r="F76" s="301">
        <v>45468.635416666664</v>
      </c>
      <c r="G76" s="300">
        <v>1</v>
      </c>
      <c r="H76" s="300">
        <v>51.377400000000002</v>
      </c>
      <c r="I76" s="300">
        <v>7.8996199999999996</v>
      </c>
      <c r="J76" s="300">
        <v>-25.251956</v>
      </c>
      <c r="K76" s="300">
        <v>-23.761099999999999</v>
      </c>
      <c r="L76" s="300">
        <v>1019.75</v>
      </c>
      <c r="M76" s="300">
        <v>64.500788</v>
      </c>
      <c r="N76" s="300">
        <v>9475.5458909999998</v>
      </c>
      <c r="O76" s="300">
        <v>9474.5216939999991</v>
      </c>
      <c r="P76" s="302">
        <v>2070.3456999999999</v>
      </c>
      <c r="Q76" s="302" t="s">
        <v>12</v>
      </c>
      <c r="R76" s="302" t="s">
        <v>539</v>
      </c>
      <c r="S76" s="302">
        <v>10</v>
      </c>
      <c r="T76" s="302">
        <v>5</v>
      </c>
      <c r="U76" s="302">
        <v>0.7</v>
      </c>
      <c r="V76" s="306">
        <v>0.7</v>
      </c>
      <c r="W76" s="302">
        <v>0.7</v>
      </c>
      <c r="X76" s="300">
        <v>2000</v>
      </c>
      <c r="Y76" s="300" t="s">
        <v>540</v>
      </c>
      <c r="Z76" s="300">
        <v>0.2</v>
      </c>
      <c r="AA76" s="300" t="s">
        <v>541</v>
      </c>
      <c r="AB76" s="300" t="s">
        <v>542</v>
      </c>
      <c r="AC76" s="300">
        <v>220</v>
      </c>
      <c r="AD76" s="158"/>
      <c r="AE76" s="188"/>
    </row>
    <row r="77" spans="1:31" ht="15.75">
      <c r="A77" s="300" t="s">
        <v>635</v>
      </c>
      <c r="B77" s="300" t="s">
        <v>551</v>
      </c>
      <c r="C77" s="300" t="s">
        <v>552</v>
      </c>
      <c r="D77" s="300" t="s">
        <v>538</v>
      </c>
      <c r="E77" s="300">
        <v>0.8</v>
      </c>
      <c r="F77" s="301">
        <v>45468.638194444444</v>
      </c>
      <c r="G77" s="300">
        <v>1</v>
      </c>
      <c r="H77" s="300">
        <v>51.377400000000002</v>
      </c>
      <c r="I77" s="300">
        <v>7.95261</v>
      </c>
      <c r="J77" s="300">
        <v>-25.268512000000001</v>
      </c>
      <c r="K77" s="300">
        <v>-23.865756000000001</v>
      </c>
      <c r="L77" s="300">
        <v>1038.67</v>
      </c>
      <c r="M77" s="300">
        <v>67.000031000000007</v>
      </c>
      <c r="N77" s="300">
        <v>9473.4974970000003</v>
      </c>
      <c r="O77" s="300">
        <v>9474.5216939999991</v>
      </c>
      <c r="P77" s="302">
        <v>2070.3456999999999</v>
      </c>
      <c r="Q77" s="302" t="s">
        <v>12</v>
      </c>
      <c r="R77" s="302" t="s">
        <v>539</v>
      </c>
      <c r="S77" s="302">
        <v>10</v>
      </c>
      <c r="T77" s="302">
        <v>5</v>
      </c>
      <c r="U77" s="302">
        <v>0.7</v>
      </c>
      <c r="V77" s="306">
        <v>0.7</v>
      </c>
      <c r="W77" s="302">
        <v>0.7</v>
      </c>
      <c r="X77" s="300">
        <v>2000</v>
      </c>
      <c r="Y77" s="300" t="s">
        <v>540</v>
      </c>
      <c r="Z77" s="300">
        <v>0.2</v>
      </c>
      <c r="AA77" s="300" t="s">
        <v>541</v>
      </c>
      <c r="AB77" s="300" t="s">
        <v>542</v>
      </c>
      <c r="AC77" s="300">
        <v>220</v>
      </c>
      <c r="AD77" s="158"/>
      <c r="AE77" s="188"/>
    </row>
    <row r="78" spans="1:31" ht="15.75">
      <c r="A78" s="303" t="s">
        <v>636</v>
      </c>
      <c r="B78" s="303" t="s">
        <v>558</v>
      </c>
      <c r="C78" s="303" t="s">
        <v>552</v>
      </c>
      <c r="D78" s="303" t="s">
        <v>538</v>
      </c>
      <c r="E78" s="303">
        <v>1</v>
      </c>
      <c r="F78" s="304">
        <v>45468.640972222223</v>
      </c>
      <c r="G78" s="303">
        <v>1</v>
      </c>
      <c r="H78" s="303">
        <v>51.374099999999999</v>
      </c>
      <c r="I78" s="303">
        <v>8.1165699999999994</v>
      </c>
      <c r="J78" s="303">
        <v>-25.226219</v>
      </c>
      <c r="K78" s="303">
        <v>-23.535812</v>
      </c>
      <c r="L78" s="303">
        <v>1106.26</v>
      </c>
      <c r="M78" s="303">
        <v>67.000200000000007</v>
      </c>
      <c r="N78" s="303">
        <v>11822.885700000001</v>
      </c>
      <c r="O78" s="303">
        <v>11817.50891</v>
      </c>
      <c r="P78" s="305">
        <v>2070.3456999999999</v>
      </c>
      <c r="Q78" s="302" t="s">
        <v>12</v>
      </c>
      <c r="R78" s="305" t="s">
        <v>539</v>
      </c>
      <c r="S78" s="305">
        <v>10</v>
      </c>
      <c r="T78" s="305">
        <v>5</v>
      </c>
      <c r="U78" s="305">
        <v>0.7</v>
      </c>
      <c r="V78" s="307">
        <v>0.7</v>
      </c>
      <c r="W78" s="305">
        <v>0.7</v>
      </c>
      <c r="X78" s="303">
        <v>2000</v>
      </c>
      <c r="Y78" s="303" t="s">
        <v>540</v>
      </c>
      <c r="Z78" s="303">
        <v>0.2</v>
      </c>
      <c r="AA78" s="303" t="s">
        <v>541</v>
      </c>
      <c r="AB78" s="303" t="s">
        <v>542</v>
      </c>
      <c r="AC78" s="303">
        <v>220</v>
      </c>
      <c r="AD78" s="158"/>
      <c r="AE78" s="188"/>
    </row>
    <row r="79" spans="1:31" ht="15.75">
      <c r="A79" s="300" t="s">
        <v>637</v>
      </c>
      <c r="B79" s="300" t="s">
        <v>558</v>
      </c>
      <c r="C79" s="300" t="s">
        <v>552</v>
      </c>
      <c r="D79" s="300" t="s">
        <v>538</v>
      </c>
      <c r="E79" s="300">
        <v>1</v>
      </c>
      <c r="F79" s="301">
        <v>45468.643750000003</v>
      </c>
      <c r="G79" s="300">
        <v>1</v>
      </c>
      <c r="H79" s="300">
        <v>51.377400000000002</v>
      </c>
      <c r="I79" s="300">
        <v>8.0980699999999999</v>
      </c>
      <c r="J79" s="300">
        <v>-25.153449999999999</v>
      </c>
      <c r="K79" s="300">
        <v>-23.694611999999999</v>
      </c>
      <c r="L79" s="300">
        <v>1099.3900000000001</v>
      </c>
      <c r="M79" s="300">
        <v>70.499021999999997</v>
      </c>
      <c r="N79" s="300">
        <v>11812.13211</v>
      </c>
      <c r="O79" s="300">
        <v>11817.50891</v>
      </c>
      <c r="P79" s="302">
        <v>2070.3456999999999</v>
      </c>
      <c r="Q79" s="302" t="s">
        <v>12</v>
      </c>
      <c r="R79" s="302" t="s">
        <v>539</v>
      </c>
      <c r="S79" s="302">
        <v>10</v>
      </c>
      <c r="T79" s="302">
        <v>5</v>
      </c>
      <c r="U79" s="302">
        <v>0.7</v>
      </c>
      <c r="V79" s="306">
        <v>0.7</v>
      </c>
      <c r="W79" s="302">
        <v>0.7</v>
      </c>
      <c r="X79" s="300">
        <v>2000</v>
      </c>
      <c r="Y79" s="300" t="s">
        <v>540</v>
      </c>
      <c r="Z79" s="300">
        <v>0.2</v>
      </c>
      <c r="AA79" s="300" t="s">
        <v>541</v>
      </c>
      <c r="AB79" s="300" t="s">
        <v>542</v>
      </c>
      <c r="AC79" s="300">
        <v>220</v>
      </c>
      <c r="AD79" s="158"/>
      <c r="AE79" s="188"/>
    </row>
    <row r="80" spans="1:31" ht="15.75">
      <c r="A80" s="300" t="s">
        <v>638</v>
      </c>
      <c r="B80" s="300" t="s">
        <v>561</v>
      </c>
      <c r="C80" s="300" t="s">
        <v>552</v>
      </c>
      <c r="D80" s="300" t="s">
        <v>538</v>
      </c>
      <c r="E80" s="300">
        <v>1.2</v>
      </c>
      <c r="F80" s="301">
        <v>45468.646527777775</v>
      </c>
      <c r="G80" s="300">
        <v>1</v>
      </c>
      <c r="H80" s="300">
        <v>51.377400000000002</v>
      </c>
      <c r="I80" s="300">
        <v>8.2085100000000004</v>
      </c>
      <c r="J80" s="300">
        <v>-25.054099999999998</v>
      </c>
      <c r="K80" s="300">
        <v>-23.079274999999999</v>
      </c>
      <c r="L80" s="300">
        <v>1118.42</v>
      </c>
      <c r="M80" s="300">
        <v>70.000787000000003</v>
      </c>
      <c r="N80" s="300">
        <v>14159.616050000001</v>
      </c>
      <c r="O80" s="300">
        <v>14164.077310000001</v>
      </c>
      <c r="P80" s="302">
        <v>2070.3456999999999</v>
      </c>
      <c r="Q80" s="302" t="s">
        <v>12</v>
      </c>
      <c r="R80" s="302" t="s">
        <v>539</v>
      </c>
      <c r="S80" s="302">
        <v>10</v>
      </c>
      <c r="T80" s="302">
        <v>5</v>
      </c>
      <c r="U80" s="302">
        <v>0.7</v>
      </c>
      <c r="V80" s="306">
        <v>0.7</v>
      </c>
      <c r="W80" s="302">
        <v>0.7</v>
      </c>
      <c r="X80" s="300">
        <v>2000</v>
      </c>
      <c r="Y80" s="300" t="s">
        <v>540</v>
      </c>
      <c r="Z80" s="300">
        <v>0.2</v>
      </c>
      <c r="AA80" s="300" t="s">
        <v>541</v>
      </c>
      <c r="AB80" s="300" t="s">
        <v>542</v>
      </c>
      <c r="AC80" s="300">
        <v>220</v>
      </c>
      <c r="AD80" s="158"/>
      <c r="AE80" s="188"/>
    </row>
    <row r="81" spans="1:31" ht="15.75">
      <c r="A81" s="300" t="s">
        <v>639</v>
      </c>
      <c r="B81" s="300" t="s">
        <v>561</v>
      </c>
      <c r="C81" s="300" t="s">
        <v>552</v>
      </c>
      <c r="D81" s="300" t="s">
        <v>538</v>
      </c>
      <c r="E81" s="300">
        <v>1.2</v>
      </c>
      <c r="F81" s="301">
        <v>45468.649305555555</v>
      </c>
      <c r="G81" s="300">
        <v>1</v>
      </c>
      <c r="H81" s="300">
        <v>51.380699999999997</v>
      </c>
      <c r="I81" s="300">
        <v>8.2947000000000006</v>
      </c>
      <c r="J81" s="300">
        <v>-25.016594000000001</v>
      </c>
      <c r="K81" s="300">
        <v>-23.117538</v>
      </c>
      <c r="L81" s="300">
        <v>1125.7</v>
      </c>
      <c r="M81" s="300">
        <v>74.00027</v>
      </c>
      <c r="N81" s="300">
        <v>14168.53858</v>
      </c>
      <c r="O81" s="300">
        <v>14164.077310000001</v>
      </c>
      <c r="P81" s="302">
        <v>2070.3456999999999</v>
      </c>
      <c r="Q81" s="302" t="s">
        <v>12</v>
      </c>
      <c r="R81" s="302" t="s">
        <v>539</v>
      </c>
      <c r="S81" s="302">
        <v>10</v>
      </c>
      <c r="T81" s="302">
        <v>5</v>
      </c>
      <c r="U81" s="302">
        <v>0.7</v>
      </c>
      <c r="V81" s="306">
        <v>0.7</v>
      </c>
      <c r="W81" s="302">
        <v>0.7</v>
      </c>
      <c r="X81" s="300">
        <v>2000</v>
      </c>
      <c r="Y81" s="300" t="s">
        <v>540</v>
      </c>
      <c r="Z81" s="300">
        <v>0.2</v>
      </c>
      <c r="AA81" s="300" t="s">
        <v>541</v>
      </c>
      <c r="AB81" s="300" t="s">
        <v>542</v>
      </c>
      <c r="AC81" s="300">
        <v>220</v>
      </c>
      <c r="AD81" s="158"/>
      <c r="AE81" s="188"/>
    </row>
    <row r="82" spans="1:31" ht="15.75">
      <c r="A82" s="300" t="s">
        <v>640</v>
      </c>
      <c r="B82" s="300">
        <v>2</v>
      </c>
      <c r="C82" s="300">
        <v>40</v>
      </c>
      <c r="D82" s="300" t="s">
        <v>564</v>
      </c>
      <c r="E82" s="300">
        <v>1</v>
      </c>
      <c r="F82" s="301">
        <v>45468.652777777781</v>
      </c>
      <c r="G82" s="300">
        <v>1</v>
      </c>
      <c r="H82" s="300">
        <v>51.380699999999997</v>
      </c>
      <c r="I82" s="300">
        <v>8.1268200000000004</v>
      </c>
      <c r="J82" s="300">
        <v>-25.077763000000001</v>
      </c>
      <c r="K82" s="300">
        <v>-22.691687999999999</v>
      </c>
      <c r="L82" s="300">
        <v>1093.8599999999999</v>
      </c>
      <c r="M82" s="300">
        <v>62.499955</v>
      </c>
      <c r="N82" s="300">
        <v>11943.81604</v>
      </c>
      <c r="O82" s="300">
        <v>11976.744140000001</v>
      </c>
      <c r="P82" s="302">
        <v>2098.2545749999999</v>
      </c>
      <c r="Q82" s="302" t="s">
        <v>12</v>
      </c>
      <c r="R82" s="302" t="s">
        <v>553</v>
      </c>
      <c r="S82" s="302">
        <v>10</v>
      </c>
      <c r="T82" s="302">
        <v>5</v>
      </c>
      <c r="U82" s="302">
        <v>0.7</v>
      </c>
      <c r="V82" s="306">
        <v>0.7</v>
      </c>
      <c r="W82" s="302">
        <v>0.7</v>
      </c>
      <c r="X82" s="300">
        <v>2000</v>
      </c>
      <c r="Y82" s="300" t="s">
        <v>540</v>
      </c>
      <c r="Z82" s="300">
        <v>0.2</v>
      </c>
      <c r="AA82" s="300" t="s">
        <v>541</v>
      </c>
      <c r="AB82" s="300" t="s">
        <v>542</v>
      </c>
      <c r="AC82" s="300">
        <v>220</v>
      </c>
      <c r="AD82" s="158"/>
      <c r="AE82" s="188"/>
    </row>
    <row r="83" spans="1:31" ht="15.75">
      <c r="A83" s="300" t="s">
        <v>641</v>
      </c>
      <c r="B83" s="300">
        <v>2</v>
      </c>
      <c r="C83" s="300">
        <v>40</v>
      </c>
      <c r="D83" s="300" t="s">
        <v>564</v>
      </c>
      <c r="E83" s="300">
        <v>1</v>
      </c>
      <c r="F83" s="301">
        <v>45468.655555555553</v>
      </c>
      <c r="G83" s="300">
        <v>1</v>
      </c>
      <c r="H83" s="300">
        <v>51.380699999999997</v>
      </c>
      <c r="I83" s="300">
        <v>8.2777899999999995</v>
      </c>
      <c r="J83" s="300">
        <v>-25.090581</v>
      </c>
      <c r="K83" s="300">
        <v>-23.418106000000002</v>
      </c>
      <c r="L83" s="300">
        <v>1107.9100000000001</v>
      </c>
      <c r="M83" s="300">
        <v>66.501306</v>
      </c>
      <c r="N83" s="300">
        <v>11972.732770000001</v>
      </c>
      <c r="O83" s="300">
        <v>11976.744140000001</v>
      </c>
      <c r="P83" s="302">
        <v>2098.2545749999999</v>
      </c>
      <c r="Q83" s="302" t="s">
        <v>12</v>
      </c>
      <c r="R83" s="302" t="s">
        <v>539</v>
      </c>
      <c r="S83" s="302">
        <v>10</v>
      </c>
      <c r="T83" s="302">
        <v>5</v>
      </c>
      <c r="U83" s="302">
        <v>0.7</v>
      </c>
      <c r="V83" s="306">
        <v>0.7</v>
      </c>
      <c r="W83" s="302">
        <v>0.7</v>
      </c>
      <c r="X83" s="300">
        <v>2000</v>
      </c>
      <c r="Y83" s="300" t="s">
        <v>540</v>
      </c>
      <c r="Z83" s="300">
        <v>0.2</v>
      </c>
      <c r="AA83" s="300" t="s">
        <v>541</v>
      </c>
      <c r="AB83" s="300" t="s">
        <v>542</v>
      </c>
      <c r="AC83" s="300">
        <v>220</v>
      </c>
      <c r="AD83" s="158"/>
      <c r="AE83" s="188"/>
    </row>
    <row r="84" spans="1:31" ht="15.75">
      <c r="A84" s="300" t="s">
        <v>642</v>
      </c>
      <c r="B84" s="300">
        <v>2</v>
      </c>
      <c r="C84" s="300">
        <v>40</v>
      </c>
      <c r="D84" s="300" t="s">
        <v>564</v>
      </c>
      <c r="E84" s="300">
        <v>1</v>
      </c>
      <c r="F84" s="301">
        <v>45468.658333333333</v>
      </c>
      <c r="G84" s="300">
        <v>1</v>
      </c>
      <c r="H84" s="300">
        <v>51.380699999999997</v>
      </c>
      <c r="I84" s="300">
        <v>8.2813800000000004</v>
      </c>
      <c r="J84" s="300">
        <v>-25.062819000000001</v>
      </c>
      <c r="K84" s="300">
        <v>-23.277705999999998</v>
      </c>
      <c r="L84" s="300">
        <v>1105.26</v>
      </c>
      <c r="M84" s="300">
        <v>66.002187000000006</v>
      </c>
      <c r="N84" s="300">
        <v>11980.755520000001</v>
      </c>
      <c r="O84" s="300">
        <v>11976.744140000001</v>
      </c>
      <c r="P84" s="302">
        <v>2098.2545749999999</v>
      </c>
      <c r="Q84" s="302" t="s">
        <v>12</v>
      </c>
      <c r="R84" s="302" t="s">
        <v>539</v>
      </c>
      <c r="S84" s="302">
        <v>10</v>
      </c>
      <c r="T84" s="302">
        <v>5</v>
      </c>
      <c r="U84" s="302">
        <v>0.7</v>
      </c>
      <c r="V84" s="306">
        <v>0.7</v>
      </c>
      <c r="W84" s="302">
        <v>0.7</v>
      </c>
      <c r="X84" s="300">
        <v>2000</v>
      </c>
      <c r="Y84" s="300" t="s">
        <v>540</v>
      </c>
      <c r="Z84" s="300">
        <v>0.2</v>
      </c>
      <c r="AA84" s="300" t="s">
        <v>541</v>
      </c>
      <c r="AB84" s="300" t="s">
        <v>542</v>
      </c>
      <c r="AC84" s="300">
        <v>220</v>
      </c>
      <c r="AD84" s="158"/>
      <c r="AE84" s="188"/>
    </row>
    <row r="85" spans="1:31" ht="15.75">
      <c r="A85" s="300" t="s">
        <v>643</v>
      </c>
      <c r="B85" s="300">
        <v>3</v>
      </c>
      <c r="C85" s="300">
        <v>41</v>
      </c>
      <c r="D85" s="300" t="s">
        <v>568</v>
      </c>
      <c r="E85" s="300">
        <v>1</v>
      </c>
      <c r="F85" s="301">
        <v>45468.661805555559</v>
      </c>
      <c r="G85" s="300">
        <v>1</v>
      </c>
      <c r="H85" s="300">
        <v>51.377400000000002</v>
      </c>
      <c r="I85" s="300">
        <v>8.2819400000000005</v>
      </c>
      <c r="J85" s="300">
        <v>-25.152888000000001</v>
      </c>
      <c r="K85" s="300">
        <v>-23.274812000000001</v>
      </c>
      <c r="L85" s="300">
        <v>1117.05</v>
      </c>
      <c r="M85" s="300">
        <v>66.501625000000004</v>
      </c>
      <c r="N85" s="300">
        <v>11973.682269999999</v>
      </c>
      <c r="O85" s="300">
        <v>11995.993329999999</v>
      </c>
      <c r="P85" s="302">
        <v>2101.653828</v>
      </c>
      <c r="Q85" s="302" t="s">
        <v>12</v>
      </c>
      <c r="R85" s="302" t="s">
        <v>553</v>
      </c>
      <c r="S85" s="302">
        <v>10</v>
      </c>
      <c r="T85" s="302">
        <v>5</v>
      </c>
      <c r="U85" s="302">
        <v>0.7</v>
      </c>
      <c r="V85" s="306">
        <v>0.7</v>
      </c>
      <c r="W85" s="302">
        <v>0.7</v>
      </c>
      <c r="X85" s="300">
        <v>2000</v>
      </c>
      <c r="Y85" s="300" t="s">
        <v>540</v>
      </c>
      <c r="Z85" s="300">
        <v>0.2</v>
      </c>
      <c r="AA85" s="300" t="s">
        <v>541</v>
      </c>
      <c r="AB85" s="300" t="s">
        <v>542</v>
      </c>
      <c r="AC85" s="300">
        <v>220</v>
      </c>
      <c r="AD85" s="158"/>
      <c r="AE85" s="188"/>
    </row>
    <row r="86" spans="1:31" ht="15.75">
      <c r="A86" s="300" t="s">
        <v>644</v>
      </c>
      <c r="B86" s="300">
        <v>3</v>
      </c>
      <c r="C86" s="300">
        <v>41</v>
      </c>
      <c r="D86" s="300" t="s">
        <v>568</v>
      </c>
      <c r="E86" s="300">
        <v>1</v>
      </c>
      <c r="F86" s="301">
        <v>45468.664583333331</v>
      </c>
      <c r="G86" s="300">
        <v>1</v>
      </c>
      <c r="H86" s="300">
        <v>51.377400000000002</v>
      </c>
      <c r="I86" s="300">
        <v>8.3252100000000002</v>
      </c>
      <c r="J86" s="300">
        <v>-25.139094</v>
      </c>
      <c r="K86" s="300">
        <v>-23.394006000000001</v>
      </c>
      <c r="L86" s="300">
        <v>1098.3499999999999</v>
      </c>
      <c r="M86" s="300">
        <v>67.500653</v>
      </c>
      <c r="N86" s="300">
        <v>11936.117459999999</v>
      </c>
      <c r="O86" s="300">
        <v>11995.993329999999</v>
      </c>
      <c r="P86" s="302">
        <v>2101.653828</v>
      </c>
      <c r="Q86" s="302" t="s">
        <v>12</v>
      </c>
      <c r="R86" s="302" t="s">
        <v>553</v>
      </c>
      <c r="S86" s="302">
        <v>10</v>
      </c>
      <c r="T86" s="302">
        <v>5</v>
      </c>
      <c r="U86" s="302">
        <v>0.7</v>
      </c>
      <c r="V86" s="306">
        <v>0.7</v>
      </c>
      <c r="W86" s="302">
        <v>0.7</v>
      </c>
      <c r="X86" s="300">
        <v>2000</v>
      </c>
      <c r="Y86" s="300" t="s">
        <v>540</v>
      </c>
      <c r="Z86" s="300">
        <v>0.2</v>
      </c>
      <c r="AA86" s="300" t="s">
        <v>541</v>
      </c>
      <c r="AB86" s="300" t="s">
        <v>542</v>
      </c>
      <c r="AC86" s="300">
        <v>220</v>
      </c>
      <c r="AD86" s="158"/>
      <c r="AE86" s="188"/>
    </row>
    <row r="87" spans="1:31" ht="15.75">
      <c r="A87" s="300" t="s">
        <v>645</v>
      </c>
      <c r="B87" s="300">
        <v>3</v>
      </c>
      <c r="C87" s="300">
        <v>41</v>
      </c>
      <c r="D87" s="300" t="s">
        <v>568</v>
      </c>
      <c r="E87" s="300">
        <v>1</v>
      </c>
      <c r="F87" s="301">
        <v>45468.667361111111</v>
      </c>
      <c r="G87" s="300">
        <v>1</v>
      </c>
      <c r="H87" s="300">
        <v>51.380699999999997</v>
      </c>
      <c r="I87" s="300">
        <v>8.2963100000000001</v>
      </c>
      <c r="J87" s="300">
        <v>-25.027318999999999</v>
      </c>
      <c r="K87" s="300">
        <v>-23.482531000000002</v>
      </c>
      <c r="L87" s="300">
        <v>1103.18</v>
      </c>
      <c r="M87" s="300">
        <v>67.999934999999994</v>
      </c>
      <c r="N87" s="300">
        <v>11971.519700000001</v>
      </c>
      <c r="O87" s="300">
        <v>11995.993329999999</v>
      </c>
      <c r="P87" s="302">
        <v>2101.653828</v>
      </c>
      <c r="Q87" s="302" t="s">
        <v>12</v>
      </c>
      <c r="R87" s="302" t="s">
        <v>553</v>
      </c>
      <c r="S87" s="302">
        <v>10</v>
      </c>
      <c r="T87" s="302">
        <v>5</v>
      </c>
      <c r="U87" s="302">
        <v>0.7</v>
      </c>
      <c r="V87" s="306">
        <v>0.7</v>
      </c>
      <c r="W87" s="302">
        <v>0.7</v>
      </c>
      <c r="X87" s="300">
        <v>2000</v>
      </c>
      <c r="Y87" s="300" t="s">
        <v>540</v>
      </c>
      <c r="Z87" s="300">
        <v>0.2</v>
      </c>
      <c r="AA87" s="300" t="s">
        <v>541</v>
      </c>
      <c r="AB87" s="300" t="s">
        <v>542</v>
      </c>
      <c r="AC87" s="300">
        <v>220</v>
      </c>
      <c r="AD87" s="158"/>
      <c r="AE87" s="188"/>
    </row>
    <row r="88" spans="1:31" ht="15.75">
      <c r="A88" s="300" t="s">
        <v>646</v>
      </c>
      <c r="B88" s="300">
        <v>3</v>
      </c>
      <c r="C88" s="300">
        <v>41</v>
      </c>
      <c r="D88" s="300" t="s">
        <v>568</v>
      </c>
      <c r="E88" s="300">
        <v>1</v>
      </c>
      <c r="F88" s="301">
        <v>45468.670138888891</v>
      </c>
      <c r="G88" s="300">
        <v>1</v>
      </c>
      <c r="H88" s="300">
        <v>51.380699999999997</v>
      </c>
      <c r="I88" s="300">
        <v>8.1547400000000003</v>
      </c>
      <c r="J88" s="300">
        <v>-25.169294000000001</v>
      </c>
      <c r="K88" s="300">
        <v>-23.837862000000001</v>
      </c>
      <c r="L88" s="300">
        <v>1124.58</v>
      </c>
      <c r="M88" s="300">
        <v>72.001361000000003</v>
      </c>
      <c r="N88" s="300">
        <v>12003.63895</v>
      </c>
      <c r="O88" s="300">
        <v>11995.993329999999</v>
      </c>
      <c r="P88" s="302">
        <v>2101.653828</v>
      </c>
      <c r="Q88" s="302" t="s">
        <v>12</v>
      </c>
      <c r="R88" s="302" t="s">
        <v>539</v>
      </c>
      <c r="S88" s="302">
        <v>10</v>
      </c>
      <c r="T88" s="302">
        <v>5</v>
      </c>
      <c r="U88" s="302">
        <v>0.7</v>
      </c>
      <c r="V88" s="306">
        <v>0.7</v>
      </c>
      <c r="W88" s="302">
        <v>0.7</v>
      </c>
      <c r="X88" s="300">
        <v>2000</v>
      </c>
      <c r="Y88" s="300" t="s">
        <v>540</v>
      </c>
      <c r="Z88" s="300">
        <v>0.2</v>
      </c>
      <c r="AA88" s="300" t="s">
        <v>541</v>
      </c>
      <c r="AB88" s="300" t="s">
        <v>542</v>
      </c>
      <c r="AC88" s="300">
        <v>220</v>
      </c>
      <c r="AD88" s="158"/>
      <c r="AE88" s="188"/>
    </row>
    <row r="89" spans="1:31" ht="15.75">
      <c r="A89" s="300" t="s">
        <v>647</v>
      </c>
      <c r="B89" s="300">
        <v>3</v>
      </c>
      <c r="C89" s="300">
        <v>41</v>
      </c>
      <c r="D89" s="300" t="s">
        <v>568</v>
      </c>
      <c r="E89" s="300">
        <v>1</v>
      </c>
      <c r="F89" s="301">
        <v>45468.67291666667</v>
      </c>
      <c r="G89" s="300">
        <v>1</v>
      </c>
      <c r="H89" s="300">
        <v>51.380699999999997</v>
      </c>
      <c r="I89" s="300">
        <v>8.3162199999999995</v>
      </c>
      <c r="J89" s="300">
        <v>-25.279755999999999</v>
      </c>
      <c r="K89" s="300">
        <v>-23.373594000000001</v>
      </c>
      <c r="L89" s="300">
        <v>1115.5899999999999</v>
      </c>
      <c r="M89" s="300">
        <v>66.000691000000003</v>
      </c>
      <c r="N89" s="300">
        <v>11988.34771</v>
      </c>
      <c r="O89" s="300">
        <v>11995.993329999999</v>
      </c>
      <c r="P89" s="302">
        <v>2101.653828</v>
      </c>
      <c r="Q89" s="302" t="s">
        <v>12</v>
      </c>
      <c r="R89" s="302" t="s">
        <v>539</v>
      </c>
      <c r="S89" s="302">
        <v>10</v>
      </c>
      <c r="T89" s="302">
        <v>5</v>
      </c>
      <c r="U89" s="302">
        <v>0.7</v>
      </c>
      <c r="V89" s="306">
        <v>0.7</v>
      </c>
      <c r="W89" s="302">
        <v>0.7</v>
      </c>
      <c r="X89" s="300">
        <v>2000</v>
      </c>
      <c r="Y89" s="300" t="s">
        <v>540</v>
      </c>
      <c r="Z89" s="300">
        <v>0.2</v>
      </c>
      <c r="AA89" s="300" t="s">
        <v>541</v>
      </c>
      <c r="AB89" s="300" t="s">
        <v>542</v>
      </c>
      <c r="AC89" s="300">
        <v>220</v>
      </c>
      <c r="AD89" s="158"/>
      <c r="AE89" s="188"/>
    </row>
    <row r="90" spans="1:31" ht="15.75">
      <c r="A90" s="303" t="s">
        <v>648</v>
      </c>
      <c r="B90" s="303">
        <v>4</v>
      </c>
      <c r="C90" s="303">
        <v>66</v>
      </c>
      <c r="D90" s="303" t="s">
        <v>571</v>
      </c>
      <c r="E90" s="303">
        <v>1</v>
      </c>
      <c r="F90" s="304">
        <v>45468.675694444442</v>
      </c>
      <c r="G90" s="303">
        <v>1</v>
      </c>
      <c r="H90" s="303">
        <v>51.377400000000002</v>
      </c>
      <c r="I90" s="303">
        <v>8.3112200000000005</v>
      </c>
      <c r="J90" s="303">
        <v>-24.866769000000001</v>
      </c>
      <c r="K90" s="303">
        <v>-23.621075000000001</v>
      </c>
      <c r="L90" s="303">
        <v>1101.5999999999999</v>
      </c>
      <c r="M90" s="303">
        <v>75.999825000000001</v>
      </c>
      <c r="N90" s="303">
        <v>11736.648800000001</v>
      </c>
      <c r="O90" s="303">
        <v>11738.86616</v>
      </c>
      <c r="P90" s="305">
        <v>2056.2472120000002</v>
      </c>
      <c r="Q90" s="302" t="s">
        <v>12</v>
      </c>
      <c r="R90" s="305" t="s">
        <v>539</v>
      </c>
      <c r="S90" s="305">
        <v>10</v>
      </c>
      <c r="T90" s="305">
        <v>5</v>
      </c>
      <c r="U90" s="305">
        <v>0.7</v>
      </c>
      <c r="V90" s="307">
        <v>0.7</v>
      </c>
      <c r="W90" s="305">
        <v>0.7</v>
      </c>
      <c r="X90" s="303">
        <v>2000</v>
      </c>
      <c r="Y90" s="303" t="s">
        <v>540</v>
      </c>
      <c r="Z90" s="303">
        <v>0.2</v>
      </c>
      <c r="AA90" s="303" t="s">
        <v>541</v>
      </c>
      <c r="AB90" s="303" t="s">
        <v>542</v>
      </c>
      <c r="AC90" s="303">
        <v>220</v>
      </c>
      <c r="AD90" s="414" t="s">
        <v>649</v>
      </c>
      <c r="AE90" s="188"/>
    </row>
    <row r="91" spans="1:31" ht="15.75">
      <c r="A91" s="303" t="s">
        <v>650</v>
      </c>
      <c r="B91" s="303">
        <v>4</v>
      </c>
      <c r="C91" s="303">
        <v>66</v>
      </c>
      <c r="D91" s="303" t="s">
        <v>571</v>
      </c>
      <c r="E91" s="303">
        <v>1</v>
      </c>
      <c r="F91" s="304">
        <v>45468.678472222222</v>
      </c>
      <c r="G91" s="303">
        <v>1</v>
      </c>
      <c r="H91" s="303">
        <v>51.380699999999997</v>
      </c>
      <c r="I91" s="303">
        <v>8.1788100000000004</v>
      </c>
      <c r="J91" s="303">
        <v>-25.124469000000001</v>
      </c>
      <c r="K91" s="303">
        <v>-23.135888000000001</v>
      </c>
      <c r="L91" s="303">
        <v>1094.82</v>
      </c>
      <c r="M91" s="303">
        <v>66.499592000000007</v>
      </c>
      <c r="N91" s="303">
        <v>11741.08351</v>
      </c>
      <c r="O91" s="303">
        <v>11738.86616</v>
      </c>
      <c r="P91" s="305">
        <v>2056.2472120000002</v>
      </c>
      <c r="Q91" s="302" t="s">
        <v>12</v>
      </c>
      <c r="R91" s="305" t="s">
        <v>539</v>
      </c>
      <c r="S91" s="305">
        <v>10</v>
      </c>
      <c r="T91" s="305">
        <v>5</v>
      </c>
      <c r="U91" s="305">
        <v>0.7</v>
      </c>
      <c r="V91" s="307">
        <v>0.7</v>
      </c>
      <c r="W91" s="305">
        <v>0.7</v>
      </c>
      <c r="X91" s="303">
        <v>2000</v>
      </c>
      <c r="Y91" s="303" t="s">
        <v>540</v>
      </c>
      <c r="Z91" s="303">
        <v>0.2</v>
      </c>
      <c r="AA91" s="303" t="s">
        <v>541</v>
      </c>
      <c r="AB91" s="303" t="s">
        <v>542</v>
      </c>
      <c r="AC91" s="303">
        <v>220</v>
      </c>
      <c r="AD91" s="413"/>
      <c r="AE91" s="188"/>
    </row>
    <row r="92" spans="1:31" ht="15.75">
      <c r="A92" s="303" t="s">
        <v>651</v>
      </c>
      <c r="B92" s="303">
        <v>5</v>
      </c>
      <c r="C92" s="303">
        <v>67</v>
      </c>
      <c r="D92" s="303" t="s">
        <v>575</v>
      </c>
      <c r="E92" s="303">
        <v>1</v>
      </c>
      <c r="F92" s="304">
        <v>45468.681944444441</v>
      </c>
      <c r="G92" s="303">
        <v>1</v>
      </c>
      <c r="H92" s="303">
        <v>51.377400000000002</v>
      </c>
      <c r="I92" s="303">
        <v>8.0756700000000006</v>
      </c>
      <c r="J92" s="303">
        <v>-25.032875000000001</v>
      </c>
      <c r="K92" s="303">
        <v>-22.929787999999999</v>
      </c>
      <c r="L92" s="303">
        <v>1108.01</v>
      </c>
      <c r="M92" s="303">
        <v>64.499024000000006</v>
      </c>
      <c r="N92" s="303">
        <v>11821.013919999999</v>
      </c>
      <c r="O92" s="303">
        <v>11803.699259999999</v>
      </c>
      <c r="P92" s="305">
        <v>2067.696222</v>
      </c>
      <c r="Q92" s="302" t="s">
        <v>12</v>
      </c>
      <c r="R92" s="305" t="s">
        <v>553</v>
      </c>
      <c r="S92" s="305">
        <v>10</v>
      </c>
      <c r="T92" s="305">
        <v>5</v>
      </c>
      <c r="U92" s="305">
        <v>0.7</v>
      </c>
      <c r="V92" s="307">
        <v>0.7</v>
      </c>
      <c r="W92" s="305">
        <v>0.7</v>
      </c>
      <c r="X92" s="303">
        <v>2000</v>
      </c>
      <c r="Y92" s="303" t="s">
        <v>540</v>
      </c>
      <c r="Z92" s="303">
        <v>0.2</v>
      </c>
      <c r="AA92" s="303" t="s">
        <v>541</v>
      </c>
      <c r="AB92" s="303" t="s">
        <v>542</v>
      </c>
      <c r="AC92" s="303">
        <v>220</v>
      </c>
      <c r="AD92" s="413"/>
      <c r="AE92" s="188"/>
    </row>
    <row r="93" spans="1:31" ht="15.75">
      <c r="A93" s="303" t="s">
        <v>652</v>
      </c>
      <c r="B93" s="303">
        <v>5</v>
      </c>
      <c r="C93" s="303">
        <v>67</v>
      </c>
      <c r="D93" s="303" t="s">
        <v>575</v>
      </c>
      <c r="E93" s="303">
        <v>1</v>
      </c>
      <c r="F93" s="304">
        <v>45468.68472222222</v>
      </c>
      <c r="G93" s="303">
        <v>1</v>
      </c>
      <c r="H93" s="303">
        <v>51.380699999999997</v>
      </c>
      <c r="I93" s="303">
        <v>8.1849699999999999</v>
      </c>
      <c r="J93" s="303">
        <v>-24.82715</v>
      </c>
      <c r="K93" s="303">
        <v>-23.334356</v>
      </c>
      <c r="L93" s="303">
        <v>1058.27</v>
      </c>
      <c r="M93" s="303">
        <v>70.501129000000006</v>
      </c>
      <c r="N93" s="303">
        <v>11792.906999999999</v>
      </c>
      <c r="O93" s="303">
        <v>11803.699259999999</v>
      </c>
      <c r="P93" s="305">
        <v>2067.696222</v>
      </c>
      <c r="Q93" s="302" t="s">
        <v>12</v>
      </c>
      <c r="R93" s="305" t="s">
        <v>539</v>
      </c>
      <c r="S93" s="305">
        <v>10</v>
      </c>
      <c r="T93" s="305">
        <v>5</v>
      </c>
      <c r="U93" s="305">
        <v>0.7</v>
      </c>
      <c r="V93" s="307">
        <v>0.7</v>
      </c>
      <c r="W93" s="305">
        <v>0.7</v>
      </c>
      <c r="X93" s="303">
        <v>2000</v>
      </c>
      <c r="Y93" s="303" t="s">
        <v>540</v>
      </c>
      <c r="Z93" s="303">
        <v>0.2</v>
      </c>
      <c r="AA93" s="303" t="s">
        <v>541</v>
      </c>
      <c r="AB93" s="303" t="s">
        <v>542</v>
      </c>
      <c r="AC93" s="303">
        <v>220</v>
      </c>
      <c r="AD93" s="413"/>
      <c r="AE93" s="188"/>
    </row>
    <row r="94" spans="1:31" ht="15.75">
      <c r="A94" s="303" t="s">
        <v>653</v>
      </c>
      <c r="B94" s="303">
        <v>5</v>
      </c>
      <c r="C94" s="303">
        <v>67</v>
      </c>
      <c r="D94" s="303" t="s">
        <v>575</v>
      </c>
      <c r="E94" s="303">
        <v>1</v>
      </c>
      <c r="F94" s="304">
        <v>45468.6875</v>
      </c>
      <c r="G94" s="303">
        <v>1</v>
      </c>
      <c r="H94" s="303">
        <v>51.380699999999997</v>
      </c>
      <c r="I94" s="303">
        <v>8.3984000000000005</v>
      </c>
      <c r="J94" s="303">
        <v>-24.901205999999998</v>
      </c>
      <c r="K94" s="303">
        <v>-23.276913</v>
      </c>
      <c r="L94" s="303">
        <v>1083.8399999999999</v>
      </c>
      <c r="M94" s="303">
        <v>67.999289000000005</v>
      </c>
      <c r="N94" s="303">
        <v>11814.49151</v>
      </c>
      <c r="O94" s="303">
        <v>11803.699259999999</v>
      </c>
      <c r="P94" s="305">
        <v>2067.696222</v>
      </c>
      <c r="Q94" s="302" t="s">
        <v>12</v>
      </c>
      <c r="R94" s="305" t="s">
        <v>539</v>
      </c>
      <c r="S94" s="305">
        <v>10</v>
      </c>
      <c r="T94" s="305">
        <v>5</v>
      </c>
      <c r="U94" s="305">
        <v>0.7</v>
      </c>
      <c r="V94" s="307">
        <v>0.7</v>
      </c>
      <c r="W94" s="305">
        <v>0.7</v>
      </c>
      <c r="X94" s="303">
        <v>2000</v>
      </c>
      <c r="Y94" s="303" t="s">
        <v>540</v>
      </c>
      <c r="Z94" s="303">
        <v>0.2</v>
      </c>
      <c r="AA94" s="303" t="s">
        <v>541</v>
      </c>
      <c r="AB94" s="303" t="s">
        <v>542</v>
      </c>
      <c r="AC94" s="303">
        <v>220</v>
      </c>
      <c r="AD94" s="413"/>
      <c r="AE94" s="188"/>
    </row>
    <row r="95" spans="1:31" ht="15.75">
      <c r="A95" s="300" t="s">
        <v>654</v>
      </c>
      <c r="B95" s="300">
        <v>6</v>
      </c>
      <c r="C95" s="300">
        <v>144</v>
      </c>
      <c r="D95" s="300" t="s">
        <v>579</v>
      </c>
      <c r="E95" s="300">
        <v>1</v>
      </c>
      <c r="F95" s="301">
        <v>45468.690972222219</v>
      </c>
      <c r="G95" s="300">
        <v>1</v>
      </c>
      <c r="H95" s="300">
        <v>51.380699999999997</v>
      </c>
      <c r="I95" s="300">
        <v>8.3958200000000005</v>
      </c>
      <c r="J95" s="300">
        <v>-24.774961999999999</v>
      </c>
      <c r="K95" s="300">
        <v>-23.045587999999999</v>
      </c>
      <c r="L95" s="300">
        <v>1083.69</v>
      </c>
      <c r="M95" s="300">
        <v>68.999135999999993</v>
      </c>
      <c r="N95" s="300">
        <v>11784.727440000001</v>
      </c>
      <c r="O95" s="300">
        <v>11736.688959999999</v>
      </c>
      <c r="P95" s="302">
        <v>2055.862736</v>
      </c>
      <c r="Q95" s="302" t="s">
        <v>12</v>
      </c>
      <c r="R95" s="302" t="s">
        <v>553</v>
      </c>
      <c r="S95" s="302">
        <v>10</v>
      </c>
      <c r="T95" s="302">
        <v>5</v>
      </c>
      <c r="U95" s="302">
        <v>0.7</v>
      </c>
      <c r="V95" s="306">
        <v>0.7</v>
      </c>
      <c r="W95" s="302">
        <v>0.7</v>
      </c>
      <c r="X95" s="300">
        <v>2000</v>
      </c>
      <c r="Y95" s="300" t="s">
        <v>540</v>
      </c>
      <c r="Z95" s="300">
        <v>0.2</v>
      </c>
      <c r="AA95" s="300" t="s">
        <v>541</v>
      </c>
      <c r="AB95" s="300" t="s">
        <v>542</v>
      </c>
      <c r="AC95" s="300">
        <v>220</v>
      </c>
      <c r="AD95" s="158"/>
      <c r="AE95" s="188"/>
    </row>
    <row r="96" spans="1:31" ht="15.75">
      <c r="A96" s="300" t="s">
        <v>655</v>
      </c>
      <c r="B96" s="300">
        <v>6</v>
      </c>
      <c r="C96" s="300">
        <v>144</v>
      </c>
      <c r="D96" s="300" t="s">
        <v>579</v>
      </c>
      <c r="E96" s="300">
        <v>1</v>
      </c>
      <c r="F96" s="301">
        <v>45468.693749999999</v>
      </c>
      <c r="G96" s="300">
        <v>1</v>
      </c>
      <c r="H96" s="300">
        <v>51.380699999999997</v>
      </c>
      <c r="I96" s="300">
        <v>8.4127799999999997</v>
      </c>
      <c r="J96" s="300">
        <v>-24.968819</v>
      </c>
      <c r="K96" s="300">
        <v>-22.914406</v>
      </c>
      <c r="L96" s="300">
        <v>1072.95</v>
      </c>
      <c r="M96" s="300">
        <v>62.500698</v>
      </c>
      <c r="N96" s="300">
        <v>11744.814969999999</v>
      </c>
      <c r="O96" s="300">
        <v>11736.688959999999</v>
      </c>
      <c r="P96" s="302">
        <v>2055.862736</v>
      </c>
      <c r="Q96" s="302" t="s">
        <v>12</v>
      </c>
      <c r="R96" s="302" t="s">
        <v>539</v>
      </c>
      <c r="S96" s="302">
        <v>10</v>
      </c>
      <c r="T96" s="302">
        <v>5</v>
      </c>
      <c r="U96" s="302">
        <v>0.7</v>
      </c>
      <c r="V96" s="306">
        <v>0.7</v>
      </c>
      <c r="W96" s="302">
        <v>0.7</v>
      </c>
      <c r="X96" s="300">
        <v>2000</v>
      </c>
      <c r="Y96" s="300" t="s">
        <v>540</v>
      </c>
      <c r="Z96" s="300">
        <v>0.2</v>
      </c>
      <c r="AA96" s="300" t="s">
        <v>541</v>
      </c>
      <c r="AB96" s="300" t="s">
        <v>542</v>
      </c>
      <c r="AC96" s="300">
        <v>220</v>
      </c>
      <c r="AD96" s="158"/>
      <c r="AE96" s="188"/>
    </row>
    <row r="97" spans="1:31" ht="15.75">
      <c r="A97" s="300" t="s">
        <v>656</v>
      </c>
      <c r="B97" s="300">
        <v>6</v>
      </c>
      <c r="C97" s="300">
        <v>144</v>
      </c>
      <c r="D97" s="300" t="s">
        <v>579</v>
      </c>
      <c r="E97" s="300">
        <v>1</v>
      </c>
      <c r="F97" s="301">
        <v>45468.696527777778</v>
      </c>
      <c r="G97" s="300">
        <v>1</v>
      </c>
      <c r="H97" s="300">
        <v>51.380699999999997</v>
      </c>
      <c r="I97" s="300">
        <v>8.3635000000000002</v>
      </c>
      <c r="J97" s="300">
        <v>-24.904225</v>
      </c>
      <c r="K97" s="300">
        <v>-22.920269000000001</v>
      </c>
      <c r="L97" s="300">
        <v>1080.79</v>
      </c>
      <c r="M97" s="300">
        <v>67.000354000000002</v>
      </c>
      <c r="N97" s="300">
        <v>11728.56295</v>
      </c>
      <c r="O97" s="300">
        <v>11736.688959999999</v>
      </c>
      <c r="P97" s="302">
        <v>2055.862736</v>
      </c>
      <c r="Q97" s="302" t="s">
        <v>12</v>
      </c>
      <c r="R97" s="302" t="s">
        <v>539</v>
      </c>
      <c r="S97" s="302">
        <v>10</v>
      </c>
      <c r="T97" s="302">
        <v>5</v>
      </c>
      <c r="U97" s="302">
        <v>0.7</v>
      </c>
      <c r="V97" s="306">
        <v>0.7</v>
      </c>
      <c r="W97" s="302">
        <v>0.7</v>
      </c>
      <c r="X97" s="300">
        <v>2000</v>
      </c>
      <c r="Y97" s="300" t="s">
        <v>540</v>
      </c>
      <c r="Z97" s="300">
        <v>0.2</v>
      </c>
      <c r="AA97" s="300" t="s">
        <v>541</v>
      </c>
      <c r="AB97" s="300" t="s">
        <v>542</v>
      </c>
      <c r="AC97" s="300">
        <v>220</v>
      </c>
      <c r="AD97" s="158"/>
      <c r="AE97" s="188"/>
    </row>
    <row r="98" spans="1:31" ht="15.75">
      <c r="A98" s="300" t="s">
        <v>657</v>
      </c>
      <c r="B98" s="300">
        <v>7</v>
      </c>
      <c r="C98" s="300">
        <v>145</v>
      </c>
      <c r="D98" s="300" t="s">
        <v>582</v>
      </c>
      <c r="E98" s="300">
        <v>1</v>
      </c>
      <c r="F98" s="301">
        <v>45468.7</v>
      </c>
      <c r="G98" s="300">
        <v>1</v>
      </c>
      <c r="H98" s="300">
        <v>51.380699999999997</v>
      </c>
      <c r="I98" s="300">
        <v>8.3223699999999994</v>
      </c>
      <c r="J98" s="300">
        <v>-24.666343999999999</v>
      </c>
      <c r="K98" s="300">
        <v>-23.144594000000001</v>
      </c>
      <c r="L98" s="300">
        <v>1086.6199999999999</v>
      </c>
      <c r="M98" s="300">
        <v>70.498806000000002</v>
      </c>
      <c r="N98" s="300">
        <v>11760.532080000001</v>
      </c>
      <c r="O98" s="300">
        <v>11765.80406</v>
      </c>
      <c r="P98" s="302">
        <v>2061.0042309999999</v>
      </c>
      <c r="Q98" s="302" t="s">
        <v>12</v>
      </c>
      <c r="R98" s="302" t="s">
        <v>539</v>
      </c>
      <c r="S98" s="302">
        <v>10</v>
      </c>
      <c r="T98" s="302">
        <v>5</v>
      </c>
      <c r="U98" s="302">
        <v>0.7</v>
      </c>
      <c r="V98" s="306">
        <v>0.7</v>
      </c>
      <c r="W98" s="302">
        <v>0.7</v>
      </c>
      <c r="X98" s="300">
        <v>2000</v>
      </c>
      <c r="Y98" s="300" t="s">
        <v>540</v>
      </c>
      <c r="Z98" s="300">
        <v>0.2</v>
      </c>
      <c r="AA98" s="300" t="s">
        <v>541</v>
      </c>
      <c r="AB98" s="300" t="s">
        <v>542</v>
      </c>
      <c r="AC98" s="300">
        <v>220</v>
      </c>
      <c r="AD98" s="158"/>
      <c r="AE98" s="188"/>
    </row>
    <row r="99" spans="1:31" ht="15.75">
      <c r="A99" s="300" t="s">
        <v>658</v>
      </c>
      <c r="B99" s="300">
        <v>7</v>
      </c>
      <c r="C99" s="300">
        <v>145</v>
      </c>
      <c r="D99" s="300" t="s">
        <v>582</v>
      </c>
      <c r="E99" s="300">
        <v>1</v>
      </c>
      <c r="F99" s="301">
        <v>45468.702777777777</v>
      </c>
      <c r="G99" s="300">
        <v>1</v>
      </c>
      <c r="H99" s="300">
        <v>51.377400000000002</v>
      </c>
      <c r="I99" s="300">
        <v>8.4018599999999992</v>
      </c>
      <c r="J99" s="300">
        <v>-24.879687000000001</v>
      </c>
      <c r="K99" s="300">
        <v>-23.537980999999998</v>
      </c>
      <c r="L99" s="300">
        <v>1092.72</v>
      </c>
      <c r="M99" s="300">
        <v>74.498769999999993</v>
      </c>
      <c r="N99" s="300">
        <v>11771.07604</v>
      </c>
      <c r="O99" s="300">
        <v>11765.80406</v>
      </c>
      <c r="P99" s="302">
        <v>2061.0042309999999</v>
      </c>
      <c r="Q99" s="302" t="s">
        <v>12</v>
      </c>
      <c r="R99" s="302" t="s">
        <v>539</v>
      </c>
      <c r="S99" s="302">
        <v>10</v>
      </c>
      <c r="T99" s="302">
        <v>5</v>
      </c>
      <c r="U99" s="302">
        <v>0.7</v>
      </c>
      <c r="V99" s="306">
        <v>0.7</v>
      </c>
      <c r="W99" s="302">
        <v>0.7</v>
      </c>
      <c r="X99" s="300">
        <v>2000</v>
      </c>
      <c r="Y99" s="300" t="s">
        <v>540</v>
      </c>
      <c r="Z99" s="300">
        <v>0.2</v>
      </c>
      <c r="AA99" s="300" t="s">
        <v>541</v>
      </c>
      <c r="AB99" s="300" t="s">
        <v>542</v>
      </c>
      <c r="AC99" s="300">
        <v>220</v>
      </c>
      <c r="AD99" s="158"/>
      <c r="AE99" s="188"/>
    </row>
    <row r="100" spans="1:31" ht="15.75">
      <c r="A100" s="300" t="s">
        <v>659</v>
      </c>
      <c r="B100" s="300">
        <v>8</v>
      </c>
      <c r="C100" s="300">
        <v>157</v>
      </c>
      <c r="D100" s="300" t="s">
        <v>585</v>
      </c>
      <c r="E100" s="300">
        <v>1</v>
      </c>
      <c r="F100" s="301">
        <v>45468.706250000003</v>
      </c>
      <c r="G100" s="300">
        <v>1</v>
      </c>
      <c r="H100" s="300">
        <v>51.380699999999997</v>
      </c>
      <c r="I100" s="300">
        <v>8.27407</v>
      </c>
      <c r="J100" s="300">
        <v>-24.903400000000001</v>
      </c>
      <c r="K100" s="300">
        <v>-23.951588000000001</v>
      </c>
      <c r="L100" s="300">
        <v>1081.03</v>
      </c>
      <c r="M100" s="300">
        <v>79.500287999999998</v>
      </c>
      <c r="N100" s="300">
        <v>11787.97085</v>
      </c>
      <c r="O100" s="300">
        <v>11738.35743</v>
      </c>
      <c r="P100" s="302">
        <v>2056.1573749999998</v>
      </c>
      <c r="Q100" s="302" t="s">
        <v>12</v>
      </c>
      <c r="R100" s="302" t="s">
        <v>553</v>
      </c>
      <c r="S100" s="302">
        <v>10</v>
      </c>
      <c r="T100" s="302">
        <v>5</v>
      </c>
      <c r="U100" s="302">
        <v>0.7</v>
      </c>
      <c r="V100" s="306">
        <v>0.7</v>
      </c>
      <c r="W100" s="302">
        <v>0.7</v>
      </c>
      <c r="X100" s="300">
        <v>2000</v>
      </c>
      <c r="Y100" s="300" t="s">
        <v>540</v>
      </c>
      <c r="Z100" s="300">
        <v>0.2</v>
      </c>
      <c r="AA100" s="300" t="s">
        <v>541</v>
      </c>
      <c r="AB100" s="300" t="s">
        <v>542</v>
      </c>
      <c r="AC100" s="300">
        <v>220</v>
      </c>
      <c r="AD100" s="158"/>
      <c r="AE100" s="188"/>
    </row>
    <row r="101" spans="1:31" ht="15.75">
      <c r="A101" s="300" t="s">
        <v>660</v>
      </c>
      <c r="B101" s="300">
        <v>8</v>
      </c>
      <c r="C101" s="300">
        <v>157</v>
      </c>
      <c r="D101" s="300" t="s">
        <v>585</v>
      </c>
      <c r="E101" s="300">
        <v>1</v>
      </c>
      <c r="F101" s="301">
        <v>45468.709027777775</v>
      </c>
      <c r="G101" s="300">
        <v>1</v>
      </c>
      <c r="H101" s="300">
        <v>51.380699999999997</v>
      </c>
      <c r="I101" s="300">
        <v>8.3799499999999991</v>
      </c>
      <c r="J101" s="300">
        <v>-24.983238</v>
      </c>
      <c r="K101" s="300">
        <v>-23.249056</v>
      </c>
      <c r="L101" s="300">
        <v>1079.8</v>
      </c>
      <c r="M101" s="300">
        <v>69.500292000000002</v>
      </c>
      <c r="N101" s="300">
        <v>11709.44749</v>
      </c>
      <c r="O101" s="300">
        <v>11738.35743</v>
      </c>
      <c r="P101" s="302">
        <v>2056.1573749999998</v>
      </c>
      <c r="Q101" s="302" t="s">
        <v>12</v>
      </c>
      <c r="R101" s="302" t="s">
        <v>553</v>
      </c>
      <c r="S101" s="302">
        <v>10</v>
      </c>
      <c r="T101" s="302">
        <v>5</v>
      </c>
      <c r="U101" s="302">
        <v>0.7</v>
      </c>
      <c r="V101" s="306">
        <v>0.7</v>
      </c>
      <c r="W101" s="302">
        <v>0.7</v>
      </c>
      <c r="X101" s="300">
        <v>2000</v>
      </c>
      <c r="Y101" s="300" t="s">
        <v>540</v>
      </c>
      <c r="Z101" s="300">
        <v>0.2</v>
      </c>
      <c r="AA101" s="300" t="s">
        <v>541</v>
      </c>
      <c r="AB101" s="300" t="s">
        <v>542</v>
      </c>
      <c r="AC101" s="300">
        <v>220</v>
      </c>
      <c r="AD101" s="158"/>
      <c r="AE101" s="188"/>
    </row>
    <row r="102" spans="1:31" ht="15.75">
      <c r="A102" s="300" t="s">
        <v>661</v>
      </c>
      <c r="B102" s="300">
        <v>8</v>
      </c>
      <c r="C102" s="300">
        <v>157</v>
      </c>
      <c r="D102" s="300" t="s">
        <v>585</v>
      </c>
      <c r="E102" s="300">
        <v>1</v>
      </c>
      <c r="F102" s="301">
        <v>45468.711805555555</v>
      </c>
      <c r="G102" s="300">
        <v>1</v>
      </c>
      <c r="H102" s="300">
        <v>51.377400000000002</v>
      </c>
      <c r="I102" s="300">
        <v>8.2562999999999995</v>
      </c>
      <c r="J102" s="300">
        <v>-24.923680999999998</v>
      </c>
      <c r="K102" s="300">
        <v>-22.589762</v>
      </c>
      <c r="L102" s="300">
        <v>1084.48</v>
      </c>
      <c r="M102" s="300">
        <v>64.000163999999998</v>
      </c>
      <c r="N102" s="300">
        <v>11665.33236</v>
      </c>
      <c r="O102" s="302">
        <v>11738.35743</v>
      </c>
      <c r="P102" s="302">
        <v>2056.1573749999998</v>
      </c>
      <c r="Q102" s="302" t="s">
        <v>12</v>
      </c>
      <c r="R102" s="302" t="s">
        <v>553</v>
      </c>
      <c r="S102" s="302">
        <v>10</v>
      </c>
      <c r="T102" s="302">
        <v>5</v>
      </c>
      <c r="U102" s="302">
        <v>0.7</v>
      </c>
      <c r="V102" s="302">
        <v>0.7</v>
      </c>
      <c r="W102" s="302">
        <v>0.7</v>
      </c>
      <c r="X102" s="300">
        <v>2000</v>
      </c>
      <c r="Y102" s="300" t="s">
        <v>540</v>
      </c>
      <c r="Z102" s="300">
        <v>0.2</v>
      </c>
      <c r="AA102" s="300" t="s">
        <v>541</v>
      </c>
      <c r="AB102" s="300" t="s">
        <v>542</v>
      </c>
      <c r="AC102" s="300">
        <v>220</v>
      </c>
      <c r="AD102" s="158"/>
      <c r="AE102" s="188"/>
    </row>
    <row r="103" spans="1:31" ht="15.75">
      <c r="A103" s="300" t="s">
        <v>662</v>
      </c>
      <c r="B103" s="300">
        <v>8</v>
      </c>
      <c r="C103" s="300">
        <v>157</v>
      </c>
      <c r="D103" s="300" t="s">
        <v>585</v>
      </c>
      <c r="E103" s="300">
        <v>1</v>
      </c>
      <c r="F103" s="301">
        <v>45468.714583333334</v>
      </c>
      <c r="G103" s="300">
        <v>1</v>
      </c>
      <c r="H103" s="300">
        <v>51.377400000000002</v>
      </c>
      <c r="I103" s="300">
        <v>8.3050300000000004</v>
      </c>
      <c r="J103" s="300">
        <v>-24.839631000000001</v>
      </c>
      <c r="K103" s="300">
        <v>-23.261462999999999</v>
      </c>
      <c r="L103" s="300">
        <v>1074.46</v>
      </c>
      <c r="M103" s="300">
        <v>66.998828000000003</v>
      </c>
      <c r="N103" s="300">
        <v>11738.00842</v>
      </c>
      <c r="O103" s="302">
        <v>11738.35743</v>
      </c>
      <c r="P103" s="302">
        <v>2056.1573749999998</v>
      </c>
      <c r="Q103" s="302" t="s">
        <v>12</v>
      </c>
      <c r="R103" s="302" t="s">
        <v>539</v>
      </c>
      <c r="S103" s="302">
        <v>10</v>
      </c>
      <c r="T103" s="302">
        <v>5</v>
      </c>
      <c r="U103" s="302">
        <v>0.7</v>
      </c>
      <c r="V103" s="302">
        <v>0.7</v>
      </c>
      <c r="W103" s="302">
        <v>0.7</v>
      </c>
      <c r="X103" s="300">
        <v>2000</v>
      </c>
      <c r="Y103" s="300" t="s">
        <v>540</v>
      </c>
      <c r="Z103" s="300">
        <v>0.2</v>
      </c>
      <c r="AA103" s="300" t="s">
        <v>541</v>
      </c>
      <c r="AB103" s="300" t="s">
        <v>542</v>
      </c>
      <c r="AC103" s="300">
        <v>220</v>
      </c>
      <c r="AD103" s="158"/>
      <c r="AE103" s="188"/>
    </row>
    <row r="104" spans="1:31" ht="15.75">
      <c r="A104" s="300" t="s">
        <v>663</v>
      </c>
      <c r="B104" s="300">
        <v>8</v>
      </c>
      <c r="C104" s="300">
        <v>157</v>
      </c>
      <c r="D104" s="300" t="s">
        <v>585</v>
      </c>
      <c r="E104" s="300">
        <v>1</v>
      </c>
      <c r="F104" s="301">
        <v>45468.717361111114</v>
      </c>
      <c r="G104" s="300">
        <v>1</v>
      </c>
      <c r="H104" s="300">
        <v>51.377400000000002</v>
      </c>
      <c r="I104" s="300">
        <v>8.2921399999999998</v>
      </c>
      <c r="J104" s="300">
        <v>-24.881755999999999</v>
      </c>
      <c r="K104" s="300">
        <v>-23.310749999999999</v>
      </c>
      <c r="L104" s="300">
        <v>1066.67</v>
      </c>
      <c r="M104" s="300">
        <v>68.000939000000002</v>
      </c>
      <c r="N104" s="300">
        <v>11738.70644</v>
      </c>
      <c r="O104" s="302">
        <v>11738.35743</v>
      </c>
      <c r="P104" s="302">
        <v>2056.1573749999998</v>
      </c>
      <c r="Q104" s="302" t="s">
        <v>12</v>
      </c>
      <c r="R104" s="302" t="s">
        <v>539</v>
      </c>
      <c r="S104" s="302">
        <v>10</v>
      </c>
      <c r="T104" s="302">
        <v>5</v>
      </c>
      <c r="U104" s="302">
        <v>0.7</v>
      </c>
      <c r="V104" s="302">
        <v>0.7</v>
      </c>
      <c r="W104" s="302">
        <v>0.7</v>
      </c>
      <c r="X104" s="300">
        <v>2000</v>
      </c>
      <c r="Y104" s="300" t="s">
        <v>540</v>
      </c>
      <c r="Z104" s="300">
        <v>0.2</v>
      </c>
      <c r="AA104" s="300" t="s">
        <v>541</v>
      </c>
      <c r="AB104" s="300" t="s">
        <v>542</v>
      </c>
      <c r="AC104" s="300">
        <v>220</v>
      </c>
      <c r="AD104" s="158"/>
      <c r="AE104" s="188"/>
    </row>
    <row r="105" spans="1:31" ht="15.75">
      <c r="A105" s="300" t="s">
        <v>664</v>
      </c>
      <c r="B105" s="300">
        <v>9</v>
      </c>
      <c r="C105" s="300">
        <v>158</v>
      </c>
      <c r="D105" s="300" t="s">
        <v>589</v>
      </c>
      <c r="E105" s="300">
        <v>1</v>
      </c>
      <c r="F105" s="301">
        <v>45468.720833333333</v>
      </c>
      <c r="G105" s="300">
        <v>1</v>
      </c>
      <c r="H105" s="300">
        <v>51.380699999999997</v>
      </c>
      <c r="I105" s="300">
        <v>8.2418200000000006</v>
      </c>
      <c r="J105" s="300">
        <v>-24.710519000000001</v>
      </c>
      <c r="K105" s="300">
        <v>-22.986856</v>
      </c>
      <c r="L105" s="300">
        <v>1080.42</v>
      </c>
      <c r="M105" s="300">
        <v>67.999803</v>
      </c>
      <c r="N105" s="300">
        <v>11720.013559999999</v>
      </c>
      <c r="O105" s="302">
        <v>11727.038409999999</v>
      </c>
      <c r="P105" s="302">
        <v>2054.1585249999998</v>
      </c>
      <c r="Q105" s="302" t="s">
        <v>12</v>
      </c>
      <c r="R105" s="302" t="s">
        <v>539</v>
      </c>
      <c r="S105" s="302">
        <v>10</v>
      </c>
      <c r="T105" s="302">
        <v>5</v>
      </c>
      <c r="U105" s="302">
        <v>0.7</v>
      </c>
      <c r="V105" s="302">
        <v>0.7</v>
      </c>
      <c r="W105" s="302">
        <v>0.7</v>
      </c>
      <c r="X105" s="300">
        <v>2000</v>
      </c>
      <c r="Y105" s="300" t="s">
        <v>540</v>
      </c>
      <c r="Z105" s="300">
        <v>0.2</v>
      </c>
      <c r="AA105" s="300" t="s">
        <v>541</v>
      </c>
      <c r="AB105" s="300" t="s">
        <v>542</v>
      </c>
      <c r="AC105" s="300">
        <v>220</v>
      </c>
      <c r="AD105" s="158"/>
      <c r="AE105" s="188"/>
    </row>
    <row r="106" spans="1:31" ht="15.75">
      <c r="A106" s="300" t="s">
        <v>665</v>
      </c>
      <c r="B106" s="300">
        <v>9</v>
      </c>
      <c r="C106" s="300">
        <v>158</v>
      </c>
      <c r="D106" s="300" t="s">
        <v>589</v>
      </c>
      <c r="E106" s="300">
        <v>1</v>
      </c>
      <c r="F106" s="301">
        <v>45468.723611111112</v>
      </c>
      <c r="G106" s="300">
        <v>1</v>
      </c>
      <c r="H106" s="300">
        <v>51.384</v>
      </c>
      <c r="I106" s="300">
        <v>8.1489799999999999</v>
      </c>
      <c r="J106" s="300">
        <v>-24.888425000000002</v>
      </c>
      <c r="K106" s="300">
        <v>-22.993956000000001</v>
      </c>
      <c r="L106" s="300">
        <v>1088.8800000000001</v>
      </c>
      <c r="M106" s="300">
        <v>63.999676000000001</v>
      </c>
      <c r="N106" s="300">
        <v>11734.063249999999</v>
      </c>
      <c r="O106" s="302">
        <v>11727.038409999999</v>
      </c>
      <c r="P106" s="302">
        <v>2054.1585249999998</v>
      </c>
      <c r="Q106" s="302" t="s">
        <v>12</v>
      </c>
      <c r="R106" s="302" t="s">
        <v>539</v>
      </c>
      <c r="S106" s="302">
        <v>10</v>
      </c>
      <c r="T106" s="302">
        <v>5</v>
      </c>
      <c r="U106" s="302">
        <v>0.7</v>
      </c>
      <c r="V106" s="302">
        <v>0.7</v>
      </c>
      <c r="W106" s="302">
        <v>0.7</v>
      </c>
      <c r="X106" s="300">
        <v>2000</v>
      </c>
      <c r="Y106" s="300" t="s">
        <v>540</v>
      </c>
      <c r="Z106" s="300">
        <v>0.2</v>
      </c>
      <c r="AA106" s="300" t="s">
        <v>541</v>
      </c>
      <c r="AB106" s="300" t="s">
        <v>542</v>
      </c>
      <c r="AC106" s="300">
        <v>220</v>
      </c>
      <c r="AD106" s="158"/>
      <c r="AE106" s="188"/>
    </row>
    <row r="107" spans="1:31" ht="15.75">
      <c r="A107" s="300" t="s">
        <v>666</v>
      </c>
      <c r="B107" s="300" t="s">
        <v>551</v>
      </c>
      <c r="C107" s="300" t="s">
        <v>552</v>
      </c>
      <c r="D107" s="300" t="s">
        <v>538</v>
      </c>
      <c r="E107" s="300">
        <v>0.8</v>
      </c>
      <c r="F107" s="301">
        <v>45468.727083333331</v>
      </c>
      <c r="G107" s="300">
        <v>1</v>
      </c>
      <c r="H107" s="300">
        <v>51.380699999999997</v>
      </c>
      <c r="I107" s="300">
        <v>8.2292500000000004</v>
      </c>
      <c r="J107" s="300">
        <v>-24.820450000000001</v>
      </c>
      <c r="K107" s="300">
        <v>-23.672913000000001</v>
      </c>
      <c r="L107" s="300">
        <v>1028.8599999999999</v>
      </c>
      <c r="M107" s="300">
        <v>69.499099999999999</v>
      </c>
      <c r="N107" s="300">
        <v>9479.3521170000004</v>
      </c>
      <c r="O107" s="300">
        <v>9461.3288890000003</v>
      </c>
      <c r="P107" s="302">
        <v>2070.3456999999999</v>
      </c>
      <c r="Q107" s="302" t="s">
        <v>12</v>
      </c>
      <c r="R107" s="302" t="s">
        <v>553</v>
      </c>
      <c r="S107" s="302">
        <v>10</v>
      </c>
      <c r="T107" s="302">
        <v>5</v>
      </c>
      <c r="U107" s="302">
        <v>0.7</v>
      </c>
      <c r="V107" s="306">
        <v>0.7</v>
      </c>
      <c r="W107" s="302">
        <v>0.7</v>
      </c>
      <c r="X107" s="300">
        <v>2000</v>
      </c>
      <c r="Y107" s="300" t="s">
        <v>540</v>
      </c>
      <c r="Z107" s="300">
        <v>0.2</v>
      </c>
      <c r="AA107" s="300" t="s">
        <v>541</v>
      </c>
      <c r="AB107" s="300" t="s">
        <v>542</v>
      </c>
      <c r="AC107" s="300">
        <v>220</v>
      </c>
      <c r="AD107" s="158"/>
      <c r="AE107" s="188"/>
    </row>
    <row r="108" spans="1:31" ht="15.75">
      <c r="A108" s="300" t="s">
        <v>667</v>
      </c>
      <c r="B108" s="300" t="s">
        <v>551</v>
      </c>
      <c r="C108" s="300" t="s">
        <v>552</v>
      </c>
      <c r="D108" s="300" t="s">
        <v>538</v>
      </c>
      <c r="E108" s="300">
        <v>0.8</v>
      </c>
      <c r="F108" s="301">
        <v>45468.729166666664</v>
      </c>
      <c r="G108" s="300">
        <v>1</v>
      </c>
      <c r="H108" s="300">
        <v>51.380699999999997</v>
      </c>
      <c r="I108" s="300">
        <v>8.2710799999999995</v>
      </c>
      <c r="J108" s="300">
        <v>-24.900269000000002</v>
      </c>
      <c r="K108" s="300">
        <v>-23.178063000000002</v>
      </c>
      <c r="L108" s="300">
        <v>1019.74</v>
      </c>
      <c r="M108" s="300">
        <v>64.500690000000006</v>
      </c>
      <c r="N108" s="300">
        <v>9434.8468570000005</v>
      </c>
      <c r="O108" s="300">
        <v>9461.3288890000003</v>
      </c>
      <c r="P108" s="302">
        <v>2070.3456999999999</v>
      </c>
      <c r="Q108" s="302" t="s">
        <v>12</v>
      </c>
      <c r="R108" s="302" t="s">
        <v>553</v>
      </c>
      <c r="S108" s="302">
        <v>10</v>
      </c>
      <c r="T108" s="302">
        <v>5</v>
      </c>
      <c r="U108" s="302">
        <v>0.7</v>
      </c>
      <c r="V108" s="306">
        <v>0.7</v>
      </c>
      <c r="W108" s="302">
        <v>0.7</v>
      </c>
      <c r="X108" s="300">
        <v>2000</v>
      </c>
      <c r="Y108" s="300" t="s">
        <v>540</v>
      </c>
      <c r="Z108" s="300">
        <v>0.2</v>
      </c>
      <c r="AA108" s="300" t="s">
        <v>541</v>
      </c>
      <c r="AB108" s="300" t="s">
        <v>542</v>
      </c>
      <c r="AC108" s="300">
        <v>220</v>
      </c>
      <c r="AD108" s="158"/>
      <c r="AE108" s="188"/>
    </row>
    <row r="109" spans="1:31" ht="15.75">
      <c r="A109" s="300" t="s">
        <v>668</v>
      </c>
      <c r="B109" s="300" t="s">
        <v>551</v>
      </c>
      <c r="C109" s="300" t="s">
        <v>552</v>
      </c>
      <c r="D109" s="300" t="s">
        <v>538</v>
      </c>
      <c r="E109" s="300">
        <v>0.8</v>
      </c>
      <c r="F109" s="301">
        <v>45468.731944444444</v>
      </c>
      <c r="G109" s="300">
        <v>1</v>
      </c>
      <c r="H109" s="300">
        <v>51.377400000000002</v>
      </c>
      <c r="I109" s="300">
        <v>8.2541499999999992</v>
      </c>
      <c r="J109" s="300">
        <v>-24.913361999999999</v>
      </c>
      <c r="K109" s="300">
        <v>-23.572431000000002</v>
      </c>
      <c r="L109" s="300">
        <v>1017.68</v>
      </c>
      <c r="M109" s="300">
        <v>67.000054000000006</v>
      </c>
      <c r="N109" s="300">
        <v>9458.2543650000007</v>
      </c>
      <c r="O109" s="300">
        <v>9461.3288890000003</v>
      </c>
      <c r="P109" s="302">
        <v>2070.3456999999999</v>
      </c>
      <c r="Q109" s="302" t="s">
        <v>12</v>
      </c>
      <c r="R109" s="302" t="s">
        <v>539</v>
      </c>
      <c r="S109" s="302">
        <v>10</v>
      </c>
      <c r="T109" s="302">
        <v>5</v>
      </c>
      <c r="U109" s="302">
        <v>0.7</v>
      </c>
      <c r="V109" s="306">
        <v>0.7</v>
      </c>
      <c r="W109" s="302">
        <v>0.7</v>
      </c>
      <c r="X109" s="300">
        <v>2000</v>
      </c>
      <c r="Y109" s="300" t="s">
        <v>540</v>
      </c>
      <c r="Z109" s="300">
        <v>0.2</v>
      </c>
      <c r="AA109" s="300" t="s">
        <v>541</v>
      </c>
      <c r="AB109" s="300" t="s">
        <v>542</v>
      </c>
      <c r="AC109" s="300">
        <v>220</v>
      </c>
      <c r="AD109" s="158"/>
      <c r="AE109" s="188"/>
    </row>
    <row r="110" spans="1:31" ht="15.75">
      <c r="A110" s="300" t="s">
        <v>669</v>
      </c>
      <c r="B110" s="300" t="s">
        <v>551</v>
      </c>
      <c r="C110" s="300" t="s">
        <v>552</v>
      </c>
      <c r="D110" s="300" t="s">
        <v>538</v>
      </c>
      <c r="E110" s="300">
        <v>0.8</v>
      </c>
      <c r="F110" s="301">
        <v>45468.734722222223</v>
      </c>
      <c r="G110" s="300">
        <v>1</v>
      </c>
      <c r="H110" s="300">
        <v>51.377400000000002</v>
      </c>
      <c r="I110" s="300">
        <v>8.3010300000000008</v>
      </c>
      <c r="J110" s="300">
        <v>-24.863775</v>
      </c>
      <c r="K110" s="300">
        <v>-23.454205999999999</v>
      </c>
      <c r="L110" s="300">
        <v>1005.84</v>
      </c>
      <c r="M110" s="300">
        <v>65.500693999999996</v>
      </c>
      <c r="N110" s="300">
        <v>9464.403413</v>
      </c>
      <c r="O110" s="300">
        <v>9461.3288890000003</v>
      </c>
      <c r="P110" s="302">
        <v>2070.3456999999999</v>
      </c>
      <c r="Q110" s="302" t="s">
        <v>12</v>
      </c>
      <c r="R110" s="302" t="s">
        <v>539</v>
      </c>
      <c r="S110" s="302">
        <v>10</v>
      </c>
      <c r="T110" s="302">
        <v>5</v>
      </c>
      <c r="U110" s="302">
        <v>0.7</v>
      </c>
      <c r="V110" s="306">
        <v>0.7</v>
      </c>
      <c r="W110" s="302">
        <v>0.7</v>
      </c>
      <c r="X110" s="300">
        <v>2000</v>
      </c>
      <c r="Y110" s="300" t="s">
        <v>540</v>
      </c>
      <c r="Z110" s="300">
        <v>0.2</v>
      </c>
      <c r="AA110" s="300" t="s">
        <v>541</v>
      </c>
      <c r="AB110" s="300" t="s">
        <v>542</v>
      </c>
      <c r="AC110" s="300">
        <v>220</v>
      </c>
      <c r="AD110" s="158"/>
      <c r="AE110" s="188"/>
    </row>
    <row r="111" spans="1:31" ht="15.75">
      <c r="A111" s="303" t="s">
        <v>670</v>
      </c>
      <c r="B111" s="303" t="s">
        <v>558</v>
      </c>
      <c r="C111" s="303" t="s">
        <v>552</v>
      </c>
      <c r="D111" s="303" t="s">
        <v>538</v>
      </c>
      <c r="E111" s="303">
        <v>1</v>
      </c>
      <c r="F111" s="304">
        <v>45468.737500000003</v>
      </c>
      <c r="G111" s="303">
        <v>1</v>
      </c>
      <c r="H111" s="303">
        <v>51.377400000000002</v>
      </c>
      <c r="I111" s="303">
        <v>8.2247400000000006</v>
      </c>
      <c r="J111" s="303">
        <v>-24.869425</v>
      </c>
      <c r="K111" s="303">
        <v>-23.285775000000001</v>
      </c>
      <c r="L111" s="303">
        <v>1098.32</v>
      </c>
      <c r="M111" s="303">
        <v>68.499951999999993</v>
      </c>
      <c r="N111" s="303">
        <v>11826.21315</v>
      </c>
      <c r="O111" s="303">
        <v>11829.165000000001</v>
      </c>
      <c r="P111" s="305">
        <v>2070.3456999999999</v>
      </c>
      <c r="Q111" s="302" t="s">
        <v>12</v>
      </c>
      <c r="R111" s="308" t="s">
        <v>539</v>
      </c>
      <c r="S111" s="308">
        <v>10</v>
      </c>
      <c r="T111" s="308">
        <v>5</v>
      </c>
      <c r="U111" s="308">
        <v>0.7</v>
      </c>
      <c r="V111" s="309">
        <v>0.7</v>
      </c>
      <c r="W111" s="308">
        <v>0.7</v>
      </c>
      <c r="X111" s="310">
        <v>2000</v>
      </c>
      <c r="Y111" s="310" t="s">
        <v>540</v>
      </c>
      <c r="Z111" s="310">
        <v>0.2</v>
      </c>
      <c r="AA111" s="310" t="s">
        <v>541</v>
      </c>
      <c r="AB111" s="310" t="s">
        <v>542</v>
      </c>
      <c r="AC111" s="310">
        <v>220</v>
      </c>
      <c r="AD111" s="158"/>
      <c r="AE111" s="188"/>
    </row>
    <row r="112" spans="1:31" ht="15.75">
      <c r="A112" s="300" t="s">
        <v>671</v>
      </c>
      <c r="B112" s="300" t="s">
        <v>558</v>
      </c>
      <c r="C112" s="300" t="s">
        <v>552</v>
      </c>
      <c r="D112" s="300" t="s">
        <v>538</v>
      </c>
      <c r="E112" s="300">
        <v>1</v>
      </c>
      <c r="F112" s="301">
        <v>45468.740277777775</v>
      </c>
      <c r="G112" s="300">
        <v>1</v>
      </c>
      <c r="H112" s="300">
        <v>51.384</v>
      </c>
      <c r="I112" s="300">
        <v>8.1519399999999997</v>
      </c>
      <c r="J112" s="300">
        <v>-24.892925000000002</v>
      </c>
      <c r="K112" s="300">
        <v>-23.199543999999999</v>
      </c>
      <c r="L112" s="300">
        <v>1099.3800000000001</v>
      </c>
      <c r="M112" s="300">
        <v>66.998260000000002</v>
      </c>
      <c r="N112" s="300">
        <v>11832.11686</v>
      </c>
      <c r="O112" s="300">
        <v>11829.165000000001</v>
      </c>
      <c r="P112" s="302">
        <v>2070.3456999999999</v>
      </c>
      <c r="Q112" s="302" t="s">
        <v>12</v>
      </c>
      <c r="R112" s="302" t="s">
        <v>539</v>
      </c>
      <c r="S112" s="302">
        <v>10</v>
      </c>
      <c r="T112" s="302">
        <v>5</v>
      </c>
      <c r="U112" s="302">
        <v>0.7</v>
      </c>
      <c r="V112" s="306">
        <v>0.7</v>
      </c>
      <c r="W112" s="302">
        <v>0.7</v>
      </c>
      <c r="X112" s="300">
        <v>2000</v>
      </c>
      <c r="Y112" s="300" t="s">
        <v>540</v>
      </c>
      <c r="Z112" s="300">
        <v>0.2</v>
      </c>
      <c r="AA112" s="300" t="s">
        <v>541</v>
      </c>
      <c r="AB112" s="300" t="s">
        <v>542</v>
      </c>
      <c r="AC112" s="300">
        <v>220</v>
      </c>
      <c r="AD112" s="158"/>
      <c r="AE112" s="188"/>
    </row>
    <row r="113" spans="1:31" ht="15.75">
      <c r="A113" s="300" t="s">
        <v>672</v>
      </c>
      <c r="B113" s="300" t="s">
        <v>561</v>
      </c>
      <c r="C113" s="300" t="s">
        <v>552</v>
      </c>
      <c r="D113" s="300" t="s">
        <v>538</v>
      </c>
      <c r="E113" s="300">
        <v>1.2</v>
      </c>
      <c r="F113" s="301">
        <v>45468.743055555555</v>
      </c>
      <c r="G113" s="300">
        <v>1</v>
      </c>
      <c r="H113" s="300">
        <v>51.374099999999999</v>
      </c>
      <c r="I113" s="300">
        <v>8.2570499999999996</v>
      </c>
      <c r="J113" s="300">
        <v>-24.842063</v>
      </c>
      <c r="K113" s="300">
        <v>-22.678925</v>
      </c>
      <c r="L113" s="300">
        <v>1103.3800000000001</v>
      </c>
      <c r="M113" s="300">
        <v>67.998654000000002</v>
      </c>
      <c r="N113" s="300">
        <v>14157.785379999999</v>
      </c>
      <c r="O113" s="300">
        <v>14187.53083</v>
      </c>
      <c r="P113" s="302">
        <v>2070.3456999999999</v>
      </c>
      <c r="Q113" s="302" t="s">
        <v>12</v>
      </c>
      <c r="R113" s="302" t="s">
        <v>553</v>
      </c>
      <c r="S113" s="302">
        <v>10</v>
      </c>
      <c r="T113" s="302">
        <v>5</v>
      </c>
      <c r="U113" s="302">
        <v>0.7</v>
      </c>
      <c r="V113" s="306">
        <v>0.7</v>
      </c>
      <c r="W113" s="302">
        <v>0.7</v>
      </c>
      <c r="X113" s="300">
        <v>2000</v>
      </c>
      <c r="Y113" s="300" t="s">
        <v>540</v>
      </c>
      <c r="Z113" s="300">
        <v>0.2</v>
      </c>
      <c r="AA113" s="300" t="s">
        <v>541</v>
      </c>
      <c r="AB113" s="300" t="s">
        <v>542</v>
      </c>
      <c r="AC113" s="300">
        <v>220</v>
      </c>
      <c r="AD113" s="158"/>
      <c r="AE113" s="188"/>
    </row>
    <row r="114" spans="1:31" ht="15.75">
      <c r="A114" s="300" t="s">
        <v>673</v>
      </c>
      <c r="B114" s="300" t="s">
        <v>561</v>
      </c>
      <c r="C114" s="300" t="s">
        <v>552</v>
      </c>
      <c r="D114" s="300" t="s">
        <v>538</v>
      </c>
      <c r="E114" s="300">
        <v>1.2</v>
      </c>
      <c r="F114" s="301">
        <v>45468.745833333334</v>
      </c>
      <c r="G114" s="300">
        <v>1</v>
      </c>
      <c r="H114" s="300">
        <v>51.377400000000002</v>
      </c>
      <c r="I114" s="300">
        <v>8.4248600000000007</v>
      </c>
      <c r="J114" s="300">
        <v>-24.833825000000001</v>
      </c>
      <c r="K114" s="300">
        <v>-23.433425</v>
      </c>
      <c r="L114" s="300">
        <v>1119.95</v>
      </c>
      <c r="M114" s="300">
        <v>76.500337000000002</v>
      </c>
      <c r="N114" s="300">
        <v>14190.850179999999</v>
      </c>
      <c r="O114" s="300">
        <v>14187.53083</v>
      </c>
      <c r="P114" s="302">
        <v>2070.3456999999999</v>
      </c>
      <c r="Q114" s="302" t="s">
        <v>12</v>
      </c>
      <c r="R114" s="302" t="s">
        <v>539</v>
      </c>
      <c r="S114" s="302">
        <v>10</v>
      </c>
      <c r="T114" s="302">
        <v>5</v>
      </c>
      <c r="U114" s="302">
        <v>0.7</v>
      </c>
      <c r="V114" s="306">
        <v>0.7</v>
      </c>
      <c r="W114" s="302">
        <v>0.7</v>
      </c>
      <c r="X114" s="300">
        <v>2000</v>
      </c>
      <c r="Y114" s="300" t="s">
        <v>540</v>
      </c>
      <c r="Z114" s="300">
        <v>0.2</v>
      </c>
      <c r="AA114" s="300" t="s">
        <v>541</v>
      </c>
      <c r="AB114" s="300" t="s">
        <v>542</v>
      </c>
      <c r="AC114" s="300">
        <v>220</v>
      </c>
      <c r="AD114" s="158"/>
      <c r="AE114" s="188"/>
    </row>
    <row r="115" spans="1:31" ht="15.75">
      <c r="A115" s="300" t="s">
        <v>674</v>
      </c>
      <c r="B115" s="300" t="s">
        <v>561</v>
      </c>
      <c r="C115" s="300" t="s">
        <v>552</v>
      </c>
      <c r="D115" s="300" t="s">
        <v>538</v>
      </c>
      <c r="E115" s="300">
        <v>1.2</v>
      </c>
      <c r="F115" s="301">
        <v>45468.749305555553</v>
      </c>
      <c r="G115" s="300">
        <v>1</v>
      </c>
      <c r="H115" s="300">
        <v>51.380699999999997</v>
      </c>
      <c r="I115" s="300">
        <v>8.3894400000000005</v>
      </c>
      <c r="J115" s="300">
        <v>-24.872143999999999</v>
      </c>
      <c r="K115" s="300">
        <v>-22.918569000000002</v>
      </c>
      <c r="L115" s="300">
        <v>1155.21</v>
      </c>
      <c r="M115" s="300">
        <v>70.999195</v>
      </c>
      <c r="N115" s="300">
        <v>14184.21147</v>
      </c>
      <c r="O115" s="300">
        <v>14187.53083</v>
      </c>
      <c r="P115" s="302">
        <v>2070.3456999999999</v>
      </c>
      <c r="Q115" s="302" t="s">
        <v>12</v>
      </c>
      <c r="R115" s="302" t="s">
        <v>539</v>
      </c>
      <c r="S115" s="302">
        <v>10</v>
      </c>
      <c r="T115" s="302">
        <v>5</v>
      </c>
      <c r="U115" s="302">
        <v>0.7</v>
      </c>
      <c r="V115" s="306">
        <v>0.7</v>
      </c>
      <c r="W115" s="302">
        <v>0.7</v>
      </c>
      <c r="X115" s="300">
        <v>2000</v>
      </c>
      <c r="Y115" s="300" t="s">
        <v>540</v>
      </c>
      <c r="Z115" s="300">
        <v>0.2</v>
      </c>
      <c r="AA115" s="300" t="s">
        <v>541</v>
      </c>
      <c r="AB115" s="300" t="s">
        <v>542</v>
      </c>
      <c r="AC115" s="300">
        <v>220</v>
      </c>
      <c r="AD115" s="158"/>
      <c r="AE115" s="188"/>
    </row>
    <row r="116" spans="1:31" ht="15.75">
      <c r="A116" s="300" t="s">
        <v>536</v>
      </c>
      <c r="B116" s="300" t="s">
        <v>537</v>
      </c>
      <c r="C116" s="300" t="s">
        <v>675</v>
      </c>
      <c r="D116" s="300" t="s">
        <v>538</v>
      </c>
      <c r="E116" s="300">
        <v>1</v>
      </c>
      <c r="F116" s="311">
        <v>45469.415972222225</v>
      </c>
      <c r="G116" s="300">
        <v>1</v>
      </c>
      <c r="H116" s="300">
        <v>51.374099999999999</v>
      </c>
      <c r="I116" s="300">
        <v>10.192399999999999</v>
      </c>
      <c r="J116" s="300">
        <v>-23.694056</v>
      </c>
      <c r="K116" s="300">
        <v>-21.37555</v>
      </c>
      <c r="L116" s="300">
        <v>1016.75</v>
      </c>
      <c r="M116" s="300">
        <v>64.499926000000002</v>
      </c>
      <c r="N116" s="300">
        <v>11451.86282</v>
      </c>
      <c r="O116" s="300">
        <v>11451.86282</v>
      </c>
      <c r="P116" s="302">
        <v>2004.7868960000001</v>
      </c>
      <c r="Q116" s="302" t="s">
        <v>12</v>
      </c>
      <c r="R116" s="302" t="s">
        <v>539</v>
      </c>
      <c r="S116" s="302">
        <v>10</v>
      </c>
      <c r="T116" s="302">
        <v>5</v>
      </c>
      <c r="U116" s="302">
        <v>0.7</v>
      </c>
      <c r="V116" s="306">
        <v>0.7</v>
      </c>
      <c r="W116" s="302">
        <v>0.7</v>
      </c>
      <c r="X116" s="300">
        <v>2000</v>
      </c>
      <c r="Y116" s="300" t="s">
        <v>540</v>
      </c>
      <c r="Z116" s="300">
        <v>0.2</v>
      </c>
      <c r="AA116" s="300" t="s">
        <v>541</v>
      </c>
      <c r="AB116" s="300" t="s">
        <v>542</v>
      </c>
      <c r="AC116" s="300">
        <v>220</v>
      </c>
      <c r="AD116" s="158"/>
      <c r="AE116" s="188"/>
    </row>
    <row r="117" spans="1:31" ht="15.75">
      <c r="A117" s="300" t="s">
        <v>543</v>
      </c>
      <c r="B117" s="300" t="s">
        <v>537</v>
      </c>
      <c r="C117" s="300" t="s">
        <v>675</v>
      </c>
      <c r="D117" s="300" t="s">
        <v>538</v>
      </c>
      <c r="E117" s="300">
        <v>1</v>
      </c>
      <c r="F117" s="311">
        <v>45469.418055555558</v>
      </c>
      <c r="G117" s="300">
        <v>1</v>
      </c>
      <c r="H117" s="300">
        <v>51.370800000000003</v>
      </c>
      <c r="I117" s="300">
        <v>10.966699999999999</v>
      </c>
      <c r="J117" s="300">
        <v>-23.894030999999998</v>
      </c>
      <c r="K117" s="300">
        <v>-22.266769</v>
      </c>
      <c r="L117" s="300">
        <v>1018.55</v>
      </c>
      <c r="M117" s="300">
        <v>69.499999000000003</v>
      </c>
      <c r="N117" s="300">
        <v>11415.39351</v>
      </c>
      <c r="O117" s="300">
        <v>11415.39351</v>
      </c>
      <c r="P117" s="302">
        <v>1998.3966419999999</v>
      </c>
      <c r="Q117" s="302" t="s">
        <v>12</v>
      </c>
      <c r="R117" s="302" t="s">
        <v>539</v>
      </c>
      <c r="S117" s="302">
        <v>10</v>
      </c>
      <c r="T117" s="302">
        <v>5</v>
      </c>
      <c r="U117" s="302">
        <v>0.7</v>
      </c>
      <c r="V117" s="306">
        <v>0.7</v>
      </c>
      <c r="W117" s="302">
        <v>0.7</v>
      </c>
      <c r="X117" s="300">
        <v>2000</v>
      </c>
      <c r="Y117" s="300" t="s">
        <v>540</v>
      </c>
      <c r="Z117" s="300">
        <v>0.2</v>
      </c>
      <c r="AA117" s="300" t="s">
        <v>541</v>
      </c>
      <c r="AB117" s="300" t="s">
        <v>542</v>
      </c>
      <c r="AC117" s="300">
        <v>220</v>
      </c>
      <c r="AD117" s="158"/>
      <c r="AE117" s="188"/>
    </row>
    <row r="118" spans="1:31" ht="15.75">
      <c r="A118" s="300" t="s">
        <v>544</v>
      </c>
      <c r="B118" s="300" t="s">
        <v>537</v>
      </c>
      <c r="C118" s="300" t="s">
        <v>675</v>
      </c>
      <c r="D118" s="300" t="s">
        <v>538</v>
      </c>
      <c r="E118" s="300">
        <v>1</v>
      </c>
      <c r="F118" s="311">
        <v>45469.42083333333</v>
      </c>
      <c r="G118" s="300">
        <v>1</v>
      </c>
      <c r="H118" s="300">
        <v>51.377400000000002</v>
      </c>
      <c r="I118" s="300">
        <v>10.388299999999999</v>
      </c>
      <c r="J118" s="300">
        <v>-23.882469</v>
      </c>
      <c r="K118" s="300">
        <v>-22.676155999999999</v>
      </c>
      <c r="L118" s="300">
        <v>1014.44</v>
      </c>
      <c r="M118" s="300">
        <v>74.499347999999998</v>
      </c>
      <c r="N118" s="300">
        <v>11458.204009999999</v>
      </c>
      <c r="O118" s="300">
        <v>11458.204009999999</v>
      </c>
      <c r="P118" s="302">
        <v>2005.898017</v>
      </c>
      <c r="Q118" s="302" t="s">
        <v>12</v>
      </c>
      <c r="R118" s="302" t="s">
        <v>539</v>
      </c>
      <c r="S118" s="302">
        <v>10</v>
      </c>
      <c r="T118" s="302">
        <v>5</v>
      </c>
      <c r="U118" s="302">
        <v>0.7</v>
      </c>
      <c r="V118" s="306">
        <v>0.7</v>
      </c>
      <c r="W118" s="302">
        <v>0.7</v>
      </c>
      <c r="X118" s="300">
        <v>2000</v>
      </c>
      <c r="Y118" s="300" t="s">
        <v>540</v>
      </c>
      <c r="Z118" s="300">
        <v>0.2</v>
      </c>
      <c r="AA118" s="300" t="s">
        <v>541</v>
      </c>
      <c r="AB118" s="300" t="s">
        <v>542</v>
      </c>
      <c r="AC118" s="300">
        <v>220</v>
      </c>
      <c r="AD118" s="158"/>
      <c r="AE118" s="188"/>
    </row>
    <row r="119" spans="1:31" ht="15.75">
      <c r="A119" s="300" t="s">
        <v>545</v>
      </c>
      <c r="B119" s="300" t="s">
        <v>537</v>
      </c>
      <c r="C119" s="300" t="s">
        <v>675</v>
      </c>
      <c r="D119" s="300" t="s">
        <v>538</v>
      </c>
      <c r="E119" s="300">
        <v>1</v>
      </c>
      <c r="F119" s="311">
        <v>45469.423611111109</v>
      </c>
      <c r="G119" s="300">
        <v>1</v>
      </c>
      <c r="H119" s="300">
        <v>51.374099999999999</v>
      </c>
      <c r="I119" s="300">
        <v>9.6050599999999999</v>
      </c>
      <c r="J119" s="300">
        <v>-24.013694000000001</v>
      </c>
      <c r="K119" s="300">
        <v>-22.783830999999999</v>
      </c>
      <c r="L119" s="300">
        <v>1019.41</v>
      </c>
      <c r="M119" s="300">
        <v>80.500251000000006</v>
      </c>
      <c r="N119" s="300">
        <v>11481.226070000001</v>
      </c>
      <c r="O119" s="300">
        <v>11481.226070000001</v>
      </c>
      <c r="P119" s="302">
        <v>2009.932008</v>
      </c>
      <c r="Q119" s="302" t="s">
        <v>12</v>
      </c>
      <c r="R119" s="302" t="s">
        <v>539</v>
      </c>
      <c r="S119" s="302">
        <v>10</v>
      </c>
      <c r="T119" s="302">
        <v>5</v>
      </c>
      <c r="U119" s="302">
        <v>0.7</v>
      </c>
      <c r="V119" s="306">
        <v>0.7</v>
      </c>
      <c r="W119" s="302">
        <v>0.7</v>
      </c>
      <c r="X119" s="300">
        <v>2000</v>
      </c>
      <c r="Y119" s="300" t="s">
        <v>540</v>
      </c>
      <c r="Z119" s="300">
        <v>0.2</v>
      </c>
      <c r="AA119" s="300" t="s">
        <v>541</v>
      </c>
      <c r="AB119" s="300" t="s">
        <v>542</v>
      </c>
      <c r="AC119" s="300">
        <v>220</v>
      </c>
      <c r="AD119" s="158"/>
      <c r="AE119" s="188"/>
    </row>
    <row r="120" spans="1:31" ht="15.75">
      <c r="A120" s="300" t="s">
        <v>546</v>
      </c>
      <c r="B120" s="300" t="s">
        <v>537</v>
      </c>
      <c r="C120" s="300" t="s">
        <v>675</v>
      </c>
      <c r="D120" s="300" t="s">
        <v>538</v>
      </c>
      <c r="E120" s="300">
        <v>1</v>
      </c>
      <c r="F120" s="311">
        <v>45469.426388888889</v>
      </c>
      <c r="G120" s="300">
        <v>1</v>
      </c>
      <c r="H120" s="300">
        <v>51.377400000000002</v>
      </c>
      <c r="I120" s="300">
        <v>8.9995799999999999</v>
      </c>
      <c r="J120" s="300">
        <v>-24.012650000000001</v>
      </c>
      <c r="K120" s="300">
        <v>-21.847874999999998</v>
      </c>
      <c r="L120" s="300">
        <v>1025.6199999999999</v>
      </c>
      <c r="M120" s="300">
        <v>70.000337999999999</v>
      </c>
      <c r="N120" s="300">
        <v>11451.73971</v>
      </c>
      <c r="O120" s="300">
        <v>11451.73971</v>
      </c>
      <c r="P120" s="302">
        <v>2004.765326</v>
      </c>
      <c r="Q120" s="302" t="s">
        <v>12</v>
      </c>
      <c r="R120" s="302" t="s">
        <v>539</v>
      </c>
      <c r="S120" s="302">
        <v>10</v>
      </c>
      <c r="T120" s="302">
        <v>5</v>
      </c>
      <c r="U120" s="302">
        <v>0.7</v>
      </c>
      <c r="V120" s="306">
        <v>0.7</v>
      </c>
      <c r="W120" s="302">
        <v>0.7</v>
      </c>
      <c r="X120" s="300">
        <v>2000</v>
      </c>
      <c r="Y120" s="300" t="s">
        <v>540</v>
      </c>
      <c r="Z120" s="300">
        <v>0.2</v>
      </c>
      <c r="AA120" s="300" t="s">
        <v>541</v>
      </c>
      <c r="AB120" s="300" t="s">
        <v>542</v>
      </c>
      <c r="AC120" s="300">
        <v>220</v>
      </c>
      <c r="AD120" s="158"/>
      <c r="AE120" s="188"/>
    </row>
    <row r="121" spans="1:31" ht="15.75">
      <c r="A121" s="300" t="s">
        <v>547</v>
      </c>
      <c r="B121" s="300" t="s">
        <v>537</v>
      </c>
      <c r="C121" s="300" t="s">
        <v>675</v>
      </c>
      <c r="D121" s="300" t="s">
        <v>538</v>
      </c>
      <c r="E121" s="300">
        <v>1</v>
      </c>
      <c r="F121" s="311">
        <v>45469.429166666669</v>
      </c>
      <c r="G121" s="300">
        <v>1</v>
      </c>
      <c r="H121" s="300">
        <v>51.374099999999999</v>
      </c>
      <c r="I121" s="300">
        <v>8.8039900000000006</v>
      </c>
      <c r="J121" s="300">
        <v>-23.9923</v>
      </c>
      <c r="K121" s="300">
        <v>-22.150756000000001</v>
      </c>
      <c r="L121" s="300">
        <v>1021.51</v>
      </c>
      <c r="M121" s="300">
        <v>66.499173999999996</v>
      </c>
      <c r="N121" s="300">
        <v>11435.57141</v>
      </c>
      <c r="O121" s="300">
        <v>11435.57141</v>
      </c>
      <c r="P121" s="302">
        <v>2001.9322709999999</v>
      </c>
      <c r="Q121" s="302" t="s">
        <v>12</v>
      </c>
      <c r="R121" s="302" t="s">
        <v>539</v>
      </c>
      <c r="S121" s="302">
        <v>10</v>
      </c>
      <c r="T121" s="302">
        <v>5</v>
      </c>
      <c r="U121" s="302">
        <v>0.7</v>
      </c>
      <c r="V121" s="306">
        <v>0.7</v>
      </c>
      <c r="W121" s="302">
        <v>0.7</v>
      </c>
      <c r="X121" s="300">
        <v>2000</v>
      </c>
      <c r="Y121" s="300" t="s">
        <v>540</v>
      </c>
      <c r="Z121" s="300">
        <v>0.2</v>
      </c>
      <c r="AA121" s="300" t="s">
        <v>541</v>
      </c>
      <c r="AB121" s="300" t="s">
        <v>542</v>
      </c>
      <c r="AC121" s="300">
        <v>220</v>
      </c>
      <c r="AD121" s="158"/>
      <c r="AE121" s="188"/>
    </row>
    <row r="122" spans="1:31" ht="15.75">
      <c r="A122" s="300" t="s">
        <v>548</v>
      </c>
      <c r="B122" s="300" t="s">
        <v>537</v>
      </c>
      <c r="C122" s="300" t="s">
        <v>675</v>
      </c>
      <c r="D122" s="300" t="s">
        <v>538</v>
      </c>
      <c r="E122" s="300">
        <v>1</v>
      </c>
      <c r="F122" s="311">
        <v>45469.431944444441</v>
      </c>
      <c r="G122" s="300">
        <v>1</v>
      </c>
      <c r="H122" s="300">
        <v>51.370800000000003</v>
      </c>
      <c r="I122" s="300">
        <v>8.5727600000000006</v>
      </c>
      <c r="J122" s="300">
        <v>-23.958068999999998</v>
      </c>
      <c r="K122" s="300">
        <v>-20.7942</v>
      </c>
      <c r="L122" s="300">
        <v>1013.29</v>
      </c>
      <c r="M122" s="300">
        <v>60.500385000000001</v>
      </c>
      <c r="N122" s="300">
        <v>11401.592130000001</v>
      </c>
      <c r="O122" s="300">
        <v>11401.592130000001</v>
      </c>
      <c r="P122" s="302">
        <v>1995.978327</v>
      </c>
      <c r="Q122" s="302" t="s">
        <v>12</v>
      </c>
      <c r="R122" s="302" t="s">
        <v>539</v>
      </c>
      <c r="S122" s="302">
        <v>10</v>
      </c>
      <c r="T122" s="302">
        <v>5</v>
      </c>
      <c r="U122" s="302">
        <v>0.7</v>
      </c>
      <c r="V122" s="306">
        <v>0.7</v>
      </c>
      <c r="W122" s="302">
        <v>0.7</v>
      </c>
      <c r="X122" s="300">
        <v>2000</v>
      </c>
      <c r="Y122" s="300" t="s">
        <v>540</v>
      </c>
      <c r="Z122" s="300">
        <v>0.2</v>
      </c>
      <c r="AA122" s="300" t="s">
        <v>541</v>
      </c>
      <c r="AB122" s="300" t="s">
        <v>542</v>
      </c>
      <c r="AC122" s="300">
        <v>220</v>
      </c>
      <c r="AD122" s="158"/>
      <c r="AE122" s="158"/>
    </row>
    <row r="123" spans="1:31" ht="15.75">
      <c r="A123" s="300" t="s">
        <v>549</v>
      </c>
      <c r="B123" s="300" t="s">
        <v>537</v>
      </c>
      <c r="C123" s="300" t="s">
        <v>675</v>
      </c>
      <c r="D123" s="300" t="s">
        <v>538</v>
      </c>
      <c r="E123" s="300">
        <v>1</v>
      </c>
      <c r="F123" s="311">
        <v>45469.43472222222</v>
      </c>
      <c r="G123" s="300">
        <v>1</v>
      </c>
      <c r="H123" s="300">
        <v>51.374099999999999</v>
      </c>
      <c r="I123" s="300">
        <v>8.6084099999999992</v>
      </c>
      <c r="J123" s="300">
        <v>-23.906130999999998</v>
      </c>
      <c r="K123" s="300">
        <v>-21.874562000000001</v>
      </c>
      <c r="L123" s="300">
        <v>1019.87</v>
      </c>
      <c r="M123" s="300">
        <v>66.999988999999999</v>
      </c>
      <c r="N123" s="300">
        <v>11434.3997</v>
      </c>
      <c r="O123" s="300">
        <v>11434.3997</v>
      </c>
      <c r="P123" s="302">
        <v>2001.7269610000001</v>
      </c>
      <c r="Q123" s="302" t="s">
        <v>12</v>
      </c>
      <c r="R123" s="302" t="s">
        <v>539</v>
      </c>
      <c r="S123" s="302">
        <v>10</v>
      </c>
      <c r="T123" s="302">
        <v>5</v>
      </c>
      <c r="U123" s="302">
        <v>0.7</v>
      </c>
      <c r="V123" s="306">
        <v>0.7</v>
      </c>
      <c r="W123" s="302">
        <v>0.7</v>
      </c>
      <c r="X123" s="300">
        <v>2000</v>
      </c>
      <c r="Y123" s="300" t="s">
        <v>540</v>
      </c>
      <c r="Z123" s="300">
        <v>0.2</v>
      </c>
      <c r="AA123" s="300" t="s">
        <v>541</v>
      </c>
      <c r="AB123" s="300" t="s">
        <v>542</v>
      </c>
      <c r="AC123" s="300">
        <v>220</v>
      </c>
      <c r="AD123" s="158"/>
      <c r="AE123" s="158"/>
    </row>
    <row r="124" spans="1:31" ht="15.75">
      <c r="A124" s="300" t="s">
        <v>676</v>
      </c>
      <c r="B124" s="300" t="s">
        <v>537</v>
      </c>
      <c r="C124" s="300" t="s">
        <v>675</v>
      </c>
      <c r="D124" s="300" t="s">
        <v>538</v>
      </c>
      <c r="E124" s="300">
        <v>1</v>
      </c>
      <c r="F124" s="311">
        <v>45469.436805555553</v>
      </c>
      <c r="G124" s="300">
        <v>1</v>
      </c>
      <c r="H124" s="300">
        <v>51.380699999999997</v>
      </c>
      <c r="I124" s="300">
        <v>8.6028900000000004</v>
      </c>
      <c r="J124" s="300">
        <v>-24.016687000000001</v>
      </c>
      <c r="K124" s="300">
        <v>-22.274781000000001</v>
      </c>
      <c r="L124" s="300">
        <v>1021.61</v>
      </c>
      <c r="M124" s="300">
        <v>67.499999000000003</v>
      </c>
      <c r="N124" s="300">
        <v>11448.39568</v>
      </c>
      <c r="O124" s="300">
        <v>11448.39568</v>
      </c>
      <c r="P124" s="302">
        <v>2004.1793749999999</v>
      </c>
      <c r="Q124" s="302" t="s">
        <v>12</v>
      </c>
      <c r="R124" s="302" t="s">
        <v>539</v>
      </c>
      <c r="S124" s="302">
        <v>10</v>
      </c>
      <c r="T124" s="302">
        <v>5</v>
      </c>
      <c r="U124" s="302">
        <v>0.7</v>
      </c>
      <c r="V124" s="306">
        <v>0.7</v>
      </c>
      <c r="W124" s="302">
        <v>0.7</v>
      </c>
      <c r="X124" s="300">
        <v>2000</v>
      </c>
      <c r="Y124" s="300" t="s">
        <v>540</v>
      </c>
      <c r="Z124" s="300">
        <v>0.2</v>
      </c>
      <c r="AA124" s="300" t="s">
        <v>541</v>
      </c>
      <c r="AB124" s="300" t="s">
        <v>542</v>
      </c>
      <c r="AC124" s="300">
        <v>220</v>
      </c>
      <c r="AD124" s="158"/>
      <c r="AE124" s="158"/>
    </row>
    <row r="125" spans="1:31" ht="15.75">
      <c r="A125" s="300" t="s">
        <v>563</v>
      </c>
      <c r="B125" s="300" t="s">
        <v>537</v>
      </c>
      <c r="C125" s="300" t="s">
        <v>675</v>
      </c>
      <c r="D125" s="300" t="s">
        <v>538</v>
      </c>
      <c r="E125" s="300">
        <v>1</v>
      </c>
      <c r="F125" s="311">
        <v>45469.439583333333</v>
      </c>
      <c r="G125" s="300">
        <v>1</v>
      </c>
      <c r="H125" s="300">
        <v>51.370800000000003</v>
      </c>
      <c r="I125" s="300">
        <v>8.5515600000000003</v>
      </c>
      <c r="J125" s="300">
        <v>-24.116631000000002</v>
      </c>
      <c r="K125" s="300">
        <v>-22.484006000000001</v>
      </c>
      <c r="L125" s="300">
        <v>1019.76</v>
      </c>
      <c r="M125" s="300">
        <v>71.499851000000007</v>
      </c>
      <c r="N125" s="300">
        <v>11456.548580000001</v>
      </c>
      <c r="O125" s="300">
        <v>11456.548580000001</v>
      </c>
      <c r="P125" s="302">
        <v>2005.607949</v>
      </c>
      <c r="Q125" s="302" t="s">
        <v>12</v>
      </c>
      <c r="R125" s="302" t="s">
        <v>539</v>
      </c>
      <c r="S125" s="302">
        <v>10</v>
      </c>
      <c r="T125" s="302">
        <v>5</v>
      </c>
      <c r="U125" s="302">
        <v>0.7</v>
      </c>
      <c r="V125" s="306">
        <v>0.7</v>
      </c>
      <c r="W125" s="302">
        <v>0.7</v>
      </c>
      <c r="X125" s="300">
        <v>2000</v>
      </c>
      <c r="Y125" s="300" t="s">
        <v>540</v>
      </c>
      <c r="Z125" s="300">
        <v>0.2</v>
      </c>
      <c r="AA125" s="300" t="s">
        <v>541</v>
      </c>
      <c r="AB125" s="300" t="s">
        <v>542</v>
      </c>
      <c r="AC125" s="300">
        <v>220</v>
      </c>
      <c r="AD125" s="158"/>
      <c r="AE125" s="158"/>
    </row>
    <row r="126" spans="1:31" ht="15.75">
      <c r="A126" s="300" t="s">
        <v>567</v>
      </c>
      <c r="B126" s="300" t="s">
        <v>537</v>
      </c>
      <c r="C126" s="300" t="s">
        <v>675</v>
      </c>
      <c r="D126" s="300" t="s">
        <v>538</v>
      </c>
      <c r="E126" s="300">
        <v>1</v>
      </c>
      <c r="F126" s="311">
        <v>45469.442361111112</v>
      </c>
      <c r="G126" s="300">
        <v>1</v>
      </c>
      <c r="H126" s="300">
        <v>51.374099999999999</v>
      </c>
      <c r="I126" s="300">
        <v>8.4872800000000002</v>
      </c>
      <c r="J126" s="300">
        <v>-24.159925000000001</v>
      </c>
      <c r="K126" s="300">
        <v>-22.460425000000001</v>
      </c>
      <c r="L126" s="300">
        <v>1027.04</v>
      </c>
      <c r="M126" s="300">
        <v>68.500438000000003</v>
      </c>
      <c r="N126" s="300">
        <v>11446.876179999999</v>
      </c>
      <c r="O126" s="300">
        <v>11446.876179999999</v>
      </c>
      <c r="P126" s="302">
        <v>2003.9131239999999</v>
      </c>
      <c r="Q126" s="302" t="s">
        <v>12</v>
      </c>
      <c r="R126" s="302" t="s">
        <v>539</v>
      </c>
      <c r="S126" s="302">
        <v>10</v>
      </c>
      <c r="T126" s="302">
        <v>5</v>
      </c>
      <c r="U126" s="302">
        <v>0.7</v>
      </c>
      <c r="V126" s="306">
        <v>0.7</v>
      </c>
      <c r="W126" s="302">
        <v>0.7</v>
      </c>
      <c r="X126" s="300">
        <v>2000</v>
      </c>
      <c r="Y126" s="300" t="s">
        <v>540</v>
      </c>
      <c r="Z126" s="300">
        <v>0.2</v>
      </c>
      <c r="AA126" s="300" t="s">
        <v>541</v>
      </c>
      <c r="AB126" s="300" t="s">
        <v>542</v>
      </c>
      <c r="AC126" s="300">
        <v>220</v>
      </c>
      <c r="AD126" s="158"/>
      <c r="AE126" s="158"/>
    </row>
    <row r="127" spans="1:31" ht="15.75">
      <c r="A127" s="300" t="s">
        <v>677</v>
      </c>
      <c r="B127" s="300" t="s">
        <v>551</v>
      </c>
      <c r="C127" s="300" t="s">
        <v>678</v>
      </c>
      <c r="D127" s="300" t="s">
        <v>538</v>
      </c>
      <c r="E127" s="300">
        <v>0.8</v>
      </c>
      <c r="F127" s="311">
        <v>45469.447222222225</v>
      </c>
      <c r="G127" s="300">
        <v>1</v>
      </c>
      <c r="H127" s="300">
        <v>51.370800000000003</v>
      </c>
      <c r="I127" s="300">
        <v>8.5141399999999994</v>
      </c>
      <c r="J127" s="300">
        <v>-24.122593999999999</v>
      </c>
      <c r="K127" s="300">
        <v>-23.009437999999999</v>
      </c>
      <c r="L127" s="300">
        <v>997.80700000000002</v>
      </c>
      <c r="M127" s="300">
        <v>69.498632000000001</v>
      </c>
      <c r="N127" s="300">
        <v>9279.9787629999992</v>
      </c>
      <c r="O127" s="300">
        <v>9338.9866739999998</v>
      </c>
      <c r="P127" s="302">
        <v>2070.3456999999999</v>
      </c>
      <c r="Q127" s="302" t="s">
        <v>12</v>
      </c>
      <c r="R127" s="302" t="s">
        <v>553</v>
      </c>
      <c r="S127" s="302">
        <v>10</v>
      </c>
      <c r="T127" s="302">
        <v>5</v>
      </c>
      <c r="U127" s="302">
        <v>0.7</v>
      </c>
      <c r="V127" s="306">
        <v>0.7</v>
      </c>
      <c r="W127" s="302">
        <v>0.7</v>
      </c>
      <c r="X127" s="300">
        <v>2000</v>
      </c>
      <c r="Y127" s="300" t="s">
        <v>540</v>
      </c>
      <c r="Z127" s="300">
        <v>0.2</v>
      </c>
      <c r="AA127" s="300" t="s">
        <v>541</v>
      </c>
      <c r="AB127" s="300" t="s">
        <v>542</v>
      </c>
      <c r="AC127" s="300">
        <v>220</v>
      </c>
      <c r="AD127" s="158"/>
      <c r="AE127" s="158"/>
    </row>
    <row r="128" spans="1:31" ht="15.75">
      <c r="A128" s="300" t="s">
        <v>679</v>
      </c>
      <c r="B128" s="300" t="s">
        <v>551</v>
      </c>
      <c r="C128" s="300" t="s">
        <v>678</v>
      </c>
      <c r="D128" s="300" t="s">
        <v>538</v>
      </c>
      <c r="E128" s="300">
        <v>0.8</v>
      </c>
      <c r="F128" s="311">
        <v>45469.45</v>
      </c>
      <c r="G128" s="300">
        <v>1</v>
      </c>
      <c r="H128" s="300">
        <v>51.370800000000003</v>
      </c>
      <c r="I128" s="300">
        <v>8.5300399999999996</v>
      </c>
      <c r="J128" s="300">
        <v>-24.003988</v>
      </c>
      <c r="K128" s="300">
        <v>-22.873863</v>
      </c>
      <c r="L128" s="300">
        <v>1002.13</v>
      </c>
      <c r="M128" s="300">
        <v>68.498363999999995</v>
      </c>
      <c r="N128" s="300">
        <v>9342.1928019999996</v>
      </c>
      <c r="O128" s="300">
        <v>9338.9866739999998</v>
      </c>
      <c r="P128" s="302">
        <v>2070.3456999999999</v>
      </c>
      <c r="Q128" s="302" t="s">
        <v>12</v>
      </c>
      <c r="R128" s="302" t="s">
        <v>539</v>
      </c>
      <c r="S128" s="302">
        <v>10</v>
      </c>
      <c r="T128" s="302">
        <v>5</v>
      </c>
      <c r="U128" s="302">
        <v>0.7</v>
      </c>
      <c r="V128" s="306">
        <v>0.7</v>
      </c>
      <c r="W128" s="302">
        <v>0.7</v>
      </c>
      <c r="X128" s="300">
        <v>2000</v>
      </c>
      <c r="Y128" s="300" t="s">
        <v>540</v>
      </c>
      <c r="Z128" s="300">
        <v>0.2</v>
      </c>
      <c r="AA128" s="300" t="s">
        <v>541</v>
      </c>
      <c r="AB128" s="300" t="s">
        <v>542</v>
      </c>
      <c r="AC128" s="300">
        <v>220</v>
      </c>
      <c r="AD128" s="158"/>
      <c r="AE128" s="158"/>
    </row>
    <row r="129" spans="1:31" ht="15.75">
      <c r="A129" s="300" t="s">
        <v>680</v>
      </c>
      <c r="B129" s="300" t="s">
        <v>551</v>
      </c>
      <c r="C129" s="300" t="s">
        <v>678</v>
      </c>
      <c r="D129" s="300" t="s">
        <v>538</v>
      </c>
      <c r="E129" s="300">
        <v>0.8</v>
      </c>
      <c r="F129" s="311">
        <v>45469.452777777777</v>
      </c>
      <c r="G129" s="300">
        <v>1</v>
      </c>
      <c r="H129" s="300">
        <v>51.374099999999999</v>
      </c>
      <c r="I129" s="300">
        <v>8.32254</v>
      </c>
      <c r="J129" s="300">
        <v>-24.042155999999999</v>
      </c>
      <c r="K129" s="300">
        <v>-22.425000000000001</v>
      </c>
      <c r="L129" s="300">
        <v>1013.04</v>
      </c>
      <c r="M129" s="300">
        <v>61.999257999999998</v>
      </c>
      <c r="N129" s="300">
        <v>9335.7805470000003</v>
      </c>
      <c r="O129" s="300">
        <v>9338.9866739999998</v>
      </c>
      <c r="P129" s="302">
        <v>2070.3456999999999</v>
      </c>
      <c r="Q129" s="302" t="s">
        <v>12</v>
      </c>
      <c r="R129" s="302" t="s">
        <v>539</v>
      </c>
      <c r="S129" s="302">
        <v>10</v>
      </c>
      <c r="T129" s="302">
        <v>5</v>
      </c>
      <c r="U129" s="302">
        <v>0.7</v>
      </c>
      <c r="V129" s="306">
        <v>0.7</v>
      </c>
      <c r="W129" s="302">
        <v>0.7</v>
      </c>
      <c r="X129" s="300">
        <v>2000</v>
      </c>
      <c r="Y129" s="300" t="s">
        <v>540</v>
      </c>
      <c r="Z129" s="300">
        <v>0.2</v>
      </c>
      <c r="AA129" s="300" t="s">
        <v>541</v>
      </c>
      <c r="AB129" s="300" t="s">
        <v>542</v>
      </c>
      <c r="AC129" s="300">
        <v>220</v>
      </c>
      <c r="AD129" s="158"/>
      <c r="AE129" s="158"/>
    </row>
    <row r="130" spans="1:31" ht="15.75">
      <c r="A130" s="303" t="s">
        <v>681</v>
      </c>
      <c r="B130" s="303" t="s">
        <v>558</v>
      </c>
      <c r="C130" s="303" t="s">
        <v>678</v>
      </c>
      <c r="D130" s="303" t="s">
        <v>538</v>
      </c>
      <c r="E130" s="303">
        <v>1</v>
      </c>
      <c r="F130" s="312">
        <v>45469.455555555556</v>
      </c>
      <c r="G130" s="303">
        <v>1</v>
      </c>
      <c r="H130" s="303">
        <v>51.3675</v>
      </c>
      <c r="I130" s="303">
        <v>8.5702700000000007</v>
      </c>
      <c r="J130" s="303">
        <v>-24.024868999999999</v>
      </c>
      <c r="K130" s="303">
        <v>-22.650462000000001</v>
      </c>
      <c r="L130" s="303">
        <v>1094.1099999999999</v>
      </c>
      <c r="M130" s="303">
        <v>70.000646000000003</v>
      </c>
      <c r="N130" s="303">
        <v>11702.084339999999</v>
      </c>
      <c r="O130" s="303">
        <v>11698.67419</v>
      </c>
      <c r="P130" s="305">
        <v>2070.3456999999999</v>
      </c>
      <c r="Q130" s="302" t="s">
        <v>12</v>
      </c>
      <c r="R130" s="305" t="s">
        <v>539</v>
      </c>
      <c r="S130" s="305">
        <v>10</v>
      </c>
      <c r="T130" s="305">
        <v>5</v>
      </c>
      <c r="U130" s="305">
        <v>0.7</v>
      </c>
      <c r="V130" s="307">
        <v>0.7</v>
      </c>
      <c r="W130" s="305">
        <v>0.7</v>
      </c>
      <c r="X130" s="303">
        <v>2000</v>
      </c>
      <c r="Y130" s="303" t="s">
        <v>540</v>
      </c>
      <c r="Z130" s="303">
        <v>0.2</v>
      </c>
      <c r="AA130" s="303" t="s">
        <v>541</v>
      </c>
      <c r="AB130" s="303" t="s">
        <v>542</v>
      </c>
      <c r="AC130" s="303">
        <v>220</v>
      </c>
      <c r="AD130" s="158"/>
      <c r="AE130" s="158"/>
    </row>
    <row r="131" spans="1:31" ht="15.75">
      <c r="A131" s="300" t="s">
        <v>682</v>
      </c>
      <c r="B131" s="300" t="s">
        <v>558</v>
      </c>
      <c r="C131" s="300" t="s">
        <v>678</v>
      </c>
      <c r="D131" s="300" t="s">
        <v>538</v>
      </c>
      <c r="E131" s="300">
        <v>1</v>
      </c>
      <c r="F131" s="311">
        <v>45469.458333333336</v>
      </c>
      <c r="G131" s="300">
        <v>1</v>
      </c>
      <c r="H131" s="300">
        <v>51.377400000000002</v>
      </c>
      <c r="I131" s="300">
        <v>8.5458700000000007</v>
      </c>
      <c r="J131" s="300">
        <v>-24.258963000000001</v>
      </c>
      <c r="K131" s="300">
        <v>-22.455206</v>
      </c>
      <c r="L131" s="300">
        <v>1092.5899999999999</v>
      </c>
      <c r="M131" s="300">
        <v>68.500170999999995</v>
      </c>
      <c r="N131" s="300">
        <v>11695.26404</v>
      </c>
      <c r="O131" s="300">
        <v>11698.67419</v>
      </c>
      <c r="P131" s="302">
        <v>2070.3456999999999</v>
      </c>
      <c r="Q131" s="302" t="s">
        <v>12</v>
      </c>
      <c r="R131" s="302" t="s">
        <v>539</v>
      </c>
      <c r="S131" s="302">
        <v>10</v>
      </c>
      <c r="T131" s="302">
        <v>5</v>
      </c>
      <c r="U131" s="302">
        <v>0.7</v>
      </c>
      <c r="V131" s="306">
        <v>0.7</v>
      </c>
      <c r="W131" s="302">
        <v>0.7</v>
      </c>
      <c r="X131" s="300">
        <v>2000</v>
      </c>
      <c r="Y131" s="300" t="s">
        <v>540</v>
      </c>
      <c r="Z131" s="300">
        <v>0.2</v>
      </c>
      <c r="AA131" s="300" t="s">
        <v>541</v>
      </c>
      <c r="AB131" s="300" t="s">
        <v>542</v>
      </c>
      <c r="AC131" s="300">
        <v>220</v>
      </c>
      <c r="AD131" s="158"/>
      <c r="AE131" s="158"/>
    </row>
    <row r="132" spans="1:31" ht="15.75">
      <c r="A132" s="300" t="s">
        <v>683</v>
      </c>
      <c r="B132" s="300" t="s">
        <v>561</v>
      </c>
      <c r="C132" s="300" t="s">
        <v>678</v>
      </c>
      <c r="D132" s="300" t="s">
        <v>538</v>
      </c>
      <c r="E132" s="300">
        <v>1.2</v>
      </c>
      <c r="F132" s="311">
        <v>45469.461111111108</v>
      </c>
      <c r="G132" s="300">
        <v>1</v>
      </c>
      <c r="H132" s="300">
        <v>51.374099999999999</v>
      </c>
      <c r="I132" s="300">
        <v>8.6555199999999992</v>
      </c>
      <c r="J132" s="300">
        <v>-24.093468999999999</v>
      </c>
      <c r="K132" s="300">
        <v>-22.649381000000002</v>
      </c>
      <c r="L132" s="300">
        <v>1119.81</v>
      </c>
      <c r="M132" s="300">
        <v>75.500107</v>
      </c>
      <c r="N132" s="300">
        <v>14070.25461</v>
      </c>
      <c r="O132" s="300">
        <v>14073.23804</v>
      </c>
      <c r="P132" s="302">
        <v>2070.3456999999999</v>
      </c>
      <c r="Q132" s="302" t="s">
        <v>12</v>
      </c>
      <c r="R132" s="302" t="s">
        <v>539</v>
      </c>
      <c r="S132" s="302">
        <v>10</v>
      </c>
      <c r="T132" s="302">
        <v>5</v>
      </c>
      <c r="U132" s="302">
        <v>0.7</v>
      </c>
      <c r="V132" s="306">
        <v>0.7</v>
      </c>
      <c r="W132" s="302">
        <v>0.7</v>
      </c>
      <c r="X132" s="300">
        <v>2000</v>
      </c>
      <c r="Y132" s="300" t="s">
        <v>540</v>
      </c>
      <c r="Z132" s="300">
        <v>0.2</v>
      </c>
      <c r="AA132" s="300" t="s">
        <v>541</v>
      </c>
      <c r="AB132" s="300" t="s">
        <v>542</v>
      </c>
      <c r="AC132" s="300">
        <v>220</v>
      </c>
      <c r="AD132" s="158"/>
      <c r="AE132" s="158"/>
    </row>
    <row r="133" spans="1:31" ht="15.75">
      <c r="A133" s="300" t="s">
        <v>684</v>
      </c>
      <c r="B133" s="300" t="s">
        <v>561</v>
      </c>
      <c r="C133" s="300" t="s">
        <v>678</v>
      </c>
      <c r="D133" s="300" t="s">
        <v>538</v>
      </c>
      <c r="E133" s="300">
        <v>1.2</v>
      </c>
      <c r="F133" s="311">
        <v>45469.463888888888</v>
      </c>
      <c r="G133" s="300">
        <v>1</v>
      </c>
      <c r="H133" s="300">
        <v>51.374099999999999</v>
      </c>
      <c r="I133" s="300">
        <v>8.6887299999999996</v>
      </c>
      <c r="J133" s="300">
        <v>-24.143218999999998</v>
      </c>
      <c r="K133" s="300">
        <v>-22.555544000000001</v>
      </c>
      <c r="L133" s="300">
        <v>1113.6199999999999</v>
      </c>
      <c r="M133" s="300">
        <v>75.499820999999997</v>
      </c>
      <c r="N133" s="300">
        <v>14076.221460000001</v>
      </c>
      <c r="O133" s="300">
        <v>14073.23804</v>
      </c>
      <c r="P133" s="302">
        <v>2070.3456999999999</v>
      </c>
      <c r="Q133" s="302" t="s">
        <v>12</v>
      </c>
      <c r="R133" s="302" t="s">
        <v>539</v>
      </c>
      <c r="S133" s="302">
        <v>10</v>
      </c>
      <c r="T133" s="302">
        <v>5</v>
      </c>
      <c r="U133" s="302">
        <v>0.7</v>
      </c>
      <c r="V133" s="306">
        <v>0.7</v>
      </c>
      <c r="W133" s="302">
        <v>0.7</v>
      </c>
      <c r="X133" s="300">
        <v>2000</v>
      </c>
      <c r="Y133" s="300" t="s">
        <v>540</v>
      </c>
      <c r="Z133" s="300">
        <v>0.2</v>
      </c>
      <c r="AA133" s="300" t="s">
        <v>541</v>
      </c>
      <c r="AB133" s="300" t="s">
        <v>542</v>
      </c>
      <c r="AC133" s="300">
        <v>220</v>
      </c>
      <c r="AD133" s="158"/>
      <c r="AE133" s="158"/>
    </row>
    <row r="134" spans="1:31" ht="15.75">
      <c r="A134" s="300" t="s">
        <v>574</v>
      </c>
      <c r="B134" s="300">
        <v>2</v>
      </c>
      <c r="C134" s="300">
        <v>131</v>
      </c>
      <c r="D134" s="300" t="s">
        <v>564</v>
      </c>
      <c r="E134" s="300">
        <v>1</v>
      </c>
      <c r="F134" s="311">
        <v>45469.467361111114</v>
      </c>
      <c r="G134" s="300">
        <v>1</v>
      </c>
      <c r="H134" s="300">
        <v>51.374099999999999</v>
      </c>
      <c r="I134" s="300">
        <v>8.4758899999999997</v>
      </c>
      <c r="J134" s="300">
        <v>-24.173418999999999</v>
      </c>
      <c r="K134" s="300">
        <v>-22.522825000000001</v>
      </c>
      <c r="L134" s="300">
        <v>1079.22</v>
      </c>
      <c r="M134" s="300">
        <v>67.498625000000004</v>
      </c>
      <c r="N134" s="300">
        <v>11579.746220000001</v>
      </c>
      <c r="O134" s="300">
        <v>11641.855009999999</v>
      </c>
      <c r="P134" s="302">
        <v>2059.5391989999998</v>
      </c>
      <c r="Q134" s="302" t="s">
        <v>12</v>
      </c>
      <c r="R134" s="302" t="s">
        <v>553</v>
      </c>
      <c r="S134" s="302">
        <v>10</v>
      </c>
      <c r="T134" s="302">
        <v>5</v>
      </c>
      <c r="U134" s="302">
        <v>0.7</v>
      </c>
      <c r="V134" s="306">
        <v>0.7</v>
      </c>
      <c r="W134" s="302">
        <v>0.7</v>
      </c>
      <c r="X134" s="300">
        <v>2000</v>
      </c>
      <c r="Y134" s="300" t="s">
        <v>540</v>
      </c>
      <c r="Z134" s="300">
        <v>0.2</v>
      </c>
      <c r="AA134" s="300" t="s">
        <v>541</v>
      </c>
      <c r="AB134" s="300" t="s">
        <v>542</v>
      </c>
      <c r="AC134" s="300">
        <v>220</v>
      </c>
      <c r="AD134" s="158"/>
      <c r="AE134" s="158"/>
    </row>
    <row r="135" spans="1:31" ht="15.75">
      <c r="A135" s="300" t="s">
        <v>576</v>
      </c>
      <c r="B135" s="300">
        <v>2</v>
      </c>
      <c r="C135" s="300">
        <v>131</v>
      </c>
      <c r="D135" s="300" t="s">
        <v>564</v>
      </c>
      <c r="E135" s="300">
        <v>1</v>
      </c>
      <c r="F135" s="311">
        <v>45469.470138888886</v>
      </c>
      <c r="G135" s="300">
        <v>1</v>
      </c>
      <c r="H135" s="300">
        <v>51.377400000000002</v>
      </c>
      <c r="I135" s="300">
        <v>8.4019600000000008</v>
      </c>
      <c r="J135" s="300">
        <v>-24.159931</v>
      </c>
      <c r="K135" s="300">
        <v>-22.937906000000002</v>
      </c>
      <c r="L135" s="300">
        <v>1082.6199999999999</v>
      </c>
      <c r="M135" s="300">
        <v>72.001374999999996</v>
      </c>
      <c r="N135" s="300">
        <v>11635.52281</v>
      </c>
      <c r="O135" s="300">
        <v>11641.855009999999</v>
      </c>
      <c r="P135" s="302">
        <v>2059.5391989999998</v>
      </c>
      <c r="Q135" s="302" t="s">
        <v>12</v>
      </c>
      <c r="R135" s="302" t="s">
        <v>539</v>
      </c>
      <c r="S135" s="302">
        <v>10</v>
      </c>
      <c r="T135" s="302">
        <v>5</v>
      </c>
      <c r="U135" s="302">
        <v>0.7</v>
      </c>
      <c r="V135" s="302">
        <v>0.7</v>
      </c>
      <c r="W135" s="302">
        <v>0.7</v>
      </c>
      <c r="X135" s="300">
        <v>2000</v>
      </c>
      <c r="Y135" s="300" t="s">
        <v>540</v>
      </c>
      <c r="Z135" s="300">
        <v>0.2</v>
      </c>
      <c r="AA135" s="300" t="s">
        <v>541</v>
      </c>
      <c r="AB135" s="300" t="s">
        <v>542</v>
      </c>
      <c r="AC135" s="300">
        <v>220</v>
      </c>
      <c r="AD135" s="158"/>
      <c r="AE135" s="158"/>
    </row>
    <row r="136" spans="1:31" ht="15.75">
      <c r="A136" s="300" t="s">
        <v>577</v>
      </c>
      <c r="B136" s="300">
        <v>2</v>
      </c>
      <c r="C136" s="300">
        <v>131</v>
      </c>
      <c r="D136" s="300" t="s">
        <v>564</v>
      </c>
      <c r="E136" s="300">
        <v>1</v>
      </c>
      <c r="F136" s="311">
        <v>45469.472916666666</v>
      </c>
      <c r="G136" s="300">
        <v>1</v>
      </c>
      <c r="H136" s="300">
        <v>51.377400000000002</v>
      </c>
      <c r="I136" s="300">
        <v>8.4410799999999995</v>
      </c>
      <c r="J136" s="300">
        <v>-24.282088000000002</v>
      </c>
      <c r="K136" s="300">
        <v>-23.097375</v>
      </c>
      <c r="L136" s="300">
        <v>1092.3800000000001</v>
      </c>
      <c r="M136" s="300">
        <v>78.500371000000001</v>
      </c>
      <c r="N136" s="300">
        <v>11648.18721</v>
      </c>
      <c r="O136" s="300">
        <v>11641.855009999999</v>
      </c>
      <c r="P136" s="302">
        <v>2059.5391989999998</v>
      </c>
      <c r="Q136" s="302" t="s">
        <v>12</v>
      </c>
      <c r="R136" s="302" t="s">
        <v>539</v>
      </c>
      <c r="S136" s="302">
        <v>10</v>
      </c>
      <c r="T136" s="302">
        <v>5</v>
      </c>
      <c r="U136" s="302">
        <v>0.7</v>
      </c>
      <c r="V136" s="302">
        <v>0.7</v>
      </c>
      <c r="W136" s="302">
        <v>0.7</v>
      </c>
      <c r="X136" s="300">
        <v>2000</v>
      </c>
      <c r="Y136" s="300" t="s">
        <v>540</v>
      </c>
      <c r="Z136" s="300">
        <v>0.2</v>
      </c>
      <c r="AA136" s="300" t="s">
        <v>541</v>
      </c>
      <c r="AB136" s="300" t="s">
        <v>542</v>
      </c>
      <c r="AC136" s="300">
        <v>220</v>
      </c>
      <c r="AD136" s="158"/>
      <c r="AE136" s="188"/>
    </row>
    <row r="137" spans="1:31" ht="15.75">
      <c r="A137" s="300" t="s">
        <v>578</v>
      </c>
      <c r="B137" s="300">
        <v>3</v>
      </c>
      <c r="C137" s="300">
        <v>132</v>
      </c>
      <c r="D137" s="300" t="s">
        <v>568</v>
      </c>
      <c r="E137" s="300">
        <v>1</v>
      </c>
      <c r="F137" s="311">
        <v>45469.476388888892</v>
      </c>
      <c r="G137" s="300">
        <v>1</v>
      </c>
      <c r="H137" s="300">
        <v>51.377400000000002</v>
      </c>
      <c r="I137" s="300">
        <v>8.4111200000000004</v>
      </c>
      <c r="J137" s="300">
        <v>-24.284331000000002</v>
      </c>
      <c r="K137" s="300">
        <v>-22.683062</v>
      </c>
      <c r="L137" s="300">
        <v>1074.8800000000001</v>
      </c>
      <c r="M137" s="300">
        <v>69.500176999999994</v>
      </c>
      <c r="N137" s="300">
        <v>11605.69173</v>
      </c>
      <c r="O137" s="300">
        <v>11609.49008</v>
      </c>
      <c r="P137" s="302">
        <v>2053.8777679999998</v>
      </c>
      <c r="Q137" s="302" t="s">
        <v>12</v>
      </c>
      <c r="R137" s="302" t="s">
        <v>539</v>
      </c>
      <c r="S137" s="302">
        <v>10</v>
      </c>
      <c r="T137" s="302">
        <v>5</v>
      </c>
      <c r="U137" s="302">
        <v>0.7</v>
      </c>
      <c r="V137" s="302">
        <v>0.7</v>
      </c>
      <c r="W137" s="302">
        <v>0.7</v>
      </c>
      <c r="X137" s="300">
        <v>2000</v>
      </c>
      <c r="Y137" s="300" t="s">
        <v>540</v>
      </c>
      <c r="Z137" s="300">
        <v>0.2</v>
      </c>
      <c r="AA137" s="300" t="s">
        <v>541</v>
      </c>
      <c r="AB137" s="300" t="s">
        <v>542</v>
      </c>
      <c r="AC137" s="300">
        <v>220</v>
      </c>
      <c r="AD137" s="158"/>
      <c r="AE137" s="188"/>
    </row>
    <row r="138" spans="1:31" ht="15.75">
      <c r="A138" s="300" t="s">
        <v>580</v>
      </c>
      <c r="B138" s="300">
        <v>3</v>
      </c>
      <c r="C138" s="300">
        <v>132</v>
      </c>
      <c r="D138" s="300" t="s">
        <v>568</v>
      </c>
      <c r="E138" s="300">
        <v>1</v>
      </c>
      <c r="F138" s="311">
        <v>45469.479166666664</v>
      </c>
      <c r="G138" s="300">
        <v>1</v>
      </c>
      <c r="H138" s="300">
        <v>51.377400000000002</v>
      </c>
      <c r="I138" s="300">
        <v>8.4442799999999991</v>
      </c>
      <c r="J138" s="300">
        <v>-24.216363000000001</v>
      </c>
      <c r="K138" s="300">
        <v>-22.712875</v>
      </c>
      <c r="L138" s="300">
        <v>1082.33</v>
      </c>
      <c r="M138" s="300">
        <v>67.000119999999995</v>
      </c>
      <c r="N138" s="300">
        <v>11613.288430000001</v>
      </c>
      <c r="O138" s="300">
        <v>11609.49008</v>
      </c>
      <c r="P138" s="302">
        <v>2053.8777679999998</v>
      </c>
      <c r="Q138" s="302" t="s">
        <v>12</v>
      </c>
      <c r="R138" s="302" t="s">
        <v>539</v>
      </c>
      <c r="S138" s="302">
        <v>10</v>
      </c>
      <c r="T138" s="302">
        <v>5</v>
      </c>
      <c r="U138" s="302">
        <v>0.7</v>
      </c>
      <c r="V138" s="302">
        <v>0.7</v>
      </c>
      <c r="W138" s="302">
        <v>0.7</v>
      </c>
      <c r="X138" s="300">
        <v>2000</v>
      </c>
      <c r="Y138" s="300" t="s">
        <v>540</v>
      </c>
      <c r="Z138" s="300">
        <v>0.2</v>
      </c>
      <c r="AA138" s="300" t="s">
        <v>541</v>
      </c>
      <c r="AB138" s="300" t="s">
        <v>542</v>
      </c>
      <c r="AC138" s="300">
        <v>220</v>
      </c>
      <c r="AD138" s="158"/>
      <c r="AE138" s="188"/>
    </row>
    <row r="139" spans="1:31" ht="15.75">
      <c r="A139" s="300" t="s">
        <v>581</v>
      </c>
      <c r="B139" s="300">
        <v>4</v>
      </c>
      <c r="C139" s="300">
        <v>27</v>
      </c>
      <c r="D139" s="300" t="s">
        <v>571</v>
      </c>
      <c r="E139" s="300">
        <v>1</v>
      </c>
      <c r="F139" s="311">
        <v>45469.482638888891</v>
      </c>
      <c r="G139" s="300">
        <v>1</v>
      </c>
      <c r="H139" s="300">
        <v>51.377400000000002</v>
      </c>
      <c r="I139" s="300">
        <v>8.4408999999999992</v>
      </c>
      <c r="J139" s="300">
        <v>-24.137269</v>
      </c>
      <c r="K139" s="300">
        <v>-23.068000000000001</v>
      </c>
      <c r="L139" s="300">
        <v>1092.58</v>
      </c>
      <c r="M139" s="300">
        <v>76.999105</v>
      </c>
      <c r="N139" s="300">
        <v>11591.63694</v>
      </c>
      <c r="O139" s="300">
        <v>11580.09071</v>
      </c>
      <c r="P139" s="302">
        <v>2048.735087</v>
      </c>
      <c r="Q139" s="302" t="s">
        <v>12</v>
      </c>
      <c r="R139" s="302" t="s">
        <v>539</v>
      </c>
      <c r="S139" s="302">
        <v>10</v>
      </c>
      <c r="T139" s="302">
        <v>5</v>
      </c>
      <c r="U139" s="302">
        <v>0.7</v>
      </c>
      <c r="V139" s="302">
        <v>0.7</v>
      </c>
      <c r="W139" s="302">
        <v>0.7</v>
      </c>
      <c r="X139" s="300">
        <v>2000</v>
      </c>
      <c r="Y139" s="300" t="s">
        <v>540</v>
      </c>
      <c r="Z139" s="300">
        <v>0.2</v>
      </c>
      <c r="AA139" s="300" t="s">
        <v>541</v>
      </c>
      <c r="AB139" s="300" t="s">
        <v>542</v>
      </c>
      <c r="AC139" s="300">
        <v>220</v>
      </c>
      <c r="AD139" s="158"/>
      <c r="AE139" s="188"/>
    </row>
    <row r="140" spans="1:31" ht="15.75">
      <c r="A140" s="300" t="s">
        <v>583</v>
      </c>
      <c r="B140" s="300">
        <v>4</v>
      </c>
      <c r="C140" s="300">
        <v>27</v>
      </c>
      <c r="D140" s="300" t="s">
        <v>571</v>
      </c>
      <c r="E140" s="300">
        <v>1</v>
      </c>
      <c r="F140" s="311">
        <v>45469.48541666667</v>
      </c>
      <c r="G140" s="300">
        <v>1</v>
      </c>
      <c r="H140" s="300">
        <v>51.370800000000003</v>
      </c>
      <c r="I140" s="300">
        <v>8.3819800000000004</v>
      </c>
      <c r="J140" s="300">
        <v>-24.340230999999999</v>
      </c>
      <c r="K140" s="300">
        <v>-22.468888</v>
      </c>
      <c r="L140" s="300">
        <v>1062.83</v>
      </c>
      <c r="M140" s="300">
        <v>66.000525999999994</v>
      </c>
      <c r="N140" s="300">
        <v>11568.54448</v>
      </c>
      <c r="O140" s="300">
        <v>11580.09071</v>
      </c>
      <c r="P140" s="302">
        <v>2048.735087</v>
      </c>
      <c r="Q140" s="302" t="s">
        <v>12</v>
      </c>
      <c r="R140" s="302" t="s">
        <v>539</v>
      </c>
      <c r="S140" s="302">
        <v>10</v>
      </c>
      <c r="T140" s="302">
        <v>5</v>
      </c>
      <c r="U140" s="302">
        <v>0.7</v>
      </c>
      <c r="V140" s="302">
        <v>0.7</v>
      </c>
      <c r="W140" s="302">
        <v>0.7</v>
      </c>
      <c r="X140" s="300">
        <v>2000</v>
      </c>
      <c r="Y140" s="300" t="s">
        <v>540</v>
      </c>
      <c r="Z140" s="300">
        <v>0.2</v>
      </c>
      <c r="AA140" s="300" t="s">
        <v>541</v>
      </c>
      <c r="AB140" s="300" t="s">
        <v>542</v>
      </c>
      <c r="AC140" s="300">
        <v>220</v>
      </c>
      <c r="AD140" s="158"/>
      <c r="AE140" s="188"/>
    </row>
    <row r="141" spans="1:31" ht="15.75">
      <c r="A141" s="300" t="s">
        <v>584</v>
      </c>
      <c r="B141" s="300">
        <v>5</v>
      </c>
      <c r="C141" s="300">
        <v>28</v>
      </c>
      <c r="D141" s="300" t="s">
        <v>575</v>
      </c>
      <c r="E141" s="300">
        <v>1</v>
      </c>
      <c r="F141" s="311">
        <v>45469.488888888889</v>
      </c>
      <c r="G141" s="300">
        <v>1</v>
      </c>
      <c r="H141" s="300">
        <v>51.377400000000002</v>
      </c>
      <c r="I141" s="300">
        <v>8.3841199999999994</v>
      </c>
      <c r="J141" s="300">
        <v>-24.148012999999999</v>
      </c>
      <c r="K141" s="300">
        <v>-23.309313</v>
      </c>
      <c r="L141" s="300">
        <v>1077.98</v>
      </c>
      <c r="M141" s="300">
        <v>85.499933999999996</v>
      </c>
      <c r="N141" s="300">
        <v>11609.81817</v>
      </c>
      <c r="O141" s="300">
        <v>11571.464120000001</v>
      </c>
      <c r="P141" s="302">
        <v>2047.2260819999999</v>
      </c>
      <c r="Q141" s="302" t="s">
        <v>12</v>
      </c>
      <c r="R141" s="302" t="s">
        <v>553</v>
      </c>
      <c r="S141" s="302">
        <v>10</v>
      </c>
      <c r="T141" s="302">
        <v>5</v>
      </c>
      <c r="U141" s="302">
        <v>0.7</v>
      </c>
      <c r="V141" s="302">
        <v>0.7</v>
      </c>
      <c r="W141" s="302">
        <v>0.7</v>
      </c>
      <c r="X141" s="300">
        <v>2000</v>
      </c>
      <c r="Y141" s="300" t="s">
        <v>540</v>
      </c>
      <c r="Z141" s="300">
        <v>0.2</v>
      </c>
      <c r="AA141" s="300" t="s">
        <v>541</v>
      </c>
      <c r="AB141" s="300" t="s">
        <v>542</v>
      </c>
      <c r="AC141" s="300">
        <v>220</v>
      </c>
      <c r="AD141" s="158"/>
      <c r="AE141" s="188"/>
    </row>
    <row r="142" spans="1:31" ht="15.75">
      <c r="A142" s="300" t="s">
        <v>586</v>
      </c>
      <c r="B142" s="300">
        <v>5</v>
      </c>
      <c r="C142" s="300">
        <v>28</v>
      </c>
      <c r="D142" s="300" t="s">
        <v>575</v>
      </c>
      <c r="E142" s="300">
        <v>1</v>
      </c>
      <c r="F142" s="311">
        <v>45469.491666666669</v>
      </c>
      <c r="G142" s="300">
        <v>1</v>
      </c>
      <c r="H142" s="300">
        <v>51.374099999999999</v>
      </c>
      <c r="I142" s="300">
        <v>8.3582000000000001</v>
      </c>
      <c r="J142" s="300">
        <v>-24.154781</v>
      </c>
      <c r="K142" s="300">
        <v>-22.717943999999999</v>
      </c>
      <c r="L142" s="300">
        <v>1080.8399999999999</v>
      </c>
      <c r="M142" s="300">
        <v>69.499048999999999</v>
      </c>
      <c r="N142" s="300">
        <v>11566.107379999999</v>
      </c>
      <c r="O142" s="300">
        <v>11571.464120000001</v>
      </c>
      <c r="P142" s="302">
        <v>2047.2260819999999</v>
      </c>
      <c r="Q142" s="302" t="s">
        <v>12</v>
      </c>
      <c r="R142" s="302" t="s">
        <v>539</v>
      </c>
      <c r="S142" s="302">
        <v>10</v>
      </c>
      <c r="T142" s="302">
        <v>5</v>
      </c>
      <c r="U142" s="302">
        <v>0.7</v>
      </c>
      <c r="V142" s="302">
        <v>0.7</v>
      </c>
      <c r="W142" s="302">
        <v>0.7</v>
      </c>
      <c r="X142" s="300">
        <v>2000</v>
      </c>
      <c r="Y142" s="300" t="s">
        <v>540</v>
      </c>
      <c r="Z142" s="300">
        <v>0.2</v>
      </c>
      <c r="AA142" s="300" t="s">
        <v>541</v>
      </c>
      <c r="AB142" s="300" t="s">
        <v>542</v>
      </c>
      <c r="AC142" s="300">
        <v>220</v>
      </c>
      <c r="AD142" s="158"/>
      <c r="AE142" s="188"/>
    </row>
    <row r="143" spans="1:31" ht="15.75">
      <c r="A143" s="300" t="s">
        <v>587</v>
      </c>
      <c r="B143" s="300">
        <v>5</v>
      </c>
      <c r="C143" s="300">
        <v>28</v>
      </c>
      <c r="D143" s="300" t="s">
        <v>575</v>
      </c>
      <c r="E143" s="300">
        <v>1</v>
      </c>
      <c r="F143" s="311">
        <v>45469.494444444441</v>
      </c>
      <c r="G143" s="300">
        <v>1</v>
      </c>
      <c r="H143" s="300">
        <v>51.374099999999999</v>
      </c>
      <c r="I143" s="300">
        <v>8.2887599999999999</v>
      </c>
      <c r="J143" s="300">
        <v>-24.151388000000001</v>
      </c>
      <c r="K143" s="300">
        <v>-22.819206000000001</v>
      </c>
      <c r="L143" s="300">
        <v>1072.0899999999999</v>
      </c>
      <c r="M143" s="300">
        <v>68.999652999999995</v>
      </c>
      <c r="N143" s="300">
        <v>11576.82086</v>
      </c>
      <c r="O143" s="300">
        <v>11571.464120000001</v>
      </c>
      <c r="P143" s="302">
        <v>2047.2260819999999</v>
      </c>
      <c r="Q143" s="302" t="s">
        <v>12</v>
      </c>
      <c r="R143" s="302" t="s">
        <v>539</v>
      </c>
      <c r="S143" s="302">
        <v>10</v>
      </c>
      <c r="T143" s="302">
        <v>5</v>
      </c>
      <c r="U143" s="302">
        <v>0.7</v>
      </c>
      <c r="V143" s="302">
        <v>0.7</v>
      </c>
      <c r="W143" s="302">
        <v>0.7</v>
      </c>
      <c r="X143" s="300">
        <v>2000</v>
      </c>
      <c r="Y143" s="300" t="s">
        <v>540</v>
      </c>
      <c r="Z143" s="300">
        <v>0.2</v>
      </c>
      <c r="AA143" s="300" t="s">
        <v>541</v>
      </c>
      <c r="AB143" s="300" t="s">
        <v>542</v>
      </c>
      <c r="AC143" s="300">
        <v>220</v>
      </c>
      <c r="AD143" s="158"/>
      <c r="AE143" s="188"/>
    </row>
    <row r="144" spans="1:31" ht="15.75">
      <c r="A144" s="300" t="s">
        <v>588</v>
      </c>
      <c r="B144" s="300">
        <v>6</v>
      </c>
      <c r="C144" s="300">
        <v>170</v>
      </c>
      <c r="D144" s="300" t="s">
        <v>579</v>
      </c>
      <c r="E144" s="300">
        <v>1</v>
      </c>
      <c r="F144" s="311">
        <v>45469.497916666667</v>
      </c>
      <c r="G144" s="300">
        <v>1</v>
      </c>
      <c r="H144" s="300">
        <v>51.370800000000003</v>
      </c>
      <c r="I144" s="300">
        <v>8.26037</v>
      </c>
      <c r="J144" s="300">
        <v>-24.258355999999999</v>
      </c>
      <c r="K144" s="300">
        <v>-22.670100000000001</v>
      </c>
      <c r="L144" s="300">
        <v>1083.26</v>
      </c>
      <c r="M144" s="300">
        <v>68.498791999999995</v>
      </c>
      <c r="N144" s="300">
        <v>11747.03823</v>
      </c>
      <c r="O144" s="300">
        <v>11737.157810000001</v>
      </c>
      <c r="P144" s="302">
        <v>2076.2100289999998</v>
      </c>
      <c r="Q144" s="302" t="s">
        <v>12</v>
      </c>
      <c r="R144" s="302" t="s">
        <v>553</v>
      </c>
      <c r="S144" s="302">
        <v>10</v>
      </c>
      <c r="T144" s="302">
        <v>5</v>
      </c>
      <c r="U144" s="302">
        <v>0.7</v>
      </c>
      <c r="V144" s="302">
        <v>0.7</v>
      </c>
      <c r="W144" s="302">
        <v>0.7</v>
      </c>
      <c r="X144" s="300">
        <v>2000</v>
      </c>
      <c r="Y144" s="300" t="s">
        <v>540</v>
      </c>
      <c r="Z144" s="300">
        <v>0.2</v>
      </c>
      <c r="AA144" s="300" t="s">
        <v>541</v>
      </c>
      <c r="AB144" s="300" t="s">
        <v>542</v>
      </c>
      <c r="AC144" s="300">
        <v>220</v>
      </c>
      <c r="AD144" s="158"/>
      <c r="AE144" s="188"/>
    </row>
    <row r="145" spans="1:31" ht="15.75">
      <c r="A145" s="300" t="s">
        <v>590</v>
      </c>
      <c r="B145" s="300">
        <v>6</v>
      </c>
      <c r="C145" s="300">
        <v>170</v>
      </c>
      <c r="D145" s="300" t="s">
        <v>579</v>
      </c>
      <c r="E145" s="300">
        <v>1</v>
      </c>
      <c r="F145" s="311">
        <v>45469.500694444447</v>
      </c>
      <c r="G145" s="300">
        <v>1</v>
      </c>
      <c r="H145" s="300">
        <v>51.377400000000002</v>
      </c>
      <c r="I145" s="300">
        <v>8.3338000000000001</v>
      </c>
      <c r="J145" s="300">
        <v>-23.948499999999999</v>
      </c>
      <c r="K145" s="300">
        <v>-22.496200000000002</v>
      </c>
      <c r="L145" s="300">
        <v>1077.52</v>
      </c>
      <c r="M145" s="300">
        <v>66.999030000000005</v>
      </c>
      <c r="N145" s="300">
        <v>11723.28523</v>
      </c>
      <c r="O145" s="300">
        <v>11737.157810000001</v>
      </c>
      <c r="P145" s="302">
        <v>2076.2100289999998</v>
      </c>
      <c r="Q145" s="302" t="s">
        <v>12</v>
      </c>
      <c r="R145" s="302" t="s">
        <v>553</v>
      </c>
      <c r="S145" s="302">
        <v>10</v>
      </c>
      <c r="T145" s="302">
        <v>5</v>
      </c>
      <c r="U145" s="302">
        <v>0.7</v>
      </c>
      <c r="V145" s="302">
        <v>0.7</v>
      </c>
      <c r="W145" s="302">
        <v>0.7</v>
      </c>
      <c r="X145" s="300">
        <v>2000</v>
      </c>
      <c r="Y145" s="300" t="s">
        <v>540</v>
      </c>
      <c r="Z145" s="300">
        <v>0.2</v>
      </c>
      <c r="AA145" s="300" t="s">
        <v>541</v>
      </c>
      <c r="AB145" s="300" t="s">
        <v>542</v>
      </c>
      <c r="AC145" s="300">
        <v>220</v>
      </c>
      <c r="AD145" s="158"/>
      <c r="AE145" s="188"/>
    </row>
    <row r="146" spans="1:31" ht="15.75">
      <c r="A146" s="300" t="s">
        <v>685</v>
      </c>
      <c r="B146" s="300">
        <v>6</v>
      </c>
      <c r="C146" s="300">
        <v>170</v>
      </c>
      <c r="D146" s="300" t="s">
        <v>579</v>
      </c>
      <c r="E146" s="300">
        <v>1</v>
      </c>
      <c r="F146" s="311">
        <v>45469.503472222219</v>
      </c>
      <c r="G146" s="300">
        <v>1</v>
      </c>
      <c r="H146" s="300">
        <v>51.374099999999999</v>
      </c>
      <c r="I146" s="300">
        <v>8.4308800000000002</v>
      </c>
      <c r="J146" s="300">
        <v>-24.281281</v>
      </c>
      <c r="K146" s="300">
        <v>-22.878962999999999</v>
      </c>
      <c r="L146" s="300">
        <v>1109.8699999999999</v>
      </c>
      <c r="M146" s="300">
        <v>75.999435000000005</v>
      </c>
      <c r="N146" s="300">
        <v>11789.54968</v>
      </c>
      <c r="O146" s="300">
        <v>11737.157810000001</v>
      </c>
      <c r="P146" s="302">
        <v>2076.2100289999998</v>
      </c>
      <c r="Q146" s="302" t="s">
        <v>12</v>
      </c>
      <c r="R146" s="302" t="s">
        <v>553</v>
      </c>
      <c r="S146" s="302">
        <v>10</v>
      </c>
      <c r="T146" s="302">
        <v>5</v>
      </c>
      <c r="U146" s="302">
        <v>0.7</v>
      </c>
      <c r="V146" s="302">
        <v>0.7</v>
      </c>
      <c r="W146" s="302">
        <v>0.7</v>
      </c>
      <c r="X146" s="300">
        <v>2000</v>
      </c>
      <c r="Y146" s="300" t="s">
        <v>540</v>
      </c>
      <c r="Z146" s="300">
        <v>0.2</v>
      </c>
      <c r="AA146" s="300" t="s">
        <v>541</v>
      </c>
      <c r="AB146" s="300" t="s">
        <v>542</v>
      </c>
      <c r="AC146" s="300">
        <v>220</v>
      </c>
      <c r="AD146" s="158"/>
      <c r="AE146" s="188"/>
    </row>
    <row r="147" spans="1:31" ht="15.75">
      <c r="A147" s="300" t="s">
        <v>686</v>
      </c>
      <c r="B147" s="300">
        <v>6</v>
      </c>
      <c r="C147" s="300">
        <v>170</v>
      </c>
      <c r="D147" s="300" t="s">
        <v>579</v>
      </c>
      <c r="E147" s="300">
        <v>1</v>
      </c>
      <c r="F147" s="311">
        <v>45469.506249999999</v>
      </c>
      <c r="G147" s="300">
        <v>1</v>
      </c>
      <c r="H147" s="300">
        <v>51.377400000000002</v>
      </c>
      <c r="I147" s="300">
        <v>8.3835999999999995</v>
      </c>
      <c r="J147" s="300">
        <v>-24.174268999999999</v>
      </c>
      <c r="K147" s="300">
        <v>-22.378212999999999</v>
      </c>
      <c r="L147" s="300">
        <v>1086.97</v>
      </c>
      <c r="M147" s="300">
        <v>67.500540999999998</v>
      </c>
      <c r="N147" s="300">
        <v>11736.988310000001</v>
      </c>
      <c r="O147" s="300">
        <v>11737.157810000001</v>
      </c>
      <c r="P147" s="302">
        <v>2076.2100289999998</v>
      </c>
      <c r="Q147" s="302" t="s">
        <v>12</v>
      </c>
      <c r="R147" s="302" t="s">
        <v>539</v>
      </c>
      <c r="S147" s="302">
        <v>10</v>
      </c>
      <c r="T147" s="302">
        <v>5</v>
      </c>
      <c r="U147" s="302">
        <v>0.7</v>
      </c>
      <c r="V147" s="302">
        <v>0.7</v>
      </c>
      <c r="W147" s="302">
        <v>0.7</v>
      </c>
      <c r="X147" s="300">
        <v>2000</v>
      </c>
      <c r="Y147" s="300" t="s">
        <v>540</v>
      </c>
      <c r="Z147" s="300">
        <v>0.2</v>
      </c>
      <c r="AA147" s="300" t="s">
        <v>541</v>
      </c>
      <c r="AB147" s="300" t="s">
        <v>542</v>
      </c>
      <c r="AC147" s="300">
        <v>220</v>
      </c>
      <c r="AD147" s="158"/>
      <c r="AE147" s="188"/>
    </row>
    <row r="148" spans="1:31" ht="15.75">
      <c r="A148" s="300" t="s">
        <v>687</v>
      </c>
      <c r="B148" s="300">
        <v>6</v>
      </c>
      <c r="C148" s="300">
        <v>170</v>
      </c>
      <c r="D148" s="300" t="s">
        <v>579</v>
      </c>
      <c r="E148" s="300">
        <v>1</v>
      </c>
      <c r="F148" s="311">
        <v>45469.509027777778</v>
      </c>
      <c r="G148" s="300">
        <v>1</v>
      </c>
      <c r="H148" s="300">
        <v>51.374099999999999</v>
      </c>
      <c r="I148" s="300">
        <v>8.4287700000000001</v>
      </c>
      <c r="J148" s="300">
        <v>-24.151637999999998</v>
      </c>
      <c r="K148" s="300">
        <v>-22.583181</v>
      </c>
      <c r="L148" s="300">
        <v>1094.0999999999999</v>
      </c>
      <c r="M148" s="300">
        <v>68.999176000000006</v>
      </c>
      <c r="N148" s="300">
        <v>11737.327310000001</v>
      </c>
      <c r="O148" s="300">
        <v>11737.157810000001</v>
      </c>
      <c r="P148" s="302">
        <v>2076.2100289999998</v>
      </c>
      <c r="Q148" s="302" t="s">
        <v>12</v>
      </c>
      <c r="R148" s="302" t="s">
        <v>539</v>
      </c>
      <c r="S148" s="302">
        <v>10</v>
      </c>
      <c r="T148" s="302">
        <v>5</v>
      </c>
      <c r="U148" s="302">
        <v>0.7</v>
      </c>
      <c r="V148" s="302">
        <v>0.7</v>
      </c>
      <c r="W148" s="302">
        <v>0.7</v>
      </c>
      <c r="X148" s="300">
        <v>2000</v>
      </c>
      <c r="Y148" s="300" t="s">
        <v>540</v>
      </c>
      <c r="Z148" s="300">
        <v>0.2</v>
      </c>
      <c r="AA148" s="300" t="s">
        <v>541</v>
      </c>
      <c r="AB148" s="300" t="s">
        <v>542</v>
      </c>
      <c r="AC148" s="300">
        <v>220</v>
      </c>
      <c r="AD148" s="158"/>
      <c r="AE148" s="188"/>
    </row>
    <row r="149" spans="1:31" ht="15.75">
      <c r="A149" s="300" t="s">
        <v>688</v>
      </c>
      <c r="B149" s="300">
        <v>7</v>
      </c>
      <c r="C149" s="300">
        <v>171</v>
      </c>
      <c r="D149" s="300" t="s">
        <v>582</v>
      </c>
      <c r="E149" s="300">
        <v>1</v>
      </c>
      <c r="F149" s="311">
        <v>45469.512499999997</v>
      </c>
      <c r="G149" s="300">
        <v>1</v>
      </c>
      <c r="H149" s="300">
        <v>51.380699999999997</v>
      </c>
      <c r="I149" s="300">
        <v>8.3392700000000008</v>
      </c>
      <c r="J149" s="300">
        <v>-24.259837999999998</v>
      </c>
      <c r="K149" s="300">
        <v>-22.929006000000001</v>
      </c>
      <c r="L149" s="300">
        <v>1109.79</v>
      </c>
      <c r="M149" s="300">
        <v>72.499554000000003</v>
      </c>
      <c r="N149" s="300">
        <v>11808.943869999999</v>
      </c>
      <c r="O149" s="300">
        <v>11775.68102</v>
      </c>
      <c r="P149" s="302">
        <v>2082.9486969999998</v>
      </c>
      <c r="Q149" s="302" t="s">
        <v>12</v>
      </c>
      <c r="R149" s="302" t="s">
        <v>553</v>
      </c>
      <c r="S149" s="302">
        <v>10</v>
      </c>
      <c r="T149" s="302">
        <v>5</v>
      </c>
      <c r="U149" s="302">
        <v>0.7</v>
      </c>
      <c r="V149" s="302">
        <v>0.7</v>
      </c>
      <c r="W149" s="302">
        <v>0.7</v>
      </c>
      <c r="X149" s="300">
        <v>2000</v>
      </c>
      <c r="Y149" s="300" t="s">
        <v>540</v>
      </c>
      <c r="Z149" s="300">
        <v>0.2</v>
      </c>
      <c r="AA149" s="300" t="s">
        <v>541</v>
      </c>
      <c r="AB149" s="300" t="s">
        <v>542</v>
      </c>
      <c r="AC149" s="300">
        <v>220</v>
      </c>
      <c r="AD149" s="158"/>
      <c r="AE149" s="188"/>
    </row>
    <row r="150" spans="1:31" ht="15.75">
      <c r="A150" s="300" t="s">
        <v>689</v>
      </c>
      <c r="B150" s="300">
        <v>7</v>
      </c>
      <c r="C150" s="300">
        <v>171</v>
      </c>
      <c r="D150" s="300" t="s">
        <v>582</v>
      </c>
      <c r="E150" s="300">
        <v>1</v>
      </c>
      <c r="F150" s="311">
        <v>45469.515277777777</v>
      </c>
      <c r="G150" s="300">
        <v>1</v>
      </c>
      <c r="H150" s="300">
        <v>51.380699999999997</v>
      </c>
      <c r="I150" s="300">
        <v>8.2230799999999995</v>
      </c>
      <c r="J150" s="300">
        <v>-24.251055999999998</v>
      </c>
      <c r="K150" s="300">
        <v>-22.425056000000001</v>
      </c>
      <c r="L150" s="300">
        <v>1087.6500000000001</v>
      </c>
      <c r="M150" s="300">
        <v>68.000393000000003</v>
      </c>
      <c r="N150" s="300">
        <v>11765.764209999999</v>
      </c>
      <c r="O150" s="300">
        <v>11775.68102</v>
      </c>
      <c r="P150" s="302">
        <v>2082.9486969999998</v>
      </c>
      <c r="Q150" s="302" t="s">
        <v>12</v>
      </c>
      <c r="R150" s="302" t="s">
        <v>539</v>
      </c>
      <c r="S150" s="302">
        <v>10</v>
      </c>
      <c r="T150" s="302">
        <v>5</v>
      </c>
      <c r="U150" s="302">
        <v>0.7</v>
      </c>
      <c r="V150" s="302">
        <v>0.7</v>
      </c>
      <c r="W150" s="302">
        <v>0.7</v>
      </c>
      <c r="X150" s="300">
        <v>2000</v>
      </c>
      <c r="Y150" s="300" t="s">
        <v>540</v>
      </c>
      <c r="Z150" s="300">
        <v>0.2</v>
      </c>
      <c r="AA150" s="300" t="s">
        <v>541</v>
      </c>
      <c r="AB150" s="300" t="s">
        <v>542</v>
      </c>
      <c r="AC150" s="300">
        <v>220</v>
      </c>
      <c r="AD150" s="158"/>
      <c r="AE150" s="188"/>
    </row>
    <row r="151" spans="1:31" ht="15.75">
      <c r="A151" s="300" t="s">
        <v>690</v>
      </c>
      <c r="B151" s="300">
        <v>7</v>
      </c>
      <c r="C151" s="300">
        <v>171</v>
      </c>
      <c r="D151" s="300" t="s">
        <v>582</v>
      </c>
      <c r="E151" s="300">
        <v>1</v>
      </c>
      <c r="F151" s="311">
        <v>45469.518055555556</v>
      </c>
      <c r="G151" s="300">
        <v>1</v>
      </c>
      <c r="H151" s="300">
        <v>51.377400000000002</v>
      </c>
      <c r="I151" s="300">
        <v>8.1309799999999992</v>
      </c>
      <c r="J151" s="300">
        <v>-24.122599999999998</v>
      </c>
      <c r="K151" s="300">
        <v>-22.457469</v>
      </c>
      <c r="L151" s="300">
        <v>1110.3499999999999</v>
      </c>
      <c r="M151" s="300">
        <v>66.499440000000007</v>
      </c>
      <c r="N151" s="300">
        <v>11785.597830000001</v>
      </c>
      <c r="O151" s="300">
        <v>11775.68102</v>
      </c>
      <c r="P151" s="302">
        <v>2082.9486969999998</v>
      </c>
      <c r="Q151" s="302" t="s">
        <v>12</v>
      </c>
      <c r="R151" s="302" t="s">
        <v>539</v>
      </c>
      <c r="S151" s="302">
        <v>10</v>
      </c>
      <c r="T151" s="302">
        <v>5</v>
      </c>
      <c r="U151" s="302">
        <v>0.7</v>
      </c>
      <c r="V151" s="302">
        <v>0.7</v>
      </c>
      <c r="W151" s="302">
        <v>0.7</v>
      </c>
      <c r="X151" s="300">
        <v>2000</v>
      </c>
      <c r="Y151" s="300" t="s">
        <v>540</v>
      </c>
      <c r="Z151" s="300">
        <v>0.2</v>
      </c>
      <c r="AA151" s="300" t="s">
        <v>541</v>
      </c>
      <c r="AB151" s="300" t="s">
        <v>542</v>
      </c>
      <c r="AC151" s="300">
        <v>220</v>
      </c>
      <c r="AD151" s="158"/>
      <c r="AE151" s="188"/>
    </row>
    <row r="152" spans="1:31" ht="15.75">
      <c r="A152" s="300" t="s">
        <v>597</v>
      </c>
      <c r="B152" s="300">
        <v>8</v>
      </c>
      <c r="C152" s="300">
        <v>287</v>
      </c>
      <c r="D152" s="300" t="s">
        <v>585</v>
      </c>
      <c r="E152" s="300">
        <v>1</v>
      </c>
      <c r="F152" s="311">
        <v>45469.521527777775</v>
      </c>
      <c r="G152" s="300">
        <v>1</v>
      </c>
      <c r="H152" s="300">
        <v>51.377400000000002</v>
      </c>
      <c r="I152" s="300">
        <v>8.1364400000000003</v>
      </c>
      <c r="J152" s="300">
        <v>-24.155162000000001</v>
      </c>
      <c r="K152" s="300">
        <v>-22.591487000000001</v>
      </c>
      <c r="L152" s="300">
        <v>1088.71</v>
      </c>
      <c r="M152" s="300">
        <v>69.499661000000003</v>
      </c>
      <c r="N152" s="300">
        <v>11732.28902</v>
      </c>
      <c r="O152" s="300">
        <v>11734.6158</v>
      </c>
      <c r="P152" s="302">
        <v>2075.765367</v>
      </c>
      <c r="Q152" s="302" t="s">
        <v>12</v>
      </c>
      <c r="R152" s="302" t="s">
        <v>539</v>
      </c>
      <c r="S152" s="302">
        <v>10</v>
      </c>
      <c r="T152" s="302">
        <v>5</v>
      </c>
      <c r="U152" s="302">
        <v>0.7</v>
      </c>
      <c r="V152" s="302">
        <v>0.7</v>
      </c>
      <c r="W152" s="302">
        <v>0.7</v>
      </c>
      <c r="X152" s="300">
        <v>2000</v>
      </c>
      <c r="Y152" s="300" t="s">
        <v>540</v>
      </c>
      <c r="Z152" s="300">
        <v>0.2</v>
      </c>
      <c r="AA152" s="300" t="s">
        <v>541</v>
      </c>
      <c r="AB152" s="300" t="s">
        <v>542</v>
      </c>
      <c r="AC152" s="300">
        <v>220</v>
      </c>
      <c r="AD152" s="158"/>
      <c r="AE152" s="188"/>
    </row>
    <row r="153" spans="1:31" ht="15.75">
      <c r="A153" s="300" t="s">
        <v>598</v>
      </c>
      <c r="B153" s="300">
        <v>8</v>
      </c>
      <c r="C153" s="300">
        <v>287</v>
      </c>
      <c r="D153" s="300" t="s">
        <v>585</v>
      </c>
      <c r="E153" s="300">
        <v>1</v>
      </c>
      <c r="F153" s="311">
        <v>45469.524305555555</v>
      </c>
      <c r="G153" s="300">
        <v>1</v>
      </c>
      <c r="H153" s="300">
        <v>51.380699999999997</v>
      </c>
      <c r="I153" s="300">
        <v>8.2279699999999991</v>
      </c>
      <c r="J153" s="300">
        <v>-24.260705999999999</v>
      </c>
      <c r="K153" s="300">
        <v>-22.582374999999999</v>
      </c>
      <c r="L153" s="300">
        <v>1088.23</v>
      </c>
      <c r="M153" s="300">
        <v>67.999419000000003</v>
      </c>
      <c r="N153" s="300">
        <v>11736.942569999999</v>
      </c>
      <c r="O153" s="300">
        <v>11734.6158</v>
      </c>
      <c r="P153" s="302">
        <v>2075.765367</v>
      </c>
      <c r="Q153" s="302" t="s">
        <v>12</v>
      </c>
      <c r="R153" s="302" t="s">
        <v>539</v>
      </c>
      <c r="S153" s="302">
        <v>10</v>
      </c>
      <c r="T153" s="302">
        <v>5</v>
      </c>
      <c r="U153" s="302">
        <v>0.7</v>
      </c>
      <c r="V153" s="302">
        <v>0.7</v>
      </c>
      <c r="W153" s="302">
        <v>0.7</v>
      </c>
      <c r="X153" s="300">
        <v>2000</v>
      </c>
      <c r="Y153" s="300" t="s">
        <v>540</v>
      </c>
      <c r="Z153" s="300">
        <v>0.2</v>
      </c>
      <c r="AA153" s="300" t="s">
        <v>541</v>
      </c>
      <c r="AB153" s="300" t="s">
        <v>542</v>
      </c>
      <c r="AC153" s="300">
        <v>220</v>
      </c>
      <c r="AD153" s="158"/>
      <c r="AE153" s="188"/>
    </row>
    <row r="154" spans="1:31" ht="15.75">
      <c r="A154" s="300" t="s">
        <v>599</v>
      </c>
      <c r="B154" s="300">
        <v>9</v>
      </c>
      <c r="C154" s="300">
        <v>288</v>
      </c>
      <c r="D154" s="300" t="s">
        <v>589</v>
      </c>
      <c r="E154" s="300">
        <v>1</v>
      </c>
      <c r="F154" s="311">
        <v>45469.527777777781</v>
      </c>
      <c r="G154" s="300">
        <v>1</v>
      </c>
      <c r="H154" s="300">
        <v>51.380699999999997</v>
      </c>
      <c r="I154" s="300">
        <v>8.1188300000000009</v>
      </c>
      <c r="J154" s="300">
        <v>-24.029924999999999</v>
      </c>
      <c r="K154" s="300">
        <v>-21.452318999999999</v>
      </c>
      <c r="L154" s="300">
        <v>1086.5999999999999</v>
      </c>
      <c r="M154" s="300">
        <v>60.999614999999999</v>
      </c>
      <c r="N154" s="300">
        <v>11696.71487</v>
      </c>
      <c r="O154" s="300">
        <v>11734.972529999999</v>
      </c>
      <c r="P154" s="302">
        <v>2075.8277680000001</v>
      </c>
      <c r="Q154" s="302" t="s">
        <v>12</v>
      </c>
      <c r="R154" s="302" t="s">
        <v>553</v>
      </c>
      <c r="S154" s="302">
        <v>10</v>
      </c>
      <c r="T154" s="302">
        <v>5</v>
      </c>
      <c r="U154" s="302">
        <v>0.7</v>
      </c>
      <c r="V154" s="302">
        <v>0.7</v>
      </c>
      <c r="W154" s="302">
        <v>0.7</v>
      </c>
      <c r="X154" s="300">
        <v>2000</v>
      </c>
      <c r="Y154" s="300" t="s">
        <v>540</v>
      </c>
      <c r="Z154" s="300">
        <v>0.2</v>
      </c>
      <c r="AA154" s="300" t="s">
        <v>541</v>
      </c>
      <c r="AB154" s="300" t="s">
        <v>542</v>
      </c>
      <c r="AC154" s="300">
        <v>220</v>
      </c>
      <c r="AD154" s="158"/>
      <c r="AE154" s="188"/>
    </row>
    <row r="155" spans="1:31" ht="15.75">
      <c r="A155" s="300" t="s">
        <v>600</v>
      </c>
      <c r="B155" s="300">
        <v>9</v>
      </c>
      <c r="C155" s="300">
        <v>288</v>
      </c>
      <c r="D155" s="300" t="s">
        <v>589</v>
      </c>
      <c r="E155" s="300">
        <v>1</v>
      </c>
      <c r="F155" s="311">
        <v>45469.530555555553</v>
      </c>
      <c r="G155" s="300">
        <v>1</v>
      </c>
      <c r="H155" s="300">
        <v>51.374099999999999</v>
      </c>
      <c r="I155" s="300">
        <v>8.31203</v>
      </c>
      <c r="J155" s="300">
        <v>-24.084875</v>
      </c>
      <c r="K155" s="300">
        <v>-22.751887</v>
      </c>
      <c r="L155" s="300">
        <v>1074.9100000000001</v>
      </c>
      <c r="M155" s="300">
        <v>77.999763999999999</v>
      </c>
      <c r="N155" s="300">
        <v>11731.711439999999</v>
      </c>
      <c r="O155" s="300">
        <v>11734.972529999999</v>
      </c>
      <c r="P155" s="302">
        <v>2075.8277680000001</v>
      </c>
      <c r="Q155" s="302" t="s">
        <v>12</v>
      </c>
      <c r="R155" s="302" t="s">
        <v>539</v>
      </c>
      <c r="S155" s="302">
        <v>10</v>
      </c>
      <c r="T155" s="302">
        <v>5</v>
      </c>
      <c r="U155" s="302">
        <v>0.7</v>
      </c>
      <c r="V155" s="302">
        <v>0.7</v>
      </c>
      <c r="W155" s="302">
        <v>0.7</v>
      </c>
      <c r="X155" s="300">
        <v>2000</v>
      </c>
      <c r="Y155" s="300" t="s">
        <v>540</v>
      </c>
      <c r="Z155" s="300">
        <v>0.2</v>
      </c>
      <c r="AA155" s="300" t="s">
        <v>541</v>
      </c>
      <c r="AB155" s="300" t="s">
        <v>542</v>
      </c>
      <c r="AC155" s="300">
        <v>220</v>
      </c>
      <c r="AD155" s="158"/>
      <c r="AE155" s="188"/>
    </row>
    <row r="156" spans="1:31" ht="15.75">
      <c r="A156" s="300" t="s">
        <v>691</v>
      </c>
      <c r="B156" s="300">
        <v>9</v>
      </c>
      <c r="C156" s="300">
        <v>288</v>
      </c>
      <c r="D156" s="300" t="s">
        <v>589</v>
      </c>
      <c r="E156" s="300">
        <v>1</v>
      </c>
      <c r="F156" s="311">
        <v>45469.533333333333</v>
      </c>
      <c r="G156" s="300">
        <v>1</v>
      </c>
      <c r="H156" s="300">
        <v>51.374099999999999</v>
      </c>
      <c r="I156" s="300">
        <v>8.1565700000000003</v>
      </c>
      <c r="J156" s="300">
        <v>-24.230788</v>
      </c>
      <c r="K156" s="300">
        <v>-22.047630999999999</v>
      </c>
      <c r="L156" s="300">
        <v>1106.45</v>
      </c>
      <c r="M156" s="300">
        <v>64.000103999999993</v>
      </c>
      <c r="N156" s="300">
        <v>11738.233609999999</v>
      </c>
      <c r="O156" s="300">
        <v>11734.972529999999</v>
      </c>
      <c r="P156" s="302">
        <v>2075.8277680000001</v>
      </c>
      <c r="Q156" s="302" t="s">
        <v>12</v>
      </c>
      <c r="R156" s="302" t="s">
        <v>539</v>
      </c>
      <c r="S156" s="302">
        <v>10</v>
      </c>
      <c r="T156" s="302">
        <v>5</v>
      </c>
      <c r="U156" s="302">
        <v>0.7</v>
      </c>
      <c r="V156" s="302">
        <v>0.7</v>
      </c>
      <c r="W156" s="302">
        <v>0.7</v>
      </c>
      <c r="X156" s="300">
        <v>2000</v>
      </c>
      <c r="Y156" s="300" t="s">
        <v>540</v>
      </c>
      <c r="Z156" s="300">
        <v>0.2</v>
      </c>
      <c r="AA156" s="300" t="s">
        <v>541</v>
      </c>
      <c r="AB156" s="300" t="s">
        <v>542</v>
      </c>
      <c r="AC156" s="300">
        <v>220</v>
      </c>
      <c r="AD156" s="158"/>
      <c r="AE156" s="188"/>
    </row>
    <row r="157" spans="1:31" ht="15.75">
      <c r="A157" s="300" t="s">
        <v>692</v>
      </c>
      <c r="B157" s="300" t="s">
        <v>551</v>
      </c>
      <c r="C157" s="300" t="s">
        <v>678</v>
      </c>
      <c r="D157" s="300" t="s">
        <v>538</v>
      </c>
      <c r="E157" s="300">
        <v>0.8</v>
      </c>
      <c r="F157" s="311">
        <v>45469.537499999999</v>
      </c>
      <c r="G157" s="300">
        <v>1</v>
      </c>
      <c r="H157" s="300">
        <v>51.377400000000002</v>
      </c>
      <c r="I157" s="300">
        <v>8.0328900000000001</v>
      </c>
      <c r="J157" s="300">
        <v>-24.112531000000001</v>
      </c>
      <c r="K157" s="300">
        <v>-22.495162000000001</v>
      </c>
      <c r="L157" s="300">
        <v>1027.5</v>
      </c>
      <c r="M157" s="300">
        <v>62.001863</v>
      </c>
      <c r="N157" s="300">
        <v>9356.6533350000009</v>
      </c>
      <c r="O157" s="300">
        <v>9352.1880209999999</v>
      </c>
      <c r="P157" s="302">
        <v>2070.3456999999999</v>
      </c>
      <c r="Q157" s="302" t="s">
        <v>12</v>
      </c>
      <c r="R157" s="302" t="s">
        <v>539</v>
      </c>
      <c r="S157" s="302">
        <v>10</v>
      </c>
      <c r="T157" s="302">
        <v>5</v>
      </c>
      <c r="U157" s="302">
        <v>0.7</v>
      </c>
      <c r="V157" s="302">
        <v>0.7</v>
      </c>
      <c r="W157" s="302">
        <v>0.7</v>
      </c>
      <c r="X157" s="300">
        <v>2000</v>
      </c>
      <c r="Y157" s="300" t="s">
        <v>540</v>
      </c>
      <c r="Z157" s="300">
        <v>0.2</v>
      </c>
      <c r="AA157" s="300" t="s">
        <v>541</v>
      </c>
      <c r="AB157" s="300" t="s">
        <v>542</v>
      </c>
      <c r="AC157" s="300">
        <v>220</v>
      </c>
      <c r="AD157" s="158"/>
      <c r="AE157" s="188"/>
    </row>
    <row r="158" spans="1:31" ht="15.75">
      <c r="A158" s="300" t="s">
        <v>693</v>
      </c>
      <c r="B158" s="300" t="s">
        <v>551</v>
      </c>
      <c r="C158" s="300" t="s">
        <v>678</v>
      </c>
      <c r="D158" s="300" t="s">
        <v>538</v>
      </c>
      <c r="E158" s="300">
        <v>0.8</v>
      </c>
      <c r="F158" s="311">
        <v>45469.540277777778</v>
      </c>
      <c r="G158" s="300">
        <v>1</v>
      </c>
      <c r="H158" s="300">
        <v>51.380699999999997</v>
      </c>
      <c r="I158" s="300">
        <v>8.0125399999999996</v>
      </c>
      <c r="J158" s="300">
        <v>-24.119138</v>
      </c>
      <c r="K158" s="300">
        <v>-22.533731</v>
      </c>
      <c r="L158" s="300">
        <v>1024.02</v>
      </c>
      <c r="M158" s="300">
        <v>62.500135</v>
      </c>
      <c r="N158" s="300">
        <v>9347.7227070000008</v>
      </c>
      <c r="O158" s="300">
        <v>9352.1880209999999</v>
      </c>
      <c r="P158" s="302">
        <v>2070.3456999999999</v>
      </c>
      <c r="Q158" s="302" t="s">
        <v>12</v>
      </c>
      <c r="R158" s="302" t="s">
        <v>539</v>
      </c>
      <c r="S158" s="302">
        <v>10</v>
      </c>
      <c r="T158" s="302">
        <v>5</v>
      </c>
      <c r="U158" s="302">
        <v>0.7</v>
      </c>
      <c r="V158" s="302">
        <v>0.7</v>
      </c>
      <c r="W158" s="302">
        <v>0.7</v>
      </c>
      <c r="X158" s="300">
        <v>2000</v>
      </c>
      <c r="Y158" s="300" t="s">
        <v>540</v>
      </c>
      <c r="Z158" s="300">
        <v>0.2</v>
      </c>
      <c r="AA158" s="300" t="s">
        <v>541</v>
      </c>
      <c r="AB158" s="300" t="s">
        <v>542</v>
      </c>
      <c r="AC158" s="300">
        <v>220</v>
      </c>
      <c r="AD158" s="158"/>
      <c r="AE158" s="188"/>
    </row>
    <row r="159" spans="1:31" ht="15.75">
      <c r="A159" s="300" t="s">
        <v>694</v>
      </c>
      <c r="B159" s="300" t="s">
        <v>558</v>
      </c>
      <c r="C159" s="300" t="s">
        <v>678</v>
      </c>
      <c r="D159" s="300" t="s">
        <v>538</v>
      </c>
      <c r="E159" s="300">
        <v>1</v>
      </c>
      <c r="F159" s="311">
        <v>45469.543055555558</v>
      </c>
      <c r="G159" s="300">
        <v>1</v>
      </c>
      <c r="H159" s="300">
        <v>51.370800000000003</v>
      </c>
      <c r="I159" s="300">
        <v>8.1269799999999996</v>
      </c>
      <c r="J159" s="300">
        <v>-23.98715</v>
      </c>
      <c r="K159" s="300">
        <v>-22.403219</v>
      </c>
      <c r="L159" s="300">
        <v>1104.6300000000001</v>
      </c>
      <c r="M159" s="300">
        <v>67.000066000000004</v>
      </c>
      <c r="N159" s="300">
        <v>11707.04732</v>
      </c>
      <c r="O159" s="300">
        <v>11710.020479999999</v>
      </c>
      <c r="P159" s="302">
        <v>2070.3456999999999</v>
      </c>
      <c r="Q159" s="302" t="s">
        <v>12</v>
      </c>
      <c r="R159" s="302" t="s">
        <v>553</v>
      </c>
      <c r="S159" s="302">
        <v>10</v>
      </c>
      <c r="T159" s="302">
        <v>5</v>
      </c>
      <c r="U159" s="302">
        <v>0.7</v>
      </c>
      <c r="V159" s="302">
        <v>0.7</v>
      </c>
      <c r="W159" s="302">
        <v>0.7</v>
      </c>
      <c r="X159" s="300">
        <v>2000</v>
      </c>
      <c r="Y159" s="300" t="s">
        <v>540</v>
      </c>
      <c r="Z159" s="300">
        <v>0.2</v>
      </c>
      <c r="AA159" s="300" t="s">
        <v>541</v>
      </c>
      <c r="AB159" s="300" t="s">
        <v>542</v>
      </c>
      <c r="AC159" s="300">
        <v>220</v>
      </c>
      <c r="AD159" s="158"/>
      <c r="AE159" s="188"/>
    </row>
    <row r="160" spans="1:31" ht="15.75">
      <c r="A160" s="300" t="s">
        <v>695</v>
      </c>
      <c r="B160" s="300" t="s">
        <v>558</v>
      </c>
      <c r="C160" s="300" t="s">
        <v>678</v>
      </c>
      <c r="D160" s="300" t="s">
        <v>538</v>
      </c>
      <c r="E160" s="300">
        <v>1</v>
      </c>
      <c r="F160" s="311">
        <v>45469.54583333333</v>
      </c>
      <c r="G160" s="300">
        <v>1</v>
      </c>
      <c r="H160" s="300">
        <v>51.374099999999999</v>
      </c>
      <c r="I160" s="300">
        <v>8.1837900000000001</v>
      </c>
      <c r="J160" s="300">
        <v>-24.051244000000001</v>
      </c>
      <c r="K160" s="300">
        <v>-22.301988000000001</v>
      </c>
      <c r="L160" s="300">
        <v>1093.4100000000001</v>
      </c>
      <c r="M160" s="300">
        <v>66.500009000000006</v>
      </c>
      <c r="N160" s="300">
        <v>11665.820610000001</v>
      </c>
      <c r="O160" s="300">
        <v>11710.020479999999</v>
      </c>
      <c r="P160" s="302">
        <v>2070.3456999999999</v>
      </c>
      <c r="Q160" s="302" t="s">
        <v>12</v>
      </c>
      <c r="R160" s="302" t="s">
        <v>553</v>
      </c>
      <c r="S160" s="302">
        <v>10</v>
      </c>
      <c r="T160" s="302">
        <v>5</v>
      </c>
      <c r="U160" s="302">
        <v>0.7</v>
      </c>
      <c r="V160" s="302">
        <v>0.7</v>
      </c>
      <c r="W160" s="302">
        <v>0.7</v>
      </c>
      <c r="X160" s="300">
        <v>2000</v>
      </c>
      <c r="Y160" s="300" t="s">
        <v>540</v>
      </c>
      <c r="Z160" s="300">
        <v>0.2</v>
      </c>
      <c r="AA160" s="300" t="s">
        <v>541</v>
      </c>
      <c r="AB160" s="300" t="s">
        <v>542</v>
      </c>
      <c r="AC160" s="300">
        <v>220</v>
      </c>
      <c r="AD160" s="158"/>
      <c r="AE160" s="188"/>
    </row>
    <row r="161" spans="1:31" ht="15.75">
      <c r="A161" s="303" t="s">
        <v>696</v>
      </c>
      <c r="B161" s="303" t="s">
        <v>558</v>
      </c>
      <c r="C161" s="303" t="s">
        <v>678</v>
      </c>
      <c r="D161" s="303" t="s">
        <v>538</v>
      </c>
      <c r="E161" s="303">
        <v>1</v>
      </c>
      <c r="F161" s="312">
        <v>45469.548611111109</v>
      </c>
      <c r="G161" s="303">
        <v>1</v>
      </c>
      <c r="H161" s="303">
        <v>51.370800000000003</v>
      </c>
      <c r="I161" s="303">
        <v>8.2637999999999998</v>
      </c>
      <c r="J161" s="303">
        <v>-24.213512999999999</v>
      </c>
      <c r="K161" s="303">
        <v>-22.258944</v>
      </c>
      <c r="L161" s="303">
        <v>1086.74</v>
      </c>
      <c r="M161" s="303">
        <v>65.499052000000006</v>
      </c>
      <c r="N161" s="303">
        <v>11701.41207</v>
      </c>
      <c r="O161" s="303">
        <v>11710.020479999999</v>
      </c>
      <c r="P161" s="305">
        <v>2070.3456999999999</v>
      </c>
      <c r="Q161" s="302" t="s">
        <v>12</v>
      </c>
      <c r="R161" s="305" t="s">
        <v>539</v>
      </c>
      <c r="S161" s="305">
        <v>10</v>
      </c>
      <c r="T161" s="305">
        <v>5</v>
      </c>
      <c r="U161" s="305">
        <v>0.7</v>
      </c>
      <c r="V161" s="305">
        <v>0.7</v>
      </c>
      <c r="W161" s="305">
        <v>0.7</v>
      </c>
      <c r="X161" s="303">
        <v>2000</v>
      </c>
      <c r="Y161" s="303" t="s">
        <v>540</v>
      </c>
      <c r="Z161" s="303">
        <v>0.2</v>
      </c>
      <c r="AA161" s="303" t="s">
        <v>541</v>
      </c>
      <c r="AB161" s="303" t="s">
        <v>542</v>
      </c>
      <c r="AC161" s="303">
        <v>220</v>
      </c>
      <c r="AD161" s="158"/>
      <c r="AE161" s="188"/>
    </row>
    <row r="162" spans="1:31" ht="15.75">
      <c r="A162" s="300" t="s">
        <v>697</v>
      </c>
      <c r="B162" s="300" t="s">
        <v>558</v>
      </c>
      <c r="C162" s="300" t="s">
        <v>678</v>
      </c>
      <c r="D162" s="300" t="s">
        <v>538</v>
      </c>
      <c r="E162" s="300">
        <v>1</v>
      </c>
      <c r="F162" s="311">
        <v>45469.551388888889</v>
      </c>
      <c r="G162" s="300">
        <v>1</v>
      </c>
      <c r="H162" s="300">
        <v>51.377400000000002</v>
      </c>
      <c r="I162" s="300">
        <v>8.1067099999999996</v>
      </c>
      <c r="J162" s="300">
        <v>-24.147061999999998</v>
      </c>
      <c r="K162" s="300">
        <v>-22.763731</v>
      </c>
      <c r="L162" s="300">
        <v>1103.27</v>
      </c>
      <c r="M162" s="300">
        <v>69.499747999999997</v>
      </c>
      <c r="N162" s="300">
        <v>11718.62888</v>
      </c>
      <c r="O162" s="300">
        <v>11710.020479999999</v>
      </c>
      <c r="P162" s="302">
        <v>2070.3456999999999</v>
      </c>
      <c r="Q162" s="302" t="s">
        <v>12</v>
      </c>
      <c r="R162" s="302" t="s">
        <v>539</v>
      </c>
      <c r="S162" s="302">
        <v>10</v>
      </c>
      <c r="T162" s="302">
        <v>5</v>
      </c>
      <c r="U162" s="302">
        <v>0.7</v>
      </c>
      <c r="V162" s="302">
        <v>0.7</v>
      </c>
      <c r="W162" s="302">
        <v>0.7</v>
      </c>
      <c r="X162" s="300">
        <v>2000</v>
      </c>
      <c r="Y162" s="300" t="s">
        <v>540</v>
      </c>
      <c r="Z162" s="300">
        <v>0.2</v>
      </c>
      <c r="AA162" s="300" t="s">
        <v>541</v>
      </c>
      <c r="AB162" s="300" t="s">
        <v>542</v>
      </c>
      <c r="AC162" s="300">
        <v>220</v>
      </c>
      <c r="AD162" s="158"/>
      <c r="AE162" s="188"/>
    </row>
    <row r="163" spans="1:31" ht="15.75">
      <c r="A163" s="300" t="s">
        <v>698</v>
      </c>
      <c r="B163" s="300" t="s">
        <v>561</v>
      </c>
      <c r="C163" s="300" t="s">
        <v>678</v>
      </c>
      <c r="D163" s="300" t="s">
        <v>538</v>
      </c>
      <c r="E163" s="300">
        <v>1.2</v>
      </c>
      <c r="F163" s="311">
        <v>45469.554166666669</v>
      </c>
      <c r="G163" s="300">
        <v>1</v>
      </c>
      <c r="H163" s="300">
        <v>51.380699999999997</v>
      </c>
      <c r="I163" s="300">
        <v>8.1865199999999998</v>
      </c>
      <c r="J163" s="300">
        <v>-24.124168999999998</v>
      </c>
      <c r="K163" s="300">
        <v>-22.020287</v>
      </c>
      <c r="L163" s="300">
        <v>1132.7</v>
      </c>
      <c r="M163" s="300">
        <v>68.499927999999997</v>
      </c>
      <c r="N163" s="300">
        <v>14046.503140000001</v>
      </c>
      <c r="O163" s="300">
        <v>14059.13077</v>
      </c>
      <c r="P163" s="302">
        <v>2070.3456999999999</v>
      </c>
      <c r="Q163" s="302" t="s">
        <v>12</v>
      </c>
      <c r="R163" s="302" t="s">
        <v>539</v>
      </c>
      <c r="S163" s="302">
        <v>10</v>
      </c>
      <c r="T163" s="302">
        <v>5</v>
      </c>
      <c r="U163" s="302">
        <v>0.7</v>
      </c>
      <c r="V163" s="302">
        <v>0.7</v>
      </c>
      <c r="W163" s="302">
        <v>0.7</v>
      </c>
      <c r="X163" s="300">
        <v>2000</v>
      </c>
      <c r="Y163" s="300" t="s">
        <v>540</v>
      </c>
      <c r="Z163" s="300">
        <v>0.2</v>
      </c>
      <c r="AA163" s="300" t="s">
        <v>541</v>
      </c>
      <c r="AB163" s="300" t="s">
        <v>542</v>
      </c>
      <c r="AC163" s="300">
        <v>220</v>
      </c>
      <c r="AD163" s="158"/>
      <c r="AE163" s="188"/>
    </row>
    <row r="164" spans="1:31" ht="15.75">
      <c r="A164" s="300" t="s">
        <v>699</v>
      </c>
      <c r="B164" s="300" t="s">
        <v>561</v>
      </c>
      <c r="C164" s="300" t="s">
        <v>678</v>
      </c>
      <c r="D164" s="300" t="s">
        <v>538</v>
      </c>
      <c r="E164" s="300">
        <v>1.2</v>
      </c>
      <c r="F164" s="311">
        <v>45469.556944444441</v>
      </c>
      <c r="G164" s="300">
        <v>1</v>
      </c>
      <c r="H164" s="300">
        <v>51.377400000000002</v>
      </c>
      <c r="I164" s="300">
        <v>8.0892199999999992</v>
      </c>
      <c r="J164" s="300">
        <v>-24.189906000000001</v>
      </c>
      <c r="K164" s="300">
        <v>-22.571812999999999</v>
      </c>
      <c r="L164" s="300">
        <v>1130.1199999999999</v>
      </c>
      <c r="M164" s="300">
        <v>71.499626000000006</v>
      </c>
      <c r="N164" s="300">
        <v>14071.75841</v>
      </c>
      <c r="O164" s="300">
        <v>14059.13077</v>
      </c>
      <c r="P164" s="302">
        <v>2070.3456999999999</v>
      </c>
      <c r="Q164" s="302" t="s">
        <v>12</v>
      </c>
      <c r="R164" s="302" t="s">
        <v>539</v>
      </c>
      <c r="S164" s="302">
        <v>10</v>
      </c>
      <c r="T164" s="302">
        <v>5</v>
      </c>
      <c r="U164" s="302">
        <v>0.7</v>
      </c>
      <c r="V164" s="302">
        <v>0.7</v>
      </c>
      <c r="W164" s="302">
        <v>0.7</v>
      </c>
      <c r="X164" s="300">
        <v>2000</v>
      </c>
      <c r="Y164" s="300" t="s">
        <v>540</v>
      </c>
      <c r="Z164" s="300">
        <v>0.2</v>
      </c>
      <c r="AA164" s="300" t="s">
        <v>541</v>
      </c>
      <c r="AB164" s="300" t="s">
        <v>542</v>
      </c>
      <c r="AC164" s="300">
        <v>220</v>
      </c>
      <c r="AD164" s="158"/>
      <c r="AE164" s="188"/>
    </row>
    <row r="165" spans="1:31" ht="15.75">
      <c r="A165" s="300" t="s">
        <v>606</v>
      </c>
      <c r="B165" s="300">
        <v>2</v>
      </c>
      <c r="C165" s="300">
        <v>209</v>
      </c>
      <c r="D165" s="300" t="s">
        <v>564</v>
      </c>
      <c r="E165" s="300">
        <v>1</v>
      </c>
      <c r="F165" s="311">
        <v>45469.560416666667</v>
      </c>
      <c r="G165" s="300">
        <v>1</v>
      </c>
      <c r="H165" s="300">
        <v>51.377400000000002</v>
      </c>
      <c r="I165" s="300">
        <v>8.0917499999999993</v>
      </c>
      <c r="J165" s="300">
        <v>-24.226288</v>
      </c>
      <c r="K165" s="300">
        <v>-22.380355999999999</v>
      </c>
      <c r="L165" s="300">
        <v>1112.08</v>
      </c>
      <c r="M165" s="300">
        <v>66.001264000000006</v>
      </c>
      <c r="N165" s="300">
        <v>11727.156419999999</v>
      </c>
      <c r="O165" s="300">
        <v>11717.228929999999</v>
      </c>
      <c r="P165" s="302">
        <v>2072.1254779999999</v>
      </c>
      <c r="Q165" s="302" t="s">
        <v>12</v>
      </c>
      <c r="R165" s="302" t="s">
        <v>539</v>
      </c>
      <c r="S165" s="302">
        <v>10</v>
      </c>
      <c r="T165" s="302">
        <v>5</v>
      </c>
      <c r="U165" s="302">
        <v>0.7</v>
      </c>
      <c r="V165" s="302">
        <v>0.7</v>
      </c>
      <c r="W165" s="302">
        <v>0.7</v>
      </c>
      <c r="X165" s="300">
        <v>2000</v>
      </c>
      <c r="Y165" s="300" t="s">
        <v>540</v>
      </c>
      <c r="Z165" s="300">
        <v>0.2</v>
      </c>
      <c r="AA165" s="300" t="s">
        <v>541</v>
      </c>
      <c r="AB165" s="300" t="s">
        <v>542</v>
      </c>
      <c r="AC165" s="300">
        <v>220</v>
      </c>
      <c r="AD165" s="158"/>
      <c r="AE165" s="188"/>
    </row>
    <row r="166" spans="1:31" ht="15.75">
      <c r="A166" s="300" t="s">
        <v>608</v>
      </c>
      <c r="B166" s="300">
        <v>2</v>
      </c>
      <c r="C166" s="300">
        <v>209</v>
      </c>
      <c r="D166" s="300" t="s">
        <v>564</v>
      </c>
      <c r="E166" s="300">
        <v>1</v>
      </c>
      <c r="F166" s="311">
        <v>45469.563194444447</v>
      </c>
      <c r="G166" s="300">
        <v>1</v>
      </c>
      <c r="H166" s="300">
        <v>51.377400000000002</v>
      </c>
      <c r="I166" s="300">
        <v>8.0492000000000008</v>
      </c>
      <c r="J166" s="300">
        <v>-24.240513</v>
      </c>
      <c r="K166" s="300">
        <v>-22.685362999999999</v>
      </c>
      <c r="L166" s="300">
        <v>1080.44</v>
      </c>
      <c r="M166" s="300">
        <v>70.499311000000006</v>
      </c>
      <c r="N166" s="300">
        <v>11707.301439999999</v>
      </c>
      <c r="O166" s="300">
        <v>11717.228929999999</v>
      </c>
      <c r="P166" s="302">
        <v>2072.1254779999999</v>
      </c>
      <c r="Q166" s="302" t="s">
        <v>12</v>
      </c>
      <c r="R166" s="302" t="s">
        <v>539</v>
      </c>
      <c r="S166" s="302">
        <v>10</v>
      </c>
      <c r="T166" s="302">
        <v>5</v>
      </c>
      <c r="U166" s="302">
        <v>0.7</v>
      </c>
      <c r="V166" s="302">
        <v>0.7</v>
      </c>
      <c r="W166" s="302">
        <v>0.7</v>
      </c>
      <c r="X166" s="300">
        <v>2000</v>
      </c>
      <c r="Y166" s="300" t="s">
        <v>540</v>
      </c>
      <c r="Z166" s="300">
        <v>0.2</v>
      </c>
      <c r="AA166" s="300" t="s">
        <v>541</v>
      </c>
      <c r="AB166" s="300" t="s">
        <v>542</v>
      </c>
      <c r="AC166" s="300">
        <v>220</v>
      </c>
      <c r="AD166" s="158"/>
      <c r="AE166" s="188"/>
    </row>
    <row r="167" spans="1:31" ht="15.75">
      <c r="A167" s="300" t="s">
        <v>618</v>
      </c>
      <c r="B167" s="300">
        <v>3</v>
      </c>
      <c r="C167" s="300">
        <v>210</v>
      </c>
      <c r="D167" s="300" t="s">
        <v>568</v>
      </c>
      <c r="E167" s="300">
        <v>1</v>
      </c>
      <c r="F167" s="311">
        <v>45469.566666666666</v>
      </c>
      <c r="G167" s="300">
        <v>1</v>
      </c>
      <c r="H167" s="300">
        <v>51.377400000000002</v>
      </c>
      <c r="I167" s="300">
        <v>8.0963100000000008</v>
      </c>
      <c r="J167" s="300">
        <v>-24.135631</v>
      </c>
      <c r="K167" s="300">
        <v>-22.281475</v>
      </c>
      <c r="L167" s="300">
        <v>1105.0899999999999</v>
      </c>
      <c r="M167" s="300">
        <v>64.999339000000006</v>
      </c>
      <c r="N167" s="300">
        <v>11676.272070000001</v>
      </c>
      <c r="O167" s="300">
        <v>11711.756009999999</v>
      </c>
      <c r="P167" s="302">
        <v>2071.1625739999999</v>
      </c>
      <c r="Q167" s="302" t="s">
        <v>12</v>
      </c>
      <c r="R167" s="302" t="s">
        <v>553</v>
      </c>
      <c r="S167" s="302">
        <v>10</v>
      </c>
      <c r="T167" s="302">
        <v>5</v>
      </c>
      <c r="U167" s="302">
        <v>0.7</v>
      </c>
      <c r="V167" s="302">
        <v>0.7</v>
      </c>
      <c r="W167" s="302">
        <v>0.7</v>
      </c>
      <c r="X167" s="300">
        <v>2000</v>
      </c>
      <c r="Y167" s="300" t="s">
        <v>540</v>
      </c>
      <c r="Z167" s="300">
        <v>0.2</v>
      </c>
      <c r="AA167" s="300" t="s">
        <v>541</v>
      </c>
      <c r="AB167" s="300" t="s">
        <v>542</v>
      </c>
      <c r="AC167" s="300">
        <v>220</v>
      </c>
      <c r="AD167" s="158"/>
      <c r="AE167" s="188"/>
    </row>
    <row r="168" spans="1:31" ht="15.75">
      <c r="A168" s="300" t="s">
        <v>620</v>
      </c>
      <c r="B168" s="300">
        <v>3</v>
      </c>
      <c r="C168" s="300">
        <v>210</v>
      </c>
      <c r="D168" s="300" t="s">
        <v>568</v>
      </c>
      <c r="E168" s="300">
        <v>1</v>
      </c>
      <c r="F168" s="311">
        <v>45469.569444444445</v>
      </c>
      <c r="G168" s="300">
        <v>1</v>
      </c>
      <c r="H168" s="300">
        <v>51.377400000000002</v>
      </c>
      <c r="I168" s="300">
        <v>8.1474700000000002</v>
      </c>
      <c r="J168" s="300">
        <v>-24.135743999999999</v>
      </c>
      <c r="K168" s="300">
        <v>-22.615355999999998</v>
      </c>
      <c r="L168" s="300">
        <v>1096.47</v>
      </c>
      <c r="M168" s="300">
        <v>69.499785000000003</v>
      </c>
      <c r="N168" s="300">
        <v>11736.27133</v>
      </c>
      <c r="O168" s="300">
        <v>11711.756009999999</v>
      </c>
      <c r="P168" s="302">
        <v>2071.1625739999999</v>
      </c>
      <c r="Q168" s="302" t="s">
        <v>12</v>
      </c>
      <c r="R168" s="302" t="s">
        <v>553</v>
      </c>
      <c r="S168" s="302">
        <v>10</v>
      </c>
      <c r="T168" s="302">
        <v>5</v>
      </c>
      <c r="U168" s="302">
        <v>0.7</v>
      </c>
      <c r="V168" s="302">
        <v>0.7</v>
      </c>
      <c r="W168" s="302">
        <v>0.7</v>
      </c>
      <c r="X168" s="300">
        <v>2000</v>
      </c>
      <c r="Y168" s="300" t="s">
        <v>540</v>
      </c>
      <c r="Z168" s="300">
        <v>0.2</v>
      </c>
      <c r="AA168" s="300" t="s">
        <v>541</v>
      </c>
      <c r="AB168" s="300" t="s">
        <v>542</v>
      </c>
      <c r="AC168" s="300">
        <v>220</v>
      </c>
      <c r="AD168" s="158"/>
      <c r="AE168" s="188"/>
    </row>
    <row r="169" spans="1:31" ht="15.75">
      <c r="A169" s="300" t="s">
        <v>621</v>
      </c>
      <c r="B169" s="300">
        <v>3</v>
      </c>
      <c r="C169" s="300">
        <v>210</v>
      </c>
      <c r="D169" s="300" t="s">
        <v>568</v>
      </c>
      <c r="E169" s="300">
        <v>1</v>
      </c>
      <c r="F169" s="311">
        <v>45469.572222222225</v>
      </c>
      <c r="G169" s="300">
        <v>1</v>
      </c>
      <c r="H169" s="300">
        <v>51.374099999999999</v>
      </c>
      <c r="I169" s="300">
        <v>8.1204499999999999</v>
      </c>
      <c r="J169" s="300">
        <v>-24.078719</v>
      </c>
      <c r="K169" s="300">
        <v>-22.289525000000001</v>
      </c>
      <c r="L169" s="300">
        <v>1094.04</v>
      </c>
      <c r="M169" s="300">
        <v>66.499684999999999</v>
      </c>
      <c r="N169" s="300">
        <v>11706.766</v>
      </c>
      <c r="O169" s="300">
        <v>11711.756009999999</v>
      </c>
      <c r="P169" s="302">
        <v>2071.1625739999999</v>
      </c>
      <c r="Q169" s="302" t="s">
        <v>12</v>
      </c>
      <c r="R169" s="302" t="s">
        <v>539</v>
      </c>
      <c r="S169" s="302">
        <v>10</v>
      </c>
      <c r="T169" s="302">
        <v>5</v>
      </c>
      <c r="U169" s="302">
        <v>0.7</v>
      </c>
      <c r="V169" s="302">
        <v>0.7</v>
      </c>
      <c r="W169" s="302">
        <v>0.7</v>
      </c>
      <c r="X169" s="300">
        <v>2000</v>
      </c>
      <c r="Y169" s="300" t="s">
        <v>540</v>
      </c>
      <c r="Z169" s="300">
        <v>0.2</v>
      </c>
      <c r="AA169" s="300" t="s">
        <v>541</v>
      </c>
      <c r="AB169" s="300" t="s">
        <v>542</v>
      </c>
      <c r="AC169" s="300">
        <v>220</v>
      </c>
      <c r="AD169" s="158"/>
      <c r="AE169" s="188"/>
    </row>
    <row r="170" spans="1:31" ht="15.75">
      <c r="A170" s="300" t="s">
        <v>622</v>
      </c>
      <c r="B170" s="300">
        <v>3</v>
      </c>
      <c r="C170" s="300">
        <v>210</v>
      </c>
      <c r="D170" s="300" t="s">
        <v>568</v>
      </c>
      <c r="E170" s="300">
        <v>1</v>
      </c>
      <c r="F170" s="311">
        <v>45469.574999999997</v>
      </c>
      <c r="G170" s="300">
        <v>1</v>
      </c>
      <c r="H170" s="300">
        <v>51.370800000000003</v>
      </c>
      <c r="I170" s="300">
        <v>8.1059300000000007</v>
      </c>
      <c r="J170" s="300">
        <v>-24.254731</v>
      </c>
      <c r="K170" s="300">
        <v>-22.611944000000001</v>
      </c>
      <c r="L170" s="300">
        <v>1104.01</v>
      </c>
      <c r="M170" s="300">
        <v>68.001129000000006</v>
      </c>
      <c r="N170" s="300">
        <v>11716.74602</v>
      </c>
      <c r="O170" s="300">
        <v>11711.756009999999</v>
      </c>
      <c r="P170" s="302">
        <v>2071.1625739999999</v>
      </c>
      <c r="Q170" s="302" t="s">
        <v>12</v>
      </c>
      <c r="R170" s="302" t="s">
        <v>539</v>
      </c>
      <c r="S170" s="302">
        <v>10</v>
      </c>
      <c r="T170" s="302">
        <v>5</v>
      </c>
      <c r="U170" s="302">
        <v>0.7</v>
      </c>
      <c r="V170" s="302">
        <v>0.7</v>
      </c>
      <c r="W170" s="302">
        <v>0.7</v>
      </c>
      <c r="X170" s="300">
        <v>2000</v>
      </c>
      <c r="Y170" s="300" t="s">
        <v>540</v>
      </c>
      <c r="Z170" s="300">
        <v>0.2</v>
      </c>
      <c r="AA170" s="300" t="s">
        <v>541</v>
      </c>
      <c r="AB170" s="300" t="s">
        <v>542</v>
      </c>
      <c r="AC170" s="300">
        <v>220</v>
      </c>
      <c r="AD170" s="158"/>
      <c r="AE170" s="188"/>
    </row>
    <row r="171" spans="1:31" ht="15.75">
      <c r="A171" s="300" t="s">
        <v>627</v>
      </c>
      <c r="B171" s="300">
        <v>4</v>
      </c>
      <c r="C171" s="300">
        <v>183</v>
      </c>
      <c r="D171" s="300" t="s">
        <v>571</v>
      </c>
      <c r="E171" s="300">
        <v>1</v>
      </c>
      <c r="F171" s="311">
        <v>45469.577777777777</v>
      </c>
      <c r="G171" s="300">
        <v>1</v>
      </c>
      <c r="H171" s="300">
        <v>51.377400000000002</v>
      </c>
      <c r="I171" s="300">
        <v>7.97987</v>
      </c>
      <c r="J171" s="300">
        <v>-24.044899999999998</v>
      </c>
      <c r="K171" s="300">
        <v>-22.329605999999998</v>
      </c>
      <c r="L171" s="300">
        <v>1104.93</v>
      </c>
      <c r="M171" s="300">
        <v>65.001208000000005</v>
      </c>
      <c r="N171" s="300">
        <v>11760.81126</v>
      </c>
      <c r="O171" s="300">
        <v>11766.13682</v>
      </c>
      <c r="P171" s="302">
        <v>2080.7303189999998</v>
      </c>
      <c r="Q171" s="302" t="s">
        <v>12</v>
      </c>
      <c r="R171" s="302" t="s">
        <v>539</v>
      </c>
      <c r="S171" s="302">
        <v>10</v>
      </c>
      <c r="T171" s="302">
        <v>5</v>
      </c>
      <c r="U171" s="302">
        <v>0.7</v>
      </c>
      <c r="V171" s="302">
        <v>0.7</v>
      </c>
      <c r="W171" s="302">
        <v>0.7</v>
      </c>
      <c r="X171" s="300">
        <v>2000</v>
      </c>
      <c r="Y171" s="300" t="s">
        <v>540</v>
      </c>
      <c r="Z171" s="300">
        <v>0.2</v>
      </c>
      <c r="AA171" s="300" t="s">
        <v>541</v>
      </c>
      <c r="AB171" s="300" t="s">
        <v>542</v>
      </c>
      <c r="AC171" s="300">
        <v>220</v>
      </c>
      <c r="AD171" s="158"/>
      <c r="AE171" s="188"/>
    </row>
    <row r="172" spans="1:31" ht="15.75">
      <c r="A172" s="300" t="s">
        <v>628</v>
      </c>
      <c r="B172" s="300">
        <v>4</v>
      </c>
      <c r="C172" s="300">
        <v>183</v>
      </c>
      <c r="D172" s="300" t="s">
        <v>571</v>
      </c>
      <c r="E172" s="300">
        <v>1</v>
      </c>
      <c r="F172" s="311">
        <v>45469.580555555556</v>
      </c>
      <c r="G172" s="300">
        <v>1</v>
      </c>
      <c r="H172" s="300">
        <v>51.374099999999999</v>
      </c>
      <c r="I172" s="300">
        <v>7.9697399999999998</v>
      </c>
      <c r="J172" s="300">
        <v>-24.148125</v>
      </c>
      <c r="K172" s="300">
        <v>-22.093038</v>
      </c>
      <c r="L172" s="300">
        <v>1111.3</v>
      </c>
      <c r="M172" s="300">
        <v>63.499011000000003</v>
      </c>
      <c r="N172" s="300">
        <v>11771.462369999999</v>
      </c>
      <c r="O172" s="300">
        <v>11766.13682</v>
      </c>
      <c r="P172" s="302">
        <v>2080.7303189999998</v>
      </c>
      <c r="Q172" s="302" t="s">
        <v>12</v>
      </c>
      <c r="R172" s="302" t="s">
        <v>539</v>
      </c>
      <c r="S172" s="302">
        <v>10</v>
      </c>
      <c r="T172" s="302">
        <v>5</v>
      </c>
      <c r="U172" s="302">
        <v>0.7</v>
      </c>
      <c r="V172" s="302">
        <v>0.7</v>
      </c>
      <c r="W172" s="302">
        <v>0.7</v>
      </c>
      <c r="X172" s="300">
        <v>2000</v>
      </c>
      <c r="Y172" s="300" t="s">
        <v>540</v>
      </c>
      <c r="Z172" s="300">
        <v>0.2</v>
      </c>
      <c r="AA172" s="300" t="s">
        <v>541</v>
      </c>
      <c r="AB172" s="300" t="s">
        <v>542</v>
      </c>
      <c r="AC172" s="300">
        <v>220</v>
      </c>
      <c r="AD172" s="158"/>
      <c r="AE172" s="188"/>
    </row>
    <row r="173" spans="1:31" ht="15.75">
      <c r="A173" s="300" t="s">
        <v>629</v>
      </c>
      <c r="B173" s="300">
        <v>5</v>
      </c>
      <c r="C173" s="300">
        <v>184</v>
      </c>
      <c r="D173" s="300" t="s">
        <v>575</v>
      </c>
      <c r="E173" s="300">
        <v>1</v>
      </c>
      <c r="F173" s="311">
        <v>45469.584027777775</v>
      </c>
      <c r="G173" s="300">
        <v>1</v>
      </c>
      <c r="H173" s="300">
        <v>51.377400000000002</v>
      </c>
      <c r="I173" s="300">
        <v>7.9120699999999999</v>
      </c>
      <c r="J173" s="300">
        <v>-24.208494000000002</v>
      </c>
      <c r="K173" s="300">
        <v>-21.787575</v>
      </c>
      <c r="L173" s="300">
        <v>1099.46</v>
      </c>
      <c r="M173" s="300">
        <v>61.498429000000002</v>
      </c>
      <c r="N173" s="300">
        <v>11668.522580000001</v>
      </c>
      <c r="O173" s="300">
        <v>0</v>
      </c>
      <c r="P173" s="302">
        <v>0</v>
      </c>
      <c r="Q173" s="302" t="s">
        <v>280</v>
      </c>
      <c r="R173" s="302" t="s">
        <v>607</v>
      </c>
      <c r="S173" s="302">
        <v>10</v>
      </c>
      <c r="T173" s="302">
        <v>5</v>
      </c>
      <c r="U173" s="302">
        <v>0.7</v>
      </c>
      <c r="V173" s="302">
        <v>0.7</v>
      </c>
      <c r="W173" s="302">
        <v>0.7</v>
      </c>
      <c r="X173" s="300">
        <v>2000</v>
      </c>
      <c r="Y173" s="300" t="s">
        <v>540</v>
      </c>
      <c r="Z173" s="300">
        <v>0.2</v>
      </c>
      <c r="AA173" s="300" t="s">
        <v>541</v>
      </c>
      <c r="AB173" s="300" t="s">
        <v>542</v>
      </c>
      <c r="AC173" s="300">
        <v>220</v>
      </c>
      <c r="AD173" s="158"/>
      <c r="AE173" s="188"/>
    </row>
    <row r="174" spans="1:31" ht="15.75">
      <c r="A174" s="300" t="s">
        <v>630</v>
      </c>
      <c r="B174" s="300">
        <v>5</v>
      </c>
      <c r="C174" s="300">
        <v>184</v>
      </c>
      <c r="D174" s="300" t="s">
        <v>575</v>
      </c>
      <c r="E174" s="300">
        <v>1</v>
      </c>
      <c r="F174" s="311">
        <v>45469.586805555555</v>
      </c>
      <c r="G174" s="300">
        <v>1</v>
      </c>
      <c r="H174" s="300">
        <v>51.370800000000003</v>
      </c>
      <c r="I174" s="300">
        <v>8.0713699999999999</v>
      </c>
      <c r="J174" s="300">
        <v>-23.943594000000001</v>
      </c>
      <c r="K174" s="300">
        <v>-22.170106000000001</v>
      </c>
      <c r="L174" s="300">
        <v>1079.43</v>
      </c>
      <c r="M174" s="300">
        <v>64.000310999999996</v>
      </c>
      <c r="N174" s="300">
        <v>11739.28636</v>
      </c>
      <c r="O174" s="300">
        <v>0</v>
      </c>
      <c r="P174" s="302">
        <v>0</v>
      </c>
      <c r="Q174" s="302" t="s">
        <v>280</v>
      </c>
      <c r="R174" s="302" t="s">
        <v>607</v>
      </c>
      <c r="S174" s="302">
        <v>10</v>
      </c>
      <c r="T174" s="302">
        <v>5</v>
      </c>
      <c r="U174" s="302">
        <v>0.7</v>
      </c>
      <c r="V174" s="302">
        <v>0.7</v>
      </c>
      <c r="W174" s="302">
        <v>0.7</v>
      </c>
      <c r="X174" s="300">
        <v>2000</v>
      </c>
      <c r="Y174" s="300" t="s">
        <v>540</v>
      </c>
      <c r="Z174" s="300">
        <v>0.2</v>
      </c>
      <c r="AA174" s="300" t="s">
        <v>541</v>
      </c>
      <c r="AB174" s="300" t="s">
        <v>542</v>
      </c>
      <c r="AC174" s="300">
        <v>220</v>
      </c>
      <c r="AD174" s="158"/>
      <c r="AE174" s="188"/>
    </row>
    <row r="175" spans="1:31" ht="15.75">
      <c r="A175" s="300" t="s">
        <v>631</v>
      </c>
      <c r="B175" s="300">
        <v>5</v>
      </c>
      <c r="C175" s="300">
        <v>184</v>
      </c>
      <c r="D175" s="300" t="s">
        <v>575</v>
      </c>
      <c r="E175" s="300">
        <v>1</v>
      </c>
      <c r="F175" s="311">
        <v>45469.589583333334</v>
      </c>
      <c r="G175" s="300">
        <v>1</v>
      </c>
      <c r="H175" s="300">
        <v>51.374099999999999</v>
      </c>
      <c r="I175" s="300">
        <v>8.1693099999999994</v>
      </c>
      <c r="J175" s="300">
        <v>-24.026918999999999</v>
      </c>
      <c r="K175" s="300">
        <v>-22.894444</v>
      </c>
      <c r="L175" s="300">
        <v>1095.3599999999999</v>
      </c>
      <c r="M175" s="300">
        <v>71.999846000000005</v>
      </c>
      <c r="N175" s="300">
        <v>11771.48018</v>
      </c>
      <c r="O175" s="300">
        <v>0</v>
      </c>
      <c r="P175" s="302">
        <v>0</v>
      </c>
      <c r="Q175" s="302" t="s">
        <v>280</v>
      </c>
      <c r="R175" s="302" t="s">
        <v>607</v>
      </c>
      <c r="S175" s="302">
        <v>10</v>
      </c>
      <c r="T175" s="302">
        <v>5</v>
      </c>
      <c r="U175" s="302">
        <v>0.7</v>
      </c>
      <c r="V175" s="302">
        <v>0.7</v>
      </c>
      <c r="W175" s="302">
        <v>0.7</v>
      </c>
      <c r="X175" s="300">
        <v>2000</v>
      </c>
      <c r="Y175" s="300" t="s">
        <v>540</v>
      </c>
      <c r="Z175" s="300">
        <v>0.2</v>
      </c>
      <c r="AA175" s="300" t="s">
        <v>541</v>
      </c>
      <c r="AB175" s="300" t="s">
        <v>542</v>
      </c>
      <c r="AC175" s="300">
        <v>220</v>
      </c>
      <c r="AD175" s="158"/>
      <c r="AE175" s="188"/>
    </row>
    <row r="176" spans="1:31" ht="15.75">
      <c r="A176" s="300" t="s">
        <v>700</v>
      </c>
      <c r="B176" s="300">
        <v>5</v>
      </c>
      <c r="C176" s="300">
        <v>184</v>
      </c>
      <c r="D176" s="300" t="s">
        <v>575</v>
      </c>
      <c r="E176" s="300">
        <v>1</v>
      </c>
      <c r="F176" s="311">
        <v>45469.592361111114</v>
      </c>
      <c r="G176" s="300">
        <v>1</v>
      </c>
      <c r="H176" s="300">
        <v>51.374099999999999</v>
      </c>
      <c r="I176" s="300">
        <v>8.0710899999999999</v>
      </c>
      <c r="J176" s="300">
        <v>-24.055530999999998</v>
      </c>
      <c r="K176" s="300">
        <v>-22.343205999999999</v>
      </c>
      <c r="L176" s="300">
        <v>1094.1400000000001</v>
      </c>
      <c r="M176" s="300">
        <v>66.000933000000003</v>
      </c>
      <c r="N176" s="300">
        <v>11741.629489999999</v>
      </c>
      <c r="O176" s="300">
        <v>0</v>
      </c>
      <c r="P176" s="302">
        <v>0</v>
      </c>
      <c r="Q176" s="302" t="s">
        <v>280</v>
      </c>
      <c r="R176" s="302" t="s">
        <v>607</v>
      </c>
      <c r="S176" s="302">
        <v>10</v>
      </c>
      <c r="T176" s="302">
        <v>5</v>
      </c>
      <c r="U176" s="302">
        <v>0.7</v>
      </c>
      <c r="V176" s="302">
        <v>0.7</v>
      </c>
      <c r="W176" s="302">
        <v>0.7</v>
      </c>
      <c r="X176" s="300">
        <v>2000</v>
      </c>
      <c r="Y176" s="300" t="s">
        <v>540</v>
      </c>
      <c r="Z176" s="300">
        <v>0.2</v>
      </c>
      <c r="AA176" s="300" t="s">
        <v>541</v>
      </c>
      <c r="AB176" s="300" t="s">
        <v>542</v>
      </c>
      <c r="AC176" s="300">
        <v>220</v>
      </c>
      <c r="AD176" s="158"/>
      <c r="AE176" s="188"/>
    </row>
    <row r="177" spans="1:31" ht="15.75">
      <c r="A177" s="300" t="s">
        <v>701</v>
      </c>
      <c r="B177" s="300">
        <v>5</v>
      </c>
      <c r="C177" s="300">
        <v>184</v>
      </c>
      <c r="D177" s="300" t="s">
        <v>575</v>
      </c>
      <c r="E177" s="300">
        <v>1</v>
      </c>
      <c r="F177" s="311">
        <v>45469.595138888886</v>
      </c>
      <c r="G177" s="300">
        <v>1</v>
      </c>
      <c r="H177" s="300">
        <v>51.374099999999999</v>
      </c>
      <c r="I177" s="300">
        <v>8.1034199999999998</v>
      </c>
      <c r="J177" s="300">
        <v>-24.097269000000001</v>
      </c>
      <c r="K177" s="300">
        <v>-22.134537999999999</v>
      </c>
      <c r="L177" s="300">
        <v>1051.4100000000001</v>
      </c>
      <c r="M177" s="300">
        <v>64.500023999999996</v>
      </c>
      <c r="N177" s="300">
        <v>11568.34136</v>
      </c>
      <c r="O177" s="300">
        <v>0</v>
      </c>
      <c r="P177" s="302">
        <v>0</v>
      </c>
      <c r="Q177" s="302" t="s">
        <v>280</v>
      </c>
      <c r="R177" s="302" t="s">
        <v>607</v>
      </c>
      <c r="S177" s="302">
        <v>10</v>
      </c>
      <c r="T177" s="302">
        <v>5</v>
      </c>
      <c r="U177" s="302">
        <v>0.7</v>
      </c>
      <c r="V177" s="302">
        <v>0.7</v>
      </c>
      <c r="W177" s="302">
        <v>0.7</v>
      </c>
      <c r="X177" s="300">
        <v>2000</v>
      </c>
      <c r="Y177" s="300" t="s">
        <v>540</v>
      </c>
      <c r="Z177" s="300">
        <v>0.2</v>
      </c>
      <c r="AA177" s="300" t="s">
        <v>541</v>
      </c>
      <c r="AB177" s="300" t="s">
        <v>542</v>
      </c>
      <c r="AC177" s="300">
        <v>220</v>
      </c>
      <c r="AD177" s="158"/>
      <c r="AE177" s="188"/>
    </row>
    <row r="178" spans="1:31" ht="15.75">
      <c r="A178" s="300" t="s">
        <v>702</v>
      </c>
      <c r="B178" s="300">
        <v>5</v>
      </c>
      <c r="C178" s="300">
        <v>184</v>
      </c>
      <c r="D178" s="300" t="s">
        <v>575</v>
      </c>
      <c r="E178" s="300">
        <v>1</v>
      </c>
      <c r="F178" s="311">
        <v>45469.597916666666</v>
      </c>
      <c r="G178" s="300">
        <v>2</v>
      </c>
      <c r="H178" s="300">
        <v>51.3675</v>
      </c>
      <c r="I178" s="300">
        <v>8.0107199999999992</v>
      </c>
      <c r="J178" s="300">
        <v>-24.084099999999999</v>
      </c>
      <c r="K178" s="300">
        <v>-22.324725000000001</v>
      </c>
      <c r="L178" s="300">
        <v>1078.31</v>
      </c>
      <c r="M178" s="300">
        <v>66.999494999999996</v>
      </c>
      <c r="N178" s="300">
        <v>11740.810579999999</v>
      </c>
      <c r="O178" s="300">
        <v>11746.659110000001</v>
      </c>
      <c r="P178" s="302">
        <v>2077.3034160000002</v>
      </c>
      <c r="Q178" s="302" t="s">
        <v>12</v>
      </c>
      <c r="R178" s="302" t="s">
        <v>539</v>
      </c>
      <c r="S178" s="302">
        <v>10</v>
      </c>
      <c r="T178" s="302">
        <v>5</v>
      </c>
      <c r="U178" s="302">
        <v>0.7</v>
      </c>
      <c r="V178" s="302">
        <v>0.7</v>
      </c>
      <c r="W178" s="302">
        <v>0.7</v>
      </c>
      <c r="X178" s="300">
        <v>2000</v>
      </c>
      <c r="Y178" s="300" t="s">
        <v>540</v>
      </c>
      <c r="Z178" s="300">
        <v>0.2</v>
      </c>
      <c r="AA178" s="300" t="s">
        <v>541</v>
      </c>
      <c r="AB178" s="300" t="s">
        <v>542</v>
      </c>
      <c r="AC178" s="300">
        <v>220</v>
      </c>
      <c r="AD178" s="158"/>
      <c r="AE178" s="188"/>
    </row>
    <row r="179" spans="1:31" ht="15.75">
      <c r="A179" s="300" t="s">
        <v>703</v>
      </c>
      <c r="B179" s="300">
        <v>5</v>
      </c>
      <c r="C179" s="300">
        <v>184</v>
      </c>
      <c r="D179" s="300" t="s">
        <v>575</v>
      </c>
      <c r="E179" s="300">
        <v>1</v>
      </c>
      <c r="F179" s="311">
        <v>45469.600694444445</v>
      </c>
      <c r="G179" s="300">
        <v>2</v>
      </c>
      <c r="H179" s="300">
        <v>51.374099999999999</v>
      </c>
      <c r="I179" s="300">
        <v>8.0715199999999996</v>
      </c>
      <c r="J179" s="300">
        <v>-24.09055</v>
      </c>
      <c r="K179" s="300">
        <v>-22.271118999999999</v>
      </c>
      <c r="L179" s="300">
        <v>1086.3499999999999</v>
      </c>
      <c r="M179" s="300">
        <v>67.498304000000005</v>
      </c>
      <c r="N179" s="300">
        <v>11752.50764</v>
      </c>
      <c r="O179" s="300">
        <v>11746.659110000001</v>
      </c>
      <c r="P179" s="302">
        <v>2077.3034160000002</v>
      </c>
      <c r="Q179" s="302" t="s">
        <v>12</v>
      </c>
      <c r="R179" s="302" t="s">
        <v>539</v>
      </c>
      <c r="S179" s="302">
        <v>10</v>
      </c>
      <c r="T179" s="302">
        <v>5</v>
      </c>
      <c r="U179" s="302">
        <v>0.7</v>
      </c>
      <c r="V179" s="302">
        <v>0.7</v>
      </c>
      <c r="W179" s="302">
        <v>0.7</v>
      </c>
      <c r="X179" s="300">
        <v>2000</v>
      </c>
      <c r="Y179" s="300" t="s">
        <v>540</v>
      </c>
      <c r="Z179" s="300">
        <v>0.2</v>
      </c>
      <c r="AA179" s="300" t="s">
        <v>541</v>
      </c>
      <c r="AB179" s="300" t="s">
        <v>542</v>
      </c>
      <c r="AC179" s="300">
        <v>220</v>
      </c>
      <c r="AD179" s="158"/>
      <c r="AE179" s="188"/>
    </row>
    <row r="180" spans="1:31" ht="15.75">
      <c r="A180" s="300" t="s">
        <v>632</v>
      </c>
      <c r="B180" s="300">
        <v>6</v>
      </c>
      <c r="C180" s="300">
        <v>274</v>
      </c>
      <c r="D180" s="300" t="s">
        <v>579</v>
      </c>
      <c r="E180" s="300">
        <v>1</v>
      </c>
      <c r="F180" s="311">
        <v>45469.604166666664</v>
      </c>
      <c r="G180" s="300">
        <v>1</v>
      </c>
      <c r="H180" s="300">
        <v>51.377400000000002</v>
      </c>
      <c r="I180" s="300">
        <v>8.0198499999999999</v>
      </c>
      <c r="J180" s="300">
        <v>-24.172668999999999</v>
      </c>
      <c r="K180" s="300">
        <v>-22.660169</v>
      </c>
      <c r="L180" s="300">
        <v>1080.1199999999999</v>
      </c>
      <c r="M180" s="300">
        <v>69.500072000000003</v>
      </c>
      <c r="N180" s="300">
        <v>11650.59539</v>
      </c>
      <c r="O180" s="300">
        <v>11639.063039999999</v>
      </c>
      <c r="P180" s="302">
        <v>2058.3729920000001</v>
      </c>
      <c r="Q180" s="302" t="s">
        <v>12</v>
      </c>
      <c r="R180" s="302" t="s">
        <v>539</v>
      </c>
      <c r="S180" s="302">
        <v>10</v>
      </c>
      <c r="T180" s="302">
        <v>5</v>
      </c>
      <c r="U180" s="302">
        <v>0.7</v>
      </c>
      <c r="V180" s="302">
        <v>0.7</v>
      </c>
      <c r="W180" s="302">
        <v>0.7</v>
      </c>
      <c r="X180" s="300">
        <v>2000</v>
      </c>
      <c r="Y180" s="300" t="s">
        <v>540</v>
      </c>
      <c r="Z180" s="300">
        <v>0.2</v>
      </c>
      <c r="AA180" s="300" t="s">
        <v>541</v>
      </c>
      <c r="AB180" s="300" t="s">
        <v>542</v>
      </c>
      <c r="AC180" s="300">
        <v>220</v>
      </c>
      <c r="AD180" s="158"/>
      <c r="AE180" s="188"/>
    </row>
    <row r="181" spans="1:31" ht="15.75">
      <c r="A181" s="300" t="s">
        <v>633</v>
      </c>
      <c r="B181" s="300">
        <v>6</v>
      </c>
      <c r="C181" s="300">
        <v>274</v>
      </c>
      <c r="D181" s="300" t="s">
        <v>579</v>
      </c>
      <c r="E181" s="300">
        <v>1</v>
      </c>
      <c r="F181" s="311">
        <v>45469.606944444444</v>
      </c>
      <c r="G181" s="300">
        <v>1</v>
      </c>
      <c r="H181" s="300">
        <v>51.380699999999997</v>
      </c>
      <c r="I181" s="300">
        <v>8.04589</v>
      </c>
      <c r="J181" s="300">
        <v>-24.117875000000002</v>
      </c>
      <c r="K181" s="300">
        <v>-22.523606000000001</v>
      </c>
      <c r="L181" s="300">
        <v>1054.32</v>
      </c>
      <c r="M181" s="300">
        <v>69.000258000000002</v>
      </c>
      <c r="N181" s="300">
        <v>11627.53069</v>
      </c>
      <c r="O181" s="300">
        <v>11639.063039999999</v>
      </c>
      <c r="P181" s="302">
        <v>2058.3729920000001</v>
      </c>
      <c r="Q181" s="302" t="s">
        <v>12</v>
      </c>
      <c r="R181" s="302" t="s">
        <v>539</v>
      </c>
      <c r="S181" s="302">
        <v>10</v>
      </c>
      <c r="T181" s="302">
        <v>5</v>
      </c>
      <c r="U181" s="302">
        <v>0.7</v>
      </c>
      <c r="V181" s="302">
        <v>0.7</v>
      </c>
      <c r="W181" s="302">
        <v>0.7</v>
      </c>
      <c r="X181" s="300">
        <v>2000</v>
      </c>
      <c r="Y181" s="300" t="s">
        <v>540</v>
      </c>
      <c r="Z181" s="300">
        <v>0.2</v>
      </c>
      <c r="AA181" s="300" t="s">
        <v>541</v>
      </c>
      <c r="AB181" s="300" t="s">
        <v>542</v>
      </c>
      <c r="AC181" s="300">
        <v>220</v>
      </c>
      <c r="AD181" s="158"/>
      <c r="AE181" s="188"/>
    </row>
    <row r="182" spans="1:31" ht="15.75">
      <c r="A182" s="300" t="s">
        <v>704</v>
      </c>
      <c r="B182" s="300">
        <v>7</v>
      </c>
      <c r="C182" s="300">
        <v>275</v>
      </c>
      <c r="D182" s="300" t="s">
        <v>582</v>
      </c>
      <c r="E182" s="300">
        <v>1</v>
      </c>
      <c r="F182" s="311">
        <v>45469.61041666667</v>
      </c>
      <c r="G182" s="300">
        <v>1</v>
      </c>
      <c r="H182" s="300">
        <v>51.377400000000002</v>
      </c>
      <c r="I182" s="300">
        <v>8.0471400000000006</v>
      </c>
      <c r="J182" s="300">
        <v>-24.113924999999998</v>
      </c>
      <c r="K182" s="300">
        <v>-22.571431</v>
      </c>
      <c r="L182" s="300">
        <v>1096.97</v>
      </c>
      <c r="M182" s="300">
        <v>67.500944000000004</v>
      </c>
      <c r="N182" s="300">
        <v>11732.0249</v>
      </c>
      <c r="O182" s="300">
        <v>11707.542530000001</v>
      </c>
      <c r="P182" s="302">
        <v>2070.4212550000002</v>
      </c>
      <c r="Q182" s="302" t="s">
        <v>12</v>
      </c>
      <c r="R182" s="302" t="s">
        <v>553</v>
      </c>
      <c r="S182" s="302">
        <v>10</v>
      </c>
      <c r="T182" s="302">
        <v>5</v>
      </c>
      <c r="U182" s="302">
        <v>0.7</v>
      </c>
      <c r="V182" s="302">
        <v>0.7</v>
      </c>
      <c r="W182" s="302">
        <v>0.7</v>
      </c>
      <c r="X182" s="300">
        <v>2000</v>
      </c>
      <c r="Y182" s="300" t="s">
        <v>540</v>
      </c>
      <c r="Z182" s="300">
        <v>0.2</v>
      </c>
      <c r="AA182" s="300" t="s">
        <v>541</v>
      </c>
      <c r="AB182" s="300" t="s">
        <v>542</v>
      </c>
      <c r="AC182" s="300">
        <v>220</v>
      </c>
      <c r="AD182" s="158"/>
      <c r="AE182" s="188"/>
    </row>
    <row r="183" spans="1:31" ht="15.75">
      <c r="A183" s="300" t="s">
        <v>705</v>
      </c>
      <c r="B183" s="300">
        <v>7</v>
      </c>
      <c r="C183" s="300">
        <v>275</v>
      </c>
      <c r="D183" s="300" t="s">
        <v>582</v>
      </c>
      <c r="E183" s="300">
        <v>1</v>
      </c>
      <c r="F183" s="311">
        <v>45469.613194444442</v>
      </c>
      <c r="G183" s="300">
        <v>1</v>
      </c>
      <c r="H183" s="300">
        <v>51.377400000000002</v>
      </c>
      <c r="I183" s="300">
        <v>8.1065199999999997</v>
      </c>
      <c r="J183" s="300">
        <v>-24.083306</v>
      </c>
      <c r="K183" s="300">
        <v>-22.465406000000002</v>
      </c>
      <c r="L183" s="300">
        <v>1085.01</v>
      </c>
      <c r="M183" s="300">
        <v>69.500052999999994</v>
      </c>
      <c r="N183" s="300">
        <v>11704.31805</v>
      </c>
      <c r="O183" s="300">
        <v>11707.542530000001</v>
      </c>
      <c r="P183" s="302">
        <v>2070.4212550000002</v>
      </c>
      <c r="Q183" s="302" t="s">
        <v>12</v>
      </c>
      <c r="R183" s="302" t="s">
        <v>539</v>
      </c>
      <c r="S183" s="302">
        <v>10</v>
      </c>
      <c r="T183" s="302">
        <v>5</v>
      </c>
      <c r="U183" s="302">
        <v>0.7</v>
      </c>
      <c r="V183" s="302">
        <v>0.7</v>
      </c>
      <c r="W183" s="302">
        <v>0.7</v>
      </c>
      <c r="X183" s="300">
        <v>2000</v>
      </c>
      <c r="Y183" s="300" t="s">
        <v>540</v>
      </c>
      <c r="Z183" s="300">
        <v>0.2</v>
      </c>
      <c r="AA183" s="300" t="s">
        <v>541</v>
      </c>
      <c r="AB183" s="300" t="s">
        <v>542</v>
      </c>
      <c r="AC183" s="300">
        <v>220</v>
      </c>
      <c r="AD183" s="158"/>
      <c r="AE183" s="188"/>
    </row>
    <row r="184" spans="1:31" ht="15.75">
      <c r="A184" s="300" t="s">
        <v>706</v>
      </c>
      <c r="B184" s="300">
        <v>7</v>
      </c>
      <c r="C184" s="300">
        <v>275</v>
      </c>
      <c r="D184" s="300" t="s">
        <v>582</v>
      </c>
      <c r="E184" s="300">
        <v>1</v>
      </c>
      <c r="F184" s="311">
        <v>45469.615972222222</v>
      </c>
      <c r="G184" s="300">
        <v>1</v>
      </c>
      <c r="H184" s="300">
        <v>51.374099999999999</v>
      </c>
      <c r="I184" s="300">
        <v>8.0365000000000002</v>
      </c>
      <c r="J184" s="300">
        <v>-24.119412000000001</v>
      </c>
      <c r="K184" s="300">
        <v>-22.460269</v>
      </c>
      <c r="L184" s="300">
        <v>1083.5999999999999</v>
      </c>
      <c r="M184" s="300">
        <v>66.999566999999999</v>
      </c>
      <c r="N184" s="300">
        <v>11710.76701</v>
      </c>
      <c r="O184" s="300">
        <v>11707.542530000001</v>
      </c>
      <c r="P184" s="302">
        <v>2070.4212550000002</v>
      </c>
      <c r="Q184" s="302" t="s">
        <v>12</v>
      </c>
      <c r="R184" s="302" t="s">
        <v>539</v>
      </c>
      <c r="S184" s="302">
        <v>10</v>
      </c>
      <c r="T184" s="302">
        <v>5</v>
      </c>
      <c r="U184" s="302">
        <v>0.7</v>
      </c>
      <c r="V184" s="302">
        <v>0.7</v>
      </c>
      <c r="W184" s="302">
        <v>0.7</v>
      </c>
      <c r="X184" s="300">
        <v>2000</v>
      </c>
      <c r="Y184" s="300" t="s">
        <v>540</v>
      </c>
      <c r="Z184" s="300">
        <v>0.2</v>
      </c>
      <c r="AA184" s="300" t="s">
        <v>541</v>
      </c>
      <c r="AB184" s="300" t="s">
        <v>542</v>
      </c>
      <c r="AC184" s="300">
        <v>220</v>
      </c>
      <c r="AD184" s="158"/>
      <c r="AE184" s="188"/>
    </row>
    <row r="185" spans="1:31" ht="15.75">
      <c r="A185" s="300" t="s">
        <v>640</v>
      </c>
      <c r="B185" s="300">
        <v>8</v>
      </c>
      <c r="C185" s="300">
        <v>235</v>
      </c>
      <c r="D185" s="300" t="s">
        <v>585</v>
      </c>
      <c r="E185" s="300">
        <v>1</v>
      </c>
      <c r="F185" s="311">
        <v>45469.619444444441</v>
      </c>
      <c r="G185" s="300">
        <v>1</v>
      </c>
      <c r="H185" s="300">
        <v>51.377400000000002</v>
      </c>
      <c r="I185" s="300">
        <v>7.9023300000000001</v>
      </c>
      <c r="J185" s="300">
        <v>-24.024719000000001</v>
      </c>
      <c r="K185" s="300">
        <v>-22.282975</v>
      </c>
      <c r="L185" s="300">
        <v>1086.48</v>
      </c>
      <c r="M185" s="300">
        <v>64.50094</v>
      </c>
      <c r="N185" s="300">
        <v>11640.78399</v>
      </c>
      <c r="O185" s="300">
        <v>11641.24502</v>
      </c>
      <c r="P185" s="302">
        <v>2058.7568889999998</v>
      </c>
      <c r="Q185" s="302" t="s">
        <v>12</v>
      </c>
      <c r="R185" s="302" t="s">
        <v>539</v>
      </c>
      <c r="S185" s="302">
        <v>10</v>
      </c>
      <c r="T185" s="302">
        <v>5</v>
      </c>
      <c r="U185" s="302">
        <v>0.7</v>
      </c>
      <c r="V185" s="302">
        <v>0.7</v>
      </c>
      <c r="W185" s="302">
        <v>0.7</v>
      </c>
      <c r="X185" s="300">
        <v>2000</v>
      </c>
      <c r="Y185" s="300" t="s">
        <v>540</v>
      </c>
      <c r="Z185" s="300">
        <v>0.2</v>
      </c>
      <c r="AA185" s="300" t="s">
        <v>541</v>
      </c>
      <c r="AB185" s="300" t="s">
        <v>542</v>
      </c>
      <c r="AC185" s="300">
        <v>220</v>
      </c>
      <c r="AD185" s="158"/>
      <c r="AE185" s="188"/>
    </row>
    <row r="186" spans="1:31" ht="15.75">
      <c r="A186" s="300" t="s">
        <v>641</v>
      </c>
      <c r="B186" s="300">
        <v>8</v>
      </c>
      <c r="C186" s="300">
        <v>235</v>
      </c>
      <c r="D186" s="300" t="s">
        <v>585</v>
      </c>
      <c r="E186" s="300">
        <v>1</v>
      </c>
      <c r="F186" s="311">
        <v>45469.62222222222</v>
      </c>
      <c r="G186" s="300">
        <v>1</v>
      </c>
      <c r="H186" s="300">
        <v>51.377400000000002</v>
      </c>
      <c r="I186" s="300">
        <v>7.9754100000000001</v>
      </c>
      <c r="J186" s="300">
        <v>-23.889780999999999</v>
      </c>
      <c r="K186" s="300">
        <v>-22.710912</v>
      </c>
      <c r="L186" s="300">
        <v>1072.06</v>
      </c>
      <c r="M186" s="300">
        <v>71.999933999999996</v>
      </c>
      <c r="N186" s="300">
        <v>11641.706050000001</v>
      </c>
      <c r="O186" s="300">
        <v>11641.24502</v>
      </c>
      <c r="P186" s="302">
        <v>2058.7568889999998</v>
      </c>
      <c r="Q186" s="302" t="s">
        <v>12</v>
      </c>
      <c r="R186" s="302" t="s">
        <v>539</v>
      </c>
      <c r="S186" s="302">
        <v>10</v>
      </c>
      <c r="T186" s="302">
        <v>5</v>
      </c>
      <c r="U186" s="302">
        <v>0.7</v>
      </c>
      <c r="V186" s="302">
        <v>0.7</v>
      </c>
      <c r="W186" s="302">
        <v>0.7</v>
      </c>
      <c r="X186" s="300">
        <v>2000</v>
      </c>
      <c r="Y186" s="300" t="s">
        <v>540</v>
      </c>
      <c r="Z186" s="300">
        <v>0.2</v>
      </c>
      <c r="AA186" s="300" t="s">
        <v>541</v>
      </c>
      <c r="AB186" s="300" t="s">
        <v>542</v>
      </c>
      <c r="AC186" s="300">
        <v>220</v>
      </c>
      <c r="AD186" s="158"/>
      <c r="AE186" s="188"/>
    </row>
    <row r="187" spans="1:31" ht="15.75">
      <c r="A187" s="300" t="s">
        <v>643</v>
      </c>
      <c r="B187" s="300">
        <v>9</v>
      </c>
      <c r="C187" s="300">
        <v>236</v>
      </c>
      <c r="D187" s="300" t="s">
        <v>589</v>
      </c>
      <c r="E187" s="300">
        <v>1</v>
      </c>
      <c r="F187" s="311">
        <v>45469.625</v>
      </c>
      <c r="G187" s="300">
        <v>1</v>
      </c>
      <c r="H187" s="300">
        <v>51.377400000000002</v>
      </c>
      <c r="I187" s="300">
        <v>7.97776</v>
      </c>
      <c r="J187" s="300">
        <v>-24.095181</v>
      </c>
      <c r="K187" s="300">
        <v>-22.274906000000001</v>
      </c>
      <c r="L187" s="300">
        <v>1080.19</v>
      </c>
      <c r="M187" s="300">
        <v>74.499748999999994</v>
      </c>
      <c r="N187" s="300">
        <v>11664.593629999999</v>
      </c>
      <c r="O187" s="300">
        <v>11661.55185</v>
      </c>
      <c r="P187" s="302">
        <v>2062.329667</v>
      </c>
      <c r="Q187" s="302" t="s">
        <v>12</v>
      </c>
      <c r="R187" s="302" t="s">
        <v>539</v>
      </c>
      <c r="S187" s="302">
        <v>10</v>
      </c>
      <c r="T187" s="302">
        <v>5</v>
      </c>
      <c r="U187" s="302">
        <v>0.7</v>
      </c>
      <c r="V187" s="302">
        <v>0.7</v>
      </c>
      <c r="W187" s="302">
        <v>0.7</v>
      </c>
      <c r="X187" s="300">
        <v>2000</v>
      </c>
      <c r="Y187" s="300" t="s">
        <v>540</v>
      </c>
      <c r="Z187" s="300">
        <v>0.2</v>
      </c>
      <c r="AA187" s="300" t="s">
        <v>541</v>
      </c>
      <c r="AB187" s="300" t="s">
        <v>542</v>
      </c>
      <c r="AC187" s="300">
        <v>220</v>
      </c>
      <c r="AD187" s="158"/>
      <c r="AE187" s="188"/>
    </row>
    <row r="188" spans="1:31" ht="15.75">
      <c r="A188" s="300" t="s">
        <v>644</v>
      </c>
      <c r="B188" s="300">
        <v>9</v>
      </c>
      <c r="C188" s="300">
        <v>236</v>
      </c>
      <c r="D188" s="300" t="s">
        <v>589</v>
      </c>
      <c r="E188" s="300">
        <v>1</v>
      </c>
      <c r="F188" s="311">
        <v>45469.628472222219</v>
      </c>
      <c r="G188" s="300">
        <v>1</v>
      </c>
      <c r="H188" s="300">
        <v>51.380699999999997</v>
      </c>
      <c r="I188" s="300">
        <v>7.8650599999999997</v>
      </c>
      <c r="J188" s="300">
        <v>-24.067655999999999</v>
      </c>
      <c r="K188" s="300">
        <v>-22.625419000000001</v>
      </c>
      <c r="L188" s="300">
        <v>1070.83</v>
      </c>
      <c r="M188" s="300">
        <v>71.001615000000001</v>
      </c>
      <c r="N188" s="300">
        <v>11658.51007</v>
      </c>
      <c r="O188" s="300">
        <v>11661.55185</v>
      </c>
      <c r="P188" s="302">
        <v>2062.329667</v>
      </c>
      <c r="Q188" s="302" t="s">
        <v>12</v>
      </c>
      <c r="R188" s="302" t="s">
        <v>539</v>
      </c>
      <c r="S188" s="302">
        <v>10</v>
      </c>
      <c r="T188" s="302">
        <v>5</v>
      </c>
      <c r="U188" s="302">
        <v>0.7</v>
      </c>
      <c r="V188" s="302">
        <v>0.7</v>
      </c>
      <c r="W188" s="302">
        <v>0.7</v>
      </c>
      <c r="X188" s="300">
        <v>2000</v>
      </c>
      <c r="Y188" s="300" t="s">
        <v>540</v>
      </c>
      <c r="Z188" s="300">
        <v>0.2</v>
      </c>
      <c r="AA188" s="300" t="s">
        <v>541</v>
      </c>
      <c r="AB188" s="300" t="s">
        <v>542</v>
      </c>
      <c r="AC188" s="300">
        <v>220</v>
      </c>
      <c r="AD188" s="158"/>
      <c r="AE188" s="188"/>
    </row>
    <row r="189" spans="1:31" ht="15.75">
      <c r="A189" s="300" t="s">
        <v>707</v>
      </c>
      <c r="B189" s="300" t="s">
        <v>551</v>
      </c>
      <c r="C189" s="300" t="s">
        <v>678</v>
      </c>
      <c r="D189" s="300" t="s">
        <v>538</v>
      </c>
      <c r="E189" s="300">
        <v>0.8</v>
      </c>
      <c r="F189" s="311">
        <v>45469.632638888892</v>
      </c>
      <c r="G189" s="300">
        <v>1</v>
      </c>
      <c r="H189" s="300">
        <v>51.377400000000002</v>
      </c>
      <c r="I189" s="300">
        <v>7.8441099999999997</v>
      </c>
      <c r="J189" s="300">
        <v>-23.868843999999999</v>
      </c>
      <c r="K189" s="300">
        <v>-22.683524999999999</v>
      </c>
      <c r="L189" s="300">
        <v>1036.98</v>
      </c>
      <c r="M189" s="300">
        <v>67.001463999999999</v>
      </c>
      <c r="N189" s="300">
        <v>9358.4104889999999</v>
      </c>
      <c r="O189" s="300">
        <v>9350.9527899999994</v>
      </c>
      <c r="P189" s="302">
        <v>2070.3456999999999</v>
      </c>
      <c r="Q189" s="302" t="s">
        <v>12</v>
      </c>
      <c r="R189" s="302" t="s">
        <v>539</v>
      </c>
      <c r="S189" s="302">
        <v>10</v>
      </c>
      <c r="T189" s="302">
        <v>5</v>
      </c>
      <c r="U189" s="302">
        <v>0.7</v>
      </c>
      <c r="V189" s="302">
        <v>0.7</v>
      </c>
      <c r="W189" s="302">
        <v>0.7</v>
      </c>
      <c r="X189" s="300">
        <v>2000</v>
      </c>
      <c r="Y189" s="300" t="s">
        <v>540</v>
      </c>
      <c r="Z189" s="300">
        <v>0.2</v>
      </c>
      <c r="AA189" s="300" t="s">
        <v>541</v>
      </c>
      <c r="AB189" s="300" t="s">
        <v>542</v>
      </c>
      <c r="AC189" s="300">
        <v>220</v>
      </c>
      <c r="AD189" s="158"/>
      <c r="AE189" s="188"/>
    </row>
    <row r="190" spans="1:31" ht="15.75">
      <c r="A190" s="300" t="s">
        <v>708</v>
      </c>
      <c r="B190" s="300" t="s">
        <v>551</v>
      </c>
      <c r="C190" s="300" t="s">
        <v>678</v>
      </c>
      <c r="D190" s="300" t="s">
        <v>538</v>
      </c>
      <c r="E190" s="300">
        <v>0.8</v>
      </c>
      <c r="F190" s="311">
        <v>45469.635416666664</v>
      </c>
      <c r="G190" s="300">
        <v>1</v>
      </c>
      <c r="H190" s="300">
        <v>51.377400000000002</v>
      </c>
      <c r="I190" s="300">
        <v>7.9741600000000004</v>
      </c>
      <c r="J190" s="300">
        <v>-24.118075000000001</v>
      </c>
      <c r="K190" s="300">
        <v>-22.754774999999999</v>
      </c>
      <c r="L190" s="300">
        <v>1005.49</v>
      </c>
      <c r="M190" s="300">
        <v>66.500383999999997</v>
      </c>
      <c r="N190" s="300">
        <v>9343.4950910000007</v>
      </c>
      <c r="O190" s="300">
        <v>9350.9527899999994</v>
      </c>
      <c r="P190" s="302">
        <v>2070.3456999999999</v>
      </c>
      <c r="Q190" s="302" t="s">
        <v>12</v>
      </c>
      <c r="R190" s="302" t="s">
        <v>539</v>
      </c>
      <c r="S190" s="302">
        <v>10</v>
      </c>
      <c r="T190" s="302">
        <v>5</v>
      </c>
      <c r="U190" s="302">
        <v>0.7</v>
      </c>
      <c r="V190" s="302">
        <v>0.7</v>
      </c>
      <c r="W190" s="302">
        <v>0.7</v>
      </c>
      <c r="X190" s="300">
        <v>2000</v>
      </c>
      <c r="Y190" s="300" t="s">
        <v>540</v>
      </c>
      <c r="Z190" s="300">
        <v>0.2</v>
      </c>
      <c r="AA190" s="300" t="s">
        <v>541</v>
      </c>
      <c r="AB190" s="300" t="s">
        <v>542</v>
      </c>
      <c r="AC190" s="300">
        <v>220</v>
      </c>
      <c r="AD190" s="158"/>
      <c r="AE190" s="188"/>
    </row>
    <row r="191" spans="1:31" ht="15.75">
      <c r="A191" s="303" t="s">
        <v>709</v>
      </c>
      <c r="B191" s="303" t="s">
        <v>558</v>
      </c>
      <c r="C191" s="303" t="s">
        <v>678</v>
      </c>
      <c r="D191" s="303" t="s">
        <v>538</v>
      </c>
      <c r="E191" s="303">
        <v>1</v>
      </c>
      <c r="F191" s="312">
        <v>45469.638194444444</v>
      </c>
      <c r="G191" s="303">
        <v>1</v>
      </c>
      <c r="H191" s="303">
        <v>51.380699999999997</v>
      </c>
      <c r="I191" s="303">
        <v>7.9808000000000003</v>
      </c>
      <c r="J191" s="303">
        <v>-24.152819000000001</v>
      </c>
      <c r="K191" s="303">
        <v>-22.694700000000001</v>
      </c>
      <c r="L191" s="303">
        <v>1081.55</v>
      </c>
      <c r="M191" s="303">
        <v>73.001087999999996</v>
      </c>
      <c r="N191" s="303">
        <v>11706.14392</v>
      </c>
      <c r="O191" s="303">
        <v>11701.796120000001</v>
      </c>
      <c r="P191" s="305">
        <v>2070.3456999999999</v>
      </c>
      <c r="Q191" s="302" t="s">
        <v>12</v>
      </c>
      <c r="R191" s="308" t="s">
        <v>539</v>
      </c>
      <c r="S191" s="308">
        <v>10</v>
      </c>
      <c r="T191" s="308">
        <v>5</v>
      </c>
      <c r="U191" s="308">
        <v>0.7</v>
      </c>
      <c r="V191" s="308">
        <v>0.7</v>
      </c>
      <c r="W191" s="308">
        <v>0.7</v>
      </c>
      <c r="X191" s="310">
        <v>2000</v>
      </c>
      <c r="Y191" s="310" t="s">
        <v>540</v>
      </c>
      <c r="Z191" s="310">
        <v>0.2</v>
      </c>
      <c r="AA191" s="310" t="s">
        <v>541</v>
      </c>
      <c r="AB191" s="310" t="s">
        <v>542</v>
      </c>
      <c r="AC191" s="310">
        <v>220</v>
      </c>
      <c r="AD191" s="158"/>
      <c r="AE191" s="188"/>
    </row>
    <row r="192" spans="1:31" ht="15.75">
      <c r="A192" s="300" t="s">
        <v>710</v>
      </c>
      <c r="B192" s="300" t="s">
        <v>558</v>
      </c>
      <c r="C192" s="300" t="s">
        <v>678</v>
      </c>
      <c r="D192" s="300" t="s">
        <v>538</v>
      </c>
      <c r="E192" s="300">
        <v>1</v>
      </c>
      <c r="F192" s="311">
        <v>45469.640972222223</v>
      </c>
      <c r="G192" s="300">
        <v>1</v>
      </c>
      <c r="H192" s="300">
        <v>51.377400000000002</v>
      </c>
      <c r="I192" s="300">
        <v>7.9400500000000003</v>
      </c>
      <c r="J192" s="300">
        <v>-24.026043999999999</v>
      </c>
      <c r="K192" s="300">
        <v>-22.613481</v>
      </c>
      <c r="L192" s="300">
        <v>1075.17</v>
      </c>
      <c r="M192" s="300">
        <v>70.000609999999995</v>
      </c>
      <c r="N192" s="300">
        <v>11697.44832</v>
      </c>
      <c r="O192" s="300">
        <v>11701.796120000001</v>
      </c>
      <c r="P192" s="302">
        <v>2070.3456999999999</v>
      </c>
      <c r="Q192" s="302" t="s">
        <v>12</v>
      </c>
      <c r="R192" s="302" t="s">
        <v>539</v>
      </c>
      <c r="S192" s="302">
        <v>10</v>
      </c>
      <c r="T192" s="302">
        <v>5</v>
      </c>
      <c r="U192" s="302">
        <v>0.7</v>
      </c>
      <c r="V192" s="302">
        <v>0.7</v>
      </c>
      <c r="W192" s="302">
        <v>0.7</v>
      </c>
      <c r="X192" s="300">
        <v>2000</v>
      </c>
      <c r="Y192" s="300" t="s">
        <v>540</v>
      </c>
      <c r="Z192" s="300">
        <v>0.2</v>
      </c>
      <c r="AA192" s="300" t="s">
        <v>541</v>
      </c>
      <c r="AB192" s="300" t="s">
        <v>542</v>
      </c>
      <c r="AC192" s="300">
        <v>220</v>
      </c>
      <c r="AD192" s="158"/>
      <c r="AE192" s="188"/>
    </row>
    <row r="193" spans="1:31" ht="15.75">
      <c r="A193" s="300" t="s">
        <v>711</v>
      </c>
      <c r="B193" s="300" t="s">
        <v>561</v>
      </c>
      <c r="C193" s="300" t="s">
        <v>678</v>
      </c>
      <c r="D193" s="300" t="s">
        <v>538</v>
      </c>
      <c r="E193" s="300">
        <v>1.2</v>
      </c>
      <c r="F193" s="311">
        <v>45469.644444444442</v>
      </c>
      <c r="G193" s="300">
        <v>1</v>
      </c>
      <c r="H193" s="300">
        <v>51.377400000000002</v>
      </c>
      <c r="I193" s="300">
        <v>8.0618499999999997</v>
      </c>
      <c r="J193" s="300">
        <v>-24.034406000000001</v>
      </c>
      <c r="K193" s="300">
        <v>-22.100413</v>
      </c>
      <c r="L193" s="300">
        <v>1117.3800000000001</v>
      </c>
      <c r="M193" s="300">
        <v>68.999485000000007</v>
      </c>
      <c r="N193" s="300">
        <v>13993.66246</v>
      </c>
      <c r="O193" s="300">
        <v>14042.46312</v>
      </c>
      <c r="P193" s="302">
        <v>2070.3456999999999</v>
      </c>
      <c r="Q193" s="302" t="s">
        <v>12</v>
      </c>
      <c r="R193" s="302" t="s">
        <v>553</v>
      </c>
      <c r="S193" s="302">
        <v>10</v>
      </c>
      <c r="T193" s="302">
        <v>5</v>
      </c>
      <c r="U193" s="302">
        <v>0.7</v>
      </c>
      <c r="V193" s="302">
        <v>0.7</v>
      </c>
      <c r="W193" s="302">
        <v>0.7</v>
      </c>
      <c r="X193" s="300">
        <v>2000</v>
      </c>
      <c r="Y193" s="300" t="s">
        <v>540</v>
      </c>
      <c r="Z193" s="300">
        <v>0.2</v>
      </c>
      <c r="AA193" s="300" t="s">
        <v>541</v>
      </c>
      <c r="AB193" s="300" t="s">
        <v>542</v>
      </c>
      <c r="AC193" s="300">
        <v>220</v>
      </c>
      <c r="AD193" s="158"/>
      <c r="AE193" s="188"/>
    </row>
    <row r="194" spans="1:31" ht="15.75">
      <c r="A194" s="300" t="s">
        <v>712</v>
      </c>
      <c r="B194" s="300" t="s">
        <v>561</v>
      </c>
      <c r="C194" s="300" t="s">
        <v>678</v>
      </c>
      <c r="D194" s="300" t="s">
        <v>538</v>
      </c>
      <c r="E194" s="300">
        <v>1.2</v>
      </c>
      <c r="F194" s="311">
        <v>45469.647222222222</v>
      </c>
      <c r="G194" s="300">
        <v>1</v>
      </c>
      <c r="H194" s="300">
        <v>51.374099999999999</v>
      </c>
      <c r="I194" s="300">
        <v>8.0465</v>
      </c>
      <c r="J194" s="300">
        <v>-24.1006</v>
      </c>
      <c r="K194" s="300">
        <v>-23.081288000000001</v>
      </c>
      <c r="L194" s="300">
        <v>1109.8900000000001</v>
      </c>
      <c r="M194" s="300">
        <v>84.999902000000006</v>
      </c>
      <c r="N194" s="300">
        <v>14106.6026</v>
      </c>
      <c r="O194" s="300">
        <v>14042.46312</v>
      </c>
      <c r="P194" s="302">
        <v>2070.3456999999999</v>
      </c>
      <c r="Q194" s="302" t="s">
        <v>12</v>
      </c>
      <c r="R194" s="302" t="s">
        <v>553</v>
      </c>
      <c r="S194" s="302">
        <v>10</v>
      </c>
      <c r="T194" s="302">
        <v>5</v>
      </c>
      <c r="U194" s="302">
        <v>0.7</v>
      </c>
      <c r="V194" s="302">
        <v>0.7</v>
      </c>
      <c r="W194" s="302">
        <v>0.7</v>
      </c>
      <c r="X194" s="300">
        <v>2000</v>
      </c>
      <c r="Y194" s="300" t="s">
        <v>540</v>
      </c>
      <c r="Z194" s="300">
        <v>0.2</v>
      </c>
      <c r="AA194" s="300" t="s">
        <v>541</v>
      </c>
      <c r="AB194" s="300" t="s">
        <v>542</v>
      </c>
      <c r="AC194" s="300">
        <v>220</v>
      </c>
      <c r="AD194" s="158"/>
      <c r="AE194" s="188"/>
    </row>
    <row r="195" spans="1:31" ht="15.75">
      <c r="A195" s="300" t="s">
        <v>713</v>
      </c>
      <c r="B195" s="300" t="s">
        <v>561</v>
      </c>
      <c r="C195" s="300" t="s">
        <v>678</v>
      </c>
      <c r="D195" s="300" t="s">
        <v>538</v>
      </c>
      <c r="E195" s="300">
        <v>1.2</v>
      </c>
      <c r="F195" s="311">
        <v>45469.65</v>
      </c>
      <c r="G195" s="300">
        <v>1</v>
      </c>
      <c r="H195" s="300">
        <v>51.377400000000002</v>
      </c>
      <c r="I195" s="300">
        <v>8.0379699999999996</v>
      </c>
      <c r="J195" s="300">
        <v>-24.148230999999999</v>
      </c>
      <c r="K195" s="300">
        <v>-22.095319</v>
      </c>
      <c r="L195" s="300">
        <v>1119.56</v>
      </c>
      <c r="M195" s="300">
        <v>69.499961999999996</v>
      </c>
      <c r="N195" s="300">
        <v>14033.28881</v>
      </c>
      <c r="O195" s="300">
        <v>14042.46312</v>
      </c>
      <c r="P195" s="302">
        <v>2070.3456999999999</v>
      </c>
      <c r="Q195" s="302" t="s">
        <v>12</v>
      </c>
      <c r="R195" s="302" t="s">
        <v>539</v>
      </c>
      <c r="S195" s="302">
        <v>10</v>
      </c>
      <c r="T195" s="302">
        <v>5</v>
      </c>
      <c r="U195" s="302">
        <v>0.7</v>
      </c>
      <c r="V195" s="302">
        <v>0.7</v>
      </c>
      <c r="W195" s="302">
        <v>0.7</v>
      </c>
      <c r="X195" s="300">
        <v>2000</v>
      </c>
      <c r="Y195" s="300" t="s">
        <v>540</v>
      </c>
      <c r="Z195" s="300">
        <v>0.2</v>
      </c>
      <c r="AA195" s="300" t="s">
        <v>541</v>
      </c>
      <c r="AB195" s="300" t="s">
        <v>542</v>
      </c>
      <c r="AC195" s="300">
        <v>220</v>
      </c>
      <c r="AD195" s="158"/>
      <c r="AE195" s="188"/>
    </row>
    <row r="196" spans="1:31" ht="15.75">
      <c r="A196" s="300" t="s">
        <v>714</v>
      </c>
      <c r="B196" s="300" t="s">
        <v>561</v>
      </c>
      <c r="C196" s="300" t="s">
        <v>678</v>
      </c>
      <c r="D196" s="300" t="s">
        <v>538</v>
      </c>
      <c r="E196" s="300">
        <v>1.2</v>
      </c>
      <c r="F196" s="311">
        <v>45469.652777777781</v>
      </c>
      <c r="G196" s="300">
        <v>1</v>
      </c>
      <c r="H196" s="300">
        <v>51.370800000000003</v>
      </c>
      <c r="I196" s="300">
        <v>8.0522299999999998</v>
      </c>
      <c r="J196" s="300">
        <v>-24.035561999999999</v>
      </c>
      <c r="K196" s="300">
        <v>-22.199349999999999</v>
      </c>
      <c r="L196" s="300">
        <v>1112.97</v>
      </c>
      <c r="M196" s="300">
        <v>70.499566999999999</v>
      </c>
      <c r="N196" s="300">
        <v>14051.637419999999</v>
      </c>
      <c r="O196" s="300">
        <v>14042.46312</v>
      </c>
      <c r="P196" s="302">
        <v>2070.3456999999999</v>
      </c>
      <c r="Q196" s="302" t="s">
        <v>12</v>
      </c>
      <c r="R196" s="302" t="s">
        <v>539</v>
      </c>
      <c r="S196" s="302">
        <v>10</v>
      </c>
      <c r="T196" s="302">
        <v>5</v>
      </c>
      <c r="U196" s="302">
        <v>0.7</v>
      </c>
      <c r="V196" s="302">
        <v>0.7</v>
      </c>
      <c r="W196" s="302">
        <v>0.7</v>
      </c>
      <c r="X196" s="300">
        <v>2000</v>
      </c>
      <c r="Y196" s="300" t="s">
        <v>540</v>
      </c>
      <c r="Z196" s="300">
        <v>0.2</v>
      </c>
      <c r="AA196" s="300" t="s">
        <v>541</v>
      </c>
      <c r="AB196" s="300" t="s">
        <v>542</v>
      </c>
      <c r="AC196" s="300">
        <v>220</v>
      </c>
      <c r="AD196" s="158"/>
      <c r="AE196" s="188"/>
    </row>
    <row r="197" spans="1:31" ht="15.75">
      <c r="A197" s="300" t="s">
        <v>651</v>
      </c>
      <c r="B197" s="300">
        <v>2</v>
      </c>
      <c r="C197" s="300">
        <v>222</v>
      </c>
      <c r="D197" s="300" t="s">
        <v>564</v>
      </c>
      <c r="E197" s="300">
        <v>1</v>
      </c>
      <c r="F197" s="311">
        <v>45469.65625</v>
      </c>
      <c r="G197" s="300">
        <v>1</v>
      </c>
      <c r="H197" s="300">
        <v>51.380699999999997</v>
      </c>
      <c r="I197" s="300">
        <v>8.0660000000000007</v>
      </c>
      <c r="J197" s="300">
        <v>-23.977819</v>
      </c>
      <c r="K197" s="300">
        <v>-22.362219</v>
      </c>
      <c r="L197" s="300">
        <v>1084.3</v>
      </c>
      <c r="M197" s="300">
        <v>67.001254000000003</v>
      </c>
      <c r="N197" s="300">
        <v>11658.918960000001</v>
      </c>
      <c r="O197" s="300">
        <v>11648.286249999999</v>
      </c>
      <c r="P197" s="302">
        <v>2061.49899</v>
      </c>
      <c r="Q197" s="302" t="s">
        <v>12</v>
      </c>
      <c r="R197" s="302" t="s">
        <v>539</v>
      </c>
      <c r="S197" s="302">
        <v>10</v>
      </c>
      <c r="T197" s="302">
        <v>5</v>
      </c>
      <c r="U197" s="302">
        <v>0.7</v>
      </c>
      <c r="V197" s="302">
        <v>0.7</v>
      </c>
      <c r="W197" s="302">
        <v>0.7</v>
      </c>
      <c r="X197" s="300">
        <v>2000</v>
      </c>
      <c r="Y197" s="300" t="s">
        <v>540</v>
      </c>
      <c r="Z197" s="300">
        <v>0.2</v>
      </c>
      <c r="AA197" s="300" t="s">
        <v>541</v>
      </c>
      <c r="AB197" s="300" t="s">
        <v>542</v>
      </c>
      <c r="AC197" s="300">
        <v>220</v>
      </c>
      <c r="AD197" s="158"/>
      <c r="AE197" s="188"/>
    </row>
    <row r="198" spans="1:31" ht="15.75">
      <c r="A198" s="300" t="s">
        <v>652</v>
      </c>
      <c r="B198" s="300">
        <v>2</v>
      </c>
      <c r="C198" s="300">
        <v>222</v>
      </c>
      <c r="D198" s="300" t="s">
        <v>564</v>
      </c>
      <c r="E198" s="300">
        <v>1</v>
      </c>
      <c r="F198" s="311">
        <v>45469.65902777778</v>
      </c>
      <c r="G198" s="300">
        <v>1</v>
      </c>
      <c r="H198" s="300">
        <v>51.377400000000002</v>
      </c>
      <c r="I198" s="300">
        <v>8.1155799999999996</v>
      </c>
      <c r="J198" s="300">
        <v>-24.069700000000001</v>
      </c>
      <c r="K198" s="300">
        <v>-22.195156000000001</v>
      </c>
      <c r="L198" s="300">
        <v>1081.8399999999999</v>
      </c>
      <c r="M198" s="300">
        <v>69.000528000000003</v>
      </c>
      <c r="N198" s="300">
        <v>11637.653550000001</v>
      </c>
      <c r="O198" s="300">
        <v>11648.286249999999</v>
      </c>
      <c r="P198" s="302">
        <v>2061.49899</v>
      </c>
      <c r="Q198" s="302" t="s">
        <v>12</v>
      </c>
      <c r="R198" s="302" t="s">
        <v>539</v>
      </c>
      <c r="S198" s="302">
        <v>10</v>
      </c>
      <c r="T198" s="302">
        <v>5</v>
      </c>
      <c r="U198" s="302">
        <v>0.7</v>
      </c>
      <c r="V198" s="302">
        <v>0.7</v>
      </c>
      <c r="W198" s="302">
        <v>0.7</v>
      </c>
      <c r="X198" s="300">
        <v>2000</v>
      </c>
      <c r="Y198" s="300" t="s">
        <v>540</v>
      </c>
      <c r="Z198" s="300">
        <v>0.2</v>
      </c>
      <c r="AA198" s="300" t="s">
        <v>541</v>
      </c>
      <c r="AB198" s="300" t="s">
        <v>542</v>
      </c>
      <c r="AC198" s="300">
        <v>220</v>
      </c>
      <c r="AD198" s="158"/>
      <c r="AE198" s="188"/>
    </row>
    <row r="199" spans="1:31" ht="15.75">
      <c r="A199" s="300" t="s">
        <v>654</v>
      </c>
      <c r="B199" s="300">
        <v>3</v>
      </c>
      <c r="C199" s="300">
        <v>223</v>
      </c>
      <c r="D199" s="300" t="s">
        <v>568</v>
      </c>
      <c r="E199" s="300">
        <v>1</v>
      </c>
      <c r="F199" s="311">
        <v>45469.662499999999</v>
      </c>
      <c r="G199" s="300">
        <v>1</v>
      </c>
      <c r="H199" s="300">
        <v>51.377400000000002</v>
      </c>
      <c r="I199" s="300">
        <v>8.0270499999999991</v>
      </c>
      <c r="J199" s="300">
        <v>-24.102487</v>
      </c>
      <c r="K199" s="300">
        <v>-22.277881000000001</v>
      </c>
      <c r="L199" s="300">
        <v>1093.73</v>
      </c>
      <c r="M199" s="300">
        <v>65.000108999999995</v>
      </c>
      <c r="N199" s="300">
        <v>11648.417160000001</v>
      </c>
      <c r="O199" s="300">
        <v>11647.2736</v>
      </c>
      <c r="P199" s="302">
        <v>2061.3202369999999</v>
      </c>
      <c r="Q199" s="302" t="s">
        <v>12</v>
      </c>
      <c r="R199" s="302" t="s">
        <v>539</v>
      </c>
      <c r="S199" s="302">
        <v>10</v>
      </c>
      <c r="T199" s="302">
        <v>5</v>
      </c>
      <c r="U199" s="302">
        <v>0.7</v>
      </c>
      <c r="V199" s="302">
        <v>0.7</v>
      </c>
      <c r="W199" s="302">
        <v>0.7</v>
      </c>
      <c r="X199" s="300">
        <v>2000</v>
      </c>
      <c r="Y199" s="300" t="s">
        <v>540</v>
      </c>
      <c r="Z199" s="300">
        <v>0.2</v>
      </c>
      <c r="AA199" s="300" t="s">
        <v>541</v>
      </c>
      <c r="AB199" s="300" t="s">
        <v>542</v>
      </c>
      <c r="AC199" s="300">
        <v>220</v>
      </c>
      <c r="AD199" s="158"/>
      <c r="AE199" s="188"/>
    </row>
    <row r="200" spans="1:31" ht="15.75">
      <c r="A200" s="300" t="s">
        <v>655</v>
      </c>
      <c r="B200" s="300">
        <v>3</v>
      </c>
      <c r="C200" s="300">
        <v>223</v>
      </c>
      <c r="D200" s="300" t="s">
        <v>568</v>
      </c>
      <c r="E200" s="300">
        <v>1</v>
      </c>
      <c r="F200" s="311">
        <v>45469.665277777778</v>
      </c>
      <c r="G200" s="300">
        <v>1</v>
      </c>
      <c r="H200" s="300">
        <v>51.374099999999999</v>
      </c>
      <c r="I200" s="300">
        <v>7.8929200000000002</v>
      </c>
      <c r="J200" s="300">
        <v>-24.026156</v>
      </c>
      <c r="K200" s="300">
        <v>-22.321569</v>
      </c>
      <c r="L200" s="300">
        <v>1098.6300000000001</v>
      </c>
      <c r="M200" s="300">
        <v>66.000922000000003</v>
      </c>
      <c r="N200" s="300">
        <v>11646.13003</v>
      </c>
      <c r="O200" s="300">
        <v>11647.2736</v>
      </c>
      <c r="P200" s="302">
        <v>2061.3202369999999</v>
      </c>
      <c r="Q200" s="302" t="s">
        <v>12</v>
      </c>
      <c r="R200" s="302" t="s">
        <v>539</v>
      </c>
      <c r="S200" s="302">
        <v>10</v>
      </c>
      <c r="T200" s="302">
        <v>5</v>
      </c>
      <c r="U200" s="302">
        <v>0.7</v>
      </c>
      <c r="V200" s="302">
        <v>0.7</v>
      </c>
      <c r="W200" s="302">
        <v>0.7</v>
      </c>
      <c r="X200" s="300">
        <v>2000</v>
      </c>
      <c r="Y200" s="300" t="s">
        <v>540</v>
      </c>
      <c r="Z200" s="300">
        <v>0.2</v>
      </c>
      <c r="AA200" s="300" t="s">
        <v>541</v>
      </c>
      <c r="AB200" s="300" t="s">
        <v>542</v>
      </c>
      <c r="AC200" s="300">
        <v>220</v>
      </c>
      <c r="AD200" s="158"/>
      <c r="AE200" s="188"/>
    </row>
    <row r="201" spans="1:31" ht="15.75">
      <c r="A201" s="300" t="s">
        <v>657</v>
      </c>
      <c r="B201" s="300">
        <v>4</v>
      </c>
      <c r="C201" s="300">
        <v>261</v>
      </c>
      <c r="D201" s="300" t="s">
        <v>571</v>
      </c>
      <c r="E201" s="300">
        <v>1</v>
      </c>
      <c r="F201" s="311">
        <v>45469.668749999997</v>
      </c>
      <c r="G201" s="300">
        <v>1</v>
      </c>
      <c r="H201" s="300">
        <v>51.380699999999997</v>
      </c>
      <c r="I201" s="300">
        <v>7.8459700000000003</v>
      </c>
      <c r="J201" s="300">
        <v>-24.079699999999999</v>
      </c>
      <c r="K201" s="300">
        <v>-22.14715</v>
      </c>
      <c r="L201" s="300">
        <v>1097.77</v>
      </c>
      <c r="M201" s="300">
        <v>66.000513999999995</v>
      </c>
      <c r="N201" s="300">
        <v>11654.783100000001</v>
      </c>
      <c r="O201" s="300">
        <v>11683.207630000001</v>
      </c>
      <c r="P201" s="302">
        <v>2067.6632589999999</v>
      </c>
      <c r="Q201" s="302" t="s">
        <v>12</v>
      </c>
      <c r="R201" s="302" t="s">
        <v>553</v>
      </c>
      <c r="S201" s="302">
        <v>10</v>
      </c>
      <c r="T201" s="302">
        <v>5</v>
      </c>
      <c r="U201" s="302">
        <v>0.7</v>
      </c>
      <c r="V201" s="302">
        <v>0.7</v>
      </c>
      <c r="W201" s="302">
        <v>0.7</v>
      </c>
      <c r="X201" s="300">
        <v>2000</v>
      </c>
      <c r="Y201" s="300" t="s">
        <v>540</v>
      </c>
      <c r="Z201" s="300">
        <v>0.2</v>
      </c>
      <c r="AA201" s="300" t="s">
        <v>541</v>
      </c>
      <c r="AB201" s="300" t="s">
        <v>542</v>
      </c>
      <c r="AC201" s="300">
        <v>220</v>
      </c>
      <c r="AD201" s="158"/>
      <c r="AE201" s="188"/>
    </row>
    <row r="202" spans="1:31" ht="15.75">
      <c r="A202" s="300" t="s">
        <v>658</v>
      </c>
      <c r="B202" s="300">
        <v>4</v>
      </c>
      <c r="C202" s="300">
        <v>261</v>
      </c>
      <c r="D202" s="300" t="s">
        <v>571</v>
      </c>
      <c r="E202" s="300">
        <v>1</v>
      </c>
      <c r="F202" s="311">
        <v>45469.671527777777</v>
      </c>
      <c r="G202" s="300">
        <v>1</v>
      </c>
      <c r="H202" s="300">
        <v>51.374099999999999</v>
      </c>
      <c r="I202" s="300">
        <v>7.9553099999999999</v>
      </c>
      <c r="J202" s="300">
        <v>-24.047625</v>
      </c>
      <c r="K202" s="300">
        <v>-22.395831000000001</v>
      </c>
      <c r="L202" s="300">
        <v>1078.6600000000001</v>
      </c>
      <c r="M202" s="300">
        <v>68.999526000000003</v>
      </c>
      <c r="N202" s="300">
        <v>11689.3963</v>
      </c>
      <c r="O202" s="300">
        <v>11683.207630000001</v>
      </c>
      <c r="P202" s="302">
        <v>2067.6632589999999</v>
      </c>
      <c r="Q202" s="302" t="s">
        <v>12</v>
      </c>
      <c r="R202" s="302" t="s">
        <v>539</v>
      </c>
      <c r="S202" s="302">
        <v>10</v>
      </c>
      <c r="T202" s="302">
        <v>5</v>
      </c>
      <c r="U202" s="302">
        <v>0.7</v>
      </c>
      <c r="V202" s="302">
        <v>0.7</v>
      </c>
      <c r="W202" s="302">
        <v>0.7</v>
      </c>
      <c r="X202" s="300">
        <v>2000</v>
      </c>
      <c r="Y202" s="300" t="s">
        <v>540</v>
      </c>
      <c r="Z202" s="300">
        <v>0.2</v>
      </c>
      <c r="AA202" s="300" t="s">
        <v>541</v>
      </c>
      <c r="AB202" s="300" t="s">
        <v>542</v>
      </c>
      <c r="AC202" s="300">
        <v>220</v>
      </c>
      <c r="AD202" s="158"/>
      <c r="AE202" s="188"/>
    </row>
    <row r="203" spans="1:31" ht="15.75">
      <c r="A203" s="300" t="s">
        <v>715</v>
      </c>
      <c r="B203" s="300">
        <v>4</v>
      </c>
      <c r="C203" s="300">
        <v>261</v>
      </c>
      <c r="D203" s="300" t="s">
        <v>571</v>
      </c>
      <c r="E203" s="300">
        <v>1</v>
      </c>
      <c r="F203" s="311">
        <v>45469.674305555556</v>
      </c>
      <c r="G203" s="300">
        <v>1</v>
      </c>
      <c r="H203" s="300">
        <v>51.3675</v>
      </c>
      <c r="I203" s="300">
        <v>8.0105699999999995</v>
      </c>
      <c r="J203" s="300">
        <v>-23.959838000000001</v>
      </c>
      <c r="K203" s="300">
        <v>-22.156030999999999</v>
      </c>
      <c r="L203" s="300">
        <v>1065.22</v>
      </c>
      <c r="M203" s="300">
        <v>64.500499000000005</v>
      </c>
      <c r="N203" s="300">
        <v>11677.018969999999</v>
      </c>
      <c r="O203" s="300">
        <v>11683.207630000001</v>
      </c>
      <c r="P203" s="302">
        <v>2067.6632589999999</v>
      </c>
      <c r="Q203" s="302" t="s">
        <v>12</v>
      </c>
      <c r="R203" s="302" t="s">
        <v>539</v>
      </c>
      <c r="S203" s="302">
        <v>10</v>
      </c>
      <c r="T203" s="302">
        <v>5</v>
      </c>
      <c r="U203" s="302">
        <v>0.7</v>
      </c>
      <c r="V203" s="302">
        <v>0.7</v>
      </c>
      <c r="W203" s="302">
        <v>0.7</v>
      </c>
      <c r="X203" s="300">
        <v>2000</v>
      </c>
      <c r="Y203" s="300" t="s">
        <v>540</v>
      </c>
      <c r="Z203" s="300">
        <v>0.2</v>
      </c>
      <c r="AA203" s="300" t="s">
        <v>541</v>
      </c>
      <c r="AB203" s="300" t="s">
        <v>542</v>
      </c>
      <c r="AC203" s="300">
        <v>220</v>
      </c>
      <c r="AD203" s="158"/>
      <c r="AE203" s="188"/>
    </row>
    <row r="204" spans="1:31" ht="15.75">
      <c r="A204" s="300" t="s">
        <v>659</v>
      </c>
      <c r="B204" s="300">
        <v>5</v>
      </c>
      <c r="C204" s="300">
        <v>262</v>
      </c>
      <c r="D204" s="300" t="s">
        <v>575</v>
      </c>
      <c r="E204" s="300">
        <v>1</v>
      </c>
      <c r="F204" s="311">
        <v>45469.677083333336</v>
      </c>
      <c r="G204" s="300">
        <v>1</v>
      </c>
      <c r="H204" s="300">
        <v>51.374099999999999</v>
      </c>
      <c r="I204" s="300">
        <v>7.8632600000000004</v>
      </c>
      <c r="J204" s="300">
        <v>-24.083611999999999</v>
      </c>
      <c r="K204" s="300">
        <v>-22.300525</v>
      </c>
      <c r="L204" s="300">
        <v>1086.5</v>
      </c>
      <c r="M204" s="300">
        <v>68.501086999999998</v>
      </c>
      <c r="N204" s="300">
        <v>11695.01744</v>
      </c>
      <c r="O204" s="300">
        <v>11666.26712</v>
      </c>
      <c r="P204" s="302">
        <v>2064.6729460000001</v>
      </c>
      <c r="Q204" s="302" t="s">
        <v>12</v>
      </c>
      <c r="R204" s="302" t="s">
        <v>553</v>
      </c>
      <c r="S204" s="302">
        <v>10</v>
      </c>
      <c r="T204" s="302">
        <v>5</v>
      </c>
      <c r="U204" s="302">
        <v>0.7</v>
      </c>
      <c r="V204" s="302">
        <v>0.7</v>
      </c>
      <c r="W204" s="302">
        <v>0.7</v>
      </c>
      <c r="X204" s="300">
        <v>2000</v>
      </c>
      <c r="Y204" s="300" t="s">
        <v>540</v>
      </c>
      <c r="Z204" s="300">
        <v>0.2</v>
      </c>
      <c r="AA204" s="300" t="s">
        <v>541</v>
      </c>
      <c r="AB204" s="300" t="s">
        <v>542</v>
      </c>
      <c r="AC204" s="300">
        <v>220</v>
      </c>
      <c r="AD204" s="158"/>
      <c r="AE204" s="188"/>
    </row>
    <row r="205" spans="1:31" ht="15.75">
      <c r="A205" s="300" t="s">
        <v>660</v>
      </c>
      <c r="B205" s="300">
        <v>5</v>
      </c>
      <c r="C205" s="300">
        <v>262</v>
      </c>
      <c r="D205" s="300" t="s">
        <v>575</v>
      </c>
      <c r="E205" s="300">
        <v>1</v>
      </c>
      <c r="F205" s="311">
        <v>45469.679861111108</v>
      </c>
      <c r="G205" s="300">
        <v>1</v>
      </c>
      <c r="H205" s="300">
        <v>51.374099999999999</v>
      </c>
      <c r="I205" s="300">
        <v>7.9964199999999996</v>
      </c>
      <c r="J205" s="300">
        <v>-24.089262999999999</v>
      </c>
      <c r="K205" s="300">
        <v>-22.56625</v>
      </c>
      <c r="L205" s="300">
        <v>1060.44</v>
      </c>
      <c r="M205" s="300">
        <v>69.500313000000006</v>
      </c>
      <c r="N205" s="300">
        <v>11670.28773</v>
      </c>
      <c r="O205" s="300">
        <v>11666.26712</v>
      </c>
      <c r="P205" s="302">
        <v>2064.6729460000001</v>
      </c>
      <c r="Q205" s="302" t="s">
        <v>12</v>
      </c>
      <c r="R205" s="302" t="s">
        <v>553</v>
      </c>
      <c r="S205" s="302">
        <v>10</v>
      </c>
      <c r="T205" s="302">
        <v>5</v>
      </c>
      <c r="U205" s="302">
        <v>0.7</v>
      </c>
      <c r="V205" s="302">
        <v>0.7</v>
      </c>
      <c r="W205" s="302">
        <v>0.7</v>
      </c>
      <c r="X205" s="300">
        <v>2000</v>
      </c>
      <c r="Y205" s="300" t="s">
        <v>540</v>
      </c>
      <c r="Z205" s="300">
        <v>0.2</v>
      </c>
      <c r="AA205" s="300" t="s">
        <v>541</v>
      </c>
      <c r="AB205" s="300" t="s">
        <v>542</v>
      </c>
      <c r="AC205" s="300">
        <v>220</v>
      </c>
      <c r="AD205" s="158"/>
      <c r="AE205" s="188"/>
    </row>
    <row r="206" spans="1:31" ht="15.75">
      <c r="A206" s="300" t="s">
        <v>661</v>
      </c>
      <c r="B206" s="300">
        <v>5</v>
      </c>
      <c r="C206" s="300">
        <v>262</v>
      </c>
      <c r="D206" s="300" t="s">
        <v>575</v>
      </c>
      <c r="E206" s="300">
        <v>1</v>
      </c>
      <c r="F206" s="311">
        <v>45469.682638888888</v>
      </c>
      <c r="G206" s="300">
        <v>1</v>
      </c>
      <c r="H206" s="300">
        <v>51.374099999999999</v>
      </c>
      <c r="I206" s="300">
        <v>7.9794299999999998</v>
      </c>
      <c r="J206" s="300">
        <v>-24.038350000000001</v>
      </c>
      <c r="K206" s="300">
        <v>-22.556612000000001</v>
      </c>
      <c r="L206" s="300">
        <v>1082.51</v>
      </c>
      <c r="M206" s="300">
        <v>69.000040999999996</v>
      </c>
      <c r="N206" s="300">
        <v>11698.169180000001</v>
      </c>
      <c r="O206" s="300">
        <v>11666.26712</v>
      </c>
      <c r="P206" s="302">
        <v>2064.6729460000001</v>
      </c>
      <c r="Q206" s="302" t="s">
        <v>12</v>
      </c>
      <c r="R206" s="302" t="s">
        <v>553</v>
      </c>
      <c r="S206" s="302">
        <v>10</v>
      </c>
      <c r="T206" s="302">
        <v>5</v>
      </c>
      <c r="U206" s="302">
        <v>0.7</v>
      </c>
      <c r="V206" s="302">
        <v>0.7</v>
      </c>
      <c r="W206" s="302">
        <v>0.7</v>
      </c>
      <c r="X206" s="300">
        <v>2000</v>
      </c>
      <c r="Y206" s="300" t="s">
        <v>540</v>
      </c>
      <c r="Z206" s="300">
        <v>0.2</v>
      </c>
      <c r="AA206" s="300" t="s">
        <v>541</v>
      </c>
      <c r="AB206" s="300" t="s">
        <v>542</v>
      </c>
      <c r="AC206" s="300">
        <v>220</v>
      </c>
      <c r="AD206" s="158"/>
      <c r="AE206" s="188"/>
    </row>
    <row r="207" spans="1:31" ht="15.75">
      <c r="A207" s="300" t="s">
        <v>662</v>
      </c>
      <c r="B207" s="300">
        <v>5</v>
      </c>
      <c r="C207" s="300">
        <v>262</v>
      </c>
      <c r="D207" s="300" t="s">
        <v>575</v>
      </c>
      <c r="E207" s="300">
        <v>1</v>
      </c>
      <c r="F207" s="311">
        <v>45469.685416666667</v>
      </c>
      <c r="G207" s="300">
        <v>1</v>
      </c>
      <c r="H207" s="300">
        <v>51.374099999999999</v>
      </c>
      <c r="I207" s="300">
        <v>7.9541500000000003</v>
      </c>
      <c r="J207" s="300">
        <v>-24.020800000000001</v>
      </c>
      <c r="K207" s="300">
        <v>-21.970455999999999</v>
      </c>
      <c r="L207" s="300">
        <v>1069.1400000000001</v>
      </c>
      <c r="M207" s="300">
        <v>62.999431999999999</v>
      </c>
      <c r="N207" s="300">
        <v>11657.87635</v>
      </c>
      <c r="O207" s="300">
        <v>11666.26712</v>
      </c>
      <c r="P207" s="302">
        <v>2064.6729460000001</v>
      </c>
      <c r="Q207" s="302" t="s">
        <v>12</v>
      </c>
      <c r="R207" s="302" t="s">
        <v>539</v>
      </c>
      <c r="S207" s="302">
        <v>10</v>
      </c>
      <c r="T207" s="302">
        <v>5</v>
      </c>
      <c r="U207" s="302">
        <v>0.7</v>
      </c>
      <c r="V207" s="302">
        <v>0.7</v>
      </c>
      <c r="W207" s="302">
        <v>0.7</v>
      </c>
      <c r="X207" s="300">
        <v>2000</v>
      </c>
      <c r="Y207" s="300" t="s">
        <v>540</v>
      </c>
      <c r="Z207" s="300">
        <v>0.2</v>
      </c>
      <c r="AA207" s="300" t="s">
        <v>541</v>
      </c>
      <c r="AB207" s="300" t="s">
        <v>542</v>
      </c>
      <c r="AC207" s="300">
        <v>220</v>
      </c>
      <c r="AD207" s="158"/>
      <c r="AE207" s="188"/>
    </row>
    <row r="208" spans="1:31" ht="15.75">
      <c r="A208" s="300" t="s">
        <v>663</v>
      </c>
      <c r="B208" s="300">
        <v>5</v>
      </c>
      <c r="C208" s="300">
        <v>262</v>
      </c>
      <c r="D208" s="300" t="s">
        <v>575</v>
      </c>
      <c r="E208" s="300">
        <v>1</v>
      </c>
      <c r="F208" s="311">
        <v>45469.688194444447</v>
      </c>
      <c r="G208" s="300">
        <v>1</v>
      </c>
      <c r="H208" s="300">
        <v>51.370800000000003</v>
      </c>
      <c r="I208" s="300">
        <v>7.9122700000000004</v>
      </c>
      <c r="J208" s="300">
        <v>-23.785456</v>
      </c>
      <c r="K208" s="300">
        <v>-22.305419000000001</v>
      </c>
      <c r="L208" s="300">
        <v>1080.3</v>
      </c>
      <c r="M208" s="300">
        <v>68.498616999999996</v>
      </c>
      <c r="N208" s="300">
        <v>11674.6579</v>
      </c>
      <c r="O208" s="300">
        <v>11666.26712</v>
      </c>
      <c r="P208" s="302">
        <v>2064.6729460000001</v>
      </c>
      <c r="Q208" s="302" t="s">
        <v>12</v>
      </c>
      <c r="R208" s="302" t="s">
        <v>539</v>
      </c>
      <c r="S208" s="302">
        <v>10</v>
      </c>
      <c r="T208" s="302">
        <v>5</v>
      </c>
      <c r="U208" s="302">
        <v>0.7</v>
      </c>
      <c r="V208" s="302">
        <v>0.7</v>
      </c>
      <c r="W208" s="302">
        <v>0.7</v>
      </c>
      <c r="X208" s="300">
        <v>2000</v>
      </c>
      <c r="Y208" s="300" t="s">
        <v>540</v>
      </c>
      <c r="Z208" s="300">
        <v>0.2</v>
      </c>
      <c r="AA208" s="300" t="s">
        <v>541</v>
      </c>
      <c r="AB208" s="300" t="s">
        <v>542</v>
      </c>
      <c r="AC208" s="300">
        <v>220</v>
      </c>
      <c r="AD208" s="158"/>
      <c r="AE208" s="188"/>
    </row>
    <row r="209" spans="1:31" ht="15.75">
      <c r="A209" s="300" t="s">
        <v>664</v>
      </c>
      <c r="B209" s="300">
        <v>6</v>
      </c>
      <c r="C209" s="300" t="s">
        <v>678</v>
      </c>
      <c r="D209" s="300" t="s">
        <v>579</v>
      </c>
      <c r="E209" s="300">
        <v>1</v>
      </c>
      <c r="F209" s="311">
        <v>45469.691666666666</v>
      </c>
      <c r="G209" s="300">
        <v>1</v>
      </c>
      <c r="H209" s="300">
        <v>51.380699999999997</v>
      </c>
      <c r="I209" s="300">
        <v>7.7293900000000004</v>
      </c>
      <c r="J209" s="300">
        <v>-23.841087999999999</v>
      </c>
      <c r="K209" s="300">
        <v>-23.701205999999999</v>
      </c>
      <c r="L209" s="300">
        <v>2.9784600000000001</v>
      </c>
      <c r="M209" s="300">
        <v>49.001843999999998</v>
      </c>
      <c r="N209" s="300">
        <v>331.54593</v>
      </c>
      <c r="O209" s="300">
        <v>0</v>
      </c>
      <c r="P209" s="302">
        <v>0</v>
      </c>
      <c r="Q209" s="302" t="s">
        <v>280</v>
      </c>
      <c r="R209" s="302" t="s">
        <v>607</v>
      </c>
      <c r="S209" s="302">
        <v>10</v>
      </c>
      <c r="T209" s="302">
        <v>5</v>
      </c>
      <c r="U209" s="302">
        <v>0.7</v>
      </c>
      <c r="V209" s="302">
        <v>0.7</v>
      </c>
      <c r="W209" s="302">
        <v>0.7</v>
      </c>
      <c r="X209" s="300">
        <v>2000</v>
      </c>
      <c r="Y209" s="300" t="s">
        <v>540</v>
      </c>
      <c r="Z209" s="300">
        <v>0.2</v>
      </c>
      <c r="AA209" s="300" t="s">
        <v>541</v>
      </c>
      <c r="AB209" s="300" t="s">
        <v>542</v>
      </c>
      <c r="AC209" s="300">
        <v>220</v>
      </c>
      <c r="AD209" s="158"/>
      <c r="AE209" s="188"/>
    </row>
    <row r="210" spans="1:31" ht="15.75">
      <c r="A210" s="300" t="s">
        <v>665</v>
      </c>
      <c r="B210" s="300">
        <v>6</v>
      </c>
      <c r="C210" s="300" t="s">
        <v>678</v>
      </c>
      <c r="D210" s="300" t="s">
        <v>579</v>
      </c>
      <c r="E210" s="300">
        <v>1</v>
      </c>
      <c r="F210" s="311">
        <v>45469.694444444445</v>
      </c>
      <c r="G210" s="300">
        <v>1</v>
      </c>
      <c r="H210" s="300">
        <v>51.377400000000002</v>
      </c>
      <c r="I210" s="300">
        <v>7.77027</v>
      </c>
      <c r="J210" s="300">
        <v>-24.125644000000001</v>
      </c>
      <c r="K210" s="300">
        <v>-23.786006</v>
      </c>
      <c r="L210" s="300">
        <v>-2.64188</v>
      </c>
      <c r="M210" s="300">
        <v>48.999578999999997</v>
      </c>
      <c r="N210" s="300">
        <v>281.081143</v>
      </c>
      <c r="O210" s="300">
        <v>0</v>
      </c>
      <c r="P210" s="302">
        <v>0</v>
      </c>
      <c r="Q210" s="302" t="s">
        <v>280</v>
      </c>
      <c r="R210" s="302" t="s">
        <v>607</v>
      </c>
      <c r="S210" s="302">
        <v>10</v>
      </c>
      <c r="T210" s="302">
        <v>5</v>
      </c>
      <c r="U210" s="302">
        <v>0.7</v>
      </c>
      <c r="V210" s="302">
        <v>0.7</v>
      </c>
      <c r="W210" s="302">
        <v>0.7</v>
      </c>
      <c r="X210" s="300">
        <v>2000</v>
      </c>
      <c r="Y210" s="300" t="s">
        <v>540</v>
      </c>
      <c r="Z210" s="300">
        <v>0.2</v>
      </c>
      <c r="AA210" s="300" t="s">
        <v>541</v>
      </c>
      <c r="AB210" s="300" t="s">
        <v>542</v>
      </c>
      <c r="AC210" s="300">
        <v>220</v>
      </c>
      <c r="AD210" s="158"/>
      <c r="AE210" s="188"/>
    </row>
    <row r="211" spans="1:31" ht="15.75">
      <c r="A211" s="300" t="s">
        <v>716</v>
      </c>
      <c r="B211" s="300">
        <v>6</v>
      </c>
      <c r="C211" s="300" t="s">
        <v>678</v>
      </c>
      <c r="D211" s="300" t="s">
        <v>579</v>
      </c>
      <c r="E211" s="300">
        <v>1</v>
      </c>
      <c r="F211" s="311">
        <v>45469.697222222225</v>
      </c>
      <c r="G211" s="300">
        <v>1</v>
      </c>
      <c r="H211" s="300">
        <v>51.374099999999999</v>
      </c>
      <c r="I211" s="300">
        <v>7.7124899999999998</v>
      </c>
      <c r="J211" s="300">
        <v>-24.092124999999999</v>
      </c>
      <c r="K211" s="300">
        <v>-23.907444000000002</v>
      </c>
      <c r="L211" s="300">
        <v>-3.41343</v>
      </c>
      <c r="M211" s="300">
        <v>50.000908000000003</v>
      </c>
      <c r="N211" s="300">
        <v>276.091745</v>
      </c>
      <c r="O211" s="300">
        <v>0</v>
      </c>
      <c r="P211" s="302">
        <v>0</v>
      </c>
      <c r="Q211" s="302" t="s">
        <v>280</v>
      </c>
      <c r="R211" s="302" t="s">
        <v>607</v>
      </c>
      <c r="S211" s="302">
        <v>10</v>
      </c>
      <c r="T211" s="302">
        <v>5</v>
      </c>
      <c r="U211" s="302">
        <v>0.7</v>
      </c>
      <c r="V211" s="302">
        <v>0.7</v>
      </c>
      <c r="W211" s="302">
        <v>0.7</v>
      </c>
      <c r="X211" s="300">
        <v>2000</v>
      </c>
      <c r="Y211" s="300" t="s">
        <v>540</v>
      </c>
      <c r="Z211" s="300">
        <v>0.2</v>
      </c>
      <c r="AA211" s="300" t="s">
        <v>541</v>
      </c>
      <c r="AB211" s="300" t="s">
        <v>542</v>
      </c>
      <c r="AC211" s="300">
        <v>220</v>
      </c>
      <c r="AD211" s="158"/>
      <c r="AE211" s="188"/>
    </row>
    <row r="212" spans="1:31" ht="15.75">
      <c r="A212" s="300" t="s">
        <v>717</v>
      </c>
      <c r="B212" s="300">
        <v>6</v>
      </c>
      <c r="C212" s="300" t="s">
        <v>678</v>
      </c>
      <c r="D212" s="300" t="s">
        <v>579</v>
      </c>
      <c r="E212" s="300">
        <v>1</v>
      </c>
      <c r="F212" s="311">
        <v>45469.699305555558</v>
      </c>
      <c r="G212" s="300">
        <v>1</v>
      </c>
      <c r="H212" s="300">
        <v>51.380699999999997</v>
      </c>
      <c r="I212" s="300">
        <v>7.8347600000000002</v>
      </c>
      <c r="J212" s="300">
        <v>-24.214081</v>
      </c>
      <c r="K212" s="300">
        <v>-23.892412</v>
      </c>
      <c r="L212" s="300">
        <v>-3.7598699999999998</v>
      </c>
      <c r="M212" s="300">
        <v>48.500332</v>
      </c>
      <c r="N212" s="300">
        <v>271.921222</v>
      </c>
      <c r="O212" s="300">
        <v>0</v>
      </c>
      <c r="P212" s="302">
        <v>0</v>
      </c>
      <c r="Q212" s="302" t="s">
        <v>280</v>
      </c>
      <c r="R212" s="302" t="s">
        <v>607</v>
      </c>
      <c r="S212" s="302">
        <v>10</v>
      </c>
      <c r="T212" s="302">
        <v>5</v>
      </c>
      <c r="U212" s="302">
        <v>0.7</v>
      </c>
      <c r="V212" s="302">
        <v>0.7</v>
      </c>
      <c r="W212" s="302">
        <v>0.7</v>
      </c>
      <c r="X212" s="300">
        <v>2000</v>
      </c>
      <c r="Y212" s="300" t="s">
        <v>540</v>
      </c>
      <c r="Z212" s="300">
        <v>0.2</v>
      </c>
      <c r="AA212" s="300" t="s">
        <v>541</v>
      </c>
      <c r="AB212" s="300" t="s">
        <v>542</v>
      </c>
      <c r="AC212" s="300">
        <v>220</v>
      </c>
      <c r="AD212" s="158"/>
      <c r="AE212" s="188"/>
    </row>
    <row r="213" spans="1:31" ht="15.75">
      <c r="A213" s="300" t="s">
        <v>718</v>
      </c>
      <c r="B213" s="300">
        <v>6</v>
      </c>
      <c r="C213" s="300" t="s">
        <v>678</v>
      </c>
      <c r="D213" s="300" t="s">
        <v>579</v>
      </c>
      <c r="E213" s="300">
        <v>1</v>
      </c>
      <c r="F213" s="311">
        <v>45469.70208333333</v>
      </c>
      <c r="G213" s="300">
        <v>1</v>
      </c>
      <c r="H213" s="300">
        <v>51.377400000000002</v>
      </c>
      <c r="I213" s="300">
        <v>7.7661300000000004</v>
      </c>
      <c r="J213" s="300">
        <v>-24.156213000000001</v>
      </c>
      <c r="K213" s="300">
        <v>-23.941575</v>
      </c>
      <c r="L213" s="300">
        <v>-3.8071100000000002</v>
      </c>
      <c r="M213" s="300">
        <v>48.998538000000003</v>
      </c>
      <c r="N213" s="300">
        <v>268.07927000000001</v>
      </c>
      <c r="O213" s="300">
        <v>0</v>
      </c>
      <c r="P213" s="302">
        <v>0</v>
      </c>
      <c r="Q213" s="302" t="s">
        <v>280</v>
      </c>
      <c r="R213" s="302" t="s">
        <v>607</v>
      </c>
      <c r="S213" s="302">
        <v>10</v>
      </c>
      <c r="T213" s="302">
        <v>5</v>
      </c>
      <c r="U213" s="302">
        <v>0.7</v>
      </c>
      <c r="V213" s="302">
        <v>0.7</v>
      </c>
      <c r="W213" s="302">
        <v>0.7</v>
      </c>
      <c r="X213" s="300">
        <v>2000</v>
      </c>
      <c r="Y213" s="300" t="s">
        <v>540</v>
      </c>
      <c r="Z213" s="300">
        <v>0.2</v>
      </c>
      <c r="AA213" s="300" t="s">
        <v>541</v>
      </c>
      <c r="AB213" s="300" t="s">
        <v>542</v>
      </c>
      <c r="AC213" s="300">
        <v>220</v>
      </c>
      <c r="AD213" s="158"/>
      <c r="AE213" s="188"/>
    </row>
    <row r="214" spans="1:31" ht="15.75">
      <c r="A214" s="300" t="s">
        <v>719</v>
      </c>
      <c r="B214" s="300">
        <v>6</v>
      </c>
      <c r="C214" s="300" t="s">
        <v>678</v>
      </c>
      <c r="D214" s="300" t="s">
        <v>579</v>
      </c>
      <c r="E214" s="300">
        <v>1</v>
      </c>
      <c r="F214" s="311">
        <v>45469.704861111109</v>
      </c>
      <c r="G214" s="300">
        <v>2</v>
      </c>
      <c r="H214" s="300">
        <v>51.380699999999997</v>
      </c>
      <c r="I214" s="300">
        <v>7.85222</v>
      </c>
      <c r="J214" s="300">
        <v>-24.153587000000002</v>
      </c>
      <c r="K214" s="300">
        <v>-22.807062999999999</v>
      </c>
      <c r="L214" s="300">
        <v>771.67600000000004</v>
      </c>
      <c r="M214" s="300">
        <v>65.500107</v>
      </c>
      <c r="N214" s="300">
        <v>7957.4056449999998</v>
      </c>
      <c r="O214" s="300">
        <v>11658.58137</v>
      </c>
      <c r="P214" s="302">
        <v>2063.3162689999999</v>
      </c>
      <c r="Q214" s="302" t="s">
        <v>12</v>
      </c>
      <c r="R214" s="302" t="s">
        <v>553</v>
      </c>
      <c r="S214" s="302">
        <v>10</v>
      </c>
      <c r="T214" s="302">
        <v>5</v>
      </c>
      <c r="U214" s="302">
        <v>0.7</v>
      </c>
      <c r="V214" s="302">
        <v>0.7</v>
      </c>
      <c r="W214" s="302">
        <v>0.7</v>
      </c>
      <c r="X214" s="300">
        <v>2000</v>
      </c>
      <c r="Y214" s="300" t="s">
        <v>540</v>
      </c>
      <c r="Z214" s="300">
        <v>0.2</v>
      </c>
      <c r="AA214" s="300" t="s">
        <v>541</v>
      </c>
      <c r="AB214" s="300" t="s">
        <v>542</v>
      </c>
      <c r="AC214" s="300">
        <v>220</v>
      </c>
      <c r="AD214" s="158"/>
      <c r="AE214" s="188"/>
    </row>
    <row r="215" spans="1:31" ht="15.75">
      <c r="A215" s="300" t="s">
        <v>720</v>
      </c>
      <c r="B215" s="300">
        <v>6</v>
      </c>
      <c r="C215" s="300" t="s">
        <v>678</v>
      </c>
      <c r="D215" s="300" t="s">
        <v>579</v>
      </c>
      <c r="E215" s="300">
        <v>1</v>
      </c>
      <c r="F215" s="311">
        <v>45469.707638888889</v>
      </c>
      <c r="G215" s="300">
        <v>2</v>
      </c>
      <c r="H215" s="300">
        <v>51.374099999999999</v>
      </c>
      <c r="I215" s="300">
        <v>7.8948900000000002</v>
      </c>
      <c r="J215" s="300">
        <v>-24.107631000000001</v>
      </c>
      <c r="K215" s="300">
        <v>-22.512530999999999</v>
      </c>
      <c r="L215" s="300">
        <v>1073.31</v>
      </c>
      <c r="M215" s="300">
        <v>67.999741</v>
      </c>
      <c r="N215" s="300">
        <v>11653.58367</v>
      </c>
      <c r="O215" s="300">
        <v>11658.58137</v>
      </c>
      <c r="P215" s="302">
        <v>2063.3162689999999</v>
      </c>
      <c r="Q215" s="302" t="s">
        <v>12</v>
      </c>
      <c r="R215" s="302" t="s">
        <v>539</v>
      </c>
      <c r="S215" s="302">
        <v>10</v>
      </c>
      <c r="T215" s="302">
        <v>5</v>
      </c>
      <c r="U215" s="302">
        <v>0.7</v>
      </c>
      <c r="V215" s="302">
        <v>0.7</v>
      </c>
      <c r="W215" s="302">
        <v>0.7</v>
      </c>
      <c r="X215" s="300">
        <v>2000</v>
      </c>
      <c r="Y215" s="300" t="s">
        <v>540</v>
      </c>
      <c r="Z215" s="300">
        <v>0.2</v>
      </c>
      <c r="AA215" s="300" t="s">
        <v>541</v>
      </c>
      <c r="AB215" s="300" t="s">
        <v>542</v>
      </c>
      <c r="AC215" s="300">
        <v>220</v>
      </c>
      <c r="AD215" s="158"/>
      <c r="AE215" s="188"/>
    </row>
    <row r="216" spans="1:31" ht="15.75">
      <c r="A216" s="300" t="s">
        <v>721</v>
      </c>
      <c r="B216" s="300">
        <v>6</v>
      </c>
      <c r="C216" s="300" t="s">
        <v>678</v>
      </c>
      <c r="D216" s="300" t="s">
        <v>579</v>
      </c>
      <c r="E216" s="300">
        <v>1</v>
      </c>
      <c r="F216" s="311">
        <v>45469.710416666669</v>
      </c>
      <c r="G216" s="300">
        <v>2</v>
      </c>
      <c r="H216" s="300">
        <v>51.377400000000002</v>
      </c>
      <c r="I216" s="300">
        <v>7.9277699999999998</v>
      </c>
      <c r="J216" s="300">
        <v>-24.157755999999999</v>
      </c>
      <c r="K216" s="300">
        <v>-22.412906</v>
      </c>
      <c r="L216" s="300">
        <v>1077.96</v>
      </c>
      <c r="M216" s="300">
        <v>67.998912000000004</v>
      </c>
      <c r="N216" s="300">
        <v>11663.57907</v>
      </c>
      <c r="O216" s="300">
        <v>11658.58137</v>
      </c>
      <c r="P216" s="302">
        <v>2063.3162689999999</v>
      </c>
      <c r="Q216" s="302" t="s">
        <v>12</v>
      </c>
      <c r="R216" s="302" t="s">
        <v>539</v>
      </c>
      <c r="S216" s="302">
        <v>10</v>
      </c>
      <c r="T216" s="302">
        <v>5</v>
      </c>
      <c r="U216" s="302">
        <v>0.7</v>
      </c>
      <c r="V216" s="302">
        <v>0.7</v>
      </c>
      <c r="W216" s="302">
        <v>0.7</v>
      </c>
      <c r="X216" s="300">
        <v>2000</v>
      </c>
      <c r="Y216" s="300" t="s">
        <v>540</v>
      </c>
      <c r="Z216" s="300">
        <v>0.2</v>
      </c>
      <c r="AA216" s="300" t="s">
        <v>541</v>
      </c>
      <c r="AB216" s="300" t="s">
        <v>542</v>
      </c>
      <c r="AC216" s="300">
        <v>220</v>
      </c>
      <c r="AD216" s="158"/>
      <c r="AE216" s="188"/>
    </row>
    <row r="217" spans="1:31" ht="15.75">
      <c r="A217" s="303" t="s">
        <v>722</v>
      </c>
      <c r="B217" s="303" t="s">
        <v>537</v>
      </c>
      <c r="C217" s="303" t="s">
        <v>678</v>
      </c>
      <c r="D217" s="303" t="s">
        <v>538</v>
      </c>
      <c r="E217" s="303">
        <v>1</v>
      </c>
      <c r="F217" s="312">
        <v>45469.714583333334</v>
      </c>
      <c r="G217" s="303">
        <v>1</v>
      </c>
      <c r="H217" s="303">
        <v>51.380699999999997</v>
      </c>
      <c r="I217" s="303">
        <v>7.9141599999999999</v>
      </c>
      <c r="J217" s="303">
        <v>-23.922962999999999</v>
      </c>
      <c r="K217" s="303">
        <v>-22.860681</v>
      </c>
      <c r="L217" s="303">
        <v>1078.1400000000001</v>
      </c>
      <c r="M217" s="303">
        <v>70.999688000000006</v>
      </c>
      <c r="N217" s="303">
        <v>11679.890950000001</v>
      </c>
      <c r="O217" s="303">
        <v>11679.890950000001</v>
      </c>
      <c r="P217" s="305">
        <v>2067.0778030000001</v>
      </c>
      <c r="Q217" s="302" t="s">
        <v>12</v>
      </c>
      <c r="R217" s="305" t="s">
        <v>539</v>
      </c>
      <c r="S217" s="305">
        <v>10</v>
      </c>
      <c r="T217" s="305">
        <v>5</v>
      </c>
      <c r="U217" s="305">
        <v>0.7</v>
      </c>
      <c r="V217" s="305">
        <v>0.7</v>
      </c>
      <c r="W217" s="305">
        <v>0.7</v>
      </c>
      <c r="X217" s="303">
        <v>2000</v>
      </c>
      <c r="Y217" s="303" t="s">
        <v>540</v>
      </c>
      <c r="Z217" s="303">
        <v>0.2</v>
      </c>
      <c r="AA217" s="303" t="s">
        <v>541</v>
      </c>
      <c r="AB217" s="303" t="s">
        <v>542</v>
      </c>
      <c r="AC217" s="303">
        <v>220</v>
      </c>
      <c r="AD217" s="158"/>
      <c r="AE217" s="188"/>
    </row>
    <row r="218" spans="1:31" ht="15.75">
      <c r="A218" s="300" t="s">
        <v>723</v>
      </c>
      <c r="B218" s="300" t="s">
        <v>537</v>
      </c>
      <c r="C218" s="300" t="s">
        <v>678</v>
      </c>
      <c r="D218" s="300" t="s">
        <v>538</v>
      </c>
      <c r="E218" s="300">
        <v>1</v>
      </c>
      <c r="F218" s="311">
        <v>45469.717361111114</v>
      </c>
      <c r="G218" s="300">
        <v>1</v>
      </c>
      <c r="H218" s="300">
        <v>51.377400000000002</v>
      </c>
      <c r="I218" s="300">
        <v>7.7906000000000004</v>
      </c>
      <c r="J218" s="300">
        <v>-23.984344</v>
      </c>
      <c r="K218" s="300">
        <v>-22.240525000000002</v>
      </c>
      <c r="L218" s="300">
        <v>1078.08</v>
      </c>
      <c r="M218" s="300">
        <v>67.000606000000005</v>
      </c>
      <c r="N218" s="300">
        <v>11668.78657</v>
      </c>
      <c r="O218" s="300">
        <v>11668.78657</v>
      </c>
      <c r="P218" s="302">
        <v>2065.1176740000001</v>
      </c>
      <c r="Q218" s="302" t="s">
        <v>12</v>
      </c>
      <c r="R218" s="302" t="s">
        <v>539</v>
      </c>
      <c r="S218" s="302">
        <v>10</v>
      </c>
      <c r="T218" s="302">
        <v>5</v>
      </c>
      <c r="U218" s="302">
        <v>0.7</v>
      </c>
      <c r="V218" s="302">
        <v>0.7</v>
      </c>
      <c r="W218" s="302">
        <v>0.7</v>
      </c>
      <c r="X218" s="300">
        <v>2000</v>
      </c>
      <c r="Y218" s="300" t="s">
        <v>540</v>
      </c>
      <c r="Z218" s="300">
        <v>0.2</v>
      </c>
      <c r="AA218" s="300" t="s">
        <v>541</v>
      </c>
      <c r="AB218" s="300" t="s">
        <v>542</v>
      </c>
      <c r="AC218" s="300">
        <v>220</v>
      </c>
      <c r="AD218" s="158"/>
      <c r="AE218" s="188"/>
    </row>
    <row r="219" spans="1:31" ht="15.75">
      <c r="A219" s="300" t="s">
        <v>724</v>
      </c>
      <c r="B219" s="300" t="s">
        <v>537</v>
      </c>
      <c r="C219" s="300" t="s">
        <v>678</v>
      </c>
      <c r="D219" s="300" t="s">
        <v>538</v>
      </c>
      <c r="E219" s="300">
        <v>1</v>
      </c>
      <c r="F219" s="311">
        <v>45469.719444444447</v>
      </c>
      <c r="G219" s="300">
        <v>1</v>
      </c>
      <c r="H219" s="300">
        <v>51.374099999999999</v>
      </c>
      <c r="I219" s="300">
        <v>7.7652700000000001</v>
      </c>
      <c r="J219" s="300">
        <v>-24.067612</v>
      </c>
      <c r="K219" s="300">
        <v>-22.073699999999999</v>
      </c>
      <c r="L219" s="300">
        <v>1079.75</v>
      </c>
      <c r="M219" s="300">
        <v>65.002036000000004</v>
      </c>
      <c r="N219" s="300">
        <v>11664.71084</v>
      </c>
      <c r="O219" s="300">
        <v>11664.71084</v>
      </c>
      <c r="P219" s="302">
        <v>2064.3982329999999</v>
      </c>
      <c r="Q219" s="302" t="s">
        <v>12</v>
      </c>
      <c r="R219" s="302" t="s">
        <v>539</v>
      </c>
      <c r="S219" s="302">
        <v>10</v>
      </c>
      <c r="T219" s="302">
        <v>5</v>
      </c>
      <c r="U219" s="302">
        <v>0.7</v>
      </c>
      <c r="V219" s="302">
        <v>0.7</v>
      </c>
      <c r="W219" s="302">
        <v>0.7</v>
      </c>
      <c r="X219" s="300">
        <v>2000</v>
      </c>
      <c r="Y219" s="300" t="s">
        <v>540</v>
      </c>
      <c r="Z219" s="300">
        <v>0.2</v>
      </c>
      <c r="AA219" s="300" t="s">
        <v>541</v>
      </c>
      <c r="AB219" s="300" t="s">
        <v>542</v>
      </c>
      <c r="AC219" s="300">
        <v>220</v>
      </c>
      <c r="AD219" s="158"/>
      <c r="AE219" s="188"/>
    </row>
    <row r="220" spans="1:31" ht="15.75">
      <c r="A220" s="313" t="s">
        <v>536</v>
      </c>
      <c r="B220" s="313" t="s">
        <v>537</v>
      </c>
      <c r="C220" s="313"/>
      <c r="D220" s="313" t="s">
        <v>538</v>
      </c>
      <c r="E220" s="313">
        <v>1</v>
      </c>
      <c r="F220" s="314">
        <v>45488.447916666664</v>
      </c>
      <c r="G220" s="313">
        <v>1</v>
      </c>
      <c r="H220" s="313">
        <v>51.377400000000002</v>
      </c>
      <c r="I220" s="313">
        <v>18.5166</v>
      </c>
      <c r="J220" s="313">
        <v>-23.022044000000001</v>
      </c>
      <c r="K220" s="313">
        <v>-21.495006</v>
      </c>
      <c r="L220" s="313">
        <v>998.59799999999996</v>
      </c>
      <c r="M220" s="313">
        <v>66.500292999999999</v>
      </c>
      <c r="N220" s="313">
        <v>11211.981599999999</v>
      </c>
      <c r="O220" s="313">
        <v>11211.981599999999</v>
      </c>
      <c r="P220" s="315">
        <v>1984.48316</v>
      </c>
      <c r="Q220" s="302" t="s">
        <v>12</v>
      </c>
      <c r="R220" s="315" t="s">
        <v>539</v>
      </c>
      <c r="S220" s="315">
        <v>10</v>
      </c>
      <c r="T220" s="315">
        <v>5</v>
      </c>
      <c r="U220" s="315">
        <v>0.7</v>
      </c>
      <c r="V220" s="315">
        <v>0.7</v>
      </c>
      <c r="W220" s="315">
        <v>0.7</v>
      </c>
      <c r="X220" s="313">
        <v>2000</v>
      </c>
      <c r="Y220" s="313" t="s">
        <v>540</v>
      </c>
      <c r="Z220" s="313">
        <v>0.2</v>
      </c>
      <c r="AA220" s="313" t="s">
        <v>541</v>
      </c>
      <c r="AB220" s="313" t="s">
        <v>542</v>
      </c>
      <c r="AC220" s="313">
        <v>220</v>
      </c>
      <c r="AD220" s="158"/>
      <c r="AE220" s="188"/>
    </row>
    <row r="221" spans="1:31" ht="15.75">
      <c r="A221" s="313" t="s">
        <v>543</v>
      </c>
      <c r="B221" s="313" t="s">
        <v>537</v>
      </c>
      <c r="C221" s="313"/>
      <c r="D221" s="313" t="s">
        <v>538</v>
      </c>
      <c r="E221" s="313">
        <v>1</v>
      </c>
      <c r="F221" s="314">
        <v>45488.450694444444</v>
      </c>
      <c r="G221" s="313">
        <v>1</v>
      </c>
      <c r="H221" s="313">
        <v>51.380699999999997</v>
      </c>
      <c r="I221" s="313">
        <v>19.433800000000002</v>
      </c>
      <c r="J221" s="313">
        <v>-23.465938000000001</v>
      </c>
      <c r="K221" s="313">
        <v>-21.878343999999998</v>
      </c>
      <c r="L221" s="313">
        <v>989.88400000000001</v>
      </c>
      <c r="M221" s="313">
        <v>64.498482999999993</v>
      </c>
      <c r="N221" s="313">
        <v>11179.4578</v>
      </c>
      <c r="O221" s="313">
        <v>11179.4578</v>
      </c>
      <c r="P221" s="315">
        <v>1978.7421099999999</v>
      </c>
      <c r="Q221" s="302" t="s">
        <v>12</v>
      </c>
      <c r="R221" s="315" t="s">
        <v>539</v>
      </c>
      <c r="S221" s="315">
        <v>10</v>
      </c>
      <c r="T221" s="315">
        <v>5</v>
      </c>
      <c r="U221" s="315">
        <v>0.7</v>
      </c>
      <c r="V221" s="315">
        <v>0.7</v>
      </c>
      <c r="W221" s="315">
        <v>0.7</v>
      </c>
      <c r="X221" s="313">
        <v>2000</v>
      </c>
      <c r="Y221" s="313" t="s">
        <v>540</v>
      </c>
      <c r="Z221" s="313">
        <v>0.2</v>
      </c>
      <c r="AA221" s="313" t="s">
        <v>541</v>
      </c>
      <c r="AB221" s="313" t="s">
        <v>542</v>
      </c>
      <c r="AC221" s="313">
        <v>220</v>
      </c>
      <c r="AD221" s="158"/>
      <c r="AE221" s="188"/>
    </row>
    <row r="222" spans="1:31" ht="15.75">
      <c r="A222" s="313" t="s">
        <v>544</v>
      </c>
      <c r="B222" s="313" t="s">
        <v>537</v>
      </c>
      <c r="C222" s="313"/>
      <c r="D222" s="313" t="s">
        <v>538</v>
      </c>
      <c r="E222" s="313">
        <v>1</v>
      </c>
      <c r="F222" s="314">
        <v>45488.452777777777</v>
      </c>
      <c r="G222" s="313">
        <v>1</v>
      </c>
      <c r="H222" s="313">
        <v>51.380699999999997</v>
      </c>
      <c r="I222" s="313">
        <v>18.195399999999999</v>
      </c>
      <c r="J222" s="313">
        <v>-23.487031000000002</v>
      </c>
      <c r="K222" s="313">
        <v>-21.917375</v>
      </c>
      <c r="L222" s="313">
        <v>997.70299999999997</v>
      </c>
      <c r="M222" s="313">
        <v>68.000510000000006</v>
      </c>
      <c r="N222" s="313">
        <v>11147.341700000001</v>
      </c>
      <c r="O222" s="313">
        <v>11147.341700000001</v>
      </c>
      <c r="P222" s="315">
        <v>1973.0730100000001</v>
      </c>
      <c r="Q222" s="302" t="s">
        <v>12</v>
      </c>
      <c r="R222" s="315" t="s">
        <v>539</v>
      </c>
      <c r="S222" s="315">
        <v>10</v>
      </c>
      <c r="T222" s="315">
        <v>5</v>
      </c>
      <c r="U222" s="315">
        <v>0.7</v>
      </c>
      <c r="V222" s="315">
        <v>0.7</v>
      </c>
      <c r="W222" s="315">
        <v>0.7</v>
      </c>
      <c r="X222" s="313">
        <v>2000</v>
      </c>
      <c r="Y222" s="313" t="s">
        <v>540</v>
      </c>
      <c r="Z222" s="313">
        <v>0.2</v>
      </c>
      <c r="AA222" s="313" t="s">
        <v>541</v>
      </c>
      <c r="AB222" s="313" t="s">
        <v>542</v>
      </c>
      <c r="AC222" s="313">
        <v>220</v>
      </c>
      <c r="AD222" s="158"/>
      <c r="AE222" s="188"/>
    </row>
    <row r="223" spans="1:31" ht="15.75">
      <c r="A223" s="313" t="s">
        <v>545</v>
      </c>
      <c r="B223" s="313" t="s">
        <v>537</v>
      </c>
      <c r="C223" s="313"/>
      <c r="D223" s="313" t="s">
        <v>538</v>
      </c>
      <c r="E223" s="313">
        <v>1</v>
      </c>
      <c r="F223" s="314">
        <v>45488.455555555556</v>
      </c>
      <c r="G223" s="313">
        <v>1</v>
      </c>
      <c r="H223" s="313">
        <v>51.377400000000002</v>
      </c>
      <c r="I223" s="313">
        <v>15.722099999999999</v>
      </c>
      <c r="J223" s="313">
        <v>-23.601994000000001</v>
      </c>
      <c r="K223" s="313">
        <v>-22.560212</v>
      </c>
      <c r="L223" s="313">
        <v>1001.53</v>
      </c>
      <c r="M223" s="313">
        <v>72.500315000000001</v>
      </c>
      <c r="N223" s="313">
        <v>11248.7004</v>
      </c>
      <c r="O223" s="313">
        <v>11248.7004</v>
      </c>
      <c r="P223" s="315">
        <v>1990.96471</v>
      </c>
      <c r="Q223" s="302" t="s">
        <v>12</v>
      </c>
      <c r="R223" s="315" t="s">
        <v>539</v>
      </c>
      <c r="S223" s="315">
        <v>10</v>
      </c>
      <c r="T223" s="315">
        <v>5</v>
      </c>
      <c r="U223" s="315">
        <v>0.7</v>
      </c>
      <c r="V223" s="315">
        <v>0.7</v>
      </c>
      <c r="W223" s="315">
        <v>0.7</v>
      </c>
      <c r="X223" s="313">
        <v>2000</v>
      </c>
      <c r="Y223" s="313" t="s">
        <v>540</v>
      </c>
      <c r="Z223" s="313">
        <v>0.2</v>
      </c>
      <c r="AA223" s="313" t="s">
        <v>541</v>
      </c>
      <c r="AB223" s="313" t="s">
        <v>542</v>
      </c>
      <c r="AC223" s="313">
        <v>220</v>
      </c>
      <c r="AD223" s="158"/>
      <c r="AE223" s="188"/>
    </row>
    <row r="224" spans="1:31" ht="15.75">
      <c r="A224" s="313" t="s">
        <v>546</v>
      </c>
      <c r="B224" s="313" t="s">
        <v>537</v>
      </c>
      <c r="C224" s="313"/>
      <c r="D224" s="313" t="s">
        <v>538</v>
      </c>
      <c r="E224" s="313">
        <v>1</v>
      </c>
      <c r="F224" s="314">
        <v>45488.458333333336</v>
      </c>
      <c r="G224" s="313">
        <v>1</v>
      </c>
      <c r="H224" s="313">
        <v>51.384</v>
      </c>
      <c r="I224" s="313">
        <v>14.3162</v>
      </c>
      <c r="J224" s="313">
        <v>-23.652218999999999</v>
      </c>
      <c r="K224" s="313">
        <v>-22.145544000000001</v>
      </c>
      <c r="L224" s="313">
        <v>1003.35</v>
      </c>
      <c r="M224" s="313">
        <v>70.001486</v>
      </c>
      <c r="N224" s="313">
        <v>11242.2281</v>
      </c>
      <c r="O224" s="313">
        <v>11242.2281</v>
      </c>
      <c r="P224" s="315">
        <v>1989.82223</v>
      </c>
      <c r="Q224" s="302" t="s">
        <v>12</v>
      </c>
      <c r="R224" s="315" t="s">
        <v>539</v>
      </c>
      <c r="S224" s="315">
        <v>10</v>
      </c>
      <c r="T224" s="315">
        <v>5</v>
      </c>
      <c r="U224" s="315">
        <v>0.7</v>
      </c>
      <c r="V224" s="315">
        <v>0.7</v>
      </c>
      <c r="W224" s="315">
        <v>0.7</v>
      </c>
      <c r="X224" s="313">
        <v>2000</v>
      </c>
      <c r="Y224" s="313" t="s">
        <v>540</v>
      </c>
      <c r="Z224" s="313">
        <v>0.2</v>
      </c>
      <c r="AA224" s="313" t="s">
        <v>541</v>
      </c>
      <c r="AB224" s="313" t="s">
        <v>542</v>
      </c>
      <c r="AC224" s="313">
        <v>220</v>
      </c>
      <c r="AD224" s="158"/>
      <c r="AE224" s="188"/>
    </row>
    <row r="225" spans="1:31" ht="15.75">
      <c r="A225" s="313" t="s">
        <v>547</v>
      </c>
      <c r="B225" s="313" t="s">
        <v>537</v>
      </c>
      <c r="C225" s="313"/>
      <c r="D225" s="313" t="s">
        <v>538</v>
      </c>
      <c r="E225" s="313">
        <v>1</v>
      </c>
      <c r="F225" s="314">
        <v>45488.461111111108</v>
      </c>
      <c r="G225" s="313">
        <v>1</v>
      </c>
      <c r="H225" s="313">
        <v>51.370800000000003</v>
      </c>
      <c r="I225" s="313">
        <v>13.2165</v>
      </c>
      <c r="J225" s="313">
        <v>-23.711662</v>
      </c>
      <c r="K225" s="313">
        <v>-22.125681</v>
      </c>
      <c r="L225" s="313">
        <v>984.59500000000003</v>
      </c>
      <c r="M225" s="313">
        <v>67.001743000000005</v>
      </c>
      <c r="N225" s="313">
        <v>11211.0818</v>
      </c>
      <c r="O225" s="313">
        <v>11211.0818</v>
      </c>
      <c r="P225" s="315">
        <v>1984.3243199999999</v>
      </c>
      <c r="Q225" s="302" t="s">
        <v>12</v>
      </c>
      <c r="R225" s="315" t="s">
        <v>539</v>
      </c>
      <c r="S225" s="315">
        <v>10</v>
      </c>
      <c r="T225" s="315">
        <v>5</v>
      </c>
      <c r="U225" s="315">
        <v>0.7</v>
      </c>
      <c r="V225" s="315">
        <v>0.7</v>
      </c>
      <c r="W225" s="315">
        <v>0.7</v>
      </c>
      <c r="X225" s="313">
        <v>2000</v>
      </c>
      <c r="Y225" s="313" t="s">
        <v>540</v>
      </c>
      <c r="Z225" s="313">
        <v>0.2</v>
      </c>
      <c r="AA225" s="313" t="s">
        <v>541</v>
      </c>
      <c r="AB225" s="313" t="s">
        <v>542</v>
      </c>
      <c r="AC225" s="313">
        <v>220</v>
      </c>
      <c r="AD225" s="158"/>
      <c r="AE225" s="188"/>
    </row>
    <row r="226" spans="1:31" ht="15.75">
      <c r="A226" s="313" t="s">
        <v>548</v>
      </c>
      <c r="B226" s="313" t="s">
        <v>537</v>
      </c>
      <c r="C226" s="313"/>
      <c r="D226" s="313" t="s">
        <v>538</v>
      </c>
      <c r="E226" s="313">
        <v>1</v>
      </c>
      <c r="F226" s="314">
        <v>45488.463888888888</v>
      </c>
      <c r="G226" s="313">
        <v>1</v>
      </c>
      <c r="H226" s="313">
        <v>51.380699999999997</v>
      </c>
      <c r="I226" s="313">
        <v>12.6059</v>
      </c>
      <c r="J226" s="313">
        <v>-23.774243999999999</v>
      </c>
      <c r="K226" s="313">
        <v>-22.095025</v>
      </c>
      <c r="L226" s="313">
        <v>986.91700000000003</v>
      </c>
      <c r="M226" s="313">
        <v>69.000161000000006</v>
      </c>
      <c r="N226" s="313">
        <v>11217.984</v>
      </c>
      <c r="O226" s="313">
        <v>11217.984</v>
      </c>
      <c r="P226" s="315">
        <v>1985.54269</v>
      </c>
      <c r="Q226" s="302" t="s">
        <v>12</v>
      </c>
      <c r="R226" s="315" t="s">
        <v>539</v>
      </c>
      <c r="S226" s="315">
        <v>10</v>
      </c>
      <c r="T226" s="315">
        <v>5</v>
      </c>
      <c r="U226" s="315">
        <v>0.7</v>
      </c>
      <c r="V226" s="315">
        <v>0.7</v>
      </c>
      <c r="W226" s="315">
        <v>0.7</v>
      </c>
      <c r="X226" s="313">
        <v>2000</v>
      </c>
      <c r="Y226" s="313" t="s">
        <v>540</v>
      </c>
      <c r="Z226" s="313">
        <v>0.2</v>
      </c>
      <c r="AA226" s="313" t="s">
        <v>541</v>
      </c>
      <c r="AB226" s="313" t="s">
        <v>542</v>
      </c>
      <c r="AC226" s="313">
        <v>220</v>
      </c>
      <c r="AD226" s="158"/>
      <c r="AE226" s="188"/>
    </row>
    <row r="227" spans="1:31" ht="15.75">
      <c r="A227" s="313" t="s">
        <v>549</v>
      </c>
      <c r="B227" s="313" t="s">
        <v>537</v>
      </c>
      <c r="C227" s="313"/>
      <c r="D227" s="313" t="s">
        <v>538</v>
      </c>
      <c r="E227" s="313">
        <v>1</v>
      </c>
      <c r="F227" s="314">
        <v>45488.466666666667</v>
      </c>
      <c r="G227" s="313">
        <v>1</v>
      </c>
      <c r="H227" s="313">
        <v>51.374099999999999</v>
      </c>
      <c r="I227" s="313">
        <v>11.9519</v>
      </c>
      <c r="J227" s="313">
        <v>-23.793019000000001</v>
      </c>
      <c r="K227" s="313">
        <v>-22.240244000000001</v>
      </c>
      <c r="L227" s="313">
        <v>1010.13</v>
      </c>
      <c r="M227" s="313">
        <v>67.999782999999994</v>
      </c>
      <c r="N227" s="313">
        <v>11251.6801</v>
      </c>
      <c r="O227" s="313">
        <v>11251.6801</v>
      </c>
      <c r="P227" s="315">
        <v>1991.4906800000001</v>
      </c>
      <c r="Q227" s="302" t="s">
        <v>12</v>
      </c>
      <c r="R227" s="315" t="s">
        <v>539</v>
      </c>
      <c r="S227" s="315">
        <v>10</v>
      </c>
      <c r="T227" s="315">
        <v>5</v>
      </c>
      <c r="U227" s="315">
        <v>0.7</v>
      </c>
      <c r="V227" s="315">
        <v>0.7</v>
      </c>
      <c r="W227" s="315">
        <v>0.7</v>
      </c>
      <c r="X227" s="313">
        <v>2000</v>
      </c>
      <c r="Y227" s="313" t="s">
        <v>540</v>
      </c>
      <c r="Z227" s="313">
        <v>0.2</v>
      </c>
      <c r="AA227" s="313" t="s">
        <v>541</v>
      </c>
      <c r="AB227" s="313" t="s">
        <v>542</v>
      </c>
      <c r="AC227" s="313">
        <v>220</v>
      </c>
      <c r="AD227" s="158"/>
      <c r="AE227" s="188"/>
    </row>
    <row r="228" spans="1:31" ht="15.75">
      <c r="A228" s="313" t="s">
        <v>676</v>
      </c>
      <c r="B228" s="313" t="s">
        <v>537</v>
      </c>
      <c r="C228" s="313"/>
      <c r="D228" s="313" t="s">
        <v>538</v>
      </c>
      <c r="E228" s="313">
        <v>1</v>
      </c>
      <c r="F228" s="314">
        <v>45488.470138888886</v>
      </c>
      <c r="G228" s="313">
        <v>1</v>
      </c>
      <c r="H228" s="313">
        <v>51.380699999999997</v>
      </c>
      <c r="I228" s="313">
        <v>11.025499999999999</v>
      </c>
      <c r="J228" s="313">
        <v>-23.782219000000001</v>
      </c>
      <c r="K228" s="313">
        <v>-22.162506</v>
      </c>
      <c r="L228" s="313">
        <v>1001.92</v>
      </c>
      <c r="M228" s="313">
        <v>67.500105000000005</v>
      </c>
      <c r="N228" s="313">
        <v>11247.2227</v>
      </c>
      <c r="O228" s="313">
        <v>11247.2227</v>
      </c>
      <c r="P228" s="315">
        <v>1990.7038500000001</v>
      </c>
      <c r="Q228" s="302" t="s">
        <v>12</v>
      </c>
      <c r="R228" s="315" t="s">
        <v>539</v>
      </c>
      <c r="S228" s="315">
        <v>10</v>
      </c>
      <c r="T228" s="315">
        <v>5</v>
      </c>
      <c r="U228" s="315">
        <v>0.7</v>
      </c>
      <c r="V228" s="315">
        <v>0.7</v>
      </c>
      <c r="W228" s="315">
        <v>0.7</v>
      </c>
      <c r="X228" s="313">
        <v>2000</v>
      </c>
      <c r="Y228" s="313" t="s">
        <v>540</v>
      </c>
      <c r="Z228" s="313">
        <v>0.2</v>
      </c>
      <c r="AA228" s="313" t="s">
        <v>541</v>
      </c>
      <c r="AB228" s="313" t="s">
        <v>542</v>
      </c>
      <c r="AC228" s="313">
        <v>220</v>
      </c>
      <c r="AD228" s="158"/>
      <c r="AE228" s="188"/>
    </row>
    <row r="229" spans="1:31" ht="15.75">
      <c r="A229" s="313" t="s">
        <v>563</v>
      </c>
      <c r="B229" s="313" t="s">
        <v>537</v>
      </c>
      <c r="C229" s="313"/>
      <c r="D229" s="313" t="s">
        <v>538</v>
      </c>
      <c r="E229" s="313">
        <v>1</v>
      </c>
      <c r="F229" s="314">
        <v>45488.472222222219</v>
      </c>
      <c r="G229" s="313">
        <v>1</v>
      </c>
      <c r="H229" s="313">
        <v>51.377400000000002</v>
      </c>
      <c r="I229" s="313">
        <v>9.9962</v>
      </c>
      <c r="J229" s="313">
        <v>-23.769024999999999</v>
      </c>
      <c r="K229" s="313">
        <v>-22.170175</v>
      </c>
      <c r="L229" s="313">
        <v>991.96799999999996</v>
      </c>
      <c r="M229" s="313">
        <v>66.499986000000007</v>
      </c>
      <c r="N229" s="313">
        <v>11253.8578</v>
      </c>
      <c r="O229" s="313">
        <v>11253.8578</v>
      </c>
      <c r="P229" s="315">
        <v>1991.87508</v>
      </c>
      <c r="Q229" s="302" t="s">
        <v>12</v>
      </c>
      <c r="R229" s="315" t="s">
        <v>539</v>
      </c>
      <c r="S229" s="315">
        <v>10</v>
      </c>
      <c r="T229" s="315">
        <v>5</v>
      </c>
      <c r="U229" s="315">
        <v>0.7</v>
      </c>
      <c r="V229" s="315">
        <v>0.7</v>
      </c>
      <c r="W229" s="315">
        <v>0.7</v>
      </c>
      <c r="X229" s="313">
        <v>2000</v>
      </c>
      <c r="Y229" s="313" t="s">
        <v>540</v>
      </c>
      <c r="Z229" s="313">
        <v>0.2</v>
      </c>
      <c r="AA229" s="313" t="s">
        <v>541</v>
      </c>
      <c r="AB229" s="313" t="s">
        <v>542</v>
      </c>
      <c r="AC229" s="313">
        <v>220</v>
      </c>
      <c r="AD229" s="158"/>
      <c r="AE229" s="188"/>
    </row>
    <row r="230" spans="1:31" ht="15.75">
      <c r="A230" s="313" t="s">
        <v>725</v>
      </c>
      <c r="B230" s="313" t="s">
        <v>551</v>
      </c>
      <c r="C230" s="313" t="s">
        <v>726</v>
      </c>
      <c r="D230" s="313" t="s">
        <v>538</v>
      </c>
      <c r="E230" s="313">
        <v>0.8</v>
      </c>
      <c r="F230" s="314">
        <v>45488.476388888892</v>
      </c>
      <c r="G230" s="313">
        <v>1</v>
      </c>
      <c r="H230" s="313">
        <v>51.380699999999997</v>
      </c>
      <c r="I230" s="313">
        <v>9.6077100000000009</v>
      </c>
      <c r="J230" s="313">
        <v>-23.897511999999999</v>
      </c>
      <c r="K230" s="313">
        <v>-22.904993999999999</v>
      </c>
      <c r="L230" s="313">
        <v>997.90800000000002</v>
      </c>
      <c r="M230" s="313">
        <v>71.000176999999994</v>
      </c>
      <c r="N230" s="313">
        <v>9158.6921899999998</v>
      </c>
      <c r="O230" s="313">
        <v>9226.2083700000003</v>
      </c>
      <c r="P230" s="315">
        <v>2070.3456999999999</v>
      </c>
      <c r="Q230" s="302" t="s">
        <v>12</v>
      </c>
      <c r="R230" s="315" t="s">
        <v>553</v>
      </c>
      <c r="S230" s="315">
        <v>10</v>
      </c>
      <c r="T230" s="315">
        <v>5</v>
      </c>
      <c r="U230" s="315">
        <v>0.7</v>
      </c>
      <c r="V230" s="315">
        <v>0.7</v>
      </c>
      <c r="W230" s="315">
        <v>0.7</v>
      </c>
      <c r="X230" s="313">
        <v>2000</v>
      </c>
      <c r="Y230" s="313" t="s">
        <v>540</v>
      </c>
      <c r="Z230" s="313">
        <v>0.2</v>
      </c>
      <c r="AA230" s="313" t="s">
        <v>541</v>
      </c>
      <c r="AB230" s="313" t="s">
        <v>542</v>
      </c>
      <c r="AC230" s="313">
        <v>220</v>
      </c>
      <c r="AD230" s="158"/>
      <c r="AE230" s="188"/>
    </row>
    <row r="231" spans="1:31" ht="15.75">
      <c r="A231" s="313" t="s">
        <v>727</v>
      </c>
      <c r="B231" s="313" t="s">
        <v>551</v>
      </c>
      <c r="C231" s="313" t="s">
        <v>726</v>
      </c>
      <c r="D231" s="313" t="s">
        <v>538</v>
      </c>
      <c r="E231" s="313">
        <v>0.8</v>
      </c>
      <c r="F231" s="314">
        <v>45488.479166666664</v>
      </c>
      <c r="G231" s="313">
        <v>1</v>
      </c>
      <c r="H231" s="313">
        <v>51.374099999999999</v>
      </c>
      <c r="I231" s="313">
        <v>9.2475500000000004</v>
      </c>
      <c r="J231" s="313">
        <v>-23.974550000000001</v>
      </c>
      <c r="K231" s="313">
        <v>-22.854081000000001</v>
      </c>
      <c r="L231" s="313">
        <v>1015.25</v>
      </c>
      <c r="M231" s="313">
        <v>69.500063999999995</v>
      </c>
      <c r="N231" s="313">
        <v>9237.1403900000005</v>
      </c>
      <c r="O231" s="313">
        <v>9226.2083700000003</v>
      </c>
      <c r="P231" s="315">
        <v>2070.3456999999999</v>
      </c>
      <c r="Q231" s="302" t="s">
        <v>12</v>
      </c>
      <c r="R231" s="315" t="s">
        <v>553</v>
      </c>
      <c r="S231" s="315">
        <v>10</v>
      </c>
      <c r="T231" s="315">
        <v>5</v>
      </c>
      <c r="U231" s="315">
        <v>0.7</v>
      </c>
      <c r="V231" s="315">
        <v>0.7</v>
      </c>
      <c r="W231" s="315">
        <v>0.7</v>
      </c>
      <c r="X231" s="313">
        <v>2000</v>
      </c>
      <c r="Y231" s="313" t="s">
        <v>540</v>
      </c>
      <c r="Z231" s="313">
        <v>0.2</v>
      </c>
      <c r="AA231" s="313" t="s">
        <v>541</v>
      </c>
      <c r="AB231" s="313" t="s">
        <v>542</v>
      </c>
      <c r="AC231" s="313">
        <v>220</v>
      </c>
      <c r="AD231" s="158"/>
      <c r="AE231" s="188"/>
    </row>
    <row r="232" spans="1:31" ht="15.75">
      <c r="A232" s="313" t="s">
        <v>728</v>
      </c>
      <c r="B232" s="313" t="s">
        <v>551</v>
      </c>
      <c r="C232" s="313" t="s">
        <v>726</v>
      </c>
      <c r="D232" s="313" t="s">
        <v>538</v>
      </c>
      <c r="E232" s="313">
        <v>0.8</v>
      </c>
      <c r="F232" s="314">
        <v>45488.481944444444</v>
      </c>
      <c r="G232" s="313">
        <v>1</v>
      </c>
      <c r="H232" s="313">
        <v>51.370800000000003</v>
      </c>
      <c r="I232" s="313">
        <v>9.0330399999999997</v>
      </c>
      <c r="J232" s="313">
        <v>-23.910269</v>
      </c>
      <c r="K232" s="313">
        <v>-22.375924999999999</v>
      </c>
      <c r="L232" s="313">
        <v>1001.87</v>
      </c>
      <c r="M232" s="313">
        <v>61.499389999999998</v>
      </c>
      <c r="N232" s="313">
        <v>9207.0506999999998</v>
      </c>
      <c r="O232" s="313">
        <v>9226.2083700000003</v>
      </c>
      <c r="P232" s="315">
        <v>2070.3456999999999</v>
      </c>
      <c r="Q232" s="302" t="s">
        <v>12</v>
      </c>
      <c r="R232" s="315" t="s">
        <v>553</v>
      </c>
      <c r="S232" s="315">
        <v>10</v>
      </c>
      <c r="T232" s="315">
        <v>5</v>
      </c>
      <c r="U232" s="315">
        <v>0.7</v>
      </c>
      <c r="V232" s="315">
        <v>0.7</v>
      </c>
      <c r="W232" s="315">
        <v>0.7</v>
      </c>
      <c r="X232" s="313">
        <v>2000</v>
      </c>
      <c r="Y232" s="313" t="s">
        <v>540</v>
      </c>
      <c r="Z232" s="313">
        <v>0.2</v>
      </c>
      <c r="AA232" s="313" t="s">
        <v>541</v>
      </c>
      <c r="AB232" s="313" t="s">
        <v>542</v>
      </c>
      <c r="AC232" s="313">
        <v>220</v>
      </c>
      <c r="AD232" s="158"/>
      <c r="AE232" s="188"/>
    </row>
    <row r="233" spans="1:31" ht="15.75">
      <c r="A233" s="313" t="s">
        <v>729</v>
      </c>
      <c r="B233" s="313" t="s">
        <v>551</v>
      </c>
      <c r="C233" s="313" t="s">
        <v>726</v>
      </c>
      <c r="D233" s="313" t="s">
        <v>538</v>
      </c>
      <c r="E233" s="313">
        <v>0.8</v>
      </c>
      <c r="F233" s="314">
        <v>45488.484722222223</v>
      </c>
      <c r="G233" s="313">
        <v>1</v>
      </c>
      <c r="H233" s="313">
        <v>51.377400000000002</v>
      </c>
      <c r="I233" s="313">
        <v>8.8480600000000003</v>
      </c>
      <c r="J233" s="313">
        <v>-23.895455999999999</v>
      </c>
      <c r="K233" s="313">
        <v>-22.800469</v>
      </c>
      <c r="L233" s="313">
        <v>990.81200000000001</v>
      </c>
      <c r="M233" s="313">
        <v>72.500951000000001</v>
      </c>
      <c r="N233" s="313">
        <v>9232.2431099999994</v>
      </c>
      <c r="O233" s="313">
        <v>9226.2083700000003</v>
      </c>
      <c r="P233" s="315">
        <v>2070.3456999999999</v>
      </c>
      <c r="Q233" s="302" t="s">
        <v>12</v>
      </c>
      <c r="R233" s="315" t="s">
        <v>539</v>
      </c>
      <c r="S233" s="315">
        <v>10</v>
      </c>
      <c r="T233" s="315">
        <v>5</v>
      </c>
      <c r="U233" s="315">
        <v>0.7</v>
      </c>
      <c r="V233" s="315">
        <v>0.7</v>
      </c>
      <c r="W233" s="315">
        <v>0.7</v>
      </c>
      <c r="X233" s="313">
        <v>2000</v>
      </c>
      <c r="Y233" s="313" t="s">
        <v>540</v>
      </c>
      <c r="Z233" s="313">
        <v>0.2</v>
      </c>
      <c r="AA233" s="313" t="s">
        <v>541</v>
      </c>
      <c r="AB233" s="313" t="s">
        <v>542</v>
      </c>
      <c r="AC233" s="313">
        <v>220</v>
      </c>
      <c r="AD233" s="158"/>
      <c r="AE233" s="188"/>
    </row>
    <row r="234" spans="1:31" ht="15.75">
      <c r="A234" s="313" t="s">
        <v>730</v>
      </c>
      <c r="B234" s="313" t="s">
        <v>551</v>
      </c>
      <c r="C234" s="313" t="s">
        <v>726</v>
      </c>
      <c r="D234" s="313" t="s">
        <v>538</v>
      </c>
      <c r="E234" s="313">
        <v>0.8</v>
      </c>
      <c r="F234" s="314">
        <v>45488.487500000003</v>
      </c>
      <c r="G234" s="313">
        <v>1</v>
      </c>
      <c r="H234" s="313">
        <v>51.377400000000002</v>
      </c>
      <c r="I234" s="313">
        <v>8.8339300000000005</v>
      </c>
      <c r="J234" s="313">
        <v>-24.013506</v>
      </c>
      <c r="K234" s="313">
        <v>-22.717462000000001</v>
      </c>
      <c r="L234" s="313">
        <v>1009.46</v>
      </c>
      <c r="M234" s="313">
        <v>64.998991000000004</v>
      </c>
      <c r="N234" s="313">
        <v>9220.1736199999996</v>
      </c>
      <c r="O234" s="313">
        <v>9226.2083700000003</v>
      </c>
      <c r="P234" s="315">
        <v>2070.3456999999999</v>
      </c>
      <c r="Q234" s="302" t="s">
        <v>12</v>
      </c>
      <c r="R234" s="315" t="s">
        <v>539</v>
      </c>
      <c r="S234" s="315">
        <v>10</v>
      </c>
      <c r="T234" s="315">
        <v>5</v>
      </c>
      <c r="U234" s="315">
        <v>0.7</v>
      </c>
      <c r="V234" s="315">
        <v>0.7</v>
      </c>
      <c r="W234" s="315">
        <v>0.7</v>
      </c>
      <c r="X234" s="313">
        <v>2000</v>
      </c>
      <c r="Y234" s="313" t="s">
        <v>540</v>
      </c>
      <c r="Z234" s="313">
        <v>0.2</v>
      </c>
      <c r="AA234" s="313" t="s">
        <v>541</v>
      </c>
      <c r="AB234" s="313" t="s">
        <v>542</v>
      </c>
      <c r="AC234" s="313">
        <v>220</v>
      </c>
      <c r="AD234" s="158"/>
      <c r="AE234" s="188"/>
    </row>
    <row r="235" spans="1:31" ht="15.75">
      <c r="A235" s="316" t="s">
        <v>731</v>
      </c>
      <c r="B235" s="316" t="s">
        <v>558</v>
      </c>
      <c r="C235" s="316" t="s">
        <v>726</v>
      </c>
      <c r="D235" s="316" t="s">
        <v>538</v>
      </c>
      <c r="E235" s="316">
        <v>1</v>
      </c>
      <c r="F235" s="317">
        <v>45488.490277777775</v>
      </c>
      <c r="G235" s="316">
        <v>1</v>
      </c>
      <c r="H235" s="316">
        <v>51.377400000000002</v>
      </c>
      <c r="I235" s="316">
        <v>8.7275799999999997</v>
      </c>
      <c r="J235" s="316">
        <v>-23.993106000000001</v>
      </c>
      <c r="K235" s="316">
        <v>-22.499811999999999</v>
      </c>
      <c r="L235" s="316">
        <v>1066.31</v>
      </c>
      <c r="M235" s="316">
        <v>70.000665999999995</v>
      </c>
      <c r="N235" s="316">
        <v>11561.2269</v>
      </c>
      <c r="O235" s="316">
        <v>11569.896199999999</v>
      </c>
      <c r="P235" s="318">
        <v>2070.3456999999999</v>
      </c>
      <c r="Q235" s="302" t="s">
        <v>12</v>
      </c>
      <c r="R235" s="318" t="s">
        <v>539</v>
      </c>
      <c r="S235" s="315">
        <v>10</v>
      </c>
      <c r="T235" s="315">
        <v>5</v>
      </c>
      <c r="U235" s="315">
        <v>0.7</v>
      </c>
      <c r="V235" s="315">
        <v>0.7</v>
      </c>
      <c r="W235" s="315">
        <v>0.7</v>
      </c>
      <c r="X235" s="313">
        <v>2000</v>
      </c>
      <c r="Y235" s="313" t="s">
        <v>540</v>
      </c>
      <c r="Z235" s="313">
        <v>0.2</v>
      </c>
      <c r="AA235" s="313" t="s">
        <v>541</v>
      </c>
      <c r="AB235" s="313" t="s">
        <v>542</v>
      </c>
      <c r="AC235" s="313">
        <v>220</v>
      </c>
      <c r="AD235" s="158"/>
      <c r="AE235" s="188"/>
    </row>
    <row r="236" spans="1:31" ht="15.75">
      <c r="A236" s="313" t="s">
        <v>732</v>
      </c>
      <c r="B236" s="313" t="s">
        <v>558</v>
      </c>
      <c r="C236" s="313" t="s">
        <v>726</v>
      </c>
      <c r="D236" s="313" t="s">
        <v>538</v>
      </c>
      <c r="E236" s="313">
        <v>1</v>
      </c>
      <c r="F236" s="314">
        <v>45488.493055555555</v>
      </c>
      <c r="G236" s="313">
        <v>1</v>
      </c>
      <c r="H236" s="313">
        <v>51.377400000000002</v>
      </c>
      <c r="I236" s="313">
        <v>8.6817499999999992</v>
      </c>
      <c r="J236" s="313">
        <v>-24.040524999999999</v>
      </c>
      <c r="K236" s="313">
        <v>-22.666644000000002</v>
      </c>
      <c r="L236" s="313">
        <v>1068.81</v>
      </c>
      <c r="M236" s="313">
        <v>70.500361999999996</v>
      </c>
      <c r="N236" s="313">
        <v>11578.565399999999</v>
      </c>
      <c r="O236" s="313">
        <v>11569.896199999999</v>
      </c>
      <c r="P236" s="315">
        <v>2070.3456999999999</v>
      </c>
      <c r="Q236" s="302" t="s">
        <v>12</v>
      </c>
      <c r="R236" s="315" t="s">
        <v>539</v>
      </c>
      <c r="S236" s="315">
        <v>10</v>
      </c>
      <c r="T236" s="315">
        <v>5</v>
      </c>
      <c r="U236" s="315">
        <v>0.7</v>
      </c>
      <c r="V236" s="315">
        <v>0.7</v>
      </c>
      <c r="W236" s="315">
        <v>0.7</v>
      </c>
      <c r="X236" s="313">
        <v>2000</v>
      </c>
      <c r="Y236" s="313" t="s">
        <v>540</v>
      </c>
      <c r="Z236" s="313">
        <v>0.2</v>
      </c>
      <c r="AA236" s="313" t="s">
        <v>541</v>
      </c>
      <c r="AB236" s="313" t="s">
        <v>542</v>
      </c>
      <c r="AC236" s="313">
        <v>220</v>
      </c>
      <c r="AD236" s="158"/>
      <c r="AE236" s="188"/>
    </row>
    <row r="237" spans="1:31" ht="15.75">
      <c r="A237" s="313" t="s">
        <v>733</v>
      </c>
      <c r="B237" s="313" t="s">
        <v>561</v>
      </c>
      <c r="C237" s="313" t="s">
        <v>726</v>
      </c>
      <c r="D237" s="313" t="s">
        <v>538</v>
      </c>
      <c r="E237" s="313">
        <v>1.2</v>
      </c>
      <c r="F237" s="314">
        <v>45488.495833333334</v>
      </c>
      <c r="G237" s="313">
        <v>1</v>
      </c>
      <c r="H237" s="313">
        <v>51.374099999999999</v>
      </c>
      <c r="I237" s="313">
        <v>8.6573700000000002</v>
      </c>
      <c r="J237" s="313">
        <v>-23.963194000000001</v>
      </c>
      <c r="K237" s="313">
        <v>-22.451381000000001</v>
      </c>
      <c r="L237" s="313">
        <v>1092.02</v>
      </c>
      <c r="M237" s="313">
        <v>73.499857000000006</v>
      </c>
      <c r="N237" s="313">
        <v>13907.9478</v>
      </c>
      <c r="O237" s="313">
        <v>13916.0108</v>
      </c>
      <c r="P237" s="315">
        <v>2070.3456999999999</v>
      </c>
      <c r="Q237" s="302" t="s">
        <v>12</v>
      </c>
      <c r="R237" s="315" t="s">
        <v>539</v>
      </c>
      <c r="S237" s="315">
        <v>10</v>
      </c>
      <c r="T237" s="315">
        <v>5</v>
      </c>
      <c r="U237" s="315">
        <v>0.7</v>
      </c>
      <c r="V237" s="315">
        <v>0.7</v>
      </c>
      <c r="W237" s="315">
        <v>0.7</v>
      </c>
      <c r="X237" s="313">
        <v>2000</v>
      </c>
      <c r="Y237" s="313" t="s">
        <v>540</v>
      </c>
      <c r="Z237" s="313">
        <v>0.2</v>
      </c>
      <c r="AA237" s="313" t="s">
        <v>541</v>
      </c>
      <c r="AB237" s="313" t="s">
        <v>542</v>
      </c>
      <c r="AC237" s="313">
        <v>220</v>
      </c>
      <c r="AD237" s="158"/>
      <c r="AE237" s="188"/>
    </row>
    <row r="238" spans="1:31" ht="15.75">
      <c r="A238" s="313" t="s">
        <v>734</v>
      </c>
      <c r="B238" s="313" t="s">
        <v>561</v>
      </c>
      <c r="C238" s="313" t="s">
        <v>726</v>
      </c>
      <c r="D238" s="313" t="s">
        <v>538</v>
      </c>
      <c r="E238" s="313">
        <v>1.2</v>
      </c>
      <c r="F238" s="314">
        <v>45488.498611111114</v>
      </c>
      <c r="G238" s="313">
        <v>1</v>
      </c>
      <c r="H238" s="313">
        <v>51.374099999999999</v>
      </c>
      <c r="I238" s="313">
        <v>8.5945499999999999</v>
      </c>
      <c r="J238" s="313">
        <v>-24.011825000000002</v>
      </c>
      <c r="K238" s="313">
        <v>-22.258880999999999</v>
      </c>
      <c r="L238" s="313">
        <v>1130.55</v>
      </c>
      <c r="M238" s="313">
        <v>72.501427000000007</v>
      </c>
      <c r="N238" s="313">
        <v>13924.073700000001</v>
      </c>
      <c r="O238" s="313">
        <v>13916.0108</v>
      </c>
      <c r="P238" s="315">
        <v>2070.3456999999999</v>
      </c>
      <c r="Q238" s="302" t="s">
        <v>12</v>
      </c>
      <c r="R238" s="315" t="s">
        <v>539</v>
      </c>
      <c r="S238" s="315">
        <v>10</v>
      </c>
      <c r="T238" s="315">
        <v>5</v>
      </c>
      <c r="U238" s="315">
        <v>0.7</v>
      </c>
      <c r="V238" s="315">
        <v>0.7</v>
      </c>
      <c r="W238" s="315">
        <v>0.7</v>
      </c>
      <c r="X238" s="313">
        <v>2000</v>
      </c>
      <c r="Y238" s="313" t="s">
        <v>540</v>
      </c>
      <c r="Z238" s="313">
        <v>0.2</v>
      </c>
      <c r="AA238" s="313" t="s">
        <v>541</v>
      </c>
      <c r="AB238" s="313" t="s">
        <v>542</v>
      </c>
      <c r="AC238" s="313">
        <v>220</v>
      </c>
      <c r="AD238" s="158"/>
      <c r="AE238" s="188"/>
    </row>
    <row r="239" spans="1:31" ht="15.75">
      <c r="A239" s="313" t="s">
        <v>570</v>
      </c>
      <c r="B239" s="313">
        <v>2</v>
      </c>
      <c r="C239" s="313">
        <v>300</v>
      </c>
      <c r="D239" s="313" t="s">
        <v>564</v>
      </c>
      <c r="E239" s="313">
        <v>1</v>
      </c>
      <c r="F239" s="314">
        <v>45488.502083333333</v>
      </c>
      <c r="G239" s="313">
        <v>1</v>
      </c>
      <c r="H239" s="313">
        <v>51.377400000000002</v>
      </c>
      <c r="I239" s="313">
        <v>8.5074100000000001</v>
      </c>
      <c r="J239" s="313">
        <v>-23.962581</v>
      </c>
      <c r="K239" s="313">
        <v>-22.404488000000001</v>
      </c>
      <c r="L239" s="313">
        <v>1111.01</v>
      </c>
      <c r="M239" s="313">
        <v>67.000283999999994</v>
      </c>
      <c r="N239" s="313">
        <v>11802.2765</v>
      </c>
      <c r="O239" s="313">
        <v>11790.7214</v>
      </c>
      <c r="P239" s="315">
        <v>2109.19679</v>
      </c>
      <c r="Q239" s="302" t="s">
        <v>12</v>
      </c>
      <c r="R239" s="315" t="s">
        <v>539</v>
      </c>
      <c r="S239" s="315">
        <v>10</v>
      </c>
      <c r="T239" s="315">
        <v>5</v>
      </c>
      <c r="U239" s="315">
        <v>0.7</v>
      </c>
      <c r="V239" s="315">
        <v>0.7</v>
      </c>
      <c r="W239" s="315">
        <v>0.7</v>
      </c>
      <c r="X239" s="313">
        <v>2000</v>
      </c>
      <c r="Y239" s="313" t="s">
        <v>540</v>
      </c>
      <c r="Z239" s="313">
        <v>0.2</v>
      </c>
      <c r="AA239" s="313" t="s">
        <v>541</v>
      </c>
      <c r="AB239" s="313" t="s">
        <v>542</v>
      </c>
      <c r="AC239" s="313">
        <v>220</v>
      </c>
      <c r="AD239" s="158"/>
      <c r="AE239" s="188"/>
    </row>
    <row r="240" spans="1:31" ht="15.75">
      <c r="A240" s="313" t="s">
        <v>572</v>
      </c>
      <c r="B240" s="313">
        <v>2</v>
      </c>
      <c r="C240" s="313">
        <v>300</v>
      </c>
      <c r="D240" s="313" t="s">
        <v>564</v>
      </c>
      <c r="E240" s="313">
        <v>1</v>
      </c>
      <c r="F240" s="314">
        <v>45488.504861111112</v>
      </c>
      <c r="G240" s="313">
        <v>1</v>
      </c>
      <c r="H240" s="313">
        <v>51.370800000000003</v>
      </c>
      <c r="I240" s="313">
        <v>8.5236300000000007</v>
      </c>
      <c r="J240" s="313">
        <v>-23.906386999999999</v>
      </c>
      <c r="K240" s="313">
        <v>-21.783525000000001</v>
      </c>
      <c r="L240" s="313">
        <v>1104.9000000000001</v>
      </c>
      <c r="M240" s="313">
        <v>63.000022000000001</v>
      </c>
      <c r="N240" s="313">
        <v>11779.166300000001</v>
      </c>
      <c r="O240" s="313">
        <v>11790.7214</v>
      </c>
      <c r="P240" s="315">
        <v>2109.19679</v>
      </c>
      <c r="Q240" s="302" t="s">
        <v>12</v>
      </c>
      <c r="R240" s="315" t="s">
        <v>539</v>
      </c>
      <c r="S240" s="315">
        <v>10</v>
      </c>
      <c r="T240" s="315">
        <v>5</v>
      </c>
      <c r="U240" s="315">
        <v>0.7</v>
      </c>
      <c r="V240" s="315">
        <v>0.7</v>
      </c>
      <c r="W240" s="315">
        <v>0.7</v>
      </c>
      <c r="X240" s="313">
        <v>2000</v>
      </c>
      <c r="Y240" s="313" t="s">
        <v>540</v>
      </c>
      <c r="Z240" s="313">
        <v>0.2</v>
      </c>
      <c r="AA240" s="313" t="s">
        <v>541</v>
      </c>
      <c r="AB240" s="313" t="s">
        <v>542</v>
      </c>
      <c r="AC240" s="313">
        <v>220</v>
      </c>
      <c r="AD240" s="158"/>
      <c r="AE240" s="188"/>
    </row>
    <row r="241" spans="1:31" ht="15.75">
      <c r="A241" s="313" t="s">
        <v>574</v>
      </c>
      <c r="B241" s="313">
        <v>3</v>
      </c>
      <c r="C241" s="313">
        <v>301</v>
      </c>
      <c r="D241" s="313" t="s">
        <v>568</v>
      </c>
      <c r="E241" s="313">
        <v>1</v>
      </c>
      <c r="F241" s="314">
        <v>45488.508333333331</v>
      </c>
      <c r="G241" s="313">
        <v>1</v>
      </c>
      <c r="H241" s="313">
        <v>51.377400000000002</v>
      </c>
      <c r="I241" s="313">
        <v>8.4401399999999995</v>
      </c>
      <c r="J241" s="313">
        <v>-24.006412000000001</v>
      </c>
      <c r="K241" s="313">
        <v>-22.136762000000001</v>
      </c>
      <c r="L241" s="313">
        <v>1108.6400000000001</v>
      </c>
      <c r="M241" s="313">
        <v>63.999496999999998</v>
      </c>
      <c r="N241" s="313">
        <v>11776.374100000001</v>
      </c>
      <c r="O241" s="313">
        <v>11812.9948</v>
      </c>
      <c r="P241" s="315">
        <v>2113.1298900000002</v>
      </c>
      <c r="Q241" s="302" t="s">
        <v>12</v>
      </c>
      <c r="R241" s="315" t="s">
        <v>553</v>
      </c>
      <c r="S241" s="315">
        <v>10</v>
      </c>
      <c r="T241" s="315">
        <v>5</v>
      </c>
      <c r="U241" s="315">
        <v>0.7</v>
      </c>
      <c r="V241" s="315">
        <v>0.7</v>
      </c>
      <c r="W241" s="315">
        <v>0.7</v>
      </c>
      <c r="X241" s="313">
        <v>2000</v>
      </c>
      <c r="Y241" s="313" t="s">
        <v>540</v>
      </c>
      <c r="Z241" s="313">
        <v>0.2</v>
      </c>
      <c r="AA241" s="313" t="s">
        <v>541</v>
      </c>
      <c r="AB241" s="313" t="s">
        <v>542</v>
      </c>
      <c r="AC241" s="313">
        <v>220</v>
      </c>
      <c r="AD241" s="158"/>
      <c r="AE241" s="188"/>
    </row>
    <row r="242" spans="1:31" ht="15.75">
      <c r="A242" s="313" t="s">
        <v>576</v>
      </c>
      <c r="B242" s="313">
        <v>3</v>
      </c>
      <c r="C242" s="313">
        <v>301</v>
      </c>
      <c r="D242" s="313" t="s">
        <v>568</v>
      </c>
      <c r="E242" s="313">
        <v>1</v>
      </c>
      <c r="F242" s="314">
        <v>45488.511111111111</v>
      </c>
      <c r="G242" s="313">
        <v>1</v>
      </c>
      <c r="H242" s="313">
        <v>51.374099999999999</v>
      </c>
      <c r="I242" s="313">
        <v>8.3463100000000008</v>
      </c>
      <c r="J242" s="313">
        <v>-23.984237</v>
      </c>
      <c r="K242" s="313">
        <v>-22.503143999999999</v>
      </c>
      <c r="L242" s="313">
        <v>1099.8900000000001</v>
      </c>
      <c r="M242" s="313">
        <v>69.999984999999995</v>
      </c>
      <c r="N242" s="313">
        <v>11811.9004</v>
      </c>
      <c r="O242" s="313">
        <v>11812.9948</v>
      </c>
      <c r="P242" s="315">
        <v>2113.1298900000002</v>
      </c>
      <c r="Q242" s="302" t="s">
        <v>12</v>
      </c>
      <c r="R242" s="315" t="s">
        <v>539</v>
      </c>
      <c r="S242" s="315">
        <v>10</v>
      </c>
      <c r="T242" s="315">
        <v>5</v>
      </c>
      <c r="U242" s="315">
        <v>0.7</v>
      </c>
      <c r="V242" s="315">
        <v>0.7</v>
      </c>
      <c r="W242" s="315">
        <v>0.7</v>
      </c>
      <c r="X242" s="313">
        <v>2000</v>
      </c>
      <c r="Y242" s="313" t="s">
        <v>540</v>
      </c>
      <c r="Z242" s="313">
        <v>0.2</v>
      </c>
      <c r="AA242" s="313" t="s">
        <v>541</v>
      </c>
      <c r="AB242" s="313" t="s">
        <v>542</v>
      </c>
      <c r="AC242" s="313">
        <v>220</v>
      </c>
      <c r="AD242" s="158"/>
      <c r="AE242" s="188"/>
    </row>
    <row r="243" spans="1:31" ht="15.75">
      <c r="A243" s="313" t="s">
        <v>577</v>
      </c>
      <c r="B243" s="313">
        <v>3</v>
      </c>
      <c r="C243" s="313">
        <v>301</v>
      </c>
      <c r="D243" s="313" t="s">
        <v>568</v>
      </c>
      <c r="E243" s="313">
        <v>1</v>
      </c>
      <c r="F243" s="314">
        <v>45488.513888888891</v>
      </c>
      <c r="G243" s="313">
        <v>1</v>
      </c>
      <c r="H243" s="313">
        <v>51.380699999999997</v>
      </c>
      <c r="I243" s="313">
        <v>8.4379399999999993</v>
      </c>
      <c r="J243" s="313">
        <v>-23.974737000000001</v>
      </c>
      <c r="K243" s="313">
        <v>-22.753693999999999</v>
      </c>
      <c r="L243" s="313">
        <v>1103.45</v>
      </c>
      <c r="M243" s="313">
        <v>75.999651</v>
      </c>
      <c r="N243" s="313">
        <v>11814.0893</v>
      </c>
      <c r="O243" s="313">
        <v>11812.9948</v>
      </c>
      <c r="P243" s="315">
        <v>2113.1298900000002</v>
      </c>
      <c r="Q243" s="302" t="s">
        <v>12</v>
      </c>
      <c r="R243" s="315" t="s">
        <v>539</v>
      </c>
      <c r="S243" s="315">
        <v>10</v>
      </c>
      <c r="T243" s="315">
        <v>5</v>
      </c>
      <c r="U243" s="315">
        <v>0.7</v>
      </c>
      <c r="V243" s="315">
        <v>0.7</v>
      </c>
      <c r="W243" s="315">
        <v>0.7</v>
      </c>
      <c r="X243" s="313">
        <v>2000</v>
      </c>
      <c r="Y243" s="313" t="s">
        <v>540</v>
      </c>
      <c r="Z243" s="313">
        <v>0.2</v>
      </c>
      <c r="AA243" s="313" t="s">
        <v>541</v>
      </c>
      <c r="AB243" s="313" t="s">
        <v>542</v>
      </c>
      <c r="AC243" s="313">
        <v>220</v>
      </c>
      <c r="AD243" s="158"/>
      <c r="AE243" s="188"/>
    </row>
    <row r="244" spans="1:31" ht="15.75">
      <c r="A244" s="313" t="s">
        <v>578</v>
      </c>
      <c r="B244" s="313">
        <v>4</v>
      </c>
      <c r="C244" s="313">
        <v>196</v>
      </c>
      <c r="D244" s="313" t="s">
        <v>571</v>
      </c>
      <c r="E244" s="313">
        <v>1</v>
      </c>
      <c r="F244" s="314">
        <v>45488.517361111109</v>
      </c>
      <c r="G244" s="313">
        <v>1</v>
      </c>
      <c r="H244" s="313">
        <v>51.374099999999999</v>
      </c>
      <c r="I244" s="313">
        <v>8.3122699999999998</v>
      </c>
      <c r="J244" s="313">
        <v>-23.892244000000002</v>
      </c>
      <c r="K244" s="313">
        <v>-22.355713000000002</v>
      </c>
      <c r="L244" s="313">
        <v>1110.6099999999999</v>
      </c>
      <c r="M244" s="313">
        <v>67.499815999999996</v>
      </c>
      <c r="N244" s="313">
        <v>11810.257600000001</v>
      </c>
      <c r="O244" s="313">
        <v>11807.4038</v>
      </c>
      <c r="P244" s="315">
        <v>2112.1426099999999</v>
      </c>
      <c r="Q244" s="302" t="s">
        <v>12</v>
      </c>
      <c r="R244" s="315" t="s">
        <v>539</v>
      </c>
      <c r="S244" s="315">
        <v>10</v>
      </c>
      <c r="T244" s="315">
        <v>5</v>
      </c>
      <c r="U244" s="315">
        <v>0.7</v>
      </c>
      <c r="V244" s="315">
        <v>0.7</v>
      </c>
      <c r="W244" s="315">
        <v>0.7</v>
      </c>
      <c r="X244" s="313">
        <v>2000</v>
      </c>
      <c r="Y244" s="313" t="s">
        <v>540</v>
      </c>
      <c r="Z244" s="313">
        <v>0.2</v>
      </c>
      <c r="AA244" s="313" t="s">
        <v>541</v>
      </c>
      <c r="AB244" s="313" t="s">
        <v>542</v>
      </c>
      <c r="AC244" s="313">
        <v>220</v>
      </c>
      <c r="AD244" s="158"/>
      <c r="AE244" s="188"/>
    </row>
    <row r="245" spans="1:31" ht="15.75">
      <c r="A245" s="313" t="s">
        <v>580</v>
      </c>
      <c r="B245" s="313">
        <v>4</v>
      </c>
      <c r="C245" s="313">
        <v>196</v>
      </c>
      <c r="D245" s="313" t="s">
        <v>571</v>
      </c>
      <c r="E245" s="313">
        <v>1</v>
      </c>
      <c r="F245" s="314">
        <v>45488.520138888889</v>
      </c>
      <c r="G245" s="313">
        <v>1</v>
      </c>
      <c r="H245" s="313">
        <v>51.384</v>
      </c>
      <c r="I245" s="313">
        <v>8.4046099999999999</v>
      </c>
      <c r="J245" s="313">
        <v>-23.904668999999998</v>
      </c>
      <c r="K245" s="313">
        <v>-22.323594</v>
      </c>
      <c r="L245" s="313">
        <v>1095.51</v>
      </c>
      <c r="M245" s="313">
        <v>67.500011999999998</v>
      </c>
      <c r="N245" s="313">
        <v>11804.55</v>
      </c>
      <c r="O245" s="313">
        <v>11807.4038</v>
      </c>
      <c r="P245" s="315">
        <v>2112.1426099999999</v>
      </c>
      <c r="Q245" s="302" t="s">
        <v>12</v>
      </c>
      <c r="R245" s="315" t="s">
        <v>539</v>
      </c>
      <c r="S245" s="315">
        <v>10</v>
      </c>
      <c r="T245" s="315">
        <v>5</v>
      </c>
      <c r="U245" s="315">
        <v>0.7</v>
      </c>
      <c r="V245" s="315">
        <v>0.7</v>
      </c>
      <c r="W245" s="315">
        <v>0.7</v>
      </c>
      <c r="X245" s="313">
        <v>2000</v>
      </c>
      <c r="Y245" s="313" t="s">
        <v>540</v>
      </c>
      <c r="Z245" s="313">
        <v>0.2</v>
      </c>
      <c r="AA245" s="313" t="s">
        <v>541</v>
      </c>
      <c r="AB245" s="313" t="s">
        <v>542</v>
      </c>
      <c r="AC245" s="313">
        <v>220</v>
      </c>
      <c r="AD245" s="158"/>
      <c r="AE245" s="188"/>
    </row>
    <row r="246" spans="1:31" ht="15.75">
      <c r="A246" s="313" t="s">
        <v>581</v>
      </c>
      <c r="B246" s="313">
        <v>5</v>
      </c>
      <c r="C246" s="319">
        <v>197</v>
      </c>
      <c r="D246" s="316" t="s">
        <v>575</v>
      </c>
      <c r="E246" s="313">
        <v>1</v>
      </c>
      <c r="F246" s="314">
        <v>45488.523611111108</v>
      </c>
      <c r="G246" s="313">
        <v>1</v>
      </c>
      <c r="H246" s="313">
        <v>51.377400000000002</v>
      </c>
      <c r="I246" s="313">
        <v>8.3029799999999998</v>
      </c>
      <c r="J246" s="313">
        <v>-23.941875</v>
      </c>
      <c r="K246" s="313">
        <v>-22.236394000000001</v>
      </c>
      <c r="L246" s="313">
        <v>1088.1300000000001</v>
      </c>
      <c r="M246" s="313">
        <v>67.501373999999998</v>
      </c>
      <c r="N246" s="313">
        <v>11783.478800000001</v>
      </c>
      <c r="O246" s="313">
        <v>11783.411599999999</v>
      </c>
      <c r="P246" s="315">
        <v>2107.9059999999999</v>
      </c>
      <c r="Q246" s="302" t="s">
        <v>12</v>
      </c>
      <c r="R246" s="315" t="s">
        <v>539</v>
      </c>
      <c r="S246" s="315">
        <v>10</v>
      </c>
      <c r="T246" s="315">
        <v>5</v>
      </c>
      <c r="U246" s="315">
        <v>0.7</v>
      </c>
      <c r="V246" s="315">
        <v>0.7</v>
      </c>
      <c r="W246" s="315">
        <v>0.7</v>
      </c>
      <c r="X246" s="313">
        <v>2000</v>
      </c>
      <c r="Y246" s="313" t="s">
        <v>540</v>
      </c>
      <c r="Z246" s="313">
        <v>0.2</v>
      </c>
      <c r="AA246" s="313" t="s">
        <v>541</v>
      </c>
      <c r="AB246" s="313" t="s">
        <v>542</v>
      </c>
      <c r="AC246" s="313">
        <v>220</v>
      </c>
      <c r="AD246" s="158"/>
      <c r="AE246" s="188"/>
    </row>
    <row r="247" spans="1:31" ht="15.75">
      <c r="A247" s="313" t="s">
        <v>583</v>
      </c>
      <c r="B247" s="313">
        <v>5</v>
      </c>
      <c r="C247" s="319">
        <v>197</v>
      </c>
      <c r="D247" s="316" t="s">
        <v>575</v>
      </c>
      <c r="E247" s="313">
        <v>1</v>
      </c>
      <c r="F247" s="314">
        <v>45488.526388888888</v>
      </c>
      <c r="G247" s="313">
        <v>1</v>
      </c>
      <c r="H247" s="313">
        <v>51.377400000000002</v>
      </c>
      <c r="I247" s="313">
        <v>8.2244100000000007</v>
      </c>
      <c r="J247" s="313">
        <v>-23.991724999999999</v>
      </c>
      <c r="K247" s="313">
        <v>-22.084031</v>
      </c>
      <c r="L247" s="313">
        <v>1095.25</v>
      </c>
      <c r="M247" s="313">
        <v>64.999733000000006</v>
      </c>
      <c r="N247" s="313">
        <v>11783.344300000001</v>
      </c>
      <c r="O247" s="313">
        <v>11783.411599999999</v>
      </c>
      <c r="P247" s="315">
        <v>2107.9059999999999</v>
      </c>
      <c r="Q247" s="302" t="s">
        <v>12</v>
      </c>
      <c r="R247" s="315" t="s">
        <v>539</v>
      </c>
      <c r="S247" s="315">
        <v>10</v>
      </c>
      <c r="T247" s="315">
        <v>5</v>
      </c>
      <c r="U247" s="315">
        <v>0.7</v>
      </c>
      <c r="V247" s="315">
        <v>0.7</v>
      </c>
      <c r="W247" s="315">
        <v>0.7</v>
      </c>
      <c r="X247" s="313">
        <v>2000</v>
      </c>
      <c r="Y247" s="313" t="s">
        <v>540</v>
      </c>
      <c r="Z247" s="313">
        <v>0.2</v>
      </c>
      <c r="AA247" s="313" t="s">
        <v>541</v>
      </c>
      <c r="AB247" s="313" t="s">
        <v>542</v>
      </c>
      <c r="AC247" s="313">
        <v>220</v>
      </c>
      <c r="AD247" s="158"/>
      <c r="AE247" s="188"/>
    </row>
    <row r="248" spans="1:31" ht="15.75">
      <c r="A248" s="313" t="s">
        <v>584</v>
      </c>
      <c r="B248" s="313">
        <v>6</v>
      </c>
      <c r="C248" s="313">
        <v>339</v>
      </c>
      <c r="D248" s="313" t="s">
        <v>579</v>
      </c>
      <c r="E248" s="313">
        <v>1</v>
      </c>
      <c r="F248" s="314">
        <v>45488.529861111114</v>
      </c>
      <c r="G248" s="313">
        <v>1</v>
      </c>
      <c r="H248" s="313">
        <v>51.377400000000002</v>
      </c>
      <c r="I248" s="313">
        <v>8.1718899999999994</v>
      </c>
      <c r="J248" s="313">
        <v>-24.015263000000001</v>
      </c>
      <c r="K248" s="313">
        <v>-22.602074999999999</v>
      </c>
      <c r="L248" s="313">
        <v>1104.0899999999999</v>
      </c>
      <c r="M248" s="313">
        <v>69.500831000000005</v>
      </c>
      <c r="N248" s="313">
        <v>11719.100200000001</v>
      </c>
      <c r="O248" s="313">
        <v>0</v>
      </c>
      <c r="P248" s="315">
        <v>0</v>
      </c>
      <c r="Q248" s="302" t="s">
        <v>280</v>
      </c>
      <c r="R248" s="315" t="s">
        <v>607</v>
      </c>
      <c r="S248" s="315">
        <v>10</v>
      </c>
      <c r="T248" s="315">
        <v>5</v>
      </c>
      <c r="U248" s="315">
        <v>0.7</v>
      </c>
      <c r="V248" s="315">
        <v>0.7</v>
      </c>
      <c r="W248" s="315">
        <v>0.7</v>
      </c>
      <c r="X248" s="313">
        <v>2000</v>
      </c>
      <c r="Y248" s="313" t="s">
        <v>540</v>
      </c>
      <c r="Z248" s="313">
        <v>0.2</v>
      </c>
      <c r="AA248" s="313" t="s">
        <v>541</v>
      </c>
      <c r="AB248" s="313" t="s">
        <v>542</v>
      </c>
      <c r="AC248" s="313">
        <v>220</v>
      </c>
      <c r="AD248" s="158"/>
      <c r="AE248" s="188"/>
    </row>
    <row r="249" spans="1:31" ht="15.75">
      <c r="A249" s="313" t="s">
        <v>586</v>
      </c>
      <c r="B249" s="313">
        <v>6</v>
      </c>
      <c r="C249" s="313">
        <v>339</v>
      </c>
      <c r="D249" s="313" t="s">
        <v>579</v>
      </c>
      <c r="E249" s="313">
        <v>1</v>
      </c>
      <c r="F249" s="314">
        <v>45488.532638888886</v>
      </c>
      <c r="G249" s="313">
        <v>1</v>
      </c>
      <c r="H249" s="313">
        <v>51.370800000000003</v>
      </c>
      <c r="I249" s="313">
        <v>8.2368900000000007</v>
      </c>
      <c r="J249" s="313">
        <v>-23.930025000000001</v>
      </c>
      <c r="K249" s="313">
        <v>-22.753793999999999</v>
      </c>
      <c r="L249" s="313">
        <v>1106.25</v>
      </c>
      <c r="M249" s="313">
        <v>76.001876999999993</v>
      </c>
      <c r="N249" s="313">
        <v>11770.904</v>
      </c>
      <c r="O249" s="313">
        <v>0</v>
      </c>
      <c r="P249" s="315">
        <v>0</v>
      </c>
      <c r="Q249" s="302" t="s">
        <v>280</v>
      </c>
      <c r="R249" s="315" t="s">
        <v>607</v>
      </c>
      <c r="S249" s="315">
        <v>10</v>
      </c>
      <c r="T249" s="315">
        <v>5</v>
      </c>
      <c r="U249" s="315">
        <v>0.7</v>
      </c>
      <c r="V249" s="315">
        <v>0.7</v>
      </c>
      <c r="W249" s="315">
        <v>0.7</v>
      </c>
      <c r="X249" s="313">
        <v>2000</v>
      </c>
      <c r="Y249" s="313" t="s">
        <v>540</v>
      </c>
      <c r="Z249" s="313">
        <v>0.2</v>
      </c>
      <c r="AA249" s="313" t="s">
        <v>541</v>
      </c>
      <c r="AB249" s="313" t="s">
        <v>542</v>
      </c>
      <c r="AC249" s="313">
        <v>220</v>
      </c>
      <c r="AD249" s="158"/>
      <c r="AE249" s="188"/>
    </row>
    <row r="250" spans="1:31" ht="15.75">
      <c r="A250" s="313" t="s">
        <v>587</v>
      </c>
      <c r="B250" s="313">
        <v>6</v>
      </c>
      <c r="C250" s="313">
        <v>339</v>
      </c>
      <c r="D250" s="313" t="s">
        <v>579</v>
      </c>
      <c r="E250" s="313">
        <v>1</v>
      </c>
      <c r="F250" s="314">
        <v>45488.535416666666</v>
      </c>
      <c r="G250" s="313">
        <v>1</v>
      </c>
      <c r="H250" s="313">
        <v>51.380699999999997</v>
      </c>
      <c r="I250" s="313">
        <v>8.3184799999999992</v>
      </c>
      <c r="J250" s="313">
        <v>-23.882462</v>
      </c>
      <c r="K250" s="313">
        <v>-22.02985</v>
      </c>
      <c r="L250" s="313">
        <v>1097.6500000000001</v>
      </c>
      <c r="M250" s="313">
        <v>65.000202000000002</v>
      </c>
      <c r="N250" s="313">
        <v>11691.027</v>
      </c>
      <c r="O250" s="313">
        <v>0</v>
      </c>
      <c r="P250" s="315">
        <v>0</v>
      </c>
      <c r="Q250" s="302" t="s">
        <v>280</v>
      </c>
      <c r="R250" s="315" t="s">
        <v>607</v>
      </c>
      <c r="S250" s="315">
        <v>10</v>
      </c>
      <c r="T250" s="315">
        <v>5</v>
      </c>
      <c r="U250" s="315">
        <v>0.7</v>
      </c>
      <c r="V250" s="315">
        <v>0.7</v>
      </c>
      <c r="W250" s="315">
        <v>0.7</v>
      </c>
      <c r="X250" s="313">
        <v>2000</v>
      </c>
      <c r="Y250" s="313" t="s">
        <v>540</v>
      </c>
      <c r="Z250" s="313">
        <v>0.2</v>
      </c>
      <c r="AA250" s="313" t="s">
        <v>541</v>
      </c>
      <c r="AB250" s="313" t="s">
        <v>542</v>
      </c>
      <c r="AC250" s="313">
        <v>220</v>
      </c>
      <c r="AD250" s="158"/>
      <c r="AE250" s="188"/>
    </row>
    <row r="251" spans="1:31" ht="15.75">
      <c r="A251" s="313" t="s">
        <v>735</v>
      </c>
      <c r="B251" s="313">
        <v>6</v>
      </c>
      <c r="C251" s="313">
        <v>339</v>
      </c>
      <c r="D251" s="313" t="s">
        <v>579</v>
      </c>
      <c r="E251" s="313">
        <v>1</v>
      </c>
      <c r="F251" s="314">
        <v>45488.538194444445</v>
      </c>
      <c r="G251" s="313">
        <v>1</v>
      </c>
      <c r="H251" s="313">
        <v>51.377400000000002</v>
      </c>
      <c r="I251" s="313">
        <v>8.1647599999999994</v>
      </c>
      <c r="J251" s="313">
        <v>-23.799844</v>
      </c>
      <c r="K251" s="313">
        <v>-22.271730999999999</v>
      </c>
      <c r="L251" s="313">
        <v>1074.1199999999999</v>
      </c>
      <c r="M251" s="313">
        <v>68.500069999999994</v>
      </c>
      <c r="N251" s="313">
        <v>11742.173000000001</v>
      </c>
      <c r="O251" s="313">
        <v>0</v>
      </c>
      <c r="P251" s="315">
        <v>0</v>
      </c>
      <c r="Q251" s="302" t="s">
        <v>280</v>
      </c>
      <c r="R251" s="315" t="s">
        <v>607</v>
      </c>
      <c r="S251" s="315">
        <v>10</v>
      </c>
      <c r="T251" s="315">
        <v>5</v>
      </c>
      <c r="U251" s="315">
        <v>0.7</v>
      </c>
      <c r="V251" s="315">
        <v>0.7</v>
      </c>
      <c r="W251" s="315">
        <v>0.7</v>
      </c>
      <c r="X251" s="313">
        <v>2000</v>
      </c>
      <c r="Y251" s="313" t="s">
        <v>540</v>
      </c>
      <c r="Z251" s="313">
        <v>0.2</v>
      </c>
      <c r="AA251" s="313" t="s">
        <v>541</v>
      </c>
      <c r="AB251" s="313" t="s">
        <v>542</v>
      </c>
      <c r="AC251" s="313">
        <v>220</v>
      </c>
      <c r="AD251" s="158"/>
      <c r="AE251" s="188"/>
    </row>
    <row r="252" spans="1:31" ht="15.75">
      <c r="A252" s="313" t="s">
        <v>736</v>
      </c>
      <c r="B252" s="313">
        <v>6</v>
      </c>
      <c r="C252" s="313">
        <v>339</v>
      </c>
      <c r="D252" s="313" t="s">
        <v>579</v>
      </c>
      <c r="E252" s="313">
        <v>1</v>
      </c>
      <c r="F252" s="314">
        <v>45488.540972222225</v>
      </c>
      <c r="G252" s="313">
        <v>1</v>
      </c>
      <c r="H252" s="313">
        <v>51.374099999999999</v>
      </c>
      <c r="I252" s="313">
        <v>7.8631099999999998</v>
      </c>
      <c r="J252" s="313">
        <v>-23.884763</v>
      </c>
      <c r="K252" s="313">
        <v>-21.989274999999999</v>
      </c>
      <c r="L252" s="313">
        <v>1090.19</v>
      </c>
      <c r="M252" s="313">
        <v>65.497878</v>
      </c>
      <c r="N252" s="313">
        <v>11776.9416</v>
      </c>
      <c r="O252" s="313">
        <v>0</v>
      </c>
      <c r="P252" s="315">
        <v>0</v>
      </c>
      <c r="Q252" s="320" t="s">
        <v>280</v>
      </c>
      <c r="R252" s="315" t="s">
        <v>607</v>
      </c>
      <c r="S252" s="315">
        <v>10</v>
      </c>
      <c r="T252" s="315">
        <v>5</v>
      </c>
      <c r="U252" s="315">
        <v>0.7</v>
      </c>
      <c r="V252" s="315">
        <v>0.7</v>
      </c>
      <c r="W252" s="315">
        <v>0.7</v>
      </c>
      <c r="X252" s="313">
        <v>2000</v>
      </c>
      <c r="Y252" s="313" t="s">
        <v>540</v>
      </c>
      <c r="Z252" s="313">
        <v>0.2</v>
      </c>
      <c r="AA252" s="313" t="s">
        <v>541</v>
      </c>
      <c r="AB252" s="313" t="s">
        <v>542</v>
      </c>
      <c r="AC252" s="313">
        <v>220</v>
      </c>
      <c r="AD252" s="158"/>
      <c r="AE252" s="188"/>
    </row>
    <row r="253" spans="1:31" ht="15.75">
      <c r="A253" s="313" t="s">
        <v>737</v>
      </c>
      <c r="B253" s="313">
        <v>6</v>
      </c>
      <c r="C253" s="313">
        <v>339</v>
      </c>
      <c r="D253" s="313" t="s">
        <v>579</v>
      </c>
      <c r="E253" s="313">
        <v>1</v>
      </c>
      <c r="F253" s="314">
        <v>45488.543749999997</v>
      </c>
      <c r="G253" s="313">
        <v>2</v>
      </c>
      <c r="H253" s="313">
        <v>51.380699999999997</v>
      </c>
      <c r="I253" s="313">
        <v>7.7813699999999999</v>
      </c>
      <c r="J253" s="313">
        <v>-23.829469</v>
      </c>
      <c r="K253" s="313">
        <v>-22.565799999999999</v>
      </c>
      <c r="L253" s="313">
        <v>1048.56</v>
      </c>
      <c r="M253" s="313">
        <v>74.999234000000001</v>
      </c>
      <c r="N253" s="313">
        <v>11771.6414</v>
      </c>
      <c r="O253" s="313">
        <v>11763.3393</v>
      </c>
      <c r="P253" s="315">
        <v>2104.3615799999998</v>
      </c>
      <c r="Q253" s="302" t="s">
        <v>12</v>
      </c>
      <c r="R253" s="315" t="s">
        <v>539</v>
      </c>
      <c r="S253" s="315">
        <v>10</v>
      </c>
      <c r="T253" s="315">
        <v>5</v>
      </c>
      <c r="U253" s="315">
        <v>0.7</v>
      </c>
      <c r="V253" s="315">
        <v>0.7</v>
      </c>
      <c r="W253" s="315">
        <v>0.7</v>
      </c>
      <c r="X253" s="313">
        <v>2000</v>
      </c>
      <c r="Y253" s="313" t="s">
        <v>540</v>
      </c>
      <c r="Z253" s="313">
        <v>0.2</v>
      </c>
      <c r="AA253" s="313" t="s">
        <v>541</v>
      </c>
      <c r="AB253" s="313" t="s">
        <v>542</v>
      </c>
      <c r="AC253" s="313">
        <v>220</v>
      </c>
      <c r="AD253" s="158"/>
      <c r="AE253" s="188"/>
    </row>
    <row r="254" spans="1:31" ht="15.75">
      <c r="A254" s="313" t="s">
        <v>738</v>
      </c>
      <c r="B254" s="313">
        <v>6</v>
      </c>
      <c r="C254" s="313">
        <v>339</v>
      </c>
      <c r="D254" s="313" t="s">
        <v>579</v>
      </c>
      <c r="E254" s="313">
        <v>1</v>
      </c>
      <c r="F254" s="314">
        <v>45488.546527777777</v>
      </c>
      <c r="G254" s="313">
        <v>2</v>
      </c>
      <c r="H254" s="313">
        <v>51.374099999999999</v>
      </c>
      <c r="I254" s="313">
        <v>7.70275</v>
      </c>
      <c r="J254" s="313">
        <v>-23.770887999999999</v>
      </c>
      <c r="K254" s="313">
        <v>-22.254006</v>
      </c>
      <c r="L254" s="313">
        <v>1067.5</v>
      </c>
      <c r="M254" s="313">
        <v>68.998395000000002</v>
      </c>
      <c r="N254" s="313">
        <v>11755.037200000001</v>
      </c>
      <c r="O254" s="313">
        <v>11763.3393</v>
      </c>
      <c r="P254" s="315">
        <v>2104.3615799999998</v>
      </c>
      <c r="Q254" s="302" t="s">
        <v>12</v>
      </c>
      <c r="R254" s="315" t="s">
        <v>539</v>
      </c>
      <c r="S254" s="315">
        <v>10</v>
      </c>
      <c r="T254" s="315">
        <v>5</v>
      </c>
      <c r="U254" s="315">
        <v>0.7</v>
      </c>
      <c r="V254" s="315">
        <v>0.7</v>
      </c>
      <c r="W254" s="315">
        <v>0.7</v>
      </c>
      <c r="X254" s="313">
        <v>2000</v>
      </c>
      <c r="Y254" s="313" t="s">
        <v>540</v>
      </c>
      <c r="Z254" s="313">
        <v>0.2</v>
      </c>
      <c r="AA254" s="313" t="s">
        <v>541</v>
      </c>
      <c r="AB254" s="313" t="s">
        <v>542</v>
      </c>
      <c r="AC254" s="313">
        <v>220</v>
      </c>
      <c r="AD254" s="158"/>
      <c r="AE254" s="188"/>
    </row>
    <row r="255" spans="1:31" ht="15.75">
      <c r="A255" s="313" t="s">
        <v>588</v>
      </c>
      <c r="B255" s="313">
        <v>7</v>
      </c>
      <c r="C255" s="313">
        <v>340</v>
      </c>
      <c r="D255" s="313" t="s">
        <v>582</v>
      </c>
      <c r="E255" s="313">
        <v>1</v>
      </c>
      <c r="F255" s="314">
        <v>45488.55</v>
      </c>
      <c r="G255" s="313">
        <v>1</v>
      </c>
      <c r="H255" s="313">
        <v>51.380699999999997</v>
      </c>
      <c r="I255" s="313">
        <v>7.5419799999999997</v>
      </c>
      <c r="J255" s="313">
        <v>-23.873038000000001</v>
      </c>
      <c r="K255" s="313">
        <v>-22.412044000000002</v>
      </c>
      <c r="L255" s="313">
        <v>1075.1500000000001</v>
      </c>
      <c r="M255" s="313">
        <v>72.999233000000004</v>
      </c>
      <c r="N255" s="313">
        <v>11734.1787</v>
      </c>
      <c r="O255" s="313">
        <v>11761.186400000001</v>
      </c>
      <c r="P255" s="315">
        <v>2103.9814099999999</v>
      </c>
      <c r="Q255" s="302" t="s">
        <v>12</v>
      </c>
      <c r="R255" s="315" t="s">
        <v>553</v>
      </c>
      <c r="S255" s="315">
        <v>10</v>
      </c>
      <c r="T255" s="315">
        <v>5</v>
      </c>
      <c r="U255" s="315">
        <v>0.7</v>
      </c>
      <c r="V255" s="315">
        <v>0.7</v>
      </c>
      <c r="W255" s="315">
        <v>0.7</v>
      </c>
      <c r="X255" s="313">
        <v>2000</v>
      </c>
      <c r="Y255" s="313" t="s">
        <v>540</v>
      </c>
      <c r="Z255" s="313">
        <v>0.2</v>
      </c>
      <c r="AA255" s="313" t="s">
        <v>541</v>
      </c>
      <c r="AB255" s="313" t="s">
        <v>542</v>
      </c>
      <c r="AC255" s="313">
        <v>220</v>
      </c>
      <c r="AD255" s="158"/>
      <c r="AE255" s="188"/>
    </row>
    <row r="256" spans="1:31" ht="15.75">
      <c r="A256" s="313" t="s">
        <v>590</v>
      </c>
      <c r="B256" s="313">
        <v>7</v>
      </c>
      <c r="C256" s="313">
        <v>340</v>
      </c>
      <c r="D256" s="313" t="s">
        <v>582</v>
      </c>
      <c r="E256" s="313">
        <v>1</v>
      </c>
      <c r="F256" s="314">
        <v>45488.552777777775</v>
      </c>
      <c r="G256" s="313">
        <v>1</v>
      </c>
      <c r="H256" s="313">
        <v>51.377400000000002</v>
      </c>
      <c r="I256" s="313">
        <v>7.6653700000000002</v>
      </c>
      <c r="J256" s="313">
        <v>-23.914512999999999</v>
      </c>
      <c r="K256" s="313">
        <v>-22.460630999999999</v>
      </c>
      <c r="L256" s="313">
        <v>1075.3800000000001</v>
      </c>
      <c r="M256" s="313">
        <v>71.499678000000003</v>
      </c>
      <c r="N256" s="313">
        <v>11761.088299999999</v>
      </c>
      <c r="O256" s="313">
        <v>11761.186400000001</v>
      </c>
      <c r="P256" s="315">
        <v>2103.9814099999999</v>
      </c>
      <c r="Q256" s="302" t="s">
        <v>12</v>
      </c>
      <c r="R256" s="315" t="s">
        <v>539</v>
      </c>
      <c r="S256" s="315">
        <v>10</v>
      </c>
      <c r="T256" s="315">
        <v>5</v>
      </c>
      <c r="U256" s="315">
        <v>0.7</v>
      </c>
      <c r="V256" s="315">
        <v>0.7</v>
      </c>
      <c r="W256" s="315">
        <v>0.7</v>
      </c>
      <c r="X256" s="313">
        <v>2000</v>
      </c>
      <c r="Y256" s="313" t="s">
        <v>540</v>
      </c>
      <c r="Z256" s="313">
        <v>0.2</v>
      </c>
      <c r="AA256" s="313" t="s">
        <v>541</v>
      </c>
      <c r="AB256" s="313" t="s">
        <v>542</v>
      </c>
      <c r="AC256" s="313">
        <v>220</v>
      </c>
      <c r="AD256" s="158"/>
      <c r="AE256" s="188"/>
    </row>
    <row r="257" spans="1:31" ht="15.75">
      <c r="A257" s="313" t="s">
        <v>685</v>
      </c>
      <c r="B257" s="313">
        <v>7</v>
      </c>
      <c r="C257" s="313">
        <v>340</v>
      </c>
      <c r="D257" s="313" t="s">
        <v>582</v>
      </c>
      <c r="E257" s="313">
        <v>1</v>
      </c>
      <c r="F257" s="314">
        <v>45488.555555555555</v>
      </c>
      <c r="G257" s="313">
        <v>1</v>
      </c>
      <c r="H257" s="313">
        <v>51.377400000000002</v>
      </c>
      <c r="I257" s="313">
        <v>7.5501399999999999</v>
      </c>
      <c r="J257" s="313">
        <v>-23.913131</v>
      </c>
      <c r="K257" s="313">
        <v>-22.537156</v>
      </c>
      <c r="L257" s="313">
        <v>1071.7</v>
      </c>
      <c r="M257" s="313">
        <v>74.500843000000003</v>
      </c>
      <c r="N257" s="313">
        <v>11761.2844</v>
      </c>
      <c r="O257" s="313">
        <v>11761.186400000001</v>
      </c>
      <c r="P257" s="315">
        <v>2103.9814099999999</v>
      </c>
      <c r="Q257" s="302" t="s">
        <v>12</v>
      </c>
      <c r="R257" s="315" t="s">
        <v>539</v>
      </c>
      <c r="S257" s="315">
        <v>10</v>
      </c>
      <c r="T257" s="315">
        <v>5</v>
      </c>
      <c r="U257" s="315">
        <v>0.7</v>
      </c>
      <c r="V257" s="315">
        <v>0.7</v>
      </c>
      <c r="W257" s="315">
        <v>0.7</v>
      </c>
      <c r="X257" s="313">
        <v>2000</v>
      </c>
      <c r="Y257" s="313" t="s">
        <v>540</v>
      </c>
      <c r="Z257" s="313">
        <v>0.2</v>
      </c>
      <c r="AA257" s="313" t="s">
        <v>541</v>
      </c>
      <c r="AB257" s="313" t="s">
        <v>542</v>
      </c>
      <c r="AC257" s="313">
        <v>220</v>
      </c>
      <c r="AD257" s="158"/>
      <c r="AE257" s="188"/>
    </row>
    <row r="258" spans="1:31" ht="15.75">
      <c r="A258" s="313" t="s">
        <v>688</v>
      </c>
      <c r="B258" s="313">
        <v>8</v>
      </c>
      <c r="C258" s="313">
        <v>248</v>
      </c>
      <c r="D258" s="313" t="s">
        <v>585</v>
      </c>
      <c r="E258" s="313">
        <v>1</v>
      </c>
      <c r="F258" s="314">
        <v>45488.559027777781</v>
      </c>
      <c r="G258" s="313">
        <v>1</v>
      </c>
      <c r="H258" s="313">
        <v>51.377400000000002</v>
      </c>
      <c r="I258" s="313">
        <v>7.3964499999999997</v>
      </c>
      <c r="J258" s="313">
        <v>-23.85885</v>
      </c>
      <c r="K258" s="313">
        <v>-22.386680999999999</v>
      </c>
      <c r="L258" s="313">
        <v>1063.17</v>
      </c>
      <c r="M258" s="313">
        <v>72.000034999999997</v>
      </c>
      <c r="N258" s="313">
        <v>11675.4941</v>
      </c>
      <c r="O258" s="313">
        <v>11640.305</v>
      </c>
      <c r="P258" s="315">
        <v>2082.6358500000001</v>
      </c>
      <c r="Q258" s="302" t="s">
        <v>12</v>
      </c>
      <c r="R258" s="315" t="s">
        <v>553</v>
      </c>
      <c r="S258" s="315">
        <v>10</v>
      </c>
      <c r="T258" s="315">
        <v>5</v>
      </c>
      <c r="U258" s="315">
        <v>0.7</v>
      </c>
      <c r="V258" s="315">
        <v>0.7</v>
      </c>
      <c r="W258" s="315">
        <v>0.7</v>
      </c>
      <c r="X258" s="313">
        <v>2000</v>
      </c>
      <c r="Y258" s="313" t="s">
        <v>540</v>
      </c>
      <c r="Z258" s="313">
        <v>0.2</v>
      </c>
      <c r="AA258" s="313" t="s">
        <v>541</v>
      </c>
      <c r="AB258" s="313" t="s">
        <v>542</v>
      </c>
      <c r="AC258" s="313">
        <v>220</v>
      </c>
      <c r="AD258" s="158"/>
      <c r="AE258" s="188"/>
    </row>
    <row r="259" spans="1:31" ht="15.75">
      <c r="A259" s="313" t="s">
        <v>689</v>
      </c>
      <c r="B259" s="313">
        <v>8</v>
      </c>
      <c r="C259" s="313">
        <v>248</v>
      </c>
      <c r="D259" s="313" t="s">
        <v>585</v>
      </c>
      <c r="E259" s="313">
        <v>1</v>
      </c>
      <c r="F259" s="314">
        <v>45488.561805555553</v>
      </c>
      <c r="G259" s="313">
        <v>1</v>
      </c>
      <c r="H259" s="313">
        <v>51.380699999999997</v>
      </c>
      <c r="I259" s="313">
        <v>7.3708799999999997</v>
      </c>
      <c r="J259" s="313">
        <v>-23.986650000000001</v>
      </c>
      <c r="K259" s="313">
        <v>-22.551725000000001</v>
      </c>
      <c r="L259" s="313">
        <v>1066.73</v>
      </c>
      <c r="M259" s="313">
        <v>73.999544</v>
      </c>
      <c r="N259" s="313">
        <v>11641.3421</v>
      </c>
      <c r="O259" s="313">
        <v>11640.305</v>
      </c>
      <c r="P259" s="315">
        <v>2082.6358500000001</v>
      </c>
      <c r="Q259" s="302" t="s">
        <v>12</v>
      </c>
      <c r="R259" s="315" t="s">
        <v>539</v>
      </c>
      <c r="S259" s="315">
        <v>10</v>
      </c>
      <c r="T259" s="315">
        <v>5</v>
      </c>
      <c r="U259" s="315">
        <v>0.7</v>
      </c>
      <c r="V259" s="315">
        <v>0.7</v>
      </c>
      <c r="W259" s="315">
        <v>0.7</v>
      </c>
      <c r="X259" s="313">
        <v>2000</v>
      </c>
      <c r="Y259" s="313" t="s">
        <v>540</v>
      </c>
      <c r="Z259" s="313">
        <v>0.2</v>
      </c>
      <c r="AA259" s="313" t="s">
        <v>541</v>
      </c>
      <c r="AB259" s="313" t="s">
        <v>542</v>
      </c>
      <c r="AC259" s="313">
        <v>220</v>
      </c>
      <c r="AD259" s="158"/>
      <c r="AE259" s="188"/>
    </row>
    <row r="260" spans="1:31" ht="15.75">
      <c r="A260" s="313" t="s">
        <v>690</v>
      </c>
      <c r="B260" s="313">
        <v>8</v>
      </c>
      <c r="C260" s="313">
        <v>248</v>
      </c>
      <c r="D260" s="313" t="s">
        <v>585</v>
      </c>
      <c r="E260" s="313">
        <v>1</v>
      </c>
      <c r="F260" s="314">
        <v>45488.564583333333</v>
      </c>
      <c r="G260" s="313">
        <v>1</v>
      </c>
      <c r="H260" s="313">
        <v>51.380699999999997</v>
      </c>
      <c r="I260" s="313">
        <v>7.3744300000000003</v>
      </c>
      <c r="J260" s="313">
        <v>-23.917705999999999</v>
      </c>
      <c r="K260" s="313">
        <v>-22.426024999999999</v>
      </c>
      <c r="L260" s="313">
        <v>1047.47</v>
      </c>
      <c r="M260" s="313">
        <v>71.002211000000003</v>
      </c>
      <c r="N260" s="313">
        <v>11639.268</v>
      </c>
      <c r="O260" s="313">
        <v>11640.305</v>
      </c>
      <c r="P260" s="315">
        <v>2082.6358500000001</v>
      </c>
      <c r="Q260" s="302" t="s">
        <v>12</v>
      </c>
      <c r="R260" s="315" t="s">
        <v>539</v>
      </c>
      <c r="S260" s="315">
        <v>10</v>
      </c>
      <c r="T260" s="315">
        <v>5</v>
      </c>
      <c r="U260" s="315">
        <v>0.7</v>
      </c>
      <c r="V260" s="315">
        <v>0.7</v>
      </c>
      <c r="W260" s="315">
        <v>0.7</v>
      </c>
      <c r="X260" s="313">
        <v>2000</v>
      </c>
      <c r="Y260" s="313" t="s">
        <v>540</v>
      </c>
      <c r="Z260" s="313">
        <v>0.2</v>
      </c>
      <c r="AA260" s="313" t="s">
        <v>541</v>
      </c>
      <c r="AB260" s="313" t="s">
        <v>542</v>
      </c>
      <c r="AC260" s="313">
        <v>220</v>
      </c>
      <c r="AD260" s="158"/>
      <c r="AE260" s="188"/>
    </row>
    <row r="261" spans="1:31" ht="15.75">
      <c r="A261" s="313" t="s">
        <v>597</v>
      </c>
      <c r="B261" s="313">
        <v>9</v>
      </c>
      <c r="C261" s="313">
        <v>249</v>
      </c>
      <c r="D261" s="313" t="s">
        <v>589</v>
      </c>
      <c r="E261" s="313">
        <v>1</v>
      </c>
      <c r="F261" s="314">
        <v>45488.568055555559</v>
      </c>
      <c r="G261" s="313">
        <v>1</v>
      </c>
      <c r="H261" s="313">
        <v>51.380699999999997</v>
      </c>
      <c r="I261" s="313">
        <v>7.4822499999999996</v>
      </c>
      <c r="J261" s="313">
        <v>-23.936036999999999</v>
      </c>
      <c r="K261" s="313">
        <v>-22.491337999999999</v>
      </c>
      <c r="L261" s="313">
        <v>1074.3499999999999</v>
      </c>
      <c r="M261" s="313">
        <v>74.499562999999995</v>
      </c>
      <c r="N261" s="313">
        <v>11670.5275</v>
      </c>
      <c r="O261" s="313">
        <v>11676.134099999999</v>
      </c>
      <c r="P261" s="315">
        <v>2088.9626499999999</v>
      </c>
      <c r="Q261" s="302" t="s">
        <v>12</v>
      </c>
      <c r="R261" s="315" t="s">
        <v>553</v>
      </c>
      <c r="S261" s="315">
        <v>10</v>
      </c>
      <c r="T261" s="315">
        <v>5</v>
      </c>
      <c r="U261" s="315">
        <v>0.7</v>
      </c>
      <c r="V261" s="315">
        <v>0.7</v>
      </c>
      <c r="W261" s="315">
        <v>0.7</v>
      </c>
      <c r="X261" s="313">
        <v>2000</v>
      </c>
      <c r="Y261" s="313" t="s">
        <v>540</v>
      </c>
      <c r="Z261" s="313">
        <v>0.2</v>
      </c>
      <c r="AA261" s="313" t="s">
        <v>541</v>
      </c>
      <c r="AB261" s="313" t="s">
        <v>542</v>
      </c>
      <c r="AC261" s="313">
        <v>220</v>
      </c>
      <c r="AD261" s="158"/>
      <c r="AE261" s="188"/>
    </row>
    <row r="262" spans="1:31" ht="15.75">
      <c r="A262" s="313" t="s">
        <v>598</v>
      </c>
      <c r="B262" s="313">
        <v>9</v>
      </c>
      <c r="C262" s="313">
        <v>249</v>
      </c>
      <c r="D262" s="313" t="s">
        <v>589</v>
      </c>
      <c r="E262" s="313">
        <v>1</v>
      </c>
      <c r="F262" s="314">
        <v>45488.570833333331</v>
      </c>
      <c r="G262" s="313">
        <v>1</v>
      </c>
      <c r="H262" s="313">
        <v>51.374099999999999</v>
      </c>
      <c r="I262" s="313">
        <v>7.4002699999999999</v>
      </c>
      <c r="J262" s="313">
        <v>-23.860381</v>
      </c>
      <c r="K262" s="313">
        <v>-21.892918999999999</v>
      </c>
      <c r="L262" s="313">
        <v>1022.53</v>
      </c>
      <c r="M262" s="313">
        <v>65.500861999999998</v>
      </c>
      <c r="N262" s="313">
        <v>11575.7855</v>
      </c>
      <c r="O262" s="313">
        <v>11676.134099999999</v>
      </c>
      <c r="P262" s="315">
        <v>2088.9626499999999</v>
      </c>
      <c r="Q262" s="302" t="s">
        <v>12</v>
      </c>
      <c r="R262" s="315" t="s">
        <v>553</v>
      </c>
      <c r="S262" s="315">
        <v>10</v>
      </c>
      <c r="T262" s="315">
        <v>5</v>
      </c>
      <c r="U262" s="315">
        <v>0.7</v>
      </c>
      <c r="V262" s="315">
        <v>0.7</v>
      </c>
      <c r="W262" s="315">
        <v>0.7</v>
      </c>
      <c r="X262" s="313">
        <v>2000</v>
      </c>
      <c r="Y262" s="313" t="s">
        <v>540</v>
      </c>
      <c r="Z262" s="313">
        <v>0.2</v>
      </c>
      <c r="AA262" s="313" t="s">
        <v>541</v>
      </c>
      <c r="AB262" s="313" t="s">
        <v>542</v>
      </c>
      <c r="AC262" s="313">
        <v>220</v>
      </c>
      <c r="AD262" s="158"/>
      <c r="AE262" s="188"/>
    </row>
    <row r="263" spans="1:31" ht="15.75">
      <c r="A263" s="313" t="s">
        <v>739</v>
      </c>
      <c r="B263" s="313">
        <v>9</v>
      </c>
      <c r="C263" s="313">
        <v>249</v>
      </c>
      <c r="D263" s="313" t="s">
        <v>589</v>
      </c>
      <c r="E263" s="313">
        <v>1</v>
      </c>
      <c r="F263" s="314">
        <v>45488.573611111111</v>
      </c>
      <c r="G263" s="313">
        <v>1</v>
      </c>
      <c r="H263" s="313">
        <v>51.380699999999997</v>
      </c>
      <c r="I263" s="313">
        <v>7.3726099999999999</v>
      </c>
      <c r="J263" s="313">
        <v>-23.990713</v>
      </c>
      <c r="K263" s="313">
        <v>-22.472269000000001</v>
      </c>
      <c r="L263" s="313">
        <v>1080.8800000000001</v>
      </c>
      <c r="M263" s="313">
        <v>71.999494999999996</v>
      </c>
      <c r="N263" s="313">
        <v>11682.959800000001</v>
      </c>
      <c r="O263" s="313">
        <v>11676.134099999999</v>
      </c>
      <c r="P263" s="315">
        <v>2088.9626499999999</v>
      </c>
      <c r="Q263" s="302" t="s">
        <v>12</v>
      </c>
      <c r="R263" s="315" t="s">
        <v>539</v>
      </c>
      <c r="S263" s="315">
        <v>10</v>
      </c>
      <c r="T263" s="315">
        <v>5</v>
      </c>
      <c r="U263" s="315">
        <v>0.7</v>
      </c>
      <c r="V263" s="315">
        <v>0.7</v>
      </c>
      <c r="W263" s="315">
        <v>0.7</v>
      </c>
      <c r="X263" s="313">
        <v>2000</v>
      </c>
      <c r="Y263" s="313" t="s">
        <v>540</v>
      </c>
      <c r="Z263" s="313">
        <v>0.2</v>
      </c>
      <c r="AA263" s="313" t="s">
        <v>541</v>
      </c>
      <c r="AB263" s="313" t="s">
        <v>542</v>
      </c>
      <c r="AC263" s="313">
        <v>220</v>
      </c>
      <c r="AD263" s="158"/>
      <c r="AE263" s="188"/>
    </row>
    <row r="264" spans="1:31" ht="15.75">
      <c r="A264" s="313" t="s">
        <v>740</v>
      </c>
      <c r="B264" s="313">
        <v>9</v>
      </c>
      <c r="C264" s="313">
        <v>249</v>
      </c>
      <c r="D264" s="313" t="s">
        <v>589</v>
      </c>
      <c r="E264" s="313">
        <v>1</v>
      </c>
      <c r="F264" s="314">
        <v>45488.576388888891</v>
      </c>
      <c r="G264" s="313">
        <v>1</v>
      </c>
      <c r="H264" s="313">
        <v>51.380699999999997</v>
      </c>
      <c r="I264" s="313">
        <v>7.2583299999999999</v>
      </c>
      <c r="J264" s="313">
        <v>-23.956319000000001</v>
      </c>
      <c r="K264" s="313">
        <v>-21.7986</v>
      </c>
      <c r="L264" s="313">
        <v>1079.4100000000001</v>
      </c>
      <c r="M264" s="313">
        <v>66.500281000000001</v>
      </c>
      <c r="N264" s="313">
        <v>11669.3084</v>
      </c>
      <c r="O264" s="313">
        <v>11676.134099999999</v>
      </c>
      <c r="P264" s="315">
        <v>2088.9626499999999</v>
      </c>
      <c r="Q264" s="302" t="s">
        <v>12</v>
      </c>
      <c r="R264" s="315" t="s">
        <v>539</v>
      </c>
      <c r="S264" s="315">
        <v>10</v>
      </c>
      <c r="T264" s="315">
        <v>5</v>
      </c>
      <c r="U264" s="315">
        <v>0.7</v>
      </c>
      <c r="V264" s="315">
        <v>0.7</v>
      </c>
      <c r="W264" s="315">
        <v>0.7</v>
      </c>
      <c r="X264" s="313">
        <v>2000</v>
      </c>
      <c r="Y264" s="313" t="s">
        <v>540</v>
      </c>
      <c r="Z264" s="313">
        <v>0.2</v>
      </c>
      <c r="AA264" s="313" t="s">
        <v>541</v>
      </c>
      <c r="AB264" s="313" t="s">
        <v>542</v>
      </c>
      <c r="AC264" s="313">
        <v>220</v>
      </c>
      <c r="AD264" s="158"/>
      <c r="AE264" s="188"/>
    </row>
    <row r="265" spans="1:31" ht="15.75">
      <c r="A265" s="313" t="s">
        <v>741</v>
      </c>
      <c r="B265" s="313" t="s">
        <v>551</v>
      </c>
      <c r="C265" s="313" t="s">
        <v>726</v>
      </c>
      <c r="D265" s="313" t="s">
        <v>538</v>
      </c>
      <c r="E265" s="313">
        <v>0.8</v>
      </c>
      <c r="F265" s="314">
        <v>45488.580555555556</v>
      </c>
      <c r="G265" s="313">
        <v>1</v>
      </c>
      <c r="H265" s="313">
        <v>51.374099999999999</v>
      </c>
      <c r="I265" s="313">
        <v>7.0540900000000004</v>
      </c>
      <c r="J265" s="313">
        <v>-23.894175000000001</v>
      </c>
      <c r="K265" s="313">
        <v>-22.251031000000001</v>
      </c>
      <c r="L265" s="313">
        <v>1006.43</v>
      </c>
      <c r="M265" s="313">
        <v>64.499157999999994</v>
      </c>
      <c r="N265" s="313">
        <v>9213.5902499999993</v>
      </c>
      <c r="O265" s="313">
        <v>9212.7335700000003</v>
      </c>
      <c r="P265" s="315">
        <v>2070.3456999999999</v>
      </c>
      <c r="Q265" s="302" t="s">
        <v>12</v>
      </c>
      <c r="R265" s="315" t="s">
        <v>539</v>
      </c>
      <c r="S265" s="315">
        <v>10</v>
      </c>
      <c r="T265" s="315">
        <v>5</v>
      </c>
      <c r="U265" s="315">
        <v>0.7</v>
      </c>
      <c r="V265" s="315">
        <v>0.7</v>
      </c>
      <c r="W265" s="315">
        <v>0.7</v>
      </c>
      <c r="X265" s="313">
        <v>2000</v>
      </c>
      <c r="Y265" s="313" t="s">
        <v>540</v>
      </c>
      <c r="Z265" s="313">
        <v>0.2</v>
      </c>
      <c r="AA265" s="313" t="s">
        <v>541</v>
      </c>
      <c r="AB265" s="313" t="s">
        <v>542</v>
      </c>
      <c r="AC265" s="313">
        <v>220</v>
      </c>
      <c r="AD265" s="158"/>
      <c r="AE265" s="188"/>
    </row>
    <row r="266" spans="1:31" ht="15.75">
      <c r="A266" s="313" t="s">
        <v>742</v>
      </c>
      <c r="B266" s="313" t="s">
        <v>551</v>
      </c>
      <c r="C266" s="313" t="s">
        <v>726</v>
      </c>
      <c r="D266" s="313" t="s">
        <v>538</v>
      </c>
      <c r="E266" s="313">
        <v>0.8</v>
      </c>
      <c r="F266" s="314">
        <v>45488.582638888889</v>
      </c>
      <c r="G266" s="313">
        <v>1</v>
      </c>
      <c r="H266" s="313">
        <v>51.370800000000003</v>
      </c>
      <c r="I266" s="313">
        <v>7.1154000000000002</v>
      </c>
      <c r="J266" s="313">
        <v>-23.865525000000002</v>
      </c>
      <c r="K266" s="313">
        <v>-22.167656000000001</v>
      </c>
      <c r="L266" s="313">
        <v>987.58600000000001</v>
      </c>
      <c r="M266" s="313">
        <v>62.500070999999998</v>
      </c>
      <c r="N266" s="313">
        <v>9211.8768799999998</v>
      </c>
      <c r="O266" s="313">
        <v>9212.7335700000003</v>
      </c>
      <c r="P266" s="315">
        <v>2070.3456999999999</v>
      </c>
      <c r="Q266" s="302" t="s">
        <v>12</v>
      </c>
      <c r="R266" s="315" t="s">
        <v>539</v>
      </c>
      <c r="S266" s="315">
        <v>10</v>
      </c>
      <c r="T266" s="315">
        <v>5</v>
      </c>
      <c r="U266" s="315">
        <v>0.7</v>
      </c>
      <c r="V266" s="315">
        <v>0.7</v>
      </c>
      <c r="W266" s="315">
        <v>0.7</v>
      </c>
      <c r="X266" s="313">
        <v>2000</v>
      </c>
      <c r="Y266" s="313" t="s">
        <v>540</v>
      </c>
      <c r="Z266" s="313">
        <v>0.2</v>
      </c>
      <c r="AA266" s="313" t="s">
        <v>541</v>
      </c>
      <c r="AB266" s="313" t="s">
        <v>542</v>
      </c>
      <c r="AC266" s="313">
        <v>220</v>
      </c>
      <c r="AD266" s="158"/>
      <c r="AE266" s="188"/>
    </row>
    <row r="267" spans="1:31" ht="15.75">
      <c r="A267" s="316" t="s">
        <v>743</v>
      </c>
      <c r="B267" s="316" t="s">
        <v>558</v>
      </c>
      <c r="C267" s="316" t="s">
        <v>726</v>
      </c>
      <c r="D267" s="316" t="s">
        <v>538</v>
      </c>
      <c r="E267" s="316">
        <v>1</v>
      </c>
      <c r="F267" s="317">
        <v>45488.585416666669</v>
      </c>
      <c r="G267" s="316">
        <v>1</v>
      </c>
      <c r="H267" s="316">
        <v>51.380699999999997</v>
      </c>
      <c r="I267" s="316">
        <v>7.3060799999999997</v>
      </c>
      <c r="J267" s="316">
        <v>-23.839718999999999</v>
      </c>
      <c r="K267" s="316">
        <v>-22.44455</v>
      </c>
      <c r="L267" s="316">
        <v>1071.5999999999999</v>
      </c>
      <c r="M267" s="316">
        <v>72.999443999999997</v>
      </c>
      <c r="N267" s="316">
        <v>11580.171399999999</v>
      </c>
      <c r="O267" s="316">
        <v>11571.863600000001</v>
      </c>
      <c r="P267" s="318">
        <v>2070.3456999999999</v>
      </c>
      <c r="Q267" s="302" t="s">
        <v>12</v>
      </c>
      <c r="R267" s="315" t="s">
        <v>539</v>
      </c>
      <c r="S267" s="315">
        <v>10</v>
      </c>
      <c r="T267" s="315">
        <v>5</v>
      </c>
      <c r="U267" s="315">
        <v>0.7</v>
      </c>
      <c r="V267" s="315">
        <v>0.7</v>
      </c>
      <c r="W267" s="315">
        <v>0.7</v>
      </c>
      <c r="X267" s="313">
        <v>2000</v>
      </c>
      <c r="Y267" s="313" t="s">
        <v>540</v>
      </c>
      <c r="Z267" s="313">
        <v>0.2</v>
      </c>
      <c r="AA267" s="313" t="s">
        <v>541</v>
      </c>
      <c r="AB267" s="313" t="s">
        <v>542</v>
      </c>
      <c r="AC267" s="313">
        <v>220</v>
      </c>
      <c r="AD267" s="158"/>
      <c r="AE267" s="188"/>
    </row>
    <row r="268" spans="1:31" ht="15.75">
      <c r="A268" s="313" t="s">
        <v>744</v>
      </c>
      <c r="B268" s="313" t="s">
        <v>558</v>
      </c>
      <c r="C268" s="313" t="s">
        <v>726</v>
      </c>
      <c r="D268" s="313" t="s">
        <v>538</v>
      </c>
      <c r="E268" s="313">
        <v>1</v>
      </c>
      <c r="F268" s="314">
        <v>45488.588194444441</v>
      </c>
      <c r="G268" s="313">
        <v>1</v>
      </c>
      <c r="H268" s="313">
        <v>51.374099999999999</v>
      </c>
      <c r="I268" s="313">
        <v>7.9083899999999998</v>
      </c>
      <c r="J268" s="313">
        <v>-23.816794000000002</v>
      </c>
      <c r="K268" s="313">
        <v>-22.148375000000001</v>
      </c>
      <c r="L268" s="313">
        <v>1082.69</v>
      </c>
      <c r="M268" s="313">
        <v>65.999711000000005</v>
      </c>
      <c r="N268" s="313">
        <v>11563.555700000001</v>
      </c>
      <c r="O268" s="313">
        <v>11571.863600000001</v>
      </c>
      <c r="P268" s="315">
        <v>2070.3456999999999</v>
      </c>
      <c r="Q268" s="302" t="s">
        <v>12</v>
      </c>
      <c r="R268" s="315" t="s">
        <v>539</v>
      </c>
      <c r="S268" s="315">
        <v>10</v>
      </c>
      <c r="T268" s="315">
        <v>5</v>
      </c>
      <c r="U268" s="315">
        <v>0.7</v>
      </c>
      <c r="V268" s="315">
        <v>0.7</v>
      </c>
      <c r="W268" s="315">
        <v>0.7</v>
      </c>
      <c r="X268" s="313">
        <v>2000</v>
      </c>
      <c r="Y268" s="313" t="s">
        <v>540</v>
      </c>
      <c r="Z268" s="313">
        <v>0.2</v>
      </c>
      <c r="AA268" s="313" t="s">
        <v>541</v>
      </c>
      <c r="AB268" s="313" t="s">
        <v>542</v>
      </c>
      <c r="AC268" s="313">
        <v>220</v>
      </c>
      <c r="AD268" s="158"/>
      <c r="AE268" s="188"/>
    </row>
    <row r="269" spans="1:31" ht="15.75">
      <c r="A269" s="313" t="s">
        <v>745</v>
      </c>
      <c r="B269" s="313" t="s">
        <v>561</v>
      </c>
      <c r="C269" s="313" t="s">
        <v>726</v>
      </c>
      <c r="D269" s="313" t="s">
        <v>538</v>
      </c>
      <c r="E269" s="313">
        <v>1.2</v>
      </c>
      <c r="F269" s="314">
        <v>45488.591666666667</v>
      </c>
      <c r="G269" s="313">
        <v>1</v>
      </c>
      <c r="H269" s="313">
        <v>51.377400000000002</v>
      </c>
      <c r="I269" s="313">
        <v>7.8985000000000003</v>
      </c>
      <c r="J269" s="313">
        <v>-23.948993999999999</v>
      </c>
      <c r="K269" s="313">
        <v>-22.170513</v>
      </c>
      <c r="L269" s="313">
        <v>1126.77</v>
      </c>
      <c r="M269" s="313">
        <v>72.499968999999993</v>
      </c>
      <c r="N269" s="313">
        <v>13939.677</v>
      </c>
      <c r="O269" s="313">
        <v>13944.6198</v>
      </c>
      <c r="P269" s="315">
        <v>2070.3456999999999</v>
      </c>
      <c r="Q269" s="302" t="s">
        <v>12</v>
      </c>
      <c r="R269" s="315" t="s">
        <v>539</v>
      </c>
      <c r="S269" s="315">
        <v>10</v>
      </c>
      <c r="T269" s="315">
        <v>5</v>
      </c>
      <c r="U269" s="315">
        <v>0.7</v>
      </c>
      <c r="V269" s="315">
        <v>0.7</v>
      </c>
      <c r="W269" s="315">
        <v>0.7</v>
      </c>
      <c r="X269" s="313">
        <v>2000</v>
      </c>
      <c r="Y269" s="313" t="s">
        <v>540</v>
      </c>
      <c r="Z269" s="313">
        <v>0.2</v>
      </c>
      <c r="AA269" s="313" t="s">
        <v>541</v>
      </c>
      <c r="AB269" s="313" t="s">
        <v>542</v>
      </c>
      <c r="AC269" s="313">
        <v>220</v>
      </c>
      <c r="AD269" s="158"/>
      <c r="AE269" s="188"/>
    </row>
    <row r="270" spans="1:31" ht="15.75">
      <c r="A270" s="313" t="s">
        <v>746</v>
      </c>
      <c r="B270" s="313" t="s">
        <v>561</v>
      </c>
      <c r="C270" s="313" t="s">
        <v>726</v>
      </c>
      <c r="D270" s="313" t="s">
        <v>538</v>
      </c>
      <c r="E270" s="313">
        <v>1.2</v>
      </c>
      <c r="F270" s="314">
        <v>45488.594444444447</v>
      </c>
      <c r="G270" s="313">
        <v>1</v>
      </c>
      <c r="H270" s="313">
        <v>51.374099999999999</v>
      </c>
      <c r="I270" s="313">
        <v>7.7165699999999999</v>
      </c>
      <c r="J270" s="313">
        <v>-23.884706000000001</v>
      </c>
      <c r="K270" s="313">
        <v>-22.258838000000001</v>
      </c>
      <c r="L270" s="313">
        <v>1108.53</v>
      </c>
      <c r="M270" s="313">
        <v>74.498926999999995</v>
      </c>
      <c r="N270" s="313">
        <v>13949.562599999999</v>
      </c>
      <c r="O270" s="313">
        <v>13944.6198</v>
      </c>
      <c r="P270" s="315">
        <v>2070.3456999999999</v>
      </c>
      <c r="Q270" s="302" t="s">
        <v>12</v>
      </c>
      <c r="R270" s="315" t="s">
        <v>539</v>
      </c>
      <c r="S270" s="315">
        <v>10</v>
      </c>
      <c r="T270" s="315">
        <v>5</v>
      </c>
      <c r="U270" s="315">
        <v>0.7</v>
      </c>
      <c r="V270" s="315">
        <v>0.7</v>
      </c>
      <c r="W270" s="315">
        <v>0.7</v>
      </c>
      <c r="X270" s="313">
        <v>2000</v>
      </c>
      <c r="Y270" s="313" t="s">
        <v>540</v>
      </c>
      <c r="Z270" s="313">
        <v>0.2</v>
      </c>
      <c r="AA270" s="313" t="s">
        <v>541</v>
      </c>
      <c r="AB270" s="313" t="s">
        <v>542</v>
      </c>
      <c r="AC270" s="313">
        <v>220</v>
      </c>
      <c r="AD270" s="158"/>
      <c r="AE270" s="188"/>
    </row>
    <row r="271" spans="1:31" ht="15.75">
      <c r="A271" s="313" t="s">
        <v>601</v>
      </c>
      <c r="B271" s="313">
        <v>2</v>
      </c>
      <c r="C271" s="313">
        <v>313</v>
      </c>
      <c r="D271" s="313" t="s">
        <v>564</v>
      </c>
      <c r="E271" s="313">
        <v>1</v>
      </c>
      <c r="F271" s="314">
        <v>45488.597916666666</v>
      </c>
      <c r="G271" s="313">
        <v>1</v>
      </c>
      <c r="H271" s="313">
        <v>51.377400000000002</v>
      </c>
      <c r="I271" s="313">
        <v>7.7756699999999999</v>
      </c>
      <c r="J271" s="313">
        <v>-23.947862000000001</v>
      </c>
      <c r="K271" s="313">
        <v>-22.106306</v>
      </c>
      <c r="L271" s="313">
        <v>1092.68</v>
      </c>
      <c r="M271" s="313">
        <v>68.000676999999996</v>
      </c>
      <c r="N271" s="313">
        <v>11750.022000000001</v>
      </c>
      <c r="O271" s="313">
        <v>11749.224099999999</v>
      </c>
      <c r="P271" s="315">
        <v>2100.5910600000002</v>
      </c>
      <c r="Q271" s="302" t="s">
        <v>12</v>
      </c>
      <c r="R271" s="315" t="s">
        <v>539</v>
      </c>
      <c r="S271" s="315">
        <v>10</v>
      </c>
      <c r="T271" s="315">
        <v>5</v>
      </c>
      <c r="U271" s="315">
        <v>0.7</v>
      </c>
      <c r="V271" s="315">
        <v>0.7</v>
      </c>
      <c r="W271" s="315">
        <v>0.7</v>
      </c>
      <c r="X271" s="313">
        <v>2000</v>
      </c>
      <c r="Y271" s="313" t="s">
        <v>540</v>
      </c>
      <c r="Z271" s="313">
        <v>0.2</v>
      </c>
      <c r="AA271" s="313" t="s">
        <v>541</v>
      </c>
      <c r="AB271" s="313" t="s">
        <v>542</v>
      </c>
      <c r="AC271" s="313">
        <v>220</v>
      </c>
      <c r="AD271" s="158"/>
      <c r="AE271" s="188"/>
    </row>
    <row r="272" spans="1:31" ht="15.75">
      <c r="A272" s="313" t="s">
        <v>602</v>
      </c>
      <c r="B272" s="313">
        <v>2</v>
      </c>
      <c r="C272" s="313">
        <v>313</v>
      </c>
      <c r="D272" s="313" t="s">
        <v>564</v>
      </c>
      <c r="E272" s="313">
        <v>1</v>
      </c>
      <c r="F272" s="314">
        <v>45488.600694444445</v>
      </c>
      <c r="G272" s="313">
        <v>1</v>
      </c>
      <c r="H272" s="313">
        <v>51.377400000000002</v>
      </c>
      <c r="I272" s="313">
        <v>7.6279199999999996</v>
      </c>
      <c r="J272" s="313">
        <v>-23.998180999999999</v>
      </c>
      <c r="K272" s="313">
        <v>-22.250112999999999</v>
      </c>
      <c r="L272" s="313">
        <v>1089.71</v>
      </c>
      <c r="M272" s="313">
        <v>71.499896000000007</v>
      </c>
      <c r="N272" s="313">
        <v>11748.426299999999</v>
      </c>
      <c r="O272" s="313">
        <v>11749.224099999999</v>
      </c>
      <c r="P272" s="315">
        <v>2100.5910600000002</v>
      </c>
      <c r="Q272" s="302" t="s">
        <v>12</v>
      </c>
      <c r="R272" s="315" t="s">
        <v>539</v>
      </c>
      <c r="S272" s="315">
        <v>10</v>
      </c>
      <c r="T272" s="315">
        <v>5</v>
      </c>
      <c r="U272" s="315">
        <v>0.7</v>
      </c>
      <c r="V272" s="315">
        <v>0.7</v>
      </c>
      <c r="W272" s="315">
        <v>0.7</v>
      </c>
      <c r="X272" s="313">
        <v>2000</v>
      </c>
      <c r="Y272" s="313" t="s">
        <v>540</v>
      </c>
      <c r="Z272" s="313">
        <v>0.2</v>
      </c>
      <c r="AA272" s="313" t="s">
        <v>541</v>
      </c>
      <c r="AB272" s="313" t="s">
        <v>542</v>
      </c>
      <c r="AC272" s="313">
        <v>220</v>
      </c>
      <c r="AD272" s="158"/>
      <c r="AE272" s="188"/>
    </row>
    <row r="273" spans="1:31" ht="15.75">
      <c r="A273" s="313" t="s">
        <v>606</v>
      </c>
      <c r="B273" s="313">
        <v>3</v>
      </c>
      <c r="C273" s="313">
        <v>314</v>
      </c>
      <c r="D273" s="313" t="s">
        <v>568</v>
      </c>
      <c r="E273" s="313">
        <v>1</v>
      </c>
      <c r="F273" s="314">
        <v>45488.604166666664</v>
      </c>
      <c r="G273" s="313">
        <v>1</v>
      </c>
      <c r="H273" s="313">
        <v>51.384</v>
      </c>
      <c r="I273" s="313">
        <v>7.3945600000000002</v>
      </c>
      <c r="J273" s="313">
        <v>-23.948394</v>
      </c>
      <c r="K273" s="313">
        <v>-22.3782</v>
      </c>
      <c r="L273" s="313">
        <v>1090.9100000000001</v>
      </c>
      <c r="M273" s="313">
        <v>73.499785000000003</v>
      </c>
      <c r="N273" s="313">
        <v>11726.5033</v>
      </c>
      <c r="O273" s="313">
        <v>11725.3194</v>
      </c>
      <c r="P273" s="315">
        <v>2096.40744</v>
      </c>
      <c r="Q273" s="302" t="s">
        <v>12</v>
      </c>
      <c r="R273" s="315" t="s">
        <v>539</v>
      </c>
      <c r="S273" s="315">
        <v>10</v>
      </c>
      <c r="T273" s="315">
        <v>5</v>
      </c>
      <c r="U273" s="315">
        <v>0.7</v>
      </c>
      <c r="V273" s="315">
        <v>0.7</v>
      </c>
      <c r="W273" s="315">
        <v>0.7</v>
      </c>
      <c r="X273" s="313">
        <v>2000</v>
      </c>
      <c r="Y273" s="313" t="s">
        <v>540</v>
      </c>
      <c r="Z273" s="313">
        <v>0.2</v>
      </c>
      <c r="AA273" s="313" t="s">
        <v>541</v>
      </c>
      <c r="AB273" s="313" t="s">
        <v>542</v>
      </c>
      <c r="AC273" s="313">
        <v>220</v>
      </c>
      <c r="AD273" s="158"/>
      <c r="AE273" s="188"/>
    </row>
    <row r="274" spans="1:31" ht="15.75">
      <c r="A274" s="313" t="s">
        <v>608</v>
      </c>
      <c r="B274" s="313">
        <v>3</v>
      </c>
      <c r="C274" s="313">
        <v>314</v>
      </c>
      <c r="D274" s="313" t="s">
        <v>568</v>
      </c>
      <c r="E274" s="313">
        <v>1</v>
      </c>
      <c r="F274" s="314">
        <v>45488.606944444444</v>
      </c>
      <c r="G274" s="313">
        <v>1</v>
      </c>
      <c r="H274" s="313">
        <v>51.377400000000002</v>
      </c>
      <c r="I274" s="313">
        <v>7.4350300000000002</v>
      </c>
      <c r="J274" s="313">
        <v>-24.029563</v>
      </c>
      <c r="K274" s="313">
        <v>-22.580162999999999</v>
      </c>
      <c r="L274" s="313">
        <v>1081.44</v>
      </c>
      <c r="M274" s="313">
        <v>75.001244999999997</v>
      </c>
      <c r="N274" s="313">
        <v>11724.1356</v>
      </c>
      <c r="O274" s="313">
        <v>11725.3194</v>
      </c>
      <c r="P274" s="315">
        <v>2096.40744</v>
      </c>
      <c r="Q274" s="302" t="s">
        <v>12</v>
      </c>
      <c r="R274" s="315" t="s">
        <v>539</v>
      </c>
      <c r="S274" s="315">
        <v>10</v>
      </c>
      <c r="T274" s="315">
        <v>5</v>
      </c>
      <c r="U274" s="315">
        <v>0.7</v>
      </c>
      <c r="V274" s="315">
        <v>0.7</v>
      </c>
      <c r="W274" s="315">
        <v>0.7</v>
      </c>
      <c r="X274" s="313">
        <v>2000</v>
      </c>
      <c r="Y274" s="313" t="s">
        <v>540</v>
      </c>
      <c r="Z274" s="313">
        <v>0.2</v>
      </c>
      <c r="AA274" s="313" t="s">
        <v>541</v>
      </c>
      <c r="AB274" s="313" t="s">
        <v>542</v>
      </c>
      <c r="AC274" s="313">
        <v>220</v>
      </c>
      <c r="AD274" s="158"/>
      <c r="AE274" s="188"/>
    </row>
    <row r="275" spans="1:31" ht="15.75">
      <c r="A275" s="313" t="s">
        <v>618</v>
      </c>
      <c r="B275" s="313">
        <v>4</v>
      </c>
      <c r="C275" s="313">
        <v>326</v>
      </c>
      <c r="D275" s="313" t="s">
        <v>571</v>
      </c>
      <c r="E275" s="313">
        <v>1</v>
      </c>
      <c r="F275" s="314">
        <v>45488.61041666667</v>
      </c>
      <c r="G275" s="313">
        <v>1</v>
      </c>
      <c r="H275" s="313">
        <v>51.374099999999999</v>
      </c>
      <c r="I275" s="313">
        <v>7.25718</v>
      </c>
      <c r="J275" s="313">
        <v>-23.924130999999999</v>
      </c>
      <c r="K275" s="313">
        <v>-22.431262</v>
      </c>
      <c r="L275" s="313">
        <v>1040.78</v>
      </c>
      <c r="M275" s="313">
        <v>70.500073999999998</v>
      </c>
      <c r="N275" s="313">
        <v>11702.088599999999</v>
      </c>
      <c r="O275" s="313">
        <v>11659.4817</v>
      </c>
      <c r="P275" s="315">
        <v>2084.8850400000001</v>
      </c>
      <c r="Q275" s="302" t="s">
        <v>12</v>
      </c>
      <c r="R275" s="315" t="s">
        <v>553</v>
      </c>
      <c r="S275" s="315">
        <v>10</v>
      </c>
      <c r="T275" s="315">
        <v>5</v>
      </c>
      <c r="U275" s="315">
        <v>0.7</v>
      </c>
      <c r="V275" s="315">
        <v>0.7</v>
      </c>
      <c r="W275" s="315">
        <v>0.7</v>
      </c>
      <c r="X275" s="313">
        <v>2000</v>
      </c>
      <c r="Y275" s="313" t="s">
        <v>540</v>
      </c>
      <c r="Z275" s="313">
        <v>0.2</v>
      </c>
      <c r="AA275" s="313" t="s">
        <v>541</v>
      </c>
      <c r="AB275" s="313" t="s">
        <v>542</v>
      </c>
      <c r="AC275" s="313">
        <v>220</v>
      </c>
      <c r="AD275" s="158"/>
      <c r="AE275" s="188"/>
    </row>
    <row r="276" spans="1:31" ht="15.75">
      <c r="A276" s="313" t="s">
        <v>620</v>
      </c>
      <c r="B276" s="313">
        <v>4</v>
      </c>
      <c r="C276" s="313">
        <v>326</v>
      </c>
      <c r="D276" s="313" t="s">
        <v>571</v>
      </c>
      <c r="E276" s="313">
        <v>1</v>
      </c>
      <c r="F276" s="314">
        <v>45488.613194444442</v>
      </c>
      <c r="G276" s="313">
        <v>1</v>
      </c>
      <c r="H276" s="313">
        <v>51.377400000000002</v>
      </c>
      <c r="I276" s="313">
        <v>7.2458799999999997</v>
      </c>
      <c r="J276" s="313">
        <v>-24.024381000000002</v>
      </c>
      <c r="K276" s="313">
        <v>-21.997575000000001</v>
      </c>
      <c r="L276" s="313">
        <v>1044.58</v>
      </c>
      <c r="M276" s="313">
        <v>66.500203999999997</v>
      </c>
      <c r="N276" s="313">
        <v>11669.236199999999</v>
      </c>
      <c r="O276" s="313">
        <v>11659.4817</v>
      </c>
      <c r="P276" s="315">
        <v>2084.8850400000001</v>
      </c>
      <c r="Q276" s="302" t="s">
        <v>12</v>
      </c>
      <c r="R276" s="315" t="s">
        <v>539</v>
      </c>
      <c r="S276" s="315">
        <v>10</v>
      </c>
      <c r="T276" s="315">
        <v>5</v>
      </c>
      <c r="U276" s="315">
        <v>0.7</v>
      </c>
      <c r="V276" s="315">
        <v>0.7</v>
      </c>
      <c r="W276" s="315">
        <v>0.7</v>
      </c>
      <c r="X276" s="313">
        <v>2000</v>
      </c>
      <c r="Y276" s="313" t="s">
        <v>540</v>
      </c>
      <c r="Z276" s="313">
        <v>0.2</v>
      </c>
      <c r="AA276" s="313" t="s">
        <v>541</v>
      </c>
      <c r="AB276" s="313" t="s">
        <v>542</v>
      </c>
      <c r="AC276" s="313">
        <v>220</v>
      </c>
      <c r="AD276" s="158"/>
      <c r="AE276" s="188"/>
    </row>
    <row r="277" spans="1:31" ht="15.75">
      <c r="A277" s="313" t="s">
        <v>621</v>
      </c>
      <c r="B277" s="313">
        <v>4</v>
      </c>
      <c r="C277" s="313">
        <v>326</v>
      </c>
      <c r="D277" s="313" t="s">
        <v>571</v>
      </c>
      <c r="E277" s="313">
        <v>1</v>
      </c>
      <c r="F277" s="314">
        <v>45488.615972222222</v>
      </c>
      <c r="G277" s="313">
        <v>1</v>
      </c>
      <c r="H277" s="313">
        <v>51.377400000000002</v>
      </c>
      <c r="I277" s="313">
        <v>7.1896199999999997</v>
      </c>
      <c r="J277" s="313">
        <v>-23.924806</v>
      </c>
      <c r="K277" s="313">
        <v>-22.210369</v>
      </c>
      <c r="L277" s="313">
        <v>1064.0899999999999</v>
      </c>
      <c r="M277" s="313">
        <v>68.001007999999999</v>
      </c>
      <c r="N277" s="313">
        <v>11649.727199999999</v>
      </c>
      <c r="O277" s="313">
        <v>11659.4817</v>
      </c>
      <c r="P277" s="315">
        <v>2084.8850400000001</v>
      </c>
      <c r="Q277" s="302" t="s">
        <v>12</v>
      </c>
      <c r="R277" s="315" t="s">
        <v>539</v>
      </c>
      <c r="S277" s="315">
        <v>10</v>
      </c>
      <c r="T277" s="315">
        <v>5</v>
      </c>
      <c r="U277" s="315">
        <v>0.7</v>
      </c>
      <c r="V277" s="315">
        <v>0.7</v>
      </c>
      <c r="W277" s="315">
        <v>0.7</v>
      </c>
      <c r="X277" s="313">
        <v>2000</v>
      </c>
      <c r="Y277" s="313" t="s">
        <v>540</v>
      </c>
      <c r="Z277" s="313">
        <v>0.2</v>
      </c>
      <c r="AA277" s="313" t="s">
        <v>541</v>
      </c>
      <c r="AB277" s="313" t="s">
        <v>542</v>
      </c>
      <c r="AC277" s="313">
        <v>220</v>
      </c>
      <c r="AD277" s="158"/>
      <c r="AE277" s="188"/>
    </row>
    <row r="278" spans="1:31" ht="15.75">
      <c r="A278" s="313" t="s">
        <v>627</v>
      </c>
      <c r="B278" s="313">
        <v>5</v>
      </c>
      <c r="C278" s="313">
        <v>327</v>
      </c>
      <c r="D278" s="313" t="s">
        <v>575</v>
      </c>
      <c r="E278" s="313">
        <v>1</v>
      </c>
      <c r="F278" s="314">
        <v>45488.618750000001</v>
      </c>
      <c r="G278" s="313">
        <v>1</v>
      </c>
      <c r="H278" s="313">
        <v>51.380699999999997</v>
      </c>
      <c r="I278" s="313">
        <v>7.1675700000000004</v>
      </c>
      <c r="J278" s="313">
        <v>-24.003799999999998</v>
      </c>
      <c r="K278" s="313">
        <v>-22.414725000000001</v>
      </c>
      <c r="L278" s="313">
        <v>1053.69</v>
      </c>
      <c r="M278" s="313">
        <v>71.499244000000004</v>
      </c>
      <c r="N278" s="313">
        <v>11615.6522</v>
      </c>
      <c r="O278" s="313">
        <v>11621.712</v>
      </c>
      <c r="P278" s="315">
        <v>2078.2748700000002</v>
      </c>
      <c r="Q278" s="302" t="s">
        <v>12</v>
      </c>
      <c r="R278" s="315" t="s">
        <v>539</v>
      </c>
      <c r="S278" s="315">
        <v>10</v>
      </c>
      <c r="T278" s="315">
        <v>5</v>
      </c>
      <c r="U278" s="315">
        <v>0.7</v>
      </c>
      <c r="V278" s="315">
        <v>0.7</v>
      </c>
      <c r="W278" s="315">
        <v>0.7</v>
      </c>
      <c r="X278" s="313">
        <v>2000</v>
      </c>
      <c r="Y278" s="313" t="s">
        <v>540</v>
      </c>
      <c r="Z278" s="313">
        <v>0.2</v>
      </c>
      <c r="AA278" s="313" t="s">
        <v>541</v>
      </c>
      <c r="AB278" s="313" t="s">
        <v>542</v>
      </c>
      <c r="AC278" s="313">
        <v>220</v>
      </c>
      <c r="AD278" s="158"/>
      <c r="AE278" s="188"/>
    </row>
    <row r="279" spans="1:31" ht="15.75">
      <c r="A279" s="313" t="s">
        <v>628</v>
      </c>
      <c r="B279" s="313">
        <v>5</v>
      </c>
      <c r="C279" s="313">
        <v>327</v>
      </c>
      <c r="D279" s="313" t="s">
        <v>575</v>
      </c>
      <c r="E279" s="313">
        <v>1</v>
      </c>
      <c r="F279" s="314">
        <v>45488.62222222222</v>
      </c>
      <c r="G279" s="313">
        <v>1</v>
      </c>
      <c r="H279" s="313">
        <v>51.377400000000002</v>
      </c>
      <c r="I279" s="313">
        <v>7.2772199999999998</v>
      </c>
      <c r="J279" s="313">
        <v>-23.973669000000001</v>
      </c>
      <c r="K279" s="313">
        <v>-22.605063000000001</v>
      </c>
      <c r="L279" s="313">
        <v>1054.5899999999999</v>
      </c>
      <c r="M279" s="313">
        <v>73.999993000000003</v>
      </c>
      <c r="N279" s="313">
        <v>11627.771699999999</v>
      </c>
      <c r="O279" s="313">
        <v>11621.712</v>
      </c>
      <c r="P279" s="315">
        <v>2078.2748700000002</v>
      </c>
      <c r="Q279" s="302" t="s">
        <v>12</v>
      </c>
      <c r="R279" s="315" t="s">
        <v>539</v>
      </c>
      <c r="S279" s="315">
        <v>10</v>
      </c>
      <c r="T279" s="315">
        <v>5</v>
      </c>
      <c r="U279" s="315">
        <v>0.7</v>
      </c>
      <c r="V279" s="315">
        <v>0.7</v>
      </c>
      <c r="W279" s="315">
        <v>0.7</v>
      </c>
      <c r="X279" s="313">
        <v>2000</v>
      </c>
      <c r="Y279" s="313" t="s">
        <v>540</v>
      </c>
      <c r="Z279" s="313">
        <v>0.2</v>
      </c>
      <c r="AA279" s="313" t="s">
        <v>541</v>
      </c>
      <c r="AB279" s="313" t="s">
        <v>542</v>
      </c>
      <c r="AC279" s="313">
        <v>220</v>
      </c>
      <c r="AD279" s="158"/>
      <c r="AE279" s="188"/>
    </row>
    <row r="280" spans="1:31" ht="15.75">
      <c r="A280" s="313" t="s">
        <v>629</v>
      </c>
      <c r="B280" s="313">
        <v>6</v>
      </c>
      <c r="C280" s="313">
        <v>391</v>
      </c>
      <c r="D280" s="313" t="s">
        <v>579</v>
      </c>
      <c r="E280" s="313">
        <v>1</v>
      </c>
      <c r="F280" s="314">
        <v>45488.625694444447</v>
      </c>
      <c r="G280" s="313">
        <v>1</v>
      </c>
      <c r="H280" s="313">
        <v>51.377400000000002</v>
      </c>
      <c r="I280" s="313">
        <v>7.1482099999999997</v>
      </c>
      <c r="J280" s="313">
        <v>-24.061875000000001</v>
      </c>
      <c r="K280" s="313">
        <v>-22.224724999999999</v>
      </c>
      <c r="L280" s="313">
        <v>1078.3</v>
      </c>
      <c r="M280" s="313">
        <v>71.000040999999996</v>
      </c>
      <c r="N280" s="313">
        <v>11697.390299999999</v>
      </c>
      <c r="O280" s="313">
        <v>11732.7066</v>
      </c>
      <c r="P280" s="315">
        <v>2097.7002900000002</v>
      </c>
      <c r="Q280" s="302" t="s">
        <v>12</v>
      </c>
      <c r="R280" s="315" t="s">
        <v>553</v>
      </c>
      <c r="S280" s="315">
        <v>10</v>
      </c>
      <c r="T280" s="315">
        <v>5</v>
      </c>
      <c r="U280" s="315">
        <v>0.7</v>
      </c>
      <c r="V280" s="315">
        <v>0.7</v>
      </c>
      <c r="W280" s="315">
        <v>0.7</v>
      </c>
      <c r="X280" s="313">
        <v>2000</v>
      </c>
      <c r="Y280" s="313" t="s">
        <v>540</v>
      </c>
      <c r="Z280" s="313">
        <v>0.2</v>
      </c>
      <c r="AA280" s="313" t="s">
        <v>541</v>
      </c>
      <c r="AB280" s="313" t="s">
        <v>542</v>
      </c>
      <c r="AC280" s="313">
        <v>220</v>
      </c>
      <c r="AD280" s="158"/>
      <c r="AE280" s="188"/>
    </row>
    <row r="281" spans="1:31" ht="15.75">
      <c r="A281" s="313" t="s">
        <v>630</v>
      </c>
      <c r="B281" s="313">
        <v>6</v>
      </c>
      <c r="C281" s="313">
        <v>391</v>
      </c>
      <c r="D281" s="313" t="s">
        <v>579</v>
      </c>
      <c r="E281" s="313">
        <v>1</v>
      </c>
      <c r="F281" s="314">
        <v>45488.628472222219</v>
      </c>
      <c r="G281" s="313">
        <v>1</v>
      </c>
      <c r="H281" s="313">
        <v>51.377400000000002</v>
      </c>
      <c r="I281" s="313">
        <v>7.2547100000000002</v>
      </c>
      <c r="J281" s="313">
        <v>-24.031230999999998</v>
      </c>
      <c r="K281" s="313">
        <v>-21.911306</v>
      </c>
      <c r="L281" s="313">
        <v>1081.19</v>
      </c>
      <c r="M281" s="313">
        <v>68.001523000000006</v>
      </c>
      <c r="N281" s="313">
        <v>11728.704599999999</v>
      </c>
      <c r="O281" s="313">
        <v>11732.7066</v>
      </c>
      <c r="P281" s="315">
        <v>2097.7002900000002</v>
      </c>
      <c r="Q281" s="302" t="s">
        <v>12</v>
      </c>
      <c r="R281" s="315" t="s">
        <v>539</v>
      </c>
      <c r="S281" s="315">
        <v>10</v>
      </c>
      <c r="T281" s="315">
        <v>5</v>
      </c>
      <c r="U281" s="315">
        <v>0.7</v>
      </c>
      <c r="V281" s="315">
        <v>0.7</v>
      </c>
      <c r="W281" s="315">
        <v>0.7</v>
      </c>
      <c r="X281" s="313">
        <v>2000</v>
      </c>
      <c r="Y281" s="313" t="s">
        <v>540</v>
      </c>
      <c r="Z281" s="313">
        <v>0.2</v>
      </c>
      <c r="AA281" s="313" t="s">
        <v>541</v>
      </c>
      <c r="AB281" s="313" t="s">
        <v>542</v>
      </c>
      <c r="AC281" s="313">
        <v>220</v>
      </c>
      <c r="AD281" s="158"/>
      <c r="AE281" s="188"/>
    </row>
    <row r="282" spans="1:31" ht="15.75">
      <c r="A282" s="313" t="s">
        <v>631</v>
      </c>
      <c r="B282" s="313">
        <v>6</v>
      </c>
      <c r="C282" s="313">
        <v>391</v>
      </c>
      <c r="D282" s="313" t="s">
        <v>579</v>
      </c>
      <c r="E282" s="313">
        <v>1</v>
      </c>
      <c r="F282" s="314">
        <v>45488.631249999999</v>
      </c>
      <c r="G282" s="313">
        <v>1</v>
      </c>
      <c r="H282" s="313">
        <v>51.374099999999999</v>
      </c>
      <c r="I282" s="313">
        <v>7.1795400000000003</v>
      </c>
      <c r="J282" s="313">
        <v>-24.092506</v>
      </c>
      <c r="K282" s="313">
        <v>-22.399550000000001</v>
      </c>
      <c r="L282" s="313">
        <v>1066.22</v>
      </c>
      <c r="M282" s="313">
        <v>71.000259</v>
      </c>
      <c r="N282" s="313">
        <v>11736.7086</v>
      </c>
      <c r="O282" s="313">
        <v>11732.7066</v>
      </c>
      <c r="P282" s="315">
        <v>2097.7002900000002</v>
      </c>
      <c r="Q282" s="302" t="s">
        <v>12</v>
      </c>
      <c r="R282" s="315" t="s">
        <v>539</v>
      </c>
      <c r="S282" s="315">
        <v>10</v>
      </c>
      <c r="T282" s="315">
        <v>5</v>
      </c>
      <c r="U282" s="315">
        <v>0.7</v>
      </c>
      <c r="V282" s="315">
        <v>0.7</v>
      </c>
      <c r="W282" s="315">
        <v>0.7</v>
      </c>
      <c r="X282" s="313">
        <v>2000</v>
      </c>
      <c r="Y282" s="313" t="s">
        <v>540</v>
      </c>
      <c r="Z282" s="313">
        <v>0.2</v>
      </c>
      <c r="AA282" s="313" t="s">
        <v>541</v>
      </c>
      <c r="AB282" s="313" t="s">
        <v>542</v>
      </c>
      <c r="AC282" s="313">
        <v>220</v>
      </c>
      <c r="AD282" s="158"/>
      <c r="AE282" s="188"/>
    </row>
    <row r="283" spans="1:31" ht="15.75">
      <c r="A283" s="313" t="s">
        <v>632</v>
      </c>
      <c r="B283" s="313">
        <v>7</v>
      </c>
      <c r="C283" s="313">
        <v>392</v>
      </c>
      <c r="D283" s="313" t="s">
        <v>582</v>
      </c>
      <c r="E283" s="313">
        <v>1</v>
      </c>
      <c r="F283" s="314">
        <v>45488.634722222225</v>
      </c>
      <c r="G283" s="313">
        <v>1</v>
      </c>
      <c r="H283" s="313">
        <v>51.380699999999997</v>
      </c>
      <c r="I283" s="313">
        <v>7.0249899999999998</v>
      </c>
      <c r="J283" s="313">
        <v>-24.011094</v>
      </c>
      <c r="K283" s="313">
        <v>-22.122287</v>
      </c>
      <c r="L283" s="313">
        <v>1056.08</v>
      </c>
      <c r="M283" s="313">
        <v>68.002229999999997</v>
      </c>
      <c r="N283" s="313">
        <v>11662.886500000001</v>
      </c>
      <c r="O283" s="313">
        <v>11663.8307</v>
      </c>
      <c r="P283" s="315">
        <v>2085.64615</v>
      </c>
      <c r="Q283" s="302" t="s">
        <v>12</v>
      </c>
      <c r="R283" s="315" t="s">
        <v>539</v>
      </c>
      <c r="S283" s="315">
        <v>10</v>
      </c>
      <c r="T283" s="315">
        <v>5</v>
      </c>
      <c r="U283" s="315">
        <v>0.7</v>
      </c>
      <c r="V283" s="315">
        <v>0.7</v>
      </c>
      <c r="W283" s="315">
        <v>0.7</v>
      </c>
      <c r="X283" s="313">
        <v>2000</v>
      </c>
      <c r="Y283" s="313" t="s">
        <v>540</v>
      </c>
      <c r="Z283" s="313">
        <v>0.2</v>
      </c>
      <c r="AA283" s="313" t="s">
        <v>541</v>
      </c>
      <c r="AB283" s="313" t="s">
        <v>542</v>
      </c>
      <c r="AC283" s="313">
        <v>220</v>
      </c>
      <c r="AD283" s="158"/>
      <c r="AE283" s="188"/>
    </row>
    <row r="284" spans="1:31" ht="15.75">
      <c r="A284" s="313" t="s">
        <v>633</v>
      </c>
      <c r="B284" s="313">
        <v>7</v>
      </c>
      <c r="C284" s="313">
        <v>392</v>
      </c>
      <c r="D284" s="313" t="s">
        <v>582</v>
      </c>
      <c r="E284" s="313">
        <v>1</v>
      </c>
      <c r="F284" s="314">
        <v>45488.637499999997</v>
      </c>
      <c r="G284" s="313">
        <v>1</v>
      </c>
      <c r="H284" s="313">
        <v>51.377400000000002</v>
      </c>
      <c r="I284" s="313">
        <v>7.0388999999999999</v>
      </c>
      <c r="J284" s="313">
        <v>-23.994237999999999</v>
      </c>
      <c r="K284" s="313">
        <v>-22.671019000000001</v>
      </c>
      <c r="L284" s="313">
        <v>1045.0999999999999</v>
      </c>
      <c r="M284" s="313">
        <v>77.501650999999995</v>
      </c>
      <c r="N284" s="313">
        <v>11664.7749</v>
      </c>
      <c r="O284" s="313">
        <v>11663.8307</v>
      </c>
      <c r="P284" s="315">
        <v>2085.64615</v>
      </c>
      <c r="Q284" s="302" t="s">
        <v>12</v>
      </c>
      <c r="R284" s="315" t="s">
        <v>539</v>
      </c>
      <c r="S284" s="315">
        <v>10</v>
      </c>
      <c r="T284" s="315">
        <v>5</v>
      </c>
      <c r="U284" s="315">
        <v>0.7</v>
      </c>
      <c r="V284" s="315">
        <v>0.7</v>
      </c>
      <c r="W284" s="315">
        <v>0.7</v>
      </c>
      <c r="X284" s="313">
        <v>2000</v>
      </c>
      <c r="Y284" s="313" t="s">
        <v>540</v>
      </c>
      <c r="Z284" s="313">
        <v>0.2</v>
      </c>
      <c r="AA284" s="313" t="s">
        <v>541</v>
      </c>
      <c r="AB284" s="313" t="s">
        <v>542</v>
      </c>
      <c r="AC284" s="313">
        <v>220</v>
      </c>
      <c r="AD284" s="158"/>
      <c r="AE284" s="188"/>
    </row>
    <row r="285" spans="1:31" ht="15.75">
      <c r="A285" s="313" t="s">
        <v>704</v>
      </c>
      <c r="B285" s="313">
        <v>8</v>
      </c>
      <c r="C285" s="313">
        <v>352</v>
      </c>
      <c r="D285" s="313" t="s">
        <v>585</v>
      </c>
      <c r="E285" s="313">
        <v>1</v>
      </c>
      <c r="F285" s="314">
        <v>45488.640277777777</v>
      </c>
      <c r="G285" s="313">
        <v>1</v>
      </c>
      <c r="H285" s="313">
        <v>51.377400000000002</v>
      </c>
      <c r="I285" s="313">
        <v>6.9832999999999998</v>
      </c>
      <c r="J285" s="313">
        <v>-23.869837</v>
      </c>
      <c r="K285" s="313">
        <v>-22.487518999999999</v>
      </c>
      <c r="L285" s="313">
        <v>1045.98</v>
      </c>
      <c r="M285" s="313">
        <v>73.000780000000006</v>
      </c>
      <c r="N285" s="313">
        <v>11494.529</v>
      </c>
      <c r="O285" s="313">
        <v>11517.0952</v>
      </c>
      <c r="P285" s="315">
        <v>2059.9656500000001</v>
      </c>
      <c r="Q285" s="302" t="s">
        <v>12</v>
      </c>
      <c r="R285" s="315" t="s">
        <v>553</v>
      </c>
      <c r="S285" s="315">
        <v>10</v>
      </c>
      <c r="T285" s="315">
        <v>5</v>
      </c>
      <c r="U285" s="315">
        <v>0.7</v>
      </c>
      <c r="V285" s="315">
        <v>0.7</v>
      </c>
      <c r="W285" s="315">
        <v>0.7</v>
      </c>
      <c r="X285" s="313">
        <v>2000</v>
      </c>
      <c r="Y285" s="313" t="s">
        <v>540</v>
      </c>
      <c r="Z285" s="313">
        <v>0.2</v>
      </c>
      <c r="AA285" s="313" t="s">
        <v>541</v>
      </c>
      <c r="AB285" s="313" t="s">
        <v>542</v>
      </c>
      <c r="AC285" s="313">
        <v>220</v>
      </c>
      <c r="AD285" s="158"/>
      <c r="AE285" s="188"/>
    </row>
    <row r="286" spans="1:31" ht="15.75">
      <c r="A286" s="313" t="s">
        <v>705</v>
      </c>
      <c r="B286" s="313">
        <v>8</v>
      </c>
      <c r="C286" s="313">
        <v>352</v>
      </c>
      <c r="D286" s="313" t="s">
        <v>585</v>
      </c>
      <c r="E286" s="313">
        <v>1</v>
      </c>
      <c r="F286" s="314">
        <v>45488.643750000003</v>
      </c>
      <c r="G286" s="313">
        <v>1</v>
      </c>
      <c r="H286" s="313">
        <v>51.377400000000002</v>
      </c>
      <c r="I286" s="313">
        <v>6.91127</v>
      </c>
      <c r="J286" s="313">
        <v>-23.895900000000001</v>
      </c>
      <c r="K286" s="313">
        <v>-22.172049999999999</v>
      </c>
      <c r="L286" s="313">
        <v>1034.9000000000001</v>
      </c>
      <c r="M286" s="313">
        <v>69.499836000000002</v>
      </c>
      <c r="N286" s="313">
        <v>11517.6369</v>
      </c>
      <c r="O286" s="313">
        <v>11517.0952</v>
      </c>
      <c r="P286" s="315">
        <v>2059.9656500000001</v>
      </c>
      <c r="Q286" s="302" t="s">
        <v>12</v>
      </c>
      <c r="R286" s="315" t="s">
        <v>539</v>
      </c>
      <c r="S286" s="315">
        <v>10</v>
      </c>
      <c r="T286" s="315">
        <v>5</v>
      </c>
      <c r="U286" s="315">
        <v>0.7</v>
      </c>
      <c r="V286" s="315">
        <v>0.7</v>
      </c>
      <c r="W286" s="315">
        <v>0.7</v>
      </c>
      <c r="X286" s="313">
        <v>2000</v>
      </c>
      <c r="Y286" s="313" t="s">
        <v>540</v>
      </c>
      <c r="Z286" s="313">
        <v>0.2</v>
      </c>
      <c r="AA286" s="313" t="s">
        <v>541</v>
      </c>
      <c r="AB286" s="313" t="s">
        <v>542</v>
      </c>
      <c r="AC286" s="313">
        <v>220</v>
      </c>
      <c r="AD286" s="158"/>
      <c r="AE286" s="188"/>
    </row>
    <row r="287" spans="1:31" ht="15.75">
      <c r="A287" s="313" t="s">
        <v>706</v>
      </c>
      <c r="B287" s="313">
        <v>8</v>
      </c>
      <c r="C287" s="313">
        <v>352</v>
      </c>
      <c r="D287" s="313" t="s">
        <v>585</v>
      </c>
      <c r="E287" s="313">
        <v>1</v>
      </c>
      <c r="F287" s="314">
        <v>45488.646527777775</v>
      </c>
      <c r="G287" s="313">
        <v>1</v>
      </c>
      <c r="H287" s="313">
        <v>51.377400000000002</v>
      </c>
      <c r="I287" s="313">
        <v>6.9500400000000004</v>
      </c>
      <c r="J287" s="313">
        <v>-23.846900000000002</v>
      </c>
      <c r="K287" s="313">
        <v>-22.410005999999999</v>
      </c>
      <c r="L287" s="313">
        <v>1063.71</v>
      </c>
      <c r="M287" s="313">
        <v>71.001695999999995</v>
      </c>
      <c r="N287" s="313">
        <v>11516.5535</v>
      </c>
      <c r="O287" s="313">
        <v>11517.0952</v>
      </c>
      <c r="P287" s="315">
        <v>2059.9656500000001</v>
      </c>
      <c r="Q287" s="302" t="s">
        <v>12</v>
      </c>
      <c r="R287" s="315" t="s">
        <v>539</v>
      </c>
      <c r="S287" s="315">
        <v>10</v>
      </c>
      <c r="T287" s="315">
        <v>5</v>
      </c>
      <c r="U287" s="315">
        <v>0.7</v>
      </c>
      <c r="V287" s="315">
        <v>0.7</v>
      </c>
      <c r="W287" s="315">
        <v>0.7</v>
      </c>
      <c r="X287" s="313">
        <v>2000</v>
      </c>
      <c r="Y287" s="313" t="s">
        <v>540</v>
      </c>
      <c r="Z287" s="313">
        <v>0.2</v>
      </c>
      <c r="AA287" s="313" t="s">
        <v>541</v>
      </c>
      <c r="AB287" s="313" t="s">
        <v>542</v>
      </c>
      <c r="AC287" s="313">
        <v>220</v>
      </c>
      <c r="AD287" s="158"/>
      <c r="AE287" s="188"/>
    </row>
    <row r="288" spans="1:31" ht="15.75">
      <c r="A288" s="313" t="s">
        <v>640</v>
      </c>
      <c r="B288" s="313">
        <v>9</v>
      </c>
      <c r="C288" s="313">
        <v>353</v>
      </c>
      <c r="D288" s="313" t="s">
        <v>589</v>
      </c>
      <c r="E288" s="313">
        <v>1</v>
      </c>
      <c r="F288" s="314">
        <v>45488.649305555555</v>
      </c>
      <c r="G288" s="313">
        <v>1</v>
      </c>
      <c r="H288" s="313">
        <v>51.374099999999999</v>
      </c>
      <c r="I288" s="313">
        <v>7.0128300000000001</v>
      </c>
      <c r="J288" s="313">
        <v>-23.997630999999998</v>
      </c>
      <c r="K288" s="313">
        <v>-22.532125000000001</v>
      </c>
      <c r="L288" s="313">
        <v>1065.98</v>
      </c>
      <c r="M288" s="313">
        <v>72.000257000000005</v>
      </c>
      <c r="N288" s="313">
        <v>11334.480100000001</v>
      </c>
      <c r="O288" s="313">
        <v>11571.7565</v>
      </c>
      <c r="P288" s="315">
        <v>2069.5320499999998</v>
      </c>
      <c r="Q288" s="302" t="s">
        <v>12</v>
      </c>
      <c r="R288" s="315" t="s">
        <v>553</v>
      </c>
      <c r="S288" s="315">
        <v>10</v>
      </c>
      <c r="T288" s="315">
        <v>5</v>
      </c>
      <c r="U288" s="315">
        <v>0.7</v>
      </c>
      <c r="V288" s="315">
        <v>0.7</v>
      </c>
      <c r="W288" s="315">
        <v>0.7</v>
      </c>
      <c r="X288" s="313">
        <v>2000</v>
      </c>
      <c r="Y288" s="313" t="s">
        <v>540</v>
      </c>
      <c r="Z288" s="313">
        <v>0.2</v>
      </c>
      <c r="AA288" s="313" t="s">
        <v>541</v>
      </c>
      <c r="AB288" s="313" t="s">
        <v>542</v>
      </c>
      <c r="AC288" s="313">
        <v>220</v>
      </c>
      <c r="AD288" s="158"/>
      <c r="AE288" s="188"/>
    </row>
    <row r="289" spans="1:31" ht="15.75">
      <c r="A289" s="313" t="s">
        <v>641</v>
      </c>
      <c r="B289" s="313">
        <v>9</v>
      </c>
      <c r="C289" s="313">
        <v>353</v>
      </c>
      <c r="D289" s="313" t="s">
        <v>589</v>
      </c>
      <c r="E289" s="313">
        <v>1</v>
      </c>
      <c r="F289" s="314">
        <v>45488.652777777781</v>
      </c>
      <c r="G289" s="313">
        <v>1</v>
      </c>
      <c r="H289" s="313">
        <v>51.374099999999999</v>
      </c>
      <c r="I289" s="313">
        <v>7.1635499999999999</v>
      </c>
      <c r="J289" s="313">
        <v>-23.945619000000001</v>
      </c>
      <c r="K289" s="313">
        <v>-22.427337999999999</v>
      </c>
      <c r="L289" s="313">
        <v>1053.32</v>
      </c>
      <c r="M289" s="313">
        <v>71.999934999999994</v>
      </c>
      <c r="N289" s="313">
        <v>11543.1702</v>
      </c>
      <c r="O289" s="313">
        <v>11571.7565</v>
      </c>
      <c r="P289" s="315">
        <v>2069.5320499999998</v>
      </c>
      <c r="Q289" s="302" t="s">
        <v>12</v>
      </c>
      <c r="R289" s="315" t="s">
        <v>553</v>
      </c>
      <c r="S289" s="315">
        <v>10</v>
      </c>
      <c r="T289" s="315">
        <v>5</v>
      </c>
      <c r="U289" s="315">
        <v>0.7</v>
      </c>
      <c r="V289" s="315">
        <v>0.7</v>
      </c>
      <c r="W289" s="315">
        <v>0.7</v>
      </c>
      <c r="X289" s="313">
        <v>2000</v>
      </c>
      <c r="Y289" s="313" t="s">
        <v>540</v>
      </c>
      <c r="Z289" s="313">
        <v>0.2</v>
      </c>
      <c r="AA289" s="313" t="s">
        <v>541</v>
      </c>
      <c r="AB289" s="313" t="s">
        <v>542</v>
      </c>
      <c r="AC289" s="313">
        <v>220</v>
      </c>
      <c r="AD289" s="158"/>
      <c r="AE289" s="188"/>
    </row>
    <row r="290" spans="1:31" ht="15.75">
      <c r="A290" s="313" t="s">
        <v>642</v>
      </c>
      <c r="B290" s="313">
        <v>9</v>
      </c>
      <c r="C290" s="313">
        <v>353</v>
      </c>
      <c r="D290" s="313" t="s">
        <v>589</v>
      </c>
      <c r="E290" s="313">
        <v>1</v>
      </c>
      <c r="F290" s="314">
        <v>45488.655555555553</v>
      </c>
      <c r="G290" s="313">
        <v>1</v>
      </c>
      <c r="H290" s="313">
        <v>51.377400000000002</v>
      </c>
      <c r="I290" s="313">
        <v>6.9687599999999996</v>
      </c>
      <c r="J290" s="313">
        <v>-23.947700000000001</v>
      </c>
      <c r="K290" s="313">
        <v>-21.964362000000001</v>
      </c>
      <c r="L290" s="313">
        <v>1060.3699999999999</v>
      </c>
      <c r="M290" s="313">
        <v>67.999961999999996</v>
      </c>
      <c r="N290" s="313">
        <v>11505.748299999999</v>
      </c>
      <c r="O290" s="313">
        <v>11571.7565</v>
      </c>
      <c r="P290" s="315">
        <v>2069.5320499999998</v>
      </c>
      <c r="Q290" s="302" t="s">
        <v>12</v>
      </c>
      <c r="R290" s="315" t="s">
        <v>553</v>
      </c>
      <c r="S290" s="315">
        <v>10</v>
      </c>
      <c r="T290" s="315">
        <v>5</v>
      </c>
      <c r="U290" s="315">
        <v>0.7</v>
      </c>
      <c r="V290" s="315">
        <v>0.7</v>
      </c>
      <c r="W290" s="315">
        <v>0.7</v>
      </c>
      <c r="X290" s="313">
        <v>2000</v>
      </c>
      <c r="Y290" s="313" t="s">
        <v>540</v>
      </c>
      <c r="Z290" s="313">
        <v>0.2</v>
      </c>
      <c r="AA290" s="313" t="s">
        <v>541</v>
      </c>
      <c r="AB290" s="313" t="s">
        <v>542</v>
      </c>
      <c r="AC290" s="313">
        <v>220</v>
      </c>
      <c r="AD290" s="158"/>
      <c r="AE290" s="188"/>
    </row>
    <row r="291" spans="1:31" ht="15.75">
      <c r="A291" s="313" t="s">
        <v>747</v>
      </c>
      <c r="B291" s="313">
        <v>9</v>
      </c>
      <c r="C291" s="313">
        <v>353</v>
      </c>
      <c r="D291" s="313" t="s">
        <v>589</v>
      </c>
      <c r="E291" s="313">
        <v>1</v>
      </c>
      <c r="F291" s="314">
        <v>45488.658333333333</v>
      </c>
      <c r="G291" s="313">
        <v>1</v>
      </c>
      <c r="H291" s="313">
        <v>51.380699999999997</v>
      </c>
      <c r="I291" s="313">
        <v>7.0251799999999998</v>
      </c>
      <c r="J291" s="313">
        <v>-23.956493999999999</v>
      </c>
      <c r="K291" s="313">
        <v>-22.364231</v>
      </c>
      <c r="L291" s="313">
        <v>1063.97</v>
      </c>
      <c r="M291" s="313">
        <v>73.500580999999997</v>
      </c>
      <c r="N291" s="313">
        <v>11574.0471</v>
      </c>
      <c r="O291" s="313">
        <v>11571.7565</v>
      </c>
      <c r="P291" s="315">
        <v>2069.5320499999998</v>
      </c>
      <c r="Q291" s="302" t="s">
        <v>12</v>
      </c>
      <c r="R291" s="315" t="s">
        <v>539</v>
      </c>
      <c r="S291" s="315">
        <v>10</v>
      </c>
      <c r="T291" s="315">
        <v>5</v>
      </c>
      <c r="U291" s="315">
        <v>0.7</v>
      </c>
      <c r="V291" s="315">
        <v>0.7</v>
      </c>
      <c r="W291" s="315">
        <v>0.7</v>
      </c>
      <c r="X291" s="313">
        <v>2000</v>
      </c>
      <c r="Y291" s="313" t="s">
        <v>540</v>
      </c>
      <c r="Z291" s="313">
        <v>0.2</v>
      </c>
      <c r="AA291" s="313" t="s">
        <v>541</v>
      </c>
      <c r="AB291" s="313" t="s">
        <v>542</v>
      </c>
      <c r="AC291" s="313">
        <v>220</v>
      </c>
      <c r="AD291" s="158"/>
      <c r="AE291" s="188"/>
    </row>
    <row r="292" spans="1:31" ht="15.75">
      <c r="A292" s="313" t="s">
        <v>748</v>
      </c>
      <c r="B292" s="313">
        <v>9</v>
      </c>
      <c r="C292" s="313">
        <v>353</v>
      </c>
      <c r="D292" s="313" t="s">
        <v>589</v>
      </c>
      <c r="E292" s="313">
        <v>1</v>
      </c>
      <c r="F292" s="314">
        <v>45488.661111111112</v>
      </c>
      <c r="G292" s="313">
        <v>1</v>
      </c>
      <c r="H292" s="313">
        <v>51.377400000000002</v>
      </c>
      <c r="I292" s="313">
        <v>7.0703699999999996</v>
      </c>
      <c r="J292" s="313">
        <v>-24.015993999999999</v>
      </c>
      <c r="K292" s="313">
        <v>-22.811181000000001</v>
      </c>
      <c r="L292" s="313">
        <v>1056.3</v>
      </c>
      <c r="M292" s="313">
        <v>77.999604000000005</v>
      </c>
      <c r="N292" s="313">
        <v>11569.466</v>
      </c>
      <c r="O292" s="313">
        <v>11571.7565</v>
      </c>
      <c r="P292" s="315">
        <v>2069.5320499999998</v>
      </c>
      <c r="Q292" s="302" t="s">
        <v>12</v>
      </c>
      <c r="R292" s="315" t="s">
        <v>539</v>
      </c>
      <c r="S292" s="315">
        <v>10</v>
      </c>
      <c r="T292" s="315">
        <v>5</v>
      </c>
      <c r="U292" s="315">
        <v>0.7</v>
      </c>
      <c r="V292" s="315">
        <v>0.7</v>
      </c>
      <c r="W292" s="315">
        <v>0.7</v>
      </c>
      <c r="X292" s="313">
        <v>2000</v>
      </c>
      <c r="Y292" s="313" t="s">
        <v>540</v>
      </c>
      <c r="Z292" s="313">
        <v>0.2</v>
      </c>
      <c r="AA292" s="313" t="s">
        <v>541</v>
      </c>
      <c r="AB292" s="313" t="s">
        <v>542</v>
      </c>
      <c r="AC292" s="313">
        <v>220</v>
      </c>
      <c r="AD292" s="158"/>
      <c r="AE292" s="188"/>
    </row>
    <row r="293" spans="1:31" ht="15.75">
      <c r="A293" s="313" t="s">
        <v>749</v>
      </c>
      <c r="B293" s="313" t="s">
        <v>551</v>
      </c>
      <c r="C293" s="313" t="s">
        <v>726</v>
      </c>
      <c r="D293" s="313" t="s">
        <v>538</v>
      </c>
      <c r="E293" s="313">
        <v>0.8</v>
      </c>
      <c r="F293" s="314">
        <v>45488.664583333331</v>
      </c>
      <c r="G293" s="313">
        <v>1</v>
      </c>
      <c r="H293" s="313">
        <v>51.377400000000002</v>
      </c>
      <c r="I293" s="313">
        <v>6.9900399999999996</v>
      </c>
      <c r="J293" s="313">
        <v>-24.042006000000001</v>
      </c>
      <c r="K293" s="313">
        <v>-22.717144000000001</v>
      </c>
      <c r="L293" s="313">
        <v>966.79100000000005</v>
      </c>
      <c r="M293" s="313">
        <v>68.999909000000002</v>
      </c>
      <c r="N293" s="313">
        <v>9206.1733800000002</v>
      </c>
      <c r="O293" s="313">
        <v>9233.4286400000001</v>
      </c>
      <c r="P293" s="315">
        <v>2070.3456999999999</v>
      </c>
      <c r="Q293" s="302" t="s">
        <v>12</v>
      </c>
      <c r="R293" s="315" t="s">
        <v>553</v>
      </c>
      <c r="S293" s="315">
        <v>10</v>
      </c>
      <c r="T293" s="315">
        <v>5</v>
      </c>
      <c r="U293" s="315">
        <v>0.7</v>
      </c>
      <c r="V293" s="315">
        <v>0.7</v>
      </c>
      <c r="W293" s="315">
        <v>0.7</v>
      </c>
      <c r="X293" s="313">
        <v>2000</v>
      </c>
      <c r="Y293" s="313" t="s">
        <v>540</v>
      </c>
      <c r="Z293" s="313">
        <v>0.2</v>
      </c>
      <c r="AA293" s="313" t="s">
        <v>541</v>
      </c>
      <c r="AB293" s="313" t="s">
        <v>542</v>
      </c>
      <c r="AC293" s="313">
        <v>220</v>
      </c>
      <c r="AD293" s="158"/>
      <c r="AE293" s="188"/>
    </row>
    <row r="294" spans="1:31" ht="15.75">
      <c r="A294" s="313" t="s">
        <v>750</v>
      </c>
      <c r="B294" s="313" t="s">
        <v>551</v>
      </c>
      <c r="C294" s="313" t="s">
        <v>726</v>
      </c>
      <c r="D294" s="313" t="s">
        <v>538</v>
      </c>
      <c r="E294" s="313">
        <v>0.8</v>
      </c>
      <c r="F294" s="314">
        <v>45488.667361111111</v>
      </c>
      <c r="G294" s="313">
        <v>1</v>
      </c>
      <c r="H294" s="313">
        <v>51.377400000000002</v>
      </c>
      <c r="I294" s="313">
        <v>7.0569899999999999</v>
      </c>
      <c r="J294" s="313">
        <v>-24.001162000000001</v>
      </c>
      <c r="K294" s="313">
        <v>-22.647606</v>
      </c>
      <c r="L294" s="313">
        <v>1002.42</v>
      </c>
      <c r="M294" s="313">
        <v>68.000489999999999</v>
      </c>
      <c r="N294" s="313">
        <v>9290.8894600000003</v>
      </c>
      <c r="O294" s="313">
        <v>9233.4286400000001</v>
      </c>
      <c r="P294" s="315">
        <v>2070.3456999999999</v>
      </c>
      <c r="Q294" s="302" t="s">
        <v>12</v>
      </c>
      <c r="R294" s="315" t="s">
        <v>553</v>
      </c>
      <c r="S294" s="315">
        <v>10</v>
      </c>
      <c r="T294" s="315">
        <v>5</v>
      </c>
      <c r="U294" s="315">
        <v>0.7</v>
      </c>
      <c r="V294" s="315">
        <v>0.7</v>
      </c>
      <c r="W294" s="315">
        <v>0.7</v>
      </c>
      <c r="X294" s="313">
        <v>2000</v>
      </c>
      <c r="Y294" s="313" t="s">
        <v>540</v>
      </c>
      <c r="Z294" s="313">
        <v>0.2</v>
      </c>
      <c r="AA294" s="313" t="s">
        <v>541</v>
      </c>
      <c r="AB294" s="313" t="s">
        <v>542</v>
      </c>
      <c r="AC294" s="313">
        <v>220</v>
      </c>
      <c r="AD294" s="158"/>
      <c r="AE294" s="188"/>
    </row>
    <row r="295" spans="1:31" ht="15.75">
      <c r="A295" s="313" t="s">
        <v>751</v>
      </c>
      <c r="B295" s="313" t="s">
        <v>551</v>
      </c>
      <c r="C295" s="313" t="s">
        <v>726</v>
      </c>
      <c r="D295" s="313" t="s">
        <v>538</v>
      </c>
      <c r="E295" s="313">
        <v>0.8</v>
      </c>
      <c r="F295" s="314">
        <v>45488.670138888891</v>
      </c>
      <c r="G295" s="313">
        <v>1</v>
      </c>
      <c r="H295" s="313">
        <v>51.377400000000002</v>
      </c>
      <c r="I295" s="313">
        <v>6.9943</v>
      </c>
      <c r="J295" s="313">
        <v>-23.906393999999999</v>
      </c>
      <c r="K295" s="313">
        <v>-22.671150000000001</v>
      </c>
      <c r="L295" s="313">
        <v>988.08600000000001</v>
      </c>
      <c r="M295" s="313">
        <v>68.500739999999993</v>
      </c>
      <c r="N295" s="313">
        <v>9252.5874700000004</v>
      </c>
      <c r="O295" s="313">
        <v>9233.4286400000001</v>
      </c>
      <c r="P295" s="315">
        <v>2070.3456999999999</v>
      </c>
      <c r="Q295" s="302" t="s">
        <v>12</v>
      </c>
      <c r="R295" s="315" t="s">
        <v>553</v>
      </c>
      <c r="S295" s="315">
        <v>10</v>
      </c>
      <c r="T295" s="315">
        <v>5</v>
      </c>
      <c r="U295" s="315">
        <v>0.7</v>
      </c>
      <c r="V295" s="315">
        <v>0.7</v>
      </c>
      <c r="W295" s="315">
        <v>0.7</v>
      </c>
      <c r="X295" s="313">
        <v>2000</v>
      </c>
      <c r="Y295" s="313" t="s">
        <v>540</v>
      </c>
      <c r="Z295" s="313">
        <v>0.2</v>
      </c>
      <c r="AA295" s="313" t="s">
        <v>541</v>
      </c>
      <c r="AB295" s="313" t="s">
        <v>542</v>
      </c>
      <c r="AC295" s="313">
        <v>220</v>
      </c>
      <c r="AD295" s="158"/>
      <c r="AE295" s="188"/>
    </row>
    <row r="296" spans="1:31" ht="15.75">
      <c r="A296" s="313" t="s">
        <v>752</v>
      </c>
      <c r="B296" s="313" t="s">
        <v>551</v>
      </c>
      <c r="C296" s="313" t="s">
        <v>726</v>
      </c>
      <c r="D296" s="313" t="s">
        <v>538</v>
      </c>
      <c r="E296" s="313">
        <v>0.8</v>
      </c>
      <c r="F296" s="314">
        <v>45488.67291666667</v>
      </c>
      <c r="G296" s="313">
        <v>1</v>
      </c>
      <c r="H296" s="313">
        <v>51.380699999999997</v>
      </c>
      <c r="I296" s="313">
        <v>7.1725500000000002</v>
      </c>
      <c r="J296" s="313">
        <v>-23.906224999999999</v>
      </c>
      <c r="K296" s="313">
        <v>-22.566344000000001</v>
      </c>
      <c r="L296" s="313">
        <v>976.16</v>
      </c>
      <c r="M296" s="313">
        <v>66.99991</v>
      </c>
      <c r="N296" s="313">
        <v>9226.2362400000002</v>
      </c>
      <c r="O296" s="313">
        <v>9233.4286400000001</v>
      </c>
      <c r="P296" s="315">
        <v>2070.3456999999999</v>
      </c>
      <c r="Q296" s="302" t="s">
        <v>12</v>
      </c>
      <c r="R296" s="315" t="s">
        <v>539</v>
      </c>
      <c r="S296" s="315">
        <v>10</v>
      </c>
      <c r="T296" s="315">
        <v>5</v>
      </c>
      <c r="U296" s="315">
        <v>0.7</v>
      </c>
      <c r="V296" s="315">
        <v>0.7</v>
      </c>
      <c r="W296" s="315">
        <v>0.7</v>
      </c>
      <c r="X296" s="313">
        <v>2000</v>
      </c>
      <c r="Y296" s="313" t="s">
        <v>540</v>
      </c>
      <c r="Z296" s="313">
        <v>0.2</v>
      </c>
      <c r="AA296" s="313" t="s">
        <v>541</v>
      </c>
      <c r="AB296" s="313" t="s">
        <v>542</v>
      </c>
      <c r="AC296" s="313">
        <v>220</v>
      </c>
      <c r="AD296" s="158"/>
      <c r="AE296" s="188"/>
    </row>
    <row r="297" spans="1:31" ht="15.75">
      <c r="A297" s="313" t="s">
        <v>753</v>
      </c>
      <c r="B297" s="313" t="s">
        <v>551</v>
      </c>
      <c r="C297" s="313" t="s">
        <v>726</v>
      </c>
      <c r="D297" s="313" t="s">
        <v>538</v>
      </c>
      <c r="E297" s="313">
        <v>0.8</v>
      </c>
      <c r="F297" s="314">
        <v>45488.675000000003</v>
      </c>
      <c r="G297" s="313">
        <v>1</v>
      </c>
      <c r="H297" s="313">
        <v>51.377400000000002</v>
      </c>
      <c r="I297" s="313">
        <v>7.5661399999999999</v>
      </c>
      <c r="J297" s="313">
        <v>-24.058675000000001</v>
      </c>
      <c r="K297" s="313">
        <v>-22.626874999999998</v>
      </c>
      <c r="L297" s="313">
        <v>1016.32</v>
      </c>
      <c r="M297" s="313">
        <v>64.500140000000002</v>
      </c>
      <c r="N297" s="313">
        <v>9240.62104</v>
      </c>
      <c r="O297" s="313">
        <v>9233.4286400000001</v>
      </c>
      <c r="P297" s="315">
        <v>2070.3456999999999</v>
      </c>
      <c r="Q297" s="302" t="s">
        <v>12</v>
      </c>
      <c r="R297" s="315" t="s">
        <v>539</v>
      </c>
      <c r="S297" s="315">
        <v>10</v>
      </c>
      <c r="T297" s="315">
        <v>5</v>
      </c>
      <c r="U297" s="315">
        <v>0.7</v>
      </c>
      <c r="V297" s="315">
        <v>0.7</v>
      </c>
      <c r="W297" s="315">
        <v>0.7</v>
      </c>
      <c r="X297" s="313">
        <v>2000</v>
      </c>
      <c r="Y297" s="313" t="s">
        <v>540</v>
      </c>
      <c r="Z297" s="313">
        <v>0.2</v>
      </c>
      <c r="AA297" s="313" t="s">
        <v>541</v>
      </c>
      <c r="AB297" s="313" t="s">
        <v>542</v>
      </c>
      <c r="AC297" s="313">
        <v>220</v>
      </c>
      <c r="AD297" s="158"/>
      <c r="AE297" s="188"/>
    </row>
    <row r="298" spans="1:31" ht="15.75">
      <c r="A298" s="313" t="s">
        <v>754</v>
      </c>
      <c r="B298" s="313" t="s">
        <v>558</v>
      </c>
      <c r="C298" s="313" t="s">
        <v>726</v>
      </c>
      <c r="D298" s="313" t="s">
        <v>538</v>
      </c>
      <c r="E298" s="313">
        <v>1</v>
      </c>
      <c r="F298" s="314">
        <v>45488.677777777775</v>
      </c>
      <c r="G298" s="313">
        <v>1</v>
      </c>
      <c r="H298" s="313">
        <v>51.377400000000002</v>
      </c>
      <c r="I298" s="313">
        <v>7.5944700000000003</v>
      </c>
      <c r="J298" s="313">
        <v>-24.003644000000001</v>
      </c>
      <c r="K298" s="313">
        <v>-22.3294</v>
      </c>
      <c r="L298" s="313">
        <v>1080.51</v>
      </c>
      <c r="M298" s="313">
        <v>64.498586000000003</v>
      </c>
      <c r="N298" s="313">
        <v>11571.413399999999</v>
      </c>
      <c r="O298" s="313">
        <v>11601.265799999999</v>
      </c>
      <c r="P298" s="315">
        <v>2070.3456999999999</v>
      </c>
      <c r="Q298" s="302" t="s">
        <v>12</v>
      </c>
      <c r="R298" s="315" t="s">
        <v>553</v>
      </c>
      <c r="S298" s="315">
        <v>10</v>
      </c>
      <c r="T298" s="315">
        <v>5</v>
      </c>
      <c r="U298" s="315">
        <v>0.7</v>
      </c>
      <c r="V298" s="315">
        <v>0.7</v>
      </c>
      <c r="W298" s="315">
        <v>0.7</v>
      </c>
      <c r="X298" s="313">
        <v>2000</v>
      </c>
      <c r="Y298" s="313" t="s">
        <v>540</v>
      </c>
      <c r="Z298" s="313">
        <v>0.2</v>
      </c>
      <c r="AA298" s="313" t="s">
        <v>541</v>
      </c>
      <c r="AB298" s="313" t="s">
        <v>542</v>
      </c>
      <c r="AC298" s="313">
        <v>220</v>
      </c>
      <c r="AD298" s="158"/>
      <c r="AE298" s="188"/>
    </row>
    <row r="299" spans="1:31" ht="15.75">
      <c r="A299" s="313" t="s">
        <v>755</v>
      </c>
      <c r="B299" s="313" t="s">
        <v>558</v>
      </c>
      <c r="C299" s="313" t="s">
        <v>726</v>
      </c>
      <c r="D299" s="313" t="s">
        <v>538</v>
      </c>
      <c r="E299" s="313">
        <v>1</v>
      </c>
      <c r="F299" s="314">
        <v>45488.680555555555</v>
      </c>
      <c r="G299" s="313">
        <v>1</v>
      </c>
      <c r="H299" s="313">
        <v>51.377400000000002</v>
      </c>
      <c r="I299" s="313">
        <v>7.3784000000000001</v>
      </c>
      <c r="J299" s="313">
        <v>-24.067388000000001</v>
      </c>
      <c r="K299" s="313">
        <v>-22.198156000000001</v>
      </c>
      <c r="L299" s="313">
        <v>1080.3399999999999</v>
      </c>
      <c r="M299" s="313">
        <v>66.999476000000001</v>
      </c>
      <c r="N299" s="313">
        <v>11632.6792</v>
      </c>
      <c r="O299" s="313">
        <v>11601.265799999999</v>
      </c>
      <c r="P299" s="315">
        <v>2070.3456999999999</v>
      </c>
      <c r="Q299" s="302" t="s">
        <v>12</v>
      </c>
      <c r="R299" s="315" t="s">
        <v>553</v>
      </c>
      <c r="S299" s="315">
        <v>10</v>
      </c>
      <c r="T299" s="315">
        <v>5</v>
      </c>
      <c r="U299" s="315">
        <v>0.7</v>
      </c>
      <c r="V299" s="315">
        <v>0.7</v>
      </c>
      <c r="W299" s="315">
        <v>0.7</v>
      </c>
      <c r="X299" s="313">
        <v>2000</v>
      </c>
      <c r="Y299" s="313" t="s">
        <v>540</v>
      </c>
      <c r="Z299" s="313">
        <v>0.2</v>
      </c>
      <c r="AA299" s="313" t="s">
        <v>541</v>
      </c>
      <c r="AB299" s="313" t="s">
        <v>542</v>
      </c>
      <c r="AC299" s="313">
        <v>220</v>
      </c>
      <c r="AD299" s="158"/>
      <c r="AE299" s="188"/>
    </row>
    <row r="300" spans="1:31" ht="15.75">
      <c r="A300" s="313" t="s">
        <v>756</v>
      </c>
      <c r="B300" s="313" t="s">
        <v>558</v>
      </c>
      <c r="C300" s="313" t="s">
        <v>726</v>
      </c>
      <c r="D300" s="313" t="s">
        <v>538</v>
      </c>
      <c r="E300" s="313">
        <v>1</v>
      </c>
      <c r="F300" s="314">
        <v>45488.683333333334</v>
      </c>
      <c r="G300" s="313">
        <v>1</v>
      </c>
      <c r="H300" s="313">
        <v>51.384</v>
      </c>
      <c r="I300" s="313">
        <v>7.2484799999999998</v>
      </c>
      <c r="J300" s="313">
        <v>-23.907374999999998</v>
      </c>
      <c r="K300" s="313">
        <v>-22.253619</v>
      </c>
      <c r="L300" s="313">
        <v>1086.55</v>
      </c>
      <c r="M300" s="313">
        <v>69.999930000000006</v>
      </c>
      <c r="N300" s="313">
        <v>11522.918100000001</v>
      </c>
      <c r="O300" s="313">
        <v>11601.265799999999</v>
      </c>
      <c r="P300" s="315">
        <v>2070.3456999999999</v>
      </c>
      <c r="Q300" s="302" t="s">
        <v>12</v>
      </c>
      <c r="R300" s="315" t="s">
        <v>553</v>
      </c>
      <c r="S300" s="315">
        <v>10</v>
      </c>
      <c r="T300" s="315">
        <v>5</v>
      </c>
      <c r="U300" s="315">
        <v>0.7</v>
      </c>
      <c r="V300" s="315">
        <v>0.7</v>
      </c>
      <c r="W300" s="315">
        <v>0.7</v>
      </c>
      <c r="X300" s="313">
        <v>2000</v>
      </c>
      <c r="Y300" s="313" t="s">
        <v>540</v>
      </c>
      <c r="Z300" s="313">
        <v>0.2</v>
      </c>
      <c r="AA300" s="313" t="s">
        <v>541</v>
      </c>
      <c r="AB300" s="313" t="s">
        <v>542</v>
      </c>
      <c r="AC300" s="313">
        <v>220</v>
      </c>
      <c r="AD300" s="158"/>
      <c r="AE300" s="188"/>
    </row>
    <row r="301" spans="1:31" ht="15.75">
      <c r="A301" s="316" t="s">
        <v>757</v>
      </c>
      <c r="B301" s="316" t="s">
        <v>558</v>
      </c>
      <c r="C301" s="313" t="s">
        <v>726</v>
      </c>
      <c r="D301" s="316" t="s">
        <v>538</v>
      </c>
      <c r="E301" s="316">
        <v>1</v>
      </c>
      <c r="F301" s="317">
        <v>45488.686111111114</v>
      </c>
      <c r="G301" s="316">
        <v>1</v>
      </c>
      <c r="H301" s="316">
        <v>51.377400000000002</v>
      </c>
      <c r="I301" s="316">
        <v>7.1978799999999996</v>
      </c>
      <c r="J301" s="316">
        <v>-24.018861999999999</v>
      </c>
      <c r="K301" s="316">
        <v>-22.381080999999998</v>
      </c>
      <c r="L301" s="316">
        <v>1063.24</v>
      </c>
      <c r="M301" s="316">
        <v>69.000255999999993</v>
      </c>
      <c r="N301" s="316">
        <v>11598.005499999999</v>
      </c>
      <c r="O301" s="316">
        <v>11601.265799999999</v>
      </c>
      <c r="P301" s="318">
        <v>2070.3456999999999</v>
      </c>
      <c r="Q301" s="302" t="s">
        <v>12</v>
      </c>
      <c r="R301" s="318" t="s">
        <v>539</v>
      </c>
      <c r="S301" s="318">
        <v>10</v>
      </c>
      <c r="T301" s="315">
        <v>5</v>
      </c>
      <c r="U301" s="315">
        <v>0.7</v>
      </c>
      <c r="V301" s="315">
        <v>0.7</v>
      </c>
      <c r="W301" s="315">
        <v>0.7</v>
      </c>
      <c r="X301" s="313">
        <v>2000</v>
      </c>
      <c r="Y301" s="313" t="s">
        <v>540</v>
      </c>
      <c r="Z301" s="313">
        <v>0.2</v>
      </c>
      <c r="AA301" s="313" t="s">
        <v>541</v>
      </c>
      <c r="AB301" s="313" t="s">
        <v>542</v>
      </c>
      <c r="AC301" s="313">
        <v>220</v>
      </c>
      <c r="AD301" s="158"/>
      <c r="AE301" s="188"/>
    </row>
    <row r="302" spans="1:31" ht="15.75">
      <c r="A302" s="313" t="s">
        <v>758</v>
      </c>
      <c r="B302" s="313" t="s">
        <v>558</v>
      </c>
      <c r="C302" s="313" t="s">
        <v>726</v>
      </c>
      <c r="D302" s="313" t="s">
        <v>538</v>
      </c>
      <c r="E302" s="313">
        <v>1</v>
      </c>
      <c r="F302" s="314">
        <v>45488.688888888886</v>
      </c>
      <c r="G302" s="313">
        <v>1</v>
      </c>
      <c r="H302" s="313">
        <v>51.380699999999997</v>
      </c>
      <c r="I302" s="313">
        <v>7.0231300000000001</v>
      </c>
      <c r="J302" s="313">
        <v>-24.012149999999998</v>
      </c>
      <c r="K302" s="313">
        <v>-22.154225</v>
      </c>
      <c r="L302" s="313">
        <v>1074.93</v>
      </c>
      <c r="M302" s="313">
        <v>70.499690999999999</v>
      </c>
      <c r="N302" s="313">
        <v>11604.526099999999</v>
      </c>
      <c r="O302" s="313">
        <v>11601.265799999999</v>
      </c>
      <c r="P302" s="315">
        <v>2070.3456999999999</v>
      </c>
      <c r="Q302" s="302" t="s">
        <v>12</v>
      </c>
      <c r="R302" s="315" t="s">
        <v>539</v>
      </c>
      <c r="S302" s="315">
        <v>10</v>
      </c>
      <c r="T302" s="315">
        <v>5</v>
      </c>
      <c r="U302" s="315">
        <v>0.7</v>
      </c>
      <c r="V302" s="315">
        <v>0.7</v>
      </c>
      <c r="W302" s="315">
        <v>0.7</v>
      </c>
      <c r="X302" s="313">
        <v>2000</v>
      </c>
      <c r="Y302" s="313" t="s">
        <v>540</v>
      </c>
      <c r="Z302" s="313">
        <v>0.2</v>
      </c>
      <c r="AA302" s="313" t="s">
        <v>541</v>
      </c>
      <c r="AB302" s="313" t="s">
        <v>542</v>
      </c>
      <c r="AC302" s="313">
        <v>220</v>
      </c>
      <c r="AD302" s="158"/>
      <c r="AE302" s="188"/>
    </row>
    <row r="303" spans="1:31" ht="15.75">
      <c r="A303" s="313" t="s">
        <v>759</v>
      </c>
      <c r="B303" s="313" t="s">
        <v>561</v>
      </c>
      <c r="C303" s="313" t="s">
        <v>726</v>
      </c>
      <c r="D303" s="313" t="s">
        <v>538</v>
      </c>
      <c r="E303" s="313">
        <v>1.2</v>
      </c>
      <c r="F303" s="314">
        <v>45488.692361111112</v>
      </c>
      <c r="G303" s="313">
        <v>1</v>
      </c>
      <c r="H303" s="313">
        <v>51.377400000000002</v>
      </c>
      <c r="I303" s="313">
        <v>7.0552999999999999</v>
      </c>
      <c r="J303" s="313">
        <v>-24.080974999999999</v>
      </c>
      <c r="K303" s="313">
        <v>-21.984625000000001</v>
      </c>
      <c r="L303" s="313">
        <v>1088.71</v>
      </c>
      <c r="M303" s="313">
        <v>73.498735999999994</v>
      </c>
      <c r="N303" s="313">
        <v>13888.1976</v>
      </c>
      <c r="O303" s="313">
        <v>13874.402700000001</v>
      </c>
      <c r="P303" s="315">
        <v>2070.3456999999999</v>
      </c>
      <c r="Q303" s="302" t="s">
        <v>12</v>
      </c>
      <c r="R303" s="315" t="s">
        <v>539</v>
      </c>
      <c r="S303" s="315">
        <v>10</v>
      </c>
      <c r="T303" s="315">
        <v>5</v>
      </c>
      <c r="U303" s="315">
        <v>0.7</v>
      </c>
      <c r="V303" s="315">
        <v>0.7</v>
      </c>
      <c r="W303" s="315">
        <v>0.7</v>
      </c>
      <c r="X303" s="313">
        <v>2000</v>
      </c>
      <c r="Y303" s="313" t="s">
        <v>540</v>
      </c>
      <c r="Z303" s="313">
        <v>0.2</v>
      </c>
      <c r="AA303" s="313" t="s">
        <v>541</v>
      </c>
      <c r="AB303" s="313" t="s">
        <v>542</v>
      </c>
      <c r="AC303" s="313">
        <v>220</v>
      </c>
      <c r="AD303" s="158"/>
      <c r="AE303" s="188"/>
    </row>
    <row r="304" spans="1:31" ht="15.75">
      <c r="A304" s="313" t="s">
        <v>760</v>
      </c>
      <c r="B304" s="313" t="s">
        <v>561</v>
      </c>
      <c r="C304" s="313" t="s">
        <v>726</v>
      </c>
      <c r="D304" s="313" t="s">
        <v>538</v>
      </c>
      <c r="E304" s="313">
        <v>1.2</v>
      </c>
      <c r="F304" s="314">
        <v>45488.695138888892</v>
      </c>
      <c r="G304" s="313">
        <v>1</v>
      </c>
      <c r="H304" s="313">
        <v>51.374099999999999</v>
      </c>
      <c r="I304" s="313">
        <v>7.03721</v>
      </c>
      <c r="J304" s="313">
        <v>-23.997624999999999</v>
      </c>
      <c r="K304" s="313">
        <v>-22.125581</v>
      </c>
      <c r="L304" s="313">
        <v>1113.79</v>
      </c>
      <c r="M304" s="313">
        <v>74.000557999999998</v>
      </c>
      <c r="N304" s="313">
        <v>13860.607900000001</v>
      </c>
      <c r="O304" s="313">
        <v>13874.402700000001</v>
      </c>
      <c r="P304" s="315">
        <v>2070.3456999999999</v>
      </c>
      <c r="Q304" s="302" t="s">
        <v>12</v>
      </c>
      <c r="R304" s="315" t="s">
        <v>539</v>
      </c>
      <c r="S304" s="315">
        <v>10</v>
      </c>
      <c r="T304" s="315">
        <v>5</v>
      </c>
      <c r="U304" s="315">
        <v>0.7</v>
      </c>
      <c r="V304" s="315">
        <v>0.7</v>
      </c>
      <c r="W304" s="315">
        <v>0.7</v>
      </c>
      <c r="X304" s="313">
        <v>2000</v>
      </c>
      <c r="Y304" s="313" t="s">
        <v>540</v>
      </c>
      <c r="Z304" s="313">
        <v>0.2</v>
      </c>
      <c r="AA304" s="313" t="s">
        <v>541</v>
      </c>
      <c r="AB304" s="313" t="s">
        <v>542</v>
      </c>
      <c r="AC304" s="313">
        <v>220</v>
      </c>
      <c r="AD304" s="158"/>
      <c r="AE304" s="188"/>
    </row>
    <row r="305" spans="1:31" ht="15.75">
      <c r="A305" s="313" t="s">
        <v>648</v>
      </c>
      <c r="B305" s="313">
        <v>2</v>
      </c>
      <c r="C305" s="321">
        <v>365</v>
      </c>
      <c r="D305" s="313" t="s">
        <v>564</v>
      </c>
      <c r="E305" s="313">
        <v>1</v>
      </c>
      <c r="F305" s="314">
        <v>45488.698611111111</v>
      </c>
      <c r="G305" s="313">
        <v>1</v>
      </c>
      <c r="H305" s="313">
        <v>51.374099999999999</v>
      </c>
      <c r="I305" s="313">
        <v>7.0323200000000003</v>
      </c>
      <c r="J305" s="313">
        <v>-24.079619000000001</v>
      </c>
      <c r="K305" s="313">
        <v>-22.753644000000001</v>
      </c>
      <c r="L305" s="313">
        <v>1050.54</v>
      </c>
      <c r="M305" s="313">
        <v>77.999906999999993</v>
      </c>
      <c r="N305" s="313">
        <v>11614.8909</v>
      </c>
      <c r="O305" s="313">
        <v>11617.576300000001</v>
      </c>
      <c r="P305" s="315">
        <v>2078.8889399999998</v>
      </c>
      <c r="Q305" s="302" t="s">
        <v>12</v>
      </c>
      <c r="R305" s="315" t="s">
        <v>539</v>
      </c>
      <c r="S305" s="315">
        <v>10</v>
      </c>
      <c r="T305" s="315">
        <v>5</v>
      </c>
      <c r="U305" s="315">
        <v>0.7</v>
      </c>
      <c r="V305" s="315">
        <v>0.7</v>
      </c>
      <c r="W305" s="315">
        <v>0.7</v>
      </c>
      <c r="X305" s="313">
        <v>2000</v>
      </c>
      <c r="Y305" s="313" t="s">
        <v>540</v>
      </c>
      <c r="Z305" s="313">
        <v>0.2</v>
      </c>
      <c r="AA305" s="313" t="s">
        <v>541</v>
      </c>
      <c r="AB305" s="313" t="s">
        <v>542</v>
      </c>
      <c r="AC305" s="313">
        <v>220</v>
      </c>
      <c r="AD305" s="158"/>
      <c r="AE305" s="188"/>
    </row>
    <row r="306" spans="1:31" ht="15.75">
      <c r="A306" s="313" t="s">
        <v>650</v>
      </c>
      <c r="B306" s="313">
        <v>2</v>
      </c>
      <c r="C306" s="321">
        <v>365</v>
      </c>
      <c r="D306" s="313" t="s">
        <v>564</v>
      </c>
      <c r="E306" s="313">
        <v>1</v>
      </c>
      <c r="F306" s="314">
        <v>45488.701388888891</v>
      </c>
      <c r="G306" s="313">
        <v>1</v>
      </c>
      <c r="H306" s="313">
        <v>51.377400000000002</v>
      </c>
      <c r="I306" s="313">
        <v>7.2380500000000003</v>
      </c>
      <c r="J306" s="313">
        <v>-24.028025</v>
      </c>
      <c r="K306" s="313">
        <v>-22.200125</v>
      </c>
      <c r="L306" s="313">
        <v>1083.77</v>
      </c>
      <c r="M306" s="313">
        <v>69.998153000000002</v>
      </c>
      <c r="N306" s="313">
        <v>11620.2616</v>
      </c>
      <c r="O306" s="313">
        <v>11617.576300000001</v>
      </c>
      <c r="P306" s="315">
        <v>2078.8889399999998</v>
      </c>
      <c r="Q306" s="302" t="s">
        <v>12</v>
      </c>
      <c r="R306" s="315" t="s">
        <v>539</v>
      </c>
      <c r="S306" s="315">
        <v>10</v>
      </c>
      <c r="T306" s="315">
        <v>5</v>
      </c>
      <c r="U306" s="315">
        <v>0.7</v>
      </c>
      <c r="V306" s="315">
        <v>0.7</v>
      </c>
      <c r="W306" s="315">
        <v>0.7</v>
      </c>
      <c r="X306" s="313">
        <v>2000</v>
      </c>
      <c r="Y306" s="313" t="s">
        <v>540</v>
      </c>
      <c r="Z306" s="313">
        <v>0.2</v>
      </c>
      <c r="AA306" s="313" t="s">
        <v>541</v>
      </c>
      <c r="AB306" s="313" t="s">
        <v>542</v>
      </c>
      <c r="AC306" s="313">
        <v>220</v>
      </c>
      <c r="AD306" s="158"/>
      <c r="AE306" s="188"/>
    </row>
    <row r="307" spans="1:31" ht="15.75">
      <c r="A307" s="313" t="s">
        <v>651</v>
      </c>
      <c r="B307" s="313">
        <v>3</v>
      </c>
      <c r="C307" s="321">
        <v>366</v>
      </c>
      <c r="D307" s="313" t="s">
        <v>568</v>
      </c>
      <c r="E307" s="313">
        <v>1</v>
      </c>
      <c r="F307" s="314">
        <v>45488.704861111109</v>
      </c>
      <c r="G307" s="313">
        <v>1</v>
      </c>
      <c r="H307" s="313">
        <v>51.380699999999997</v>
      </c>
      <c r="I307" s="313">
        <v>7.1613600000000002</v>
      </c>
      <c r="J307" s="313">
        <v>-24.000919</v>
      </c>
      <c r="K307" s="313">
        <v>-22.412794000000002</v>
      </c>
      <c r="L307" s="313">
        <v>1062.96</v>
      </c>
      <c r="M307" s="313">
        <v>68.501484000000005</v>
      </c>
      <c r="N307" s="313">
        <v>11633.319600000001</v>
      </c>
      <c r="O307" s="313">
        <v>11640.456700000001</v>
      </c>
      <c r="P307" s="315">
        <v>2082.97174</v>
      </c>
      <c r="Q307" s="302" t="s">
        <v>12</v>
      </c>
      <c r="R307" s="315" t="s">
        <v>539</v>
      </c>
      <c r="S307" s="315">
        <v>10</v>
      </c>
      <c r="T307" s="315">
        <v>5</v>
      </c>
      <c r="U307" s="315">
        <v>0.7</v>
      </c>
      <c r="V307" s="315">
        <v>0.7</v>
      </c>
      <c r="W307" s="315">
        <v>0.7</v>
      </c>
      <c r="X307" s="313">
        <v>2000</v>
      </c>
      <c r="Y307" s="313" t="s">
        <v>540</v>
      </c>
      <c r="Z307" s="313">
        <v>0.2</v>
      </c>
      <c r="AA307" s="313" t="s">
        <v>541</v>
      </c>
      <c r="AB307" s="313" t="s">
        <v>542</v>
      </c>
      <c r="AC307" s="313">
        <v>220</v>
      </c>
      <c r="AD307" s="158"/>
      <c r="AE307" s="188"/>
    </row>
    <row r="308" spans="1:31" ht="15.75">
      <c r="A308" s="313" t="s">
        <v>652</v>
      </c>
      <c r="B308" s="313">
        <v>3</v>
      </c>
      <c r="C308" s="321">
        <v>366</v>
      </c>
      <c r="D308" s="313" t="s">
        <v>568</v>
      </c>
      <c r="E308" s="313">
        <v>1</v>
      </c>
      <c r="F308" s="314">
        <v>45488.707638888889</v>
      </c>
      <c r="G308" s="313">
        <v>1</v>
      </c>
      <c r="H308" s="313">
        <v>51.374099999999999</v>
      </c>
      <c r="I308" s="313">
        <v>7.1202899999999998</v>
      </c>
      <c r="J308" s="313">
        <v>-23.906130999999998</v>
      </c>
      <c r="K308" s="313">
        <v>-22.395624999999999</v>
      </c>
      <c r="L308" s="313">
        <v>1063.24</v>
      </c>
      <c r="M308" s="313">
        <v>70.500085999999996</v>
      </c>
      <c r="N308" s="313">
        <v>11647.593800000001</v>
      </c>
      <c r="O308" s="313">
        <v>11640.456700000001</v>
      </c>
      <c r="P308" s="315">
        <v>2082.97174</v>
      </c>
      <c r="Q308" s="302" t="s">
        <v>12</v>
      </c>
      <c r="R308" s="315" t="s">
        <v>539</v>
      </c>
      <c r="S308" s="315">
        <v>10</v>
      </c>
      <c r="T308" s="315">
        <v>5</v>
      </c>
      <c r="U308" s="315">
        <v>0.7</v>
      </c>
      <c r="V308" s="315">
        <v>0.7</v>
      </c>
      <c r="W308" s="315">
        <v>0.7</v>
      </c>
      <c r="X308" s="313">
        <v>2000</v>
      </c>
      <c r="Y308" s="313" t="s">
        <v>540</v>
      </c>
      <c r="Z308" s="313">
        <v>0.2</v>
      </c>
      <c r="AA308" s="313" t="s">
        <v>541</v>
      </c>
      <c r="AB308" s="313" t="s">
        <v>542</v>
      </c>
      <c r="AC308" s="313">
        <v>220</v>
      </c>
      <c r="AD308" s="158"/>
      <c r="AE308" s="188"/>
    </row>
    <row r="309" spans="1:31" ht="15.75">
      <c r="A309" s="313" t="s">
        <v>654</v>
      </c>
      <c r="B309" s="313">
        <v>4</v>
      </c>
      <c r="C309" s="321">
        <v>443</v>
      </c>
      <c r="D309" s="313" t="s">
        <v>571</v>
      </c>
      <c r="E309" s="313">
        <v>1</v>
      </c>
      <c r="F309" s="314">
        <v>45488.711111111108</v>
      </c>
      <c r="G309" s="313">
        <v>1</v>
      </c>
      <c r="H309" s="313">
        <v>51.377400000000002</v>
      </c>
      <c r="I309" s="313">
        <v>6.9769100000000002</v>
      </c>
      <c r="J309" s="313">
        <v>-24.053919</v>
      </c>
      <c r="K309" s="313">
        <v>-22.385075000000001</v>
      </c>
      <c r="L309" s="313">
        <v>1073.02</v>
      </c>
      <c r="M309" s="313">
        <v>72.501240999999993</v>
      </c>
      <c r="N309" s="313">
        <v>11605.091700000001</v>
      </c>
      <c r="O309" s="313">
        <v>11594.3968</v>
      </c>
      <c r="P309" s="315">
        <v>2074.7527799999998</v>
      </c>
      <c r="Q309" s="302" t="s">
        <v>12</v>
      </c>
      <c r="R309" s="315" t="s">
        <v>553</v>
      </c>
      <c r="S309" s="315">
        <v>10</v>
      </c>
      <c r="T309" s="315">
        <v>5</v>
      </c>
      <c r="U309" s="315">
        <v>0.7</v>
      </c>
      <c r="V309" s="315">
        <v>0.7</v>
      </c>
      <c r="W309" s="315">
        <v>0.7</v>
      </c>
      <c r="X309" s="313">
        <v>2000</v>
      </c>
      <c r="Y309" s="313" t="s">
        <v>540</v>
      </c>
      <c r="Z309" s="313">
        <v>0.2</v>
      </c>
      <c r="AA309" s="313" t="s">
        <v>541</v>
      </c>
      <c r="AB309" s="313" t="s">
        <v>542</v>
      </c>
      <c r="AC309" s="313">
        <v>220</v>
      </c>
      <c r="AD309" s="158"/>
      <c r="AE309" s="188"/>
    </row>
    <row r="310" spans="1:31" ht="15.75">
      <c r="A310" s="313" t="s">
        <v>655</v>
      </c>
      <c r="B310" s="313">
        <v>4</v>
      </c>
      <c r="C310" s="321">
        <v>443</v>
      </c>
      <c r="D310" s="313" t="s">
        <v>571</v>
      </c>
      <c r="E310" s="313">
        <v>1</v>
      </c>
      <c r="F310" s="314">
        <v>45488.713888888888</v>
      </c>
      <c r="G310" s="313">
        <v>1</v>
      </c>
      <c r="H310" s="313">
        <v>51.374099999999999</v>
      </c>
      <c r="I310" s="313">
        <v>6.93987</v>
      </c>
      <c r="J310" s="313">
        <v>-24.075918999999999</v>
      </c>
      <c r="K310" s="313">
        <v>-22.637855999999999</v>
      </c>
      <c r="L310" s="313">
        <v>1068.82</v>
      </c>
      <c r="M310" s="313">
        <v>75.000254999999996</v>
      </c>
      <c r="N310" s="313">
        <v>11447.2381</v>
      </c>
      <c r="O310" s="313">
        <v>11594.3968</v>
      </c>
      <c r="P310" s="315">
        <v>2074.7527799999998</v>
      </c>
      <c r="Q310" s="302" t="s">
        <v>12</v>
      </c>
      <c r="R310" s="315" t="s">
        <v>553</v>
      </c>
      <c r="S310" s="315">
        <v>10</v>
      </c>
      <c r="T310" s="315">
        <v>5</v>
      </c>
      <c r="U310" s="315">
        <v>0.7</v>
      </c>
      <c r="V310" s="315">
        <v>0.7</v>
      </c>
      <c r="W310" s="315">
        <v>0.7</v>
      </c>
      <c r="X310" s="313">
        <v>2000</v>
      </c>
      <c r="Y310" s="313" t="s">
        <v>540</v>
      </c>
      <c r="Z310" s="313">
        <v>0.2</v>
      </c>
      <c r="AA310" s="313" t="s">
        <v>541</v>
      </c>
      <c r="AB310" s="313" t="s">
        <v>542</v>
      </c>
      <c r="AC310" s="313">
        <v>220</v>
      </c>
      <c r="AD310" s="158"/>
      <c r="AE310" s="188"/>
    </row>
    <row r="311" spans="1:31" ht="15.75">
      <c r="A311" s="313" t="s">
        <v>656</v>
      </c>
      <c r="B311" s="313">
        <v>4</v>
      </c>
      <c r="C311" s="321">
        <v>443</v>
      </c>
      <c r="D311" s="313" t="s">
        <v>571</v>
      </c>
      <c r="E311" s="313">
        <v>1</v>
      </c>
      <c r="F311" s="314">
        <v>45488.716666666667</v>
      </c>
      <c r="G311" s="313">
        <v>1</v>
      </c>
      <c r="H311" s="313">
        <v>51.377400000000002</v>
      </c>
      <c r="I311" s="313">
        <v>6.9841300000000004</v>
      </c>
      <c r="J311" s="313">
        <v>-24.040969</v>
      </c>
      <c r="K311" s="313">
        <v>-22.466538</v>
      </c>
      <c r="L311" s="313">
        <v>1066.9000000000001</v>
      </c>
      <c r="M311" s="313">
        <v>73.000157000000002</v>
      </c>
      <c r="N311" s="313">
        <v>11589.5872</v>
      </c>
      <c r="O311" s="313">
        <v>11594.3968</v>
      </c>
      <c r="P311" s="315">
        <v>2074.7527799999998</v>
      </c>
      <c r="Q311" s="302" t="s">
        <v>12</v>
      </c>
      <c r="R311" s="315" t="s">
        <v>539</v>
      </c>
      <c r="S311" s="315">
        <v>10</v>
      </c>
      <c r="T311" s="315">
        <v>5</v>
      </c>
      <c r="U311" s="315">
        <v>0.7</v>
      </c>
      <c r="V311" s="315">
        <v>0.7</v>
      </c>
      <c r="W311" s="315">
        <v>0.7</v>
      </c>
      <c r="X311" s="313">
        <v>2000</v>
      </c>
      <c r="Y311" s="313" t="s">
        <v>540</v>
      </c>
      <c r="Z311" s="313">
        <v>0.2</v>
      </c>
      <c r="AA311" s="313" t="s">
        <v>541</v>
      </c>
      <c r="AB311" s="313" t="s">
        <v>542</v>
      </c>
      <c r="AC311" s="313">
        <v>220</v>
      </c>
      <c r="AD311" s="158"/>
      <c r="AE311" s="188"/>
    </row>
    <row r="312" spans="1:31" ht="15.75">
      <c r="A312" s="313" t="s">
        <v>761</v>
      </c>
      <c r="B312" s="313">
        <v>4</v>
      </c>
      <c r="C312" s="321">
        <v>443</v>
      </c>
      <c r="D312" s="313" t="s">
        <v>571</v>
      </c>
      <c r="E312" s="313">
        <v>1</v>
      </c>
      <c r="F312" s="314">
        <v>45488.719444444447</v>
      </c>
      <c r="G312" s="313">
        <v>1</v>
      </c>
      <c r="H312" s="313">
        <v>51.380699999999997</v>
      </c>
      <c r="I312" s="313">
        <v>6.827</v>
      </c>
      <c r="J312" s="313">
        <v>-23.967338000000002</v>
      </c>
      <c r="K312" s="313">
        <v>-22.929762</v>
      </c>
      <c r="L312" s="313">
        <v>1036.03</v>
      </c>
      <c r="M312" s="313">
        <v>78.498435000000001</v>
      </c>
      <c r="N312" s="313">
        <v>11599.206399999999</v>
      </c>
      <c r="O312" s="313">
        <v>11594.3968</v>
      </c>
      <c r="P312" s="315">
        <v>2074.7527799999998</v>
      </c>
      <c r="Q312" s="302" t="s">
        <v>12</v>
      </c>
      <c r="R312" s="315" t="s">
        <v>539</v>
      </c>
      <c r="S312" s="315">
        <v>10</v>
      </c>
      <c r="T312" s="315">
        <v>5</v>
      </c>
      <c r="U312" s="315">
        <v>0.7</v>
      </c>
      <c r="V312" s="315">
        <v>0.7</v>
      </c>
      <c r="W312" s="315">
        <v>0.7</v>
      </c>
      <c r="X312" s="313">
        <v>2000</v>
      </c>
      <c r="Y312" s="313" t="s">
        <v>540</v>
      </c>
      <c r="Z312" s="313">
        <v>0.2</v>
      </c>
      <c r="AA312" s="313" t="s">
        <v>541</v>
      </c>
      <c r="AB312" s="313" t="s">
        <v>542</v>
      </c>
      <c r="AC312" s="313">
        <v>220</v>
      </c>
      <c r="AD312" s="158"/>
      <c r="AE312" s="188"/>
    </row>
    <row r="313" spans="1:31" ht="15.75">
      <c r="A313" s="313" t="s">
        <v>657</v>
      </c>
      <c r="B313" s="313">
        <v>5</v>
      </c>
      <c r="C313" s="321">
        <v>444</v>
      </c>
      <c r="D313" s="313" t="s">
        <v>575</v>
      </c>
      <c r="E313" s="313">
        <v>1</v>
      </c>
      <c r="F313" s="314">
        <v>45488.722916666666</v>
      </c>
      <c r="G313" s="313">
        <v>1</v>
      </c>
      <c r="H313" s="313">
        <v>51.374099999999999</v>
      </c>
      <c r="I313" s="313">
        <v>6.9817400000000003</v>
      </c>
      <c r="J313" s="313">
        <v>-24.066700000000001</v>
      </c>
      <c r="K313" s="313">
        <v>-22.802087</v>
      </c>
      <c r="L313" s="313">
        <v>1066.04</v>
      </c>
      <c r="M313" s="313">
        <v>76.000926000000007</v>
      </c>
      <c r="N313" s="313">
        <v>11601.722100000001</v>
      </c>
      <c r="O313" s="313">
        <v>11605.096100000001</v>
      </c>
      <c r="P313" s="315">
        <v>2076.6619700000001</v>
      </c>
      <c r="Q313" s="302" t="s">
        <v>12</v>
      </c>
      <c r="R313" s="315" t="s">
        <v>553</v>
      </c>
      <c r="S313" s="315">
        <v>10</v>
      </c>
      <c r="T313" s="315">
        <v>5</v>
      </c>
      <c r="U313" s="315">
        <v>0.7</v>
      </c>
      <c r="V313" s="315">
        <v>0.7</v>
      </c>
      <c r="W313" s="315">
        <v>0.7</v>
      </c>
      <c r="X313" s="313">
        <v>2000</v>
      </c>
      <c r="Y313" s="313" t="s">
        <v>540</v>
      </c>
      <c r="Z313" s="313">
        <v>0.2</v>
      </c>
      <c r="AA313" s="313" t="s">
        <v>541</v>
      </c>
      <c r="AB313" s="313" t="s">
        <v>542</v>
      </c>
      <c r="AC313" s="313">
        <v>220</v>
      </c>
      <c r="AD313" s="158"/>
      <c r="AE313" s="188"/>
    </row>
    <row r="314" spans="1:31" ht="15.75">
      <c r="A314" s="313" t="s">
        <v>658</v>
      </c>
      <c r="B314" s="313">
        <v>5</v>
      </c>
      <c r="C314" s="321">
        <v>444</v>
      </c>
      <c r="D314" s="313" t="s">
        <v>575</v>
      </c>
      <c r="E314" s="313">
        <v>1</v>
      </c>
      <c r="F314" s="314">
        <v>45488.725694444445</v>
      </c>
      <c r="G314" s="313">
        <v>1</v>
      </c>
      <c r="H314" s="313">
        <v>51.380699999999997</v>
      </c>
      <c r="I314" s="313">
        <v>7.0928800000000001</v>
      </c>
      <c r="J314" s="313">
        <v>-24.039444</v>
      </c>
      <c r="K314" s="313">
        <v>-22.188268999999998</v>
      </c>
      <c r="L314" s="313">
        <v>1049.49</v>
      </c>
      <c r="M314" s="313">
        <v>69.000181999999995</v>
      </c>
      <c r="N314" s="313">
        <v>11444.7399</v>
      </c>
      <c r="O314" s="313">
        <v>11605.096100000001</v>
      </c>
      <c r="P314" s="315">
        <v>2076.6619700000001</v>
      </c>
      <c r="Q314" s="302" t="s">
        <v>12</v>
      </c>
      <c r="R314" s="315" t="s">
        <v>553</v>
      </c>
      <c r="S314" s="315">
        <v>10</v>
      </c>
      <c r="T314" s="315">
        <v>5</v>
      </c>
      <c r="U314" s="315">
        <v>0.7</v>
      </c>
      <c r="V314" s="315">
        <v>0.7</v>
      </c>
      <c r="W314" s="315">
        <v>0.7</v>
      </c>
      <c r="X314" s="313">
        <v>2000</v>
      </c>
      <c r="Y314" s="313" t="s">
        <v>540</v>
      </c>
      <c r="Z314" s="313">
        <v>0.2</v>
      </c>
      <c r="AA314" s="313" t="s">
        <v>541</v>
      </c>
      <c r="AB314" s="313" t="s">
        <v>542</v>
      </c>
      <c r="AC314" s="313">
        <v>220</v>
      </c>
      <c r="AD314" s="158"/>
      <c r="AE314" s="188"/>
    </row>
    <row r="315" spans="1:31" ht="15.75">
      <c r="A315" s="313" t="s">
        <v>715</v>
      </c>
      <c r="B315" s="313">
        <v>5</v>
      </c>
      <c r="C315" s="321">
        <v>444</v>
      </c>
      <c r="D315" s="313" t="s">
        <v>575</v>
      </c>
      <c r="E315" s="313">
        <v>1</v>
      </c>
      <c r="F315" s="314">
        <v>45488.728472222225</v>
      </c>
      <c r="G315" s="313">
        <v>1</v>
      </c>
      <c r="H315" s="313">
        <v>51.384</v>
      </c>
      <c r="I315" s="313">
        <v>7.1064499999999997</v>
      </c>
      <c r="J315" s="313">
        <v>-23.873505999999999</v>
      </c>
      <c r="K315" s="313">
        <v>-22.358750000000001</v>
      </c>
      <c r="L315" s="313">
        <v>1057.6199999999999</v>
      </c>
      <c r="M315" s="313">
        <v>76.501486999999997</v>
      </c>
      <c r="N315" s="313">
        <v>11503.413500000001</v>
      </c>
      <c r="O315" s="313">
        <v>11605.096100000001</v>
      </c>
      <c r="P315" s="315">
        <v>2076.6619700000001</v>
      </c>
      <c r="Q315" s="302" t="s">
        <v>12</v>
      </c>
      <c r="R315" s="315" t="s">
        <v>553</v>
      </c>
      <c r="S315" s="315">
        <v>10</v>
      </c>
      <c r="T315" s="315">
        <v>5</v>
      </c>
      <c r="U315" s="315">
        <v>0.7</v>
      </c>
      <c r="V315" s="315">
        <v>0.7</v>
      </c>
      <c r="W315" s="315">
        <v>0.7</v>
      </c>
      <c r="X315" s="313">
        <v>2000</v>
      </c>
      <c r="Y315" s="313" t="s">
        <v>540</v>
      </c>
      <c r="Z315" s="313">
        <v>0.2</v>
      </c>
      <c r="AA315" s="313" t="s">
        <v>541</v>
      </c>
      <c r="AB315" s="313" t="s">
        <v>542</v>
      </c>
      <c r="AC315" s="313">
        <v>220</v>
      </c>
      <c r="AD315" s="158"/>
      <c r="AE315" s="188"/>
    </row>
    <row r="316" spans="1:31" ht="15.75">
      <c r="A316" s="313" t="s">
        <v>762</v>
      </c>
      <c r="B316" s="313">
        <v>5</v>
      </c>
      <c r="C316" s="321">
        <v>444</v>
      </c>
      <c r="D316" s="313" t="s">
        <v>575</v>
      </c>
      <c r="E316" s="313">
        <v>1</v>
      </c>
      <c r="F316" s="314">
        <v>45488.731249999997</v>
      </c>
      <c r="G316" s="313">
        <v>1</v>
      </c>
      <c r="H316" s="313">
        <v>51.374099999999999</v>
      </c>
      <c r="I316" s="313">
        <v>7.3601200000000002</v>
      </c>
      <c r="J316" s="313">
        <v>-24.054931</v>
      </c>
      <c r="K316" s="313">
        <v>-22.719730999999999</v>
      </c>
      <c r="L316" s="313">
        <v>1088.33</v>
      </c>
      <c r="M316" s="313">
        <v>74.501239999999996</v>
      </c>
      <c r="N316" s="313">
        <v>11607.171200000001</v>
      </c>
      <c r="O316" s="313">
        <v>11605.096100000001</v>
      </c>
      <c r="P316" s="315">
        <v>2076.6619700000001</v>
      </c>
      <c r="Q316" s="302" t="s">
        <v>12</v>
      </c>
      <c r="R316" s="315" t="s">
        <v>539</v>
      </c>
      <c r="S316" s="315">
        <v>10</v>
      </c>
      <c r="T316" s="315">
        <v>5</v>
      </c>
      <c r="U316" s="315">
        <v>0.7</v>
      </c>
      <c r="V316" s="315">
        <v>0.7</v>
      </c>
      <c r="W316" s="315">
        <v>0.7</v>
      </c>
      <c r="X316" s="313">
        <v>2000</v>
      </c>
      <c r="Y316" s="313" t="s">
        <v>540</v>
      </c>
      <c r="Z316" s="313">
        <v>0.2</v>
      </c>
      <c r="AA316" s="313" t="s">
        <v>541</v>
      </c>
      <c r="AB316" s="313" t="s">
        <v>542</v>
      </c>
      <c r="AC316" s="313">
        <v>220</v>
      </c>
      <c r="AD316" s="158"/>
      <c r="AE316" s="188"/>
    </row>
    <row r="317" spans="1:31" ht="15.75">
      <c r="A317" s="313" t="s">
        <v>763</v>
      </c>
      <c r="B317" s="313">
        <v>5</v>
      </c>
      <c r="C317" s="321">
        <v>444</v>
      </c>
      <c r="D317" s="313" t="s">
        <v>575</v>
      </c>
      <c r="E317" s="313">
        <v>1</v>
      </c>
      <c r="F317" s="314">
        <v>45488.734027777777</v>
      </c>
      <c r="G317" s="313">
        <v>1</v>
      </c>
      <c r="H317" s="313">
        <v>51.374099999999999</v>
      </c>
      <c r="I317" s="313">
        <v>7.28409</v>
      </c>
      <c r="J317" s="313">
        <v>-24.003613000000001</v>
      </c>
      <c r="K317" s="313">
        <v>-22.679387999999999</v>
      </c>
      <c r="L317" s="313">
        <v>1046.99</v>
      </c>
      <c r="M317" s="313">
        <v>74.999786999999998</v>
      </c>
      <c r="N317" s="313">
        <v>11603.021000000001</v>
      </c>
      <c r="O317" s="313">
        <v>11605.096100000001</v>
      </c>
      <c r="P317" s="315">
        <v>2076.6619700000001</v>
      </c>
      <c r="Q317" s="302" t="s">
        <v>12</v>
      </c>
      <c r="R317" s="315" t="s">
        <v>539</v>
      </c>
      <c r="S317" s="315">
        <v>10</v>
      </c>
      <c r="T317" s="315">
        <v>5</v>
      </c>
      <c r="U317" s="315">
        <v>0.7</v>
      </c>
      <c r="V317" s="315">
        <v>0.7</v>
      </c>
      <c r="W317" s="315">
        <v>0.7</v>
      </c>
      <c r="X317" s="313">
        <v>2000</v>
      </c>
      <c r="Y317" s="313" t="s">
        <v>540</v>
      </c>
      <c r="Z317" s="313">
        <v>0.2</v>
      </c>
      <c r="AA317" s="313" t="s">
        <v>541</v>
      </c>
      <c r="AB317" s="313" t="s">
        <v>542</v>
      </c>
      <c r="AC317" s="313">
        <v>220</v>
      </c>
      <c r="AD317" s="158"/>
      <c r="AE317" s="188"/>
    </row>
    <row r="318" spans="1:31" ht="15.75">
      <c r="A318" s="313" t="s">
        <v>659</v>
      </c>
      <c r="B318" s="313">
        <v>6</v>
      </c>
      <c r="C318" s="321">
        <v>417</v>
      </c>
      <c r="D318" s="313" t="s">
        <v>579</v>
      </c>
      <c r="E318" s="313">
        <v>1</v>
      </c>
      <c r="F318" s="314">
        <v>45488.737500000003</v>
      </c>
      <c r="G318" s="313">
        <v>1</v>
      </c>
      <c r="H318" s="313">
        <v>51.380699999999997</v>
      </c>
      <c r="I318" s="313">
        <v>7.07707</v>
      </c>
      <c r="J318" s="313">
        <v>-24.127219</v>
      </c>
      <c r="K318" s="313">
        <v>-22.456906</v>
      </c>
      <c r="L318" s="313">
        <v>1071.05</v>
      </c>
      <c r="M318" s="313">
        <v>69.999857000000006</v>
      </c>
      <c r="N318" s="313">
        <v>11657.745000000001</v>
      </c>
      <c r="O318" s="313">
        <v>0</v>
      </c>
      <c r="P318" s="315">
        <v>0</v>
      </c>
      <c r="Q318" s="302" t="s">
        <v>280</v>
      </c>
      <c r="R318" s="315" t="s">
        <v>607</v>
      </c>
      <c r="S318" s="315">
        <v>10</v>
      </c>
      <c r="T318" s="315">
        <v>5</v>
      </c>
      <c r="U318" s="315">
        <v>0.7</v>
      </c>
      <c r="V318" s="315">
        <v>0.7</v>
      </c>
      <c r="W318" s="315">
        <v>0.7</v>
      </c>
      <c r="X318" s="313">
        <v>2000</v>
      </c>
      <c r="Y318" s="313" t="s">
        <v>540</v>
      </c>
      <c r="Z318" s="313">
        <v>0.2</v>
      </c>
      <c r="AA318" s="313" t="s">
        <v>541</v>
      </c>
      <c r="AB318" s="313" t="s">
        <v>542</v>
      </c>
      <c r="AC318" s="313">
        <v>220</v>
      </c>
      <c r="AD318" s="158"/>
      <c r="AE318" s="188"/>
    </row>
    <row r="319" spans="1:31" ht="15.75">
      <c r="A319" s="313" t="s">
        <v>660</v>
      </c>
      <c r="B319" s="313">
        <v>6</v>
      </c>
      <c r="C319" s="321">
        <v>417</v>
      </c>
      <c r="D319" s="313" t="s">
        <v>579</v>
      </c>
      <c r="E319" s="313">
        <v>1</v>
      </c>
      <c r="F319" s="314">
        <v>45488.740277777775</v>
      </c>
      <c r="G319" s="313">
        <v>1</v>
      </c>
      <c r="H319" s="313">
        <v>51.377400000000002</v>
      </c>
      <c r="I319" s="313">
        <v>7.0005300000000004</v>
      </c>
      <c r="J319" s="313">
        <v>-24.042825000000001</v>
      </c>
      <c r="K319" s="313">
        <v>-22.121611999999999</v>
      </c>
      <c r="L319" s="313">
        <v>1050.4000000000001</v>
      </c>
      <c r="M319" s="313">
        <v>69.000276999999997</v>
      </c>
      <c r="N319" s="313">
        <v>11543.384700000001</v>
      </c>
      <c r="O319" s="313">
        <v>0</v>
      </c>
      <c r="P319" s="315">
        <v>0</v>
      </c>
      <c r="Q319" s="302" t="s">
        <v>280</v>
      </c>
      <c r="R319" s="315" t="s">
        <v>607</v>
      </c>
      <c r="S319" s="315">
        <v>10</v>
      </c>
      <c r="T319" s="315">
        <v>5</v>
      </c>
      <c r="U319" s="315">
        <v>0.7</v>
      </c>
      <c r="V319" s="315">
        <v>0.7</v>
      </c>
      <c r="W319" s="315">
        <v>0.7</v>
      </c>
      <c r="X319" s="313">
        <v>2000</v>
      </c>
      <c r="Y319" s="313" t="s">
        <v>540</v>
      </c>
      <c r="Z319" s="313">
        <v>0.2</v>
      </c>
      <c r="AA319" s="313" t="s">
        <v>541</v>
      </c>
      <c r="AB319" s="313" t="s">
        <v>542</v>
      </c>
      <c r="AC319" s="313">
        <v>220</v>
      </c>
      <c r="AD319" s="158"/>
      <c r="AE319" s="188"/>
    </row>
    <row r="320" spans="1:31" ht="15.75">
      <c r="A320" s="313" t="s">
        <v>661</v>
      </c>
      <c r="B320" s="313">
        <v>6</v>
      </c>
      <c r="C320" s="321">
        <v>417</v>
      </c>
      <c r="D320" s="313" t="s">
        <v>579</v>
      </c>
      <c r="E320" s="313">
        <v>1</v>
      </c>
      <c r="F320" s="314">
        <v>45488.743055555555</v>
      </c>
      <c r="G320" s="313">
        <v>1</v>
      </c>
      <c r="H320" s="313">
        <v>51.377400000000002</v>
      </c>
      <c r="I320" s="313">
        <v>7.1633300000000002</v>
      </c>
      <c r="J320" s="313">
        <v>-24.116468999999999</v>
      </c>
      <c r="K320" s="313">
        <v>-22.447144000000002</v>
      </c>
      <c r="L320" s="313">
        <v>1067.27</v>
      </c>
      <c r="M320" s="313">
        <v>71.001676000000003</v>
      </c>
      <c r="N320" s="313">
        <v>11630.686100000001</v>
      </c>
      <c r="O320" s="313">
        <v>0</v>
      </c>
      <c r="P320" s="315">
        <v>0</v>
      </c>
      <c r="Q320" s="302" t="s">
        <v>280</v>
      </c>
      <c r="R320" s="315" t="s">
        <v>607</v>
      </c>
      <c r="S320" s="315">
        <v>10</v>
      </c>
      <c r="T320" s="315">
        <v>5</v>
      </c>
      <c r="U320" s="315">
        <v>0.7</v>
      </c>
      <c r="V320" s="315">
        <v>0.7</v>
      </c>
      <c r="W320" s="315">
        <v>0.7</v>
      </c>
      <c r="X320" s="313">
        <v>2000</v>
      </c>
      <c r="Y320" s="313" t="s">
        <v>540</v>
      </c>
      <c r="Z320" s="313">
        <v>0.2</v>
      </c>
      <c r="AA320" s="313" t="s">
        <v>541</v>
      </c>
      <c r="AB320" s="313" t="s">
        <v>542</v>
      </c>
      <c r="AC320" s="313">
        <v>220</v>
      </c>
      <c r="AD320" s="158"/>
      <c r="AE320" s="188"/>
    </row>
    <row r="321" spans="1:31" ht="15.75">
      <c r="A321" s="313" t="s">
        <v>662</v>
      </c>
      <c r="B321" s="313">
        <v>6</v>
      </c>
      <c r="C321" s="321">
        <v>417</v>
      </c>
      <c r="D321" s="313" t="s">
        <v>579</v>
      </c>
      <c r="E321" s="313">
        <v>1</v>
      </c>
      <c r="F321" s="314">
        <v>45488.745833333334</v>
      </c>
      <c r="G321" s="313">
        <v>1</v>
      </c>
      <c r="H321" s="313">
        <v>51.374099999999999</v>
      </c>
      <c r="I321" s="313">
        <v>7.6501799999999998</v>
      </c>
      <c r="J321" s="313">
        <v>-23.951612000000001</v>
      </c>
      <c r="K321" s="313">
        <v>-22.409455999999999</v>
      </c>
      <c r="L321" s="313">
        <v>1093.51</v>
      </c>
      <c r="M321" s="313">
        <v>67.000232999999994</v>
      </c>
      <c r="N321" s="313">
        <v>11686.8228</v>
      </c>
      <c r="O321" s="313">
        <v>0</v>
      </c>
      <c r="P321" s="315">
        <v>0</v>
      </c>
      <c r="Q321" s="302" t="s">
        <v>280</v>
      </c>
      <c r="R321" s="315" t="s">
        <v>607</v>
      </c>
      <c r="S321" s="315">
        <v>10</v>
      </c>
      <c r="T321" s="315">
        <v>5</v>
      </c>
      <c r="U321" s="315">
        <v>0.7</v>
      </c>
      <c r="V321" s="315">
        <v>0.7</v>
      </c>
      <c r="W321" s="315">
        <v>0.7</v>
      </c>
      <c r="X321" s="313">
        <v>2000</v>
      </c>
      <c r="Y321" s="313" t="s">
        <v>540</v>
      </c>
      <c r="Z321" s="313">
        <v>0.2</v>
      </c>
      <c r="AA321" s="313" t="s">
        <v>541</v>
      </c>
      <c r="AB321" s="313" t="s">
        <v>542</v>
      </c>
      <c r="AC321" s="313">
        <v>220</v>
      </c>
      <c r="AD321" s="158"/>
      <c r="AE321" s="188"/>
    </row>
    <row r="322" spans="1:31" ht="15.75">
      <c r="A322" s="313" t="s">
        <v>663</v>
      </c>
      <c r="B322" s="313">
        <v>6</v>
      </c>
      <c r="C322" s="321">
        <v>417</v>
      </c>
      <c r="D322" s="313" t="s">
        <v>579</v>
      </c>
      <c r="E322" s="313">
        <v>1</v>
      </c>
      <c r="F322" s="314">
        <v>45488.748611111114</v>
      </c>
      <c r="G322" s="313">
        <v>1</v>
      </c>
      <c r="H322" s="313">
        <v>51.377400000000002</v>
      </c>
      <c r="I322" s="313">
        <v>7.6038500000000004</v>
      </c>
      <c r="J322" s="313">
        <v>-24.063237000000001</v>
      </c>
      <c r="K322" s="313">
        <v>-22.093537000000001</v>
      </c>
      <c r="L322" s="313">
        <v>1076.05</v>
      </c>
      <c r="M322" s="313">
        <v>63.999634</v>
      </c>
      <c r="N322" s="313">
        <v>11661.348400000001</v>
      </c>
      <c r="O322" s="313">
        <v>0</v>
      </c>
      <c r="P322" s="315">
        <v>0</v>
      </c>
      <c r="Q322" s="302" t="s">
        <v>280</v>
      </c>
      <c r="R322" s="315" t="s">
        <v>607</v>
      </c>
      <c r="S322" s="315">
        <v>10</v>
      </c>
      <c r="T322" s="315">
        <v>5</v>
      </c>
      <c r="U322" s="315">
        <v>0.7</v>
      </c>
      <c r="V322" s="315">
        <v>0.7</v>
      </c>
      <c r="W322" s="315">
        <v>0.7</v>
      </c>
      <c r="X322" s="313">
        <v>2000</v>
      </c>
      <c r="Y322" s="313" t="s">
        <v>540</v>
      </c>
      <c r="Z322" s="313">
        <v>0.2</v>
      </c>
      <c r="AA322" s="313" t="s">
        <v>541</v>
      </c>
      <c r="AB322" s="313" t="s">
        <v>542</v>
      </c>
      <c r="AC322" s="313">
        <v>220</v>
      </c>
      <c r="AD322" s="158"/>
      <c r="AE322" s="188"/>
    </row>
    <row r="323" spans="1:31" ht="15.75">
      <c r="A323" s="313" t="s">
        <v>764</v>
      </c>
      <c r="B323" s="313">
        <v>6</v>
      </c>
      <c r="C323" s="321">
        <v>417</v>
      </c>
      <c r="D323" s="313" t="s">
        <v>579</v>
      </c>
      <c r="E323" s="313">
        <v>1</v>
      </c>
      <c r="F323" s="314">
        <v>45488.751388888886</v>
      </c>
      <c r="G323" s="313">
        <v>2</v>
      </c>
      <c r="H323" s="313">
        <v>51.380699999999997</v>
      </c>
      <c r="I323" s="313">
        <v>7.4978600000000002</v>
      </c>
      <c r="J323" s="313">
        <v>-24.120256000000001</v>
      </c>
      <c r="K323" s="313">
        <v>-22.295743999999999</v>
      </c>
      <c r="L323" s="313">
        <v>1087.67</v>
      </c>
      <c r="M323" s="313">
        <v>66.998525999999998</v>
      </c>
      <c r="N323" s="313">
        <v>11709.7011</v>
      </c>
      <c r="O323" s="313">
        <v>11705.741</v>
      </c>
      <c r="P323" s="315">
        <v>2094.62111</v>
      </c>
      <c r="Q323" s="302" t="s">
        <v>12</v>
      </c>
      <c r="R323" s="315" t="s">
        <v>539</v>
      </c>
      <c r="S323" s="315">
        <v>10</v>
      </c>
      <c r="T323" s="315">
        <v>5</v>
      </c>
      <c r="U323" s="315">
        <v>0.7</v>
      </c>
      <c r="V323" s="315">
        <v>0.7</v>
      </c>
      <c r="W323" s="315">
        <v>0.7</v>
      </c>
      <c r="X323" s="313">
        <v>2000</v>
      </c>
      <c r="Y323" s="313" t="s">
        <v>540</v>
      </c>
      <c r="Z323" s="313">
        <v>0.2</v>
      </c>
      <c r="AA323" s="313" t="s">
        <v>541</v>
      </c>
      <c r="AB323" s="313" t="s">
        <v>542</v>
      </c>
      <c r="AC323" s="313">
        <v>220</v>
      </c>
      <c r="AD323" s="158"/>
      <c r="AE323" s="188"/>
    </row>
    <row r="324" spans="1:31" ht="15.75">
      <c r="A324" s="313" t="s">
        <v>765</v>
      </c>
      <c r="B324" s="313">
        <v>6</v>
      </c>
      <c r="C324" s="321">
        <v>417</v>
      </c>
      <c r="D324" s="313" t="s">
        <v>579</v>
      </c>
      <c r="E324" s="313">
        <v>1</v>
      </c>
      <c r="F324" s="314">
        <v>45488.754166666666</v>
      </c>
      <c r="G324" s="313">
        <v>2</v>
      </c>
      <c r="H324" s="313">
        <v>51.377400000000002</v>
      </c>
      <c r="I324" s="313">
        <v>7.3450699999999998</v>
      </c>
      <c r="J324" s="313">
        <v>-24.098155999999999</v>
      </c>
      <c r="K324" s="313">
        <v>-22.758056</v>
      </c>
      <c r="L324" s="313">
        <v>1079.22</v>
      </c>
      <c r="M324" s="313">
        <v>73.500573000000003</v>
      </c>
      <c r="N324" s="313">
        <v>11701.7809</v>
      </c>
      <c r="O324" s="313">
        <v>11705.741</v>
      </c>
      <c r="P324" s="315">
        <v>2094.62111</v>
      </c>
      <c r="Q324" s="302" t="s">
        <v>12</v>
      </c>
      <c r="R324" s="315" t="s">
        <v>539</v>
      </c>
      <c r="S324" s="315">
        <v>10</v>
      </c>
      <c r="T324" s="315">
        <v>5</v>
      </c>
      <c r="U324" s="315">
        <v>0.7</v>
      </c>
      <c r="V324" s="315">
        <v>0.7</v>
      </c>
      <c r="W324" s="315">
        <v>0.7</v>
      </c>
      <c r="X324" s="313">
        <v>2000</v>
      </c>
      <c r="Y324" s="313" t="s">
        <v>540</v>
      </c>
      <c r="Z324" s="313">
        <v>0.2</v>
      </c>
      <c r="AA324" s="313" t="s">
        <v>541</v>
      </c>
      <c r="AB324" s="313" t="s">
        <v>542</v>
      </c>
      <c r="AC324" s="313">
        <v>220</v>
      </c>
      <c r="AD324" s="158"/>
      <c r="AE324" s="188"/>
    </row>
    <row r="325" spans="1:31" ht="15.75">
      <c r="A325" s="313" t="s">
        <v>664</v>
      </c>
      <c r="B325" s="313">
        <v>7</v>
      </c>
      <c r="C325" s="321">
        <v>418</v>
      </c>
      <c r="D325" s="313" t="s">
        <v>582</v>
      </c>
      <c r="E325" s="313">
        <v>1</v>
      </c>
      <c r="F325" s="314">
        <v>45488.757638888892</v>
      </c>
      <c r="G325" s="313">
        <v>1</v>
      </c>
      <c r="H325" s="313">
        <v>51.374099999999999</v>
      </c>
      <c r="I325" s="313">
        <v>7.1294300000000002</v>
      </c>
      <c r="J325" s="313">
        <v>-24.099187000000001</v>
      </c>
      <c r="K325" s="313">
        <v>-22.430430999999999</v>
      </c>
      <c r="L325" s="313">
        <v>1064.43</v>
      </c>
      <c r="M325" s="313">
        <v>69.499893999999998</v>
      </c>
      <c r="N325" s="313">
        <v>11648.4323</v>
      </c>
      <c r="O325" s="313">
        <v>11658.018599999999</v>
      </c>
      <c r="P325" s="315">
        <v>2086.1055000000001</v>
      </c>
      <c r="Q325" s="302" t="s">
        <v>12</v>
      </c>
      <c r="R325" s="315" t="s">
        <v>553</v>
      </c>
      <c r="S325" s="315">
        <v>10</v>
      </c>
      <c r="T325" s="315">
        <v>5</v>
      </c>
      <c r="U325" s="315">
        <v>0.7</v>
      </c>
      <c r="V325" s="315">
        <v>0.7</v>
      </c>
      <c r="W325" s="315">
        <v>0.7</v>
      </c>
      <c r="X325" s="313">
        <v>2000</v>
      </c>
      <c r="Y325" s="313" t="s">
        <v>540</v>
      </c>
      <c r="Z325" s="313">
        <v>0.2</v>
      </c>
      <c r="AA325" s="313" t="s">
        <v>541</v>
      </c>
      <c r="AB325" s="313" t="s">
        <v>542</v>
      </c>
      <c r="AC325" s="313">
        <v>220</v>
      </c>
      <c r="AD325" s="158"/>
      <c r="AE325" s="188"/>
    </row>
    <row r="326" spans="1:31" ht="15.75">
      <c r="A326" s="313" t="s">
        <v>665</v>
      </c>
      <c r="B326" s="313">
        <v>7</v>
      </c>
      <c r="C326" s="321">
        <v>418</v>
      </c>
      <c r="D326" s="313" t="s">
        <v>582</v>
      </c>
      <c r="E326" s="313">
        <v>1</v>
      </c>
      <c r="F326" s="314">
        <v>45488.760416666664</v>
      </c>
      <c r="G326" s="313">
        <v>1</v>
      </c>
      <c r="H326" s="313">
        <v>51.377400000000002</v>
      </c>
      <c r="I326" s="313">
        <v>7.1619000000000002</v>
      </c>
      <c r="J326" s="313">
        <v>-24.160125000000001</v>
      </c>
      <c r="K326" s="313">
        <v>-22.435469000000001</v>
      </c>
      <c r="L326" s="313">
        <v>1068.7</v>
      </c>
      <c r="M326" s="313">
        <v>69.500484</v>
      </c>
      <c r="N326" s="313">
        <v>11559.358200000001</v>
      </c>
      <c r="O326" s="313">
        <v>11658.018599999999</v>
      </c>
      <c r="P326" s="315">
        <v>2086.1055000000001</v>
      </c>
      <c r="Q326" s="302" t="s">
        <v>12</v>
      </c>
      <c r="R326" s="315" t="s">
        <v>553</v>
      </c>
      <c r="S326" s="315">
        <v>10</v>
      </c>
      <c r="T326" s="315">
        <v>5</v>
      </c>
      <c r="U326" s="315">
        <v>0.7</v>
      </c>
      <c r="V326" s="315">
        <v>0.7</v>
      </c>
      <c r="W326" s="315">
        <v>0.7</v>
      </c>
      <c r="X326" s="313">
        <v>2000</v>
      </c>
      <c r="Y326" s="313" t="s">
        <v>540</v>
      </c>
      <c r="Z326" s="313">
        <v>0.2</v>
      </c>
      <c r="AA326" s="313" t="s">
        <v>541</v>
      </c>
      <c r="AB326" s="313" t="s">
        <v>542</v>
      </c>
      <c r="AC326" s="313">
        <v>220</v>
      </c>
      <c r="AD326" s="158"/>
      <c r="AE326" s="188"/>
    </row>
    <row r="327" spans="1:31" ht="15.75">
      <c r="A327" s="313" t="s">
        <v>716</v>
      </c>
      <c r="B327" s="313">
        <v>7</v>
      </c>
      <c r="C327" s="321">
        <v>418</v>
      </c>
      <c r="D327" s="313" t="s">
        <v>582</v>
      </c>
      <c r="E327" s="313">
        <v>1</v>
      </c>
      <c r="F327" s="314">
        <v>45488.763194444444</v>
      </c>
      <c r="G327" s="313">
        <v>1</v>
      </c>
      <c r="H327" s="313">
        <v>51.380699999999997</v>
      </c>
      <c r="I327" s="313">
        <v>7.1221399999999999</v>
      </c>
      <c r="J327" s="313">
        <v>-24.129681000000001</v>
      </c>
      <c r="K327" s="313">
        <v>-22.634975000000001</v>
      </c>
      <c r="L327" s="313">
        <v>1068.8900000000001</v>
      </c>
      <c r="M327" s="313">
        <v>72.499043999999998</v>
      </c>
      <c r="N327" s="313">
        <v>11661.591899999999</v>
      </c>
      <c r="O327" s="313">
        <v>11658.018599999999</v>
      </c>
      <c r="P327" s="315">
        <v>2086.1055000000001</v>
      </c>
      <c r="Q327" s="302" t="s">
        <v>12</v>
      </c>
      <c r="R327" s="315" t="s">
        <v>539</v>
      </c>
      <c r="S327" s="315">
        <v>10</v>
      </c>
      <c r="T327" s="315">
        <v>5</v>
      </c>
      <c r="U327" s="315">
        <v>0.7</v>
      </c>
      <c r="V327" s="315">
        <v>0.7</v>
      </c>
      <c r="W327" s="315">
        <v>0.7</v>
      </c>
      <c r="X327" s="313">
        <v>2000</v>
      </c>
      <c r="Y327" s="313" t="s">
        <v>540</v>
      </c>
      <c r="Z327" s="313">
        <v>0.2</v>
      </c>
      <c r="AA327" s="313" t="s">
        <v>541</v>
      </c>
      <c r="AB327" s="313" t="s">
        <v>542</v>
      </c>
      <c r="AC327" s="313">
        <v>220</v>
      </c>
      <c r="AD327" s="158"/>
      <c r="AE327" s="188"/>
    </row>
    <row r="328" spans="1:31" ht="15.75">
      <c r="A328" s="313" t="s">
        <v>717</v>
      </c>
      <c r="B328" s="313">
        <v>7</v>
      </c>
      <c r="C328" s="321">
        <v>418</v>
      </c>
      <c r="D328" s="313" t="s">
        <v>582</v>
      </c>
      <c r="E328" s="313">
        <v>1</v>
      </c>
      <c r="F328" s="314">
        <v>45488.765972222223</v>
      </c>
      <c r="G328" s="313">
        <v>1</v>
      </c>
      <c r="H328" s="313">
        <v>51.374099999999999</v>
      </c>
      <c r="I328" s="313">
        <v>7.0217000000000001</v>
      </c>
      <c r="J328" s="313">
        <v>-24.097106</v>
      </c>
      <c r="K328" s="313">
        <v>-22.405899999999999</v>
      </c>
      <c r="L328" s="313">
        <v>1078.96</v>
      </c>
      <c r="M328" s="313">
        <v>69.500563999999997</v>
      </c>
      <c r="N328" s="313">
        <v>11654.445400000001</v>
      </c>
      <c r="O328" s="313">
        <v>11658.018599999999</v>
      </c>
      <c r="P328" s="315">
        <v>2086.1055000000001</v>
      </c>
      <c r="Q328" s="302" t="s">
        <v>12</v>
      </c>
      <c r="R328" s="315" t="s">
        <v>539</v>
      </c>
      <c r="S328" s="315">
        <v>10</v>
      </c>
      <c r="T328" s="315">
        <v>5</v>
      </c>
      <c r="U328" s="315">
        <v>0.7</v>
      </c>
      <c r="V328" s="315">
        <v>0.7</v>
      </c>
      <c r="W328" s="315">
        <v>0.7</v>
      </c>
      <c r="X328" s="313">
        <v>2000</v>
      </c>
      <c r="Y328" s="313" t="s">
        <v>540</v>
      </c>
      <c r="Z328" s="313">
        <v>0.2</v>
      </c>
      <c r="AA328" s="313" t="s">
        <v>541</v>
      </c>
      <c r="AB328" s="313" t="s">
        <v>542</v>
      </c>
      <c r="AC328" s="313">
        <v>220</v>
      </c>
      <c r="AD328" s="158"/>
      <c r="AE328" s="188"/>
    </row>
    <row r="329" spans="1:31" ht="15.75">
      <c r="A329" s="313" t="s">
        <v>722</v>
      </c>
      <c r="B329" s="313">
        <v>8</v>
      </c>
      <c r="C329" s="321">
        <v>404</v>
      </c>
      <c r="D329" s="313" t="s">
        <v>585</v>
      </c>
      <c r="E329" s="313">
        <v>1</v>
      </c>
      <c r="F329" s="314">
        <v>45488.769444444442</v>
      </c>
      <c r="G329" s="313">
        <v>1</v>
      </c>
      <c r="H329" s="313">
        <v>51.377400000000002</v>
      </c>
      <c r="I329" s="313">
        <v>7.01945</v>
      </c>
      <c r="J329" s="313">
        <v>-24.211206000000001</v>
      </c>
      <c r="K329" s="313">
        <v>-22.877444000000001</v>
      </c>
      <c r="L329" s="313">
        <v>1064.78</v>
      </c>
      <c r="M329" s="313">
        <v>78.499025000000003</v>
      </c>
      <c r="N329" s="313">
        <v>11691.1531</v>
      </c>
      <c r="O329" s="313">
        <v>11689.253699999999</v>
      </c>
      <c r="P329" s="315">
        <v>2091.67911</v>
      </c>
      <c r="Q329" s="302" t="s">
        <v>12</v>
      </c>
      <c r="R329" s="315" t="s">
        <v>539</v>
      </c>
      <c r="S329" s="315">
        <v>10</v>
      </c>
      <c r="T329" s="315">
        <v>5</v>
      </c>
      <c r="U329" s="315">
        <v>0.7</v>
      </c>
      <c r="V329" s="315">
        <v>0.7</v>
      </c>
      <c r="W329" s="315">
        <v>0.7</v>
      </c>
      <c r="X329" s="313">
        <v>2000</v>
      </c>
      <c r="Y329" s="313" t="s">
        <v>540</v>
      </c>
      <c r="Z329" s="313">
        <v>0.2</v>
      </c>
      <c r="AA329" s="313" t="s">
        <v>541</v>
      </c>
      <c r="AB329" s="313" t="s">
        <v>542</v>
      </c>
      <c r="AC329" s="313">
        <v>220</v>
      </c>
      <c r="AD329" s="158"/>
      <c r="AE329" s="188"/>
    </row>
    <row r="330" spans="1:31" ht="15.75">
      <c r="A330" s="313" t="s">
        <v>766</v>
      </c>
      <c r="B330" s="313">
        <v>8</v>
      </c>
      <c r="C330" s="321">
        <v>404</v>
      </c>
      <c r="D330" s="313" t="s">
        <v>585</v>
      </c>
      <c r="E330" s="313">
        <v>1</v>
      </c>
      <c r="F330" s="314">
        <v>45488.772222222222</v>
      </c>
      <c r="G330" s="313">
        <v>1</v>
      </c>
      <c r="H330" s="313">
        <v>51.374099999999999</v>
      </c>
      <c r="I330" s="313">
        <v>6.9679399999999996</v>
      </c>
      <c r="J330" s="313">
        <v>-24.208663000000001</v>
      </c>
      <c r="K330" s="313">
        <v>-22.773688</v>
      </c>
      <c r="L330" s="313">
        <v>1065.8699999999999</v>
      </c>
      <c r="M330" s="313">
        <v>73.500005999999999</v>
      </c>
      <c r="N330" s="313">
        <v>11687.354300000001</v>
      </c>
      <c r="O330" s="313">
        <v>11689.253699999999</v>
      </c>
      <c r="P330" s="315">
        <v>2091.67911</v>
      </c>
      <c r="Q330" s="302" t="s">
        <v>12</v>
      </c>
      <c r="R330" s="315" t="s">
        <v>539</v>
      </c>
      <c r="S330" s="315">
        <v>10</v>
      </c>
      <c r="T330" s="315">
        <v>5</v>
      </c>
      <c r="U330" s="315">
        <v>0.7</v>
      </c>
      <c r="V330" s="315">
        <v>0.7</v>
      </c>
      <c r="W330" s="315">
        <v>0.7</v>
      </c>
      <c r="X330" s="313">
        <v>2000</v>
      </c>
      <c r="Y330" s="313" t="s">
        <v>540</v>
      </c>
      <c r="Z330" s="313">
        <v>0.2</v>
      </c>
      <c r="AA330" s="313" t="s">
        <v>541</v>
      </c>
      <c r="AB330" s="313" t="s">
        <v>542</v>
      </c>
      <c r="AC330" s="313">
        <v>220</v>
      </c>
      <c r="AD330" s="158"/>
      <c r="AE330" s="188"/>
    </row>
    <row r="331" spans="1:31" ht="15.75">
      <c r="A331" s="313" t="s">
        <v>723</v>
      </c>
      <c r="B331" s="313">
        <v>9</v>
      </c>
      <c r="C331" s="321">
        <v>405</v>
      </c>
      <c r="D331" s="313" t="s">
        <v>589</v>
      </c>
      <c r="E331" s="313">
        <v>1</v>
      </c>
      <c r="F331" s="314">
        <v>45488.775694444441</v>
      </c>
      <c r="G331" s="313">
        <v>1</v>
      </c>
      <c r="H331" s="313">
        <v>51.377400000000002</v>
      </c>
      <c r="I331" s="313">
        <v>7.4569200000000002</v>
      </c>
      <c r="J331" s="313">
        <v>-24.206</v>
      </c>
      <c r="K331" s="313">
        <v>-22.569731000000001</v>
      </c>
      <c r="L331" s="313">
        <v>1090.49</v>
      </c>
      <c r="M331" s="313">
        <v>68.998981999999998</v>
      </c>
      <c r="N331" s="313">
        <v>11814.911400000001</v>
      </c>
      <c r="O331" s="313">
        <v>11667.6456</v>
      </c>
      <c r="P331" s="315">
        <v>2087.8233399999999</v>
      </c>
      <c r="Q331" s="302" t="s">
        <v>12</v>
      </c>
      <c r="R331" s="315" t="s">
        <v>553</v>
      </c>
      <c r="S331" s="315">
        <v>10</v>
      </c>
      <c r="T331" s="315">
        <v>5</v>
      </c>
      <c r="U331" s="315">
        <v>0.7</v>
      </c>
      <c r="V331" s="315">
        <v>0.7</v>
      </c>
      <c r="W331" s="315">
        <v>0.7</v>
      </c>
      <c r="X331" s="313">
        <v>2000</v>
      </c>
      <c r="Y331" s="313" t="s">
        <v>540</v>
      </c>
      <c r="Z331" s="313">
        <v>0.2</v>
      </c>
      <c r="AA331" s="313" t="s">
        <v>541</v>
      </c>
      <c r="AB331" s="313" t="s">
        <v>542</v>
      </c>
      <c r="AC331" s="313">
        <v>220</v>
      </c>
      <c r="AD331" s="158"/>
      <c r="AE331" s="188"/>
    </row>
    <row r="332" spans="1:31" ht="15.75">
      <c r="A332" s="313" t="s">
        <v>767</v>
      </c>
      <c r="B332" s="313">
        <v>9</v>
      </c>
      <c r="C332" s="321">
        <v>405</v>
      </c>
      <c r="D332" s="313" t="s">
        <v>589</v>
      </c>
      <c r="E332" s="313">
        <v>1</v>
      </c>
      <c r="F332" s="314">
        <v>45488.77847222222</v>
      </c>
      <c r="G332" s="313">
        <v>1</v>
      </c>
      <c r="H332" s="313">
        <v>51.377400000000002</v>
      </c>
      <c r="I332" s="313">
        <v>7.3208099999999998</v>
      </c>
      <c r="J332" s="313">
        <v>-24.086344</v>
      </c>
      <c r="K332" s="313">
        <v>-22.444144000000001</v>
      </c>
      <c r="L332" s="313">
        <v>1080.44</v>
      </c>
      <c r="M332" s="313">
        <v>71.000642999999997</v>
      </c>
      <c r="N332" s="313">
        <v>11648.468999999999</v>
      </c>
      <c r="O332" s="313">
        <v>11667.6456</v>
      </c>
      <c r="P332" s="315">
        <v>2087.8233399999999</v>
      </c>
      <c r="Q332" s="302" t="s">
        <v>12</v>
      </c>
      <c r="R332" s="315" t="s">
        <v>553</v>
      </c>
      <c r="S332" s="315">
        <v>10</v>
      </c>
      <c r="T332" s="315">
        <v>5</v>
      </c>
      <c r="U332" s="315">
        <v>0.7</v>
      </c>
      <c r="V332" s="315">
        <v>0.7</v>
      </c>
      <c r="W332" s="315">
        <v>0.7</v>
      </c>
      <c r="X332" s="313">
        <v>2000</v>
      </c>
      <c r="Y332" s="313" t="s">
        <v>540</v>
      </c>
      <c r="Z332" s="313">
        <v>0.2</v>
      </c>
      <c r="AA332" s="313" t="s">
        <v>541</v>
      </c>
      <c r="AB332" s="313" t="s">
        <v>542</v>
      </c>
      <c r="AC332" s="313">
        <v>220</v>
      </c>
      <c r="AD332" s="158"/>
      <c r="AE332" s="188"/>
    </row>
    <row r="333" spans="1:31" ht="15.75">
      <c r="A333" s="313" t="s">
        <v>768</v>
      </c>
      <c r="B333" s="313">
        <v>9</v>
      </c>
      <c r="C333" s="321">
        <v>405</v>
      </c>
      <c r="D333" s="313" t="s">
        <v>589</v>
      </c>
      <c r="E333" s="313">
        <v>1</v>
      </c>
      <c r="F333" s="314">
        <v>45488.78125</v>
      </c>
      <c r="G333" s="313">
        <v>1</v>
      </c>
      <c r="H333" s="313">
        <v>51.374099999999999</v>
      </c>
      <c r="I333" s="313">
        <v>7.7488099999999998</v>
      </c>
      <c r="J333" s="313">
        <v>-24.237736999999999</v>
      </c>
      <c r="K333" s="313">
        <v>-22.626799999999999</v>
      </c>
      <c r="L333" s="313">
        <v>1046.78</v>
      </c>
      <c r="M333" s="313">
        <v>70.000088000000005</v>
      </c>
      <c r="N333" s="313">
        <v>11615.180200000001</v>
      </c>
      <c r="O333" s="313">
        <v>11667.6456</v>
      </c>
      <c r="P333" s="315">
        <v>2087.8233399999999</v>
      </c>
      <c r="Q333" s="302" t="s">
        <v>12</v>
      </c>
      <c r="R333" s="315" t="s">
        <v>553</v>
      </c>
      <c r="S333" s="315">
        <v>10</v>
      </c>
      <c r="T333" s="315">
        <v>5</v>
      </c>
      <c r="U333" s="315">
        <v>0.7</v>
      </c>
      <c r="V333" s="315">
        <v>0.7</v>
      </c>
      <c r="W333" s="315">
        <v>0.7</v>
      </c>
      <c r="X333" s="313">
        <v>2000</v>
      </c>
      <c r="Y333" s="313" t="s">
        <v>540</v>
      </c>
      <c r="Z333" s="313">
        <v>0.2</v>
      </c>
      <c r="AA333" s="313" t="s">
        <v>541</v>
      </c>
      <c r="AB333" s="313" t="s">
        <v>542</v>
      </c>
      <c r="AC333" s="313">
        <v>220</v>
      </c>
      <c r="AD333" s="158"/>
      <c r="AE333" s="188"/>
    </row>
    <row r="334" spans="1:31" ht="15.75">
      <c r="A334" s="313" t="s">
        <v>769</v>
      </c>
      <c r="B334" s="313">
        <v>9</v>
      </c>
      <c r="C334" s="321">
        <v>405</v>
      </c>
      <c r="D334" s="313" t="s">
        <v>589</v>
      </c>
      <c r="E334" s="313">
        <v>1</v>
      </c>
      <c r="F334" s="314">
        <v>45488.78402777778</v>
      </c>
      <c r="G334" s="313">
        <v>1</v>
      </c>
      <c r="H334" s="313">
        <v>51.377400000000002</v>
      </c>
      <c r="I334" s="313">
        <v>7.9453899999999997</v>
      </c>
      <c r="J334" s="313">
        <v>-24.168063</v>
      </c>
      <c r="K334" s="313">
        <v>-22.826125000000001</v>
      </c>
      <c r="L334" s="313">
        <v>1091.25</v>
      </c>
      <c r="M334" s="313">
        <v>72.000912999999997</v>
      </c>
      <c r="N334" s="313">
        <v>11677.7739</v>
      </c>
      <c r="O334" s="313">
        <v>11667.6456</v>
      </c>
      <c r="P334" s="315">
        <v>2087.8233399999999</v>
      </c>
      <c r="Q334" s="302" t="s">
        <v>12</v>
      </c>
      <c r="R334" s="315" t="s">
        <v>539</v>
      </c>
      <c r="S334" s="315">
        <v>10</v>
      </c>
      <c r="T334" s="315">
        <v>5</v>
      </c>
      <c r="U334" s="315">
        <v>0.7</v>
      </c>
      <c r="V334" s="315">
        <v>0.7</v>
      </c>
      <c r="W334" s="315">
        <v>0.7</v>
      </c>
      <c r="X334" s="313">
        <v>2000</v>
      </c>
      <c r="Y334" s="313" t="s">
        <v>540</v>
      </c>
      <c r="Z334" s="313">
        <v>0.2</v>
      </c>
      <c r="AA334" s="313" t="s">
        <v>541</v>
      </c>
      <c r="AB334" s="313" t="s">
        <v>542</v>
      </c>
      <c r="AC334" s="313">
        <v>220</v>
      </c>
      <c r="AD334" s="158"/>
      <c r="AE334" s="188"/>
    </row>
    <row r="335" spans="1:31" ht="15.75">
      <c r="A335" s="313" t="s">
        <v>770</v>
      </c>
      <c r="B335" s="313">
        <v>9</v>
      </c>
      <c r="C335" s="321">
        <v>405</v>
      </c>
      <c r="D335" s="313" t="s">
        <v>589</v>
      </c>
      <c r="E335" s="313">
        <v>1</v>
      </c>
      <c r="F335" s="314">
        <v>45488.786805555559</v>
      </c>
      <c r="G335" s="313">
        <v>1</v>
      </c>
      <c r="H335" s="313">
        <v>51.374099999999999</v>
      </c>
      <c r="I335" s="313">
        <v>7.8442100000000003</v>
      </c>
      <c r="J335" s="313">
        <v>-24.279406000000002</v>
      </c>
      <c r="K335" s="313">
        <v>-22.484006000000001</v>
      </c>
      <c r="L335" s="313">
        <v>1086.54</v>
      </c>
      <c r="M335" s="313">
        <v>65.500929999999997</v>
      </c>
      <c r="N335" s="313">
        <v>11657.5173</v>
      </c>
      <c r="O335" s="313">
        <v>11667.6456</v>
      </c>
      <c r="P335" s="315">
        <v>2087.8233399999999</v>
      </c>
      <c r="Q335" s="302" t="s">
        <v>12</v>
      </c>
      <c r="R335" s="315" t="s">
        <v>539</v>
      </c>
      <c r="S335" s="315">
        <v>10</v>
      </c>
      <c r="T335" s="315">
        <v>5</v>
      </c>
      <c r="U335" s="315">
        <v>0.7</v>
      </c>
      <c r="V335" s="315">
        <v>0.7</v>
      </c>
      <c r="W335" s="315">
        <v>0.7</v>
      </c>
      <c r="X335" s="313">
        <v>2000</v>
      </c>
      <c r="Y335" s="313" t="s">
        <v>540</v>
      </c>
      <c r="Z335" s="313">
        <v>0.2</v>
      </c>
      <c r="AA335" s="313" t="s">
        <v>541</v>
      </c>
      <c r="AB335" s="313" t="s">
        <v>542</v>
      </c>
      <c r="AC335" s="313">
        <v>220</v>
      </c>
      <c r="AD335" s="158"/>
      <c r="AE335" s="188"/>
    </row>
    <row r="336" spans="1:31" ht="15.75">
      <c r="A336" s="313" t="s">
        <v>724</v>
      </c>
      <c r="B336" s="313" t="s">
        <v>537</v>
      </c>
      <c r="C336" s="313" t="s">
        <v>726</v>
      </c>
      <c r="D336" s="313" t="s">
        <v>538</v>
      </c>
      <c r="E336" s="313">
        <v>1</v>
      </c>
      <c r="F336" s="314">
        <v>45488.791666666664</v>
      </c>
      <c r="G336" s="313">
        <v>1</v>
      </c>
      <c r="H336" s="313">
        <v>51.377400000000002</v>
      </c>
      <c r="I336" s="313">
        <v>7.7704700000000004</v>
      </c>
      <c r="J336" s="313">
        <v>-24.003419000000001</v>
      </c>
      <c r="K336" s="313">
        <v>-22.352568999999999</v>
      </c>
      <c r="L336" s="313">
        <v>1066.43</v>
      </c>
      <c r="M336" s="313">
        <v>67.500051999999997</v>
      </c>
      <c r="N336" s="313">
        <v>11543.5182</v>
      </c>
      <c r="O336" s="313">
        <v>11543.5182</v>
      </c>
      <c r="P336" s="315">
        <v>2065.67398</v>
      </c>
      <c r="Q336" s="302" t="s">
        <v>12</v>
      </c>
      <c r="R336" s="315" t="s">
        <v>539</v>
      </c>
      <c r="S336" s="315">
        <v>10</v>
      </c>
      <c r="T336" s="315">
        <v>5</v>
      </c>
      <c r="U336" s="315">
        <v>0.7</v>
      </c>
      <c r="V336" s="315">
        <v>0.7</v>
      </c>
      <c r="W336" s="315">
        <v>0.7</v>
      </c>
      <c r="X336" s="313">
        <v>2000</v>
      </c>
      <c r="Y336" s="313" t="s">
        <v>540</v>
      </c>
      <c r="Z336" s="313">
        <v>0.2</v>
      </c>
      <c r="AA336" s="313" t="s">
        <v>541</v>
      </c>
      <c r="AB336" s="313" t="s">
        <v>542</v>
      </c>
      <c r="AC336" s="313">
        <v>220</v>
      </c>
      <c r="AD336" s="158"/>
      <c r="AE336" s="188"/>
    </row>
    <row r="337" spans="1:31" ht="15.75">
      <c r="A337" s="313" t="s">
        <v>771</v>
      </c>
      <c r="B337" s="313" t="s">
        <v>537</v>
      </c>
      <c r="C337" s="313" t="s">
        <v>726</v>
      </c>
      <c r="D337" s="313" t="s">
        <v>538</v>
      </c>
      <c r="E337" s="313">
        <v>1</v>
      </c>
      <c r="F337" s="314">
        <v>45488.794444444444</v>
      </c>
      <c r="G337" s="313">
        <v>1</v>
      </c>
      <c r="H337" s="313">
        <v>51.374099999999999</v>
      </c>
      <c r="I337" s="313">
        <v>7.8083900000000002</v>
      </c>
      <c r="J337" s="313">
        <v>-24.140031</v>
      </c>
      <c r="K337" s="313">
        <v>-22.0061</v>
      </c>
      <c r="L337" s="313">
        <v>1040.3900000000001</v>
      </c>
      <c r="M337" s="313">
        <v>64.499425000000002</v>
      </c>
      <c r="N337" s="313">
        <v>11489.9475</v>
      </c>
      <c r="O337" s="313">
        <v>11489.9475</v>
      </c>
      <c r="P337" s="315">
        <v>2056.1147900000001</v>
      </c>
      <c r="Q337" s="302" t="s">
        <v>12</v>
      </c>
      <c r="R337" s="315" t="s">
        <v>539</v>
      </c>
      <c r="S337" s="315">
        <v>10</v>
      </c>
      <c r="T337" s="315">
        <v>5</v>
      </c>
      <c r="U337" s="315">
        <v>0.7</v>
      </c>
      <c r="V337" s="315">
        <v>0.7</v>
      </c>
      <c r="W337" s="315">
        <v>0.7</v>
      </c>
      <c r="X337" s="313">
        <v>2000</v>
      </c>
      <c r="Y337" s="313" t="s">
        <v>540</v>
      </c>
      <c r="Z337" s="313">
        <v>0.2</v>
      </c>
      <c r="AA337" s="313" t="s">
        <v>541</v>
      </c>
      <c r="AB337" s="313" t="s">
        <v>542</v>
      </c>
      <c r="AC337" s="313">
        <v>220</v>
      </c>
      <c r="AD337" s="158"/>
      <c r="AE337" s="188"/>
    </row>
    <row r="338" spans="1:31" ht="15.75">
      <c r="A338" s="313" t="s">
        <v>772</v>
      </c>
      <c r="B338" s="313" t="s">
        <v>537</v>
      </c>
      <c r="C338" s="313" t="s">
        <v>726</v>
      </c>
      <c r="D338" s="313" t="s">
        <v>538</v>
      </c>
      <c r="E338" s="313">
        <v>1</v>
      </c>
      <c r="F338" s="314">
        <v>45488.797222222223</v>
      </c>
      <c r="G338" s="313">
        <v>1</v>
      </c>
      <c r="H338" s="313">
        <v>51.384</v>
      </c>
      <c r="I338" s="313">
        <v>7.8000299999999996</v>
      </c>
      <c r="J338" s="313">
        <v>-24.019856000000001</v>
      </c>
      <c r="K338" s="313">
        <v>-22.311913000000001</v>
      </c>
      <c r="L338" s="313">
        <v>1084.4000000000001</v>
      </c>
      <c r="M338" s="313">
        <v>64.998519999999999</v>
      </c>
      <c r="N338" s="313">
        <v>11556.427299999999</v>
      </c>
      <c r="O338" s="313">
        <v>11556.427299999999</v>
      </c>
      <c r="P338" s="315">
        <v>2067.9774900000002</v>
      </c>
      <c r="Q338" s="302" t="s">
        <v>12</v>
      </c>
      <c r="R338" s="315" t="s">
        <v>539</v>
      </c>
      <c r="S338" s="315">
        <v>10</v>
      </c>
      <c r="T338" s="315">
        <v>5</v>
      </c>
      <c r="U338" s="315">
        <v>0.7</v>
      </c>
      <c r="V338" s="315">
        <v>0.7</v>
      </c>
      <c r="W338" s="315">
        <v>0.7</v>
      </c>
      <c r="X338" s="313">
        <v>2000</v>
      </c>
      <c r="Y338" s="313" t="s">
        <v>540</v>
      </c>
      <c r="Z338" s="313">
        <v>0.2</v>
      </c>
      <c r="AA338" s="313" t="s">
        <v>541</v>
      </c>
      <c r="AB338" s="313" t="s">
        <v>542</v>
      </c>
      <c r="AC338" s="313">
        <v>220</v>
      </c>
      <c r="AD338" s="158"/>
      <c r="AE338" s="188"/>
    </row>
    <row r="339" spans="1:31" ht="15.75">
      <c r="A339" s="313" t="s">
        <v>773</v>
      </c>
      <c r="B339" s="313" t="s">
        <v>537</v>
      </c>
      <c r="C339" s="313" t="s">
        <v>726</v>
      </c>
      <c r="D339" s="313" t="s">
        <v>538</v>
      </c>
      <c r="E339" s="313">
        <v>1</v>
      </c>
      <c r="F339" s="314">
        <v>45488.800000000003</v>
      </c>
      <c r="G339" s="313">
        <v>1</v>
      </c>
      <c r="H339" s="313">
        <v>51.380699999999997</v>
      </c>
      <c r="I339" s="313">
        <v>7.8119899999999998</v>
      </c>
      <c r="J339" s="313">
        <v>-24.187643999999999</v>
      </c>
      <c r="K339" s="313">
        <v>-22.413881</v>
      </c>
      <c r="L339" s="313">
        <v>1073.6400000000001</v>
      </c>
      <c r="M339" s="313">
        <v>66.001392999999993</v>
      </c>
      <c r="N339" s="313">
        <v>11543.625400000001</v>
      </c>
      <c r="O339" s="313">
        <v>11543.625400000001</v>
      </c>
      <c r="P339" s="315">
        <v>2065.6930900000002</v>
      </c>
      <c r="Q339" s="302" t="s">
        <v>12</v>
      </c>
      <c r="R339" s="315" t="s">
        <v>539</v>
      </c>
      <c r="S339" s="315">
        <v>10</v>
      </c>
      <c r="T339" s="315">
        <v>5</v>
      </c>
      <c r="U339" s="315">
        <v>0.7</v>
      </c>
      <c r="V339" s="315">
        <v>0.7</v>
      </c>
      <c r="W339" s="315">
        <v>0.7</v>
      </c>
      <c r="X339" s="313">
        <v>2000</v>
      </c>
      <c r="Y339" s="313" t="s">
        <v>540</v>
      </c>
      <c r="Z339" s="313">
        <v>0.2</v>
      </c>
      <c r="AA339" s="313" t="s">
        <v>541</v>
      </c>
      <c r="AB339" s="313" t="s">
        <v>542</v>
      </c>
      <c r="AC339" s="313">
        <v>220</v>
      </c>
      <c r="AD339" s="158"/>
      <c r="AE339" s="188"/>
    </row>
    <row r="340" spans="1:31" ht="15.75">
      <c r="A340" s="316" t="s">
        <v>774</v>
      </c>
      <c r="B340" s="316" t="s">
        <v>537</v>
      </c>
      <c r="C340" s="316"/>
      <c r="D340" s="316" t="s">
        <v>538</v>
      </c>
      <c r="E340" s="316">
        <v>1</v>
      </c>
      <c r="F340" s="317">
        <v>45488.802777777775</v>
      </c>
      <c r="G340" s="316">
        <v>1</v>
      </c>
      <c r="H340" s="316">
        <v>51.377400000000002</v>
      </c>
      <c r="I340" s="316">
        <v>7.7808000000000002</v>
      </c>
      <c r="J340" s="316">
        <v>-24.097075</v>
      </c>
      <c r="K340" s="316">
        <v>-22.596519000000001</v>
      </c>
      <c r="L340" s="316">
        <v>1064.83</v>
      </c>
      <c r="M340" s="316">
        <v>69.999949000000001</v>
      </c>
      <c r="N340" s="316">
        <v>11560.4455</v>
      </c>
      <c r="O340" s="316">
        <v>11560.4455</v>
      </c>
      <c r="P340" s="318">
        <v>2068.6945000000001</v>
      </c>
      <c r="Q340" s="302" t="s">
        <v>12</v>
      </c>
      <c r="R340" s="318" t="s">
        <v>539</v>
      </c>
      <c r="S340" s="315">
        <v>10</v>
      </c>
      <c r="T340" s="315">
        <v>5</v>
      </c>
      <c r="U340" s="315">
        <v>0.7</v>
      </c>
      <c r="V340" s="315">
        <v>0.7</v>
      </c>
      <c r="W340" s="315">
        <v>0.7</v>
      </c>
      <c r="X340" s="313">
        <v>2000</v>
      </c>
      <c r="Y340" s="313" t="s">
        <v>540</v>
      </c>
      <c r="Z340" s="313">
        <v>0.2</v>
      </c>
      <c r="AA340" s="313" t="s">
        <v>541</v>
      </c>
      <c r="AB340" s="313" t="s">
        <v>542</v>
      </c>
      <c r="AC340" s="313">
        <v>220</v>
      </c>
      <c r="AD340" s="158"/>
      <c r="AE340" s="188"/>
    </row>
    <row r="341" spans="1:31" ht="15.75">
      <c r="A341" s="313" t="s">
        <v>536</v>
      </c>
      <c r="B341" s="313" t="s">
        <v>537</v>
      </c>
      <c r="C341" s="313" t="s">
        <v>675</v>
      </c>
      <c r="D341" s="313" t="s">
        <v>538</v>
      </c>
      <c r="E341" s="313">
        <v>1</v>
      </c>
      <c r="F341" s="322">
        <v>45495.436111111114</v>
      </c>
      <c r="G341" s="313">
        <v>1</v>
      </c>
      <c r="H341" s="313">
        <v>51.374099999999999</v>
      </c>
      <c r="I341" s="313">
        <v>14.008900000000001</v>
      </c>
      <c r="J341" s="313">
        <v>-23.450793999999998</v>
      </c>
      <c r="K341" s="313">
        <v>-21.660294</v>
      </c>
      <c r="L341" s="313">
        <v>997.64700000000005</v>
      </c>
      <c r="M341" s="313">
        <v>65.501018999999999</v>
      </c>
      <c r="N341" s="313">
        <v>11360.8202</v>
      </c>
      <c r="O341" s="313">
        <v>11360.8202</v>
      </c>
      <c r="P341" s="315">
        <v>2033.0732399999999</v>
      </c>
      <c r="Q341" s="302" t="s">
        <v>12</v>
      </c>
      <c r="R341" s="315" t="s">
        <v>539</v>
      </c>
      <c r="S341" s="315">
        <v>10</v>
      </c>
      <c r="T341" s="315">
        <v>5</v>
      </c>
      <c r="U341" s="315">
        <v>0.7</v>
      </c>
      <c r="V341" s="315">
        <v>0.7</v>
      </c>
      <c r="W341" s="315">
        <v>0.7</v>
      </c>
      <c r="X341" s="313">
        <v>2000</v>
      </c>
      <c r="Y341" s="313" t="s">
        <v>540</v>
      </c>
      <c r="Z341" s="313">
        <v>0.2</v>
      </c>
      <c r="AA341" s="313" t="s">
        <v>541</v>
      </c>
      <c r="AB341" s="313" t="s">
        <v>542</v>
      </c>
      <c r="AC341" s="313">
        <v>220</v>
      </c>
      <c r="AD341" s="158"/>
      <c r="AE341" s="188"/>
    </row>
    <row r="342" spans="1:31" ht="15.75">
      <c r="A342" s="313" t="s">
        <v>543</v>
      </c>
      <c r="B342" s="313" t="s">
        <v>537</v>
      </c>
      <c r="C342" s="313" t="s">
        <v>675</v>
      </c>
      <c r="D342" s="313" t="s">
        <v>538</v>
      </c>
      <c r="E342" s="313">
        <v>1</v>
      </c>
      <c r="F342" s="322">
        <v>45495.438888888886</v>
      </c>
      <c r="G342" s="313">
        <v>1</v>
      </c>
      <c r="H342" s="313">
        <v>51.374099999999999</v>
      </c>
      <c r="I342" s="313">
        <v>14.9343</v>
      </c>
      <c r="J342" s="313">
        <v>-23.846031</v>
      </c>
      <c r="K342" s="313">
        <v>-22.036106</v>
      </c>
      <c r="L342" s="313">
        <v>996.68</v>
      </c>
      <c r="M342" s="313">
        <v>65.000319000000005</v>
      </c>
      <c r="N342" s="313">
        <v>11255.239299999999</v>
      </c>
      <c r="O342" s="313">
        <v>11255.239299999999</v>
      </c>
      <c r="P342" s="315">
        <v>2014.2333100000001</v>
      </c>
      <c r="Q342" s="302" t="s">
        <v>12</v>
      </c>
      <c r="R342" s="315" t="s">
        <v>539</v>
      </c>
      <c r="S342" s="315">
        <v>10</v>
      </c>
      <c r="T342" s="315">
        <v>5</v>
      </c>
      <c r="U342" s="315">
        <v>0.7</v>
      </c>
      <c r="V342" s="315">
        <v>0.7</v>
      </c>
      <c r="W342" s="315">
        <v>0.7</v>
      </c>
      <c r="X342" s="313">
        <v>2000</v>
      </c>
      <c r="Y342" s="313" t="s">
        <v>540</v>
      </c>
      <c r="Z342" s="313">
        <v>0.2</v>
      </c>
      <c r="AA342" s="313" t="s">
        <v>541</v>
      </c>
      <c r="AB342" s="313" t="s">
        <v>542</v>
      </c>
      <c r="AC342" s="313">
        <v>220</v>
      </c>
      <c r="AD342" s="158"/>
      <c r="AE342" s="188"/>
    </row>
    <row r="343" spans="1:31" ht="15.75">
      <c r="A343" s="313" t="s">
        <v>544</v>
      </c>
      <c r="B343" s="313" t="s">
        <v>537</v>
      </c>
      <c r="C343" s="313" t="s">
        <v>675</v>
      </c>
      <c r="D343" s="313" t="s">
        <v>538</v>
      </c>
      <c r="E343" s="313">
        <v>1</v>
      </c>
      <c r="F343" s="322">
        <v>45495.440972222219</v>
      </c>
      <c r="G343" s="313">
        <v>1</v>
      </c>
      <c r="H343" s="313">
        <v>51.374099999999999</v>
      </c>
      <c r="I343" s="313">
        <v>13.952500000000001</v>
      </c>
      <c r="J343" s="313">
        <v>-23.814388000000001</v>
      </c>
      <c r="K343" s="313">
        <v>-21.954162</v>
      </c>
      <c r="L343" s="313">
        <v>1007.58</v>
      </c>
      <c r="M343" s="313">
        <v>64.999690000000001</v>
      </c>
      <c r="N343" s="313">
        <v>11273.8352</v>
      </c>
      <c r="O343" s="313">
        <v>11273.8352</v>
      </c>
      <c r="P343" s="315">
        <v>2017.5515700000001</v>
      </c>
      <c r="Q343" s="302" t="s">
        <v>12</v>
      </c>
      <c r="R343" s="315" t="s">
        <v>539</v>
      </c>
      <c r="S343" s="315">
        <v>10</v>
      </c>
      <c r="T343" s="315">
        <v>5</v>
      </c>
      <c r="U343" s="315">
        <v>0.7</v>
      </c>
      <c r="V343" s="315">
        <v>0.7</v>
      </c>
      <c r="W343" s="315">
        <v>0.7</v>
      </c>
      <c r="X343" s="313">
        <v>2000</v>
      </c>
      <c r="Y343" s="313" t="s">
        <v>540</v>
      </c>
      <c r="Z343" s="313">
        <v>0.2</v>
      </c>
      <c r="AA343" s="313" t="s">
        <v>541</v>
      </c>
      <c r="AB343" s="313" t="s">
        <v>542</v>
      </c>
      <c r="AC343" s="313">
        <v>220</v>
      </c>
      <c r="AD343" s="158"/>
      <c r="AE343" s="188"/>
    </row>
    <row r="344" spans="1:31" ht="15.75">
      <c r="A344" s="313" t="s">
        <v>545</v>
      </c>
      <c r="B344" s="313" t="s">
        <v>537</v>
      </c>
      <c r="C344" s="313" t="s">
        <v>675</v>
      </c>
      <c r="D344" s="313" t="s">
        <v>538</v>
      </c>
      <c r="E344" s="313">
        <v>1</v>
      </c>
      <c r="F344" s="322">
        <v>45495.443749999999</v>
      </c>
      <c r="G344" s="313">
        <v>1</v>
      </c>
      <c r="H344" s="313">
        <v>51.374099999999999</v>
      </c>
      <c r="I344" s="313">
        <v>12.748799999999999</v>
      </c>
      <c r="J344" s="313">
        <v>-24.0474</v>
      </c>
      <c r="K344" s="313">
        <v>-22.251719000000001</v>
      </c>
      <c r="L344" s="313">
        <v>1006.43</v>
      </c>
      <c r="M344" s="313">
        <v>67.500400999999997</v>
      </c>
      <c r="N344" s="313">
        <v>11278.456099999999</v>
      </c>
      <c r="O344" s="313">
        <v>11278.456099999999</v>
      </c>
      <c r="P344" s="315">
        <v>2018.3761199999999</v>
      </c>
      <c r="Q344" s="302" t="s">
        <v>12</v>
      </c>
      <c r="R344" s="315" t="s">
        <v>539</v>
      </c>
      <c r="S344" s="315">
        <v>10</v>
      </c>
      <c r="T344" s="315">
        <v>5</v>
      </c>
      <c r="U344" s="315">
        <v>0.7</v>
      </c>
      <c r="V344" s="315">
        <v>0.7</v>
      </c>
      <c r="W344" s="315">
        <v>0.7</v>
      </c>
      <c r="X344" s="313">
        <v>2000</v>
      </c>
      <c r="Y344" s="313" t="s">
        <v>540</v>
      </c>
      <c r="Z344" s="313">
        <v>0.2</v>
      </c>
      <c r="AA344" s="313" t="s">
        <v>541</v>
      </c>
      <c r="AB344" s="313" t="s">
        <v>542</v>
      </c>
      <c r="AC344" s="313">
        <v>220</v>
      </c>
      <c r="AD344" s="158"/>
      <c r="AE344" s="188"/>
    </row>
    <row r="345" spans="1:31" ht="15.75">
      <c r="A345" s="313" t="s">
        <v>775</v>
      </c>
      <c r="B345" s="313" t="s">
        <v>551</v>
      </c>
      <c r="C345" s="313" t="s">
        <v>776</v>
      </c>
      <c r="D345" s="313" t="s">
        <v>538</v>
      </c>
      <c r="E345" s="313">
        <v>0.8</v>
      </c>
      <c r="F345" s="322">
        <v>45495.447916666664</v>
      </c>
      <c r="G345" s="313">
        <v>1</v>
      </c>
      <c r="H345" s="313">
        <v>51.374099999999999</v>
      </c>
      <c r="I345" s="313">
        <v>11.923400000000001</v>
      </c>
      <c r="J345" s="313">
        <v>-24.052880999999999</v>
      </c>
      <c r="K345" s="313">
        <v>-22.462250000000001</v>
      </c>
      <c r="L345" s="313">
        <v>996.83600000000001</v>
      </c>
      <c r="M345" s="313">
        <v>62.501041999999998</v>
      </c>
      <c r="N345" s="313">
        <v>9176.6952000000001</v>
      </c>
      <c r="O345" s="313">
        <v>9261.9757599999994</v>
      </c>
      <c r="P345" s="315">
        <v>2070.3456999999999</v>
      </c>
      <c r="Q345" s="302" t="s">
        <v>12</v>
      </c>
      <c r="R345" s="315" t="s">
        <v>553</v>
      </c>
      <c r="S345" s="315">
        <v>10</v>
      </c>
      <c r="T345" s="315">
        <v>5</v>
      </c>
      <c r="U345" s="315">
        <v>0.7</v>
      </c>
      <c r="V345" s="315">
        <v>0.7</v>
      </c>
      <c r="W345" s="315">
        <v>0.7</v>
      </c>
      <c r="X345" s="313">
        <v>2000</v>
      </c>
      <c r="Y345" s="313" t="s">
        <v>540</v>
      </c>
      <c r="Z345" s="313">
        <v>0.2</v>
      </c>
      <c r="AA345" s="313" t="s">
        <v>541</v>
      </c>
      <c r="AB345" s="313" t="s">
        <v>542</v>
      </c>
      <c r="AC345" s="313">
        <v>220</v>
      </c>
      <c r="AD345" s="158"/>
      <c r="AE345" s="188"/>
    </row>
    <row r="346" spans="1:31" ht="15.75">
      <c r="A346" s="316" t="s">
        <v>777</v>
      </c>
      <c r="B346" s="316" t="s">
        <v>551</v>
      </c>
      <c r="C346" s="316" t="s">
        <v>776</v>
      </c>
      <c r="D346" s="316" t="s">
        <v>538</v>
      </c>
      <c r="E346" s="316">
        <v>0.8</v>
      </c>
      <c r="F346" s="323">
        <v>45495.45</v>
      </c>
      <c r="G346" s="316">
        <v>1</v>
      </c>
      <c r="H346" s="316">
        <v>51.370800000000003</v>
      </c>
      <c r="I346" s="316">
        <v>11.696</v>
      </c>
      <c r="J346" s="316">
        <v>-24.044799999999999</v>
      </c>
      <c r="K346" s="316">
        <v>-22.447544000000001</v>
      </c>
      <c r="L346" s="316">
        <v>1025.73</v>
      </c>
      <c r="M346" s="316">
        <v>63.999772</v>
      </c>
      <c r="N346" s="316">
        <v>9258.0040000000008</v>
      </c>
      <c r="O346" s="316">
        <v>9261.9757599999994</v>
      </c>
      <c r="P346" s="318">
        <v>2070.3456999999999</v>
      </c>
      <c r="Q346" s="302" t="s">
        <v>12</v>
      </c>
      <c r="R346" s="315" t="s">
        <v>539</v>
      </c>
      <c r="S346" s="315">
        <v>10</v>
      </c>
      <c r="T346" s="315">
        <v>5</v>
      </c>
      <c r="U346" s="315">
        <v>0.7</v>
      </c>
      <c r="V346" s="315">
        <v>0.7</v>
      </c>
      <c r="W346" s="315">
        <v>0.7</v>
      </c>
      <c r="X346" s="313">
        <v>2000</v>
      </c>
      <c r="Y346" s="313" t="s">
        <v>540</v>
      </c>
      <c r="Z346" s="313">
        <v>0.2</v>
      </c>
      <c r="AA346" s="313" t="s">
        <v>541</v>
      </c>
      <c r="AB346" s="313" t="s">
        <v>542</v>
      </c>
      <c r="AC346" s="313">
        <v>220</v>
      </c>
      <c r="AD346" s="158"/>
      <c r="AE346" s="188"/>
    </row>
    <row r="347" spans="1:31" ht="15.75">
      <c r="A347" s="313" t="s">
        <v>778</v>
      </c>
      <c r="B347" s="313" t="s">
        <v>551</v>
      </c>
      <c r="C347" s="313" t="s">
        <v>776</v>
      </c>
      <c r="D347" s="313" t="s">
        <v>538</v>
      </c>
      <c r="E347" s="313">
        <v>0.8</v>
      </c>
      <c r="F347" s="322">
        <v>45495.452777777777</v>
      </c>
      <c r="G347" s="313">
        <v>1</v>
      </c>
      <c r="H347" s="313">
        <v>51.370800000000003</v>
      </c>
      <c r="I347" s="313">
        <v>11.3185</v>
      </c>
      <c r="J347" s="313">
        <v>-24.142219000000001</v>
      </c>
      <c r="K347" s="313">
        <v>-22.620156000000001</v>
      </c>
      <c r="L347" s="313">
        <v>1010.19</v>
      </c>
      <c r="M347" s="313">
        <v>64.001514999999998</v>
      </c>
      <c r="N347" s="313">
        <v>9265.9475199999997</v>
      </c>
      <c r="O347" s="313">
        <v>9261.9757599999994</v>
      </c>
      <c r="P347" s="315">
        <v>2070.3456999999999</v>
      </c>
      <c r="Q347" s="302" t="s">
        <v>12</v>
      </c>
      <c r="R347" s="315" t="s">
        <v>539</v>
      </c>
      <c r="S347" s="315">
        <v>10</v>
      </c>
      <c r="T347" s="315">
        <v>5</v>
      </c>
      <c r="U347" s="315">
        <v>0.7</v>
      </c>
      <c r="V347" s="315">
        <v>0.7</v>
      </c>
      <c r="W347" s="315">
        <v>0.7</v>
      </c>
      <c r="X347" s="313">
        <v>2000</v>
      </c>
      <c r="Y347" s="313" t="s">
        <v>540</v>
      </c>
      <c r="Z347" s="313">
        <v>0.2</v>
      </c>
      <c r="AA347" s="313" t="s">
        <v>541</v>
      </c>
      <c r="AB347" s="313" t="s">
        <v>542</v>
      </c>
      <c r="AC347" s="313">
        <v>220</v>
      </c>
      <c r="AD347" s="158"/>
      <c r="AE347" s="188"/>
    </row>
    <row r="348" spans="1:31" ht="15.75">
      <c r="A348" s="313" t="s">
        <v>779</v>
      </c>
      <c r="B348" s="313" t="s">
        <v>558</v>
      </c>
      <c r="C348" s="313" t="s">
        <v>776</v>
      </c>
      <c r="D348" s="313" t="s">
        <v>538</v>
      </c>
      <c r="E348" s="313">
        <v>1</v>
      </c>
      <c r="F348" s="322">
        <v>45495.455555555556</v>
      </c>
      <c r="G348" s="313">
        <v>1</v>
      </c>
      <c r="H348" s="313">
        <v>51.370800000000003</v>
      </c>
      <c r="I348" s="313">
        <v>10.9544</v>
      </c>
      <c r="J348" s="313">
        <v>-24.158300000000001</v>
      </c>
      <c r="K348" s="313">
        <v>-23.10305</v>
      </c>
      <c r="L348" s="313">
        <v>1101.55</v>
      </c>
      <c r="M348" s="313">
        <v>72.498655999999997</v>
      </c>
      <c r="N348" s="313">
        <v>11632.790199999999</v>
      </c>
      <c r="O348" s="313">
        <v>11627.0954</v>
      </c>
      <c r="P348" s="315">
        <v>2070.3456999999999</v>
      </c>
      <c r="Q348" s="302" t="s">
        <v>12</v>
      </c>
      <c r="R348" s="315" t="s">
        <v>539</v>
      </c>
      <c r="S348" s="315">
        <v>10</v>
      </c>
      <c r="T348" s="315">
        <v>5</v>
      </c>
      <c r="U348" s="315">
        <v>0.7</v>
      </c>
      <c r="V348" s="315">
        <v>0.7</v>
      </c>
      <c r="W348" s="315">
        <v>0.7</v>
      </c>
      <c r="X348" s="313">
        <v>2000</v>
      </c>
      <c r="Y348" s="313" t="s">
        <v>540</v>
      </c>
      <c r="Z348" s="313">
        <v>0.2</v>
      </c>
      <c r="AA348" s="313" t="s">
        <v>541</v>
      </c>
      <c r="AB348" s="313" t="s">
        <v>542</v>
      </c>
      <c r="AC348" s="313">
        <v>220</v>
      </c>
      <c r="AD348" s="158"/>
      <c r="AE348" s="188"/>
    </row>
    <row r="349" spans="1:31" ht="15.75">
      <c r="A349" s="313" t="s">
        <v>780</v>
      </c>
      <c r="B349" s="313" t="s">
        <v>558</v>
      </c>
      <c r="C349" s="313" t="s">
        <v>776</v>
      </c>
      <c r="D349" s="313" t="s">
        <v>538</v>
      </c>
      <c r="E349" s="313">
        <v>1</v>
      </c>
      <c r="F349" s="322">
        <v>45495.458333333336</v>
      </c>
      <c r="G349" s="313">
        <v>1</v>
      </c>
      <c r="H349" s="313">
        <v>51.380699999999997</v>
      </c>
      <c r="I349" s="313">
        <v>10.4826</v>
      </c>
      <c r="J349" s="313">
        <v>-24.232700000000001</v>
      </c>
      <c r="K349" s="313">
        <v>-22.956486999999999</v>
      </c>
      <c r="L349" s="313">
        <v>1092.4000000000001</v>
      </c>
      <c r="M349" s="313">
        <v>72.501603000000003</v>
      </c>
      <c r="N349" s="313">
        <v>11621.400600000001</v>
      </c>
      <c r="O349" s="313">
        <v>11627.0954</v>
      </c>
      <c r="P349" s="315">
        <v>2070.3456999999999</v>
      </c>
      <c r="Q349" s="302" t="s">
        <v>12</v>
      </c>
      <c r="R349" s="315" t="s">
        <v>539</v>
      </c>
      <c r="S349" s="315">
        <v>10</v>
      </c>
      <c r="T349" s="315">
        <v>5</v>
      </c>
      <c r="U349" s="315">
        <v>0.7</v>
      </c>
      <c r="V349" s="315">
        <v>0.7</v>
      </c>
      <c r="W349" s="315">
        <v>0.7</v>
      </c>
      <c r="X349" s="313">
        <v>2000</v>
      </c>
      <c r="Y349" s="313" t="s">
        <v>540</v>
      </c>
      <c r="Z349" s="313">
        <v>0.2</v>
      </c>
      <c r="AA349" s="313" t="s">
        <v>541</v>
      </c>
      <c r="AB349" s="313" t="s">
        <v>542</v>
      </c>
      <c r="AC349" s="313">
        <v>220</v>
      </c>
      <c r="AD349" s="158"/>
      <c r="AE349" s="188"/>
    </row>
    <row r="350" spans="1:31" ht="15.75">
      <c r="A350" s="313" t="s">
        <v>781</v>
      </c>
      <c r="B350" s="313" t="s">
        <v>561</v>
      </c>
      <c r="C350" s="313" t="s">
        <v>776</v>
      </c>
      <c r="D350" s="313" t="s">
        <v>538</v>
      </c>
      <c r="E350" s="313">
        <v>1.2</v>
      </c>
      <c r="F350" s="322">
        <v>45495.461111111108</v>
      </c>
      <c r="G350" s="313">
        <v>1</v>
      </c>
      <c r="H350" s="313">
        <v>51.374099999999999</v>
      </c>
      <c r="I350" s="313">
        <v>9.6588700000000003</v>
      </c>
      <c r="J350" s="313">
        <v>-24.230363000000001</v>
      </c>
      <c r="K350" s="313">
        <v>-23.081944</v>
      </c>
      <c r="L350" s="313">
        <v>1131.06</v>
      </c>
      <c r="M350" s="313">
        <v>80.500449000000003</v>
      </c>
      <c r="N350" s="313">
        <v>14003.959000000001</v>
      </c>
      <c r="O350" s="313">
        <v>13990.4082</v>
      </c>
      <c r="P350" s="315">
        <v>2070.3456999999999</v>
      </c>
      <c r="Q350" s="302" t="s">
        <v>12</v>
      </c>
      <c r="R350" s="315" t="s">
        <v>539</v>
      </c>
      <c r="S350" s="315">
        <v>10</v>
      </c>
      <c r="T350" s="315">
        <v>5</v>
      </c>
      <c r="U350" s="315">
        <v>0.7</v>
      </c>
      <c r="V350" s="315">
        <v>0.7</v>
      </c>
      <c r="W350" s="315">
        <v>0.7</v>
      </c>
      <c r="X350" s="313">
        <v>2000</v>
      </c>
      <c r="Y350" s="313" t="s">
        <v>540</v>
      </c>
      <c r="Z350" s="313">
        <v>0.2</v>
      </c>
      <c r="AA350" s="313" t="s">
        <v>541</v>
      </c>
      <c r="AB350" s="313" t="s">
        <v>542</v>
      </c>
      <c r="AC350" s="313">
        <v>220</v>
      </c>
      <c r="AD350" s="158"/>
      <c r="AE350" s="188"/>
    </row>
    <row r="351" spans="1:31" ht="15.75">
      <c r="A351" s="313" t="s">
        <v>782</v>
      </c>
      <c r="B351" s="313" t="s">
        <v>561</v>
      </c>
      <c r="C351" s="313" t="s">
        <v>776</v>
      </c>
      <c r="D351" s="313" t="s">
        <v>538</v>
      </c>
      <c r="E351" s="313">
        <v>1.2</v>
      </c>
      <c r="F351" s="322">
        <v>45495.464583333334</v>
      </c>
      <c r="G351" s="313">
        <v>1</v>
      </c>
      <c r="H351" s="313">
        <v>51.380699999999997</v>
      </c>
      <c r="I351" s="313">
        <v>8.9203799999999998</v>
      </c>
      <c r="J351" s="313">
        <v>-24.103769</v>
      </c>
      <c r="K351" s="313">
        <v>-22.528587000000002</v>
      </c>
      <c r="L351" s="313">
        <v>1115.4000000000001</v>
      </c>
      <c r="M351" s="313">
        <v>73.000354000000002</v>
      </c>
      <c r="N351" s="313">
        <v>13976.857400000001</v>
      </c>
      <c r="O351" s="313">
        <v>13990.4082</v>
      </c>
      <c r="P351" s="315">
        <v>2070.3456999999999</v>
      </c>
      <c r="Q351" s="302" t="s">
        <v>12</v>
      </c>
      <c r="R351" s="315" t="s">
        <v>539</v>
      </c>
      <c r="S351" s="315">
        <v>10</v>
      </c>
      <c r="T351" s="315">
        <v>5</v>
      </c>
      <c r="U351" s="315">
        <v>0.7</v>
      </c>
      <c r="V351" s="315">
        <v>0.7</v>
      </c>
      <c r="W351" s="315">
        <v>0.7</v>
      </c>
      <c r="X351" s="313">
        <v>2000</v>
      </c>
      <c r="Y351" s="313" t="s">
        <v>540</v>
      </c>
      <c r="Z351" s="313">
        <v>0.2</v>
      </c>
      <c r="AA351" s="313" t="s">
        <v>541</v>
      </c>
      <c r="AB351" s="313" t="s">
        <v>542</v>
      </c>
      <c r="AC351" s="313">
        <v>220</v>
      </c>
      <c r="AD351" s="158"/>
      <c r="AE351" s="188"/>
    </row>
    <row r="352" spans="1:31" ht="15.75">
      <c r="A352" s="313" t="s">
        <v>547</v>
      </c>
      <c r="B352" s="313">
        <v>2</v>
      </c>
      <c r="C352" s="313">
        <v>456</v>
      </c>
      <c r="D352" s="313" t="s">
        <v>564</v>
      </c>
      <c r="E352" s="313">
        <v>1</v>
      </c>
      <c r="F352" s="322">
        <v>45495.468055555553</v>
      </c>
      <c r="G352" s="313">
        <v>1</v>
      </c>
      <c r="H352" s="313">
        <v>51.374099999999999</v>
      </c>
      <c r="I352" s="313">
        <v>8.5194799999999997</v>
      </c>
      <c r="J352" s="313">
        <v>-24.170925</v>
      </c>
      <c r="K352" s="313">
        <v>-22.711831</v>
      </c>
      <c r="L352" s="313">
        <v>1079.75</v>
      </c>
      <c r="M352" s="313">
        <v>67.999602999999993</v>
      </c>
      <c r="N352" s="313">
        <v>11706.966700000001</v>
      </c>
      <c r="O352" s="313">
        <v>11740.2847</v>
      </c>
      <c r="P352" s="315">
        <v>2090.2751699999999</v>
      </c>
      <c r="Q352" s="302" t="s">
        <v>12</v>
      </c>
      <c r="R352" s="315" t="s">
        <v>553</v>
      </c>
      <c r="S352" s="315">
        <v>10</v>
      </c>
      <c r="T352" s="315">
        <v>5</v>
      </c>
      <c r="U352" s="315">
        <v>0.7</v>
      </c>
      <c r="V352" s="315">
        <v>0.7</v>
      </c>
      <c r="W352" s="315">
        <v>0.7</v>
      </c>
      <c r="X352" s="313">
        <v>2000</v>
      </c>
      <c r="Y352" s="313" t="s">
        <v>540</v>
      </c>
      <c r="Z352" s="313">
        <v>0.2</v>
      </c>
      <c r="AA352" s="313" t="s">
        <v>541</v>
      </c>
      <c r="AB352" s="313" t="s">
        <v>542</v>
      </c>
      <c r="AC352" s="313">
        <v>220</v>
      </c>
      <c r="AD352" s="158"/>
      <c r="AE352" s="188"/>
    </row>
    <row r="353" spans="1:31" ht="15.75">
      <c r="A353" s="313" t="s">
        <v>783</v>
      </c>
      <c r="B353" s="313">
        <v>2</v>
      </c>
      <c r="C353" s="313">
        <v>456</v>
      </c>
      <c r="D353" s="313" t="s">
        <v>564</v>
      </c>
      <c r="E353" s="313">
        <v>1</v>
      </c>
      <c r="F353" s="322">
        <v>45495.470833333333</v>
      </c>
      <c r="G353" s="313">
        <v>1</v>
      </c>
      <c r="H353" s="313">
        <v>51.374099999999999</v>
      </c>
      <c r="I353" s="313">
        <v>8.3657000000000004</v>
      </c>
      <c r="J353" s="313">
        <v>-24.369700000000002</v>
      </c>
      <c r="K353" s="313">
        <v>-22.772531000000001</v>
      </c>
      <c r="L353" s="313">
        <v>1083.46</v>
      </c>
      <c r="M353" s="313">
        <v>70.999717000000004</v>
      </c>
      <c r="N353" s="313">
        <v>11644.5764</v>
      </c>
      <c r="O353" s="313">
        <v>11740.2847</v>
      </c>
      <c r="P353" s="315">
        <v>2090.2751699999999</v>
      </c>
      <c r="Q353" s="302" t="s">
        <v>12</v>
      </c>
      <c r="R353" s="315" t="s">
        <v>553</v>
      </c>
      <c r="S353" s="315">
        <v>10</v>
      </c>
      <c r="T353" s="315">
        <v>5</v>
      </c>
      <c r="U353" s="315">
        <v>0.7</v>
      </c>
      <c r="V353" s="315">
        <v>0.7</v>
      </c>
      <c r="W353" s="315">
        <v>0.7</v>
      </c>
      <c r="X353" s="313">
        <v>2000</v>
      </c>
      <c r="Y353" s="313" t="s">
        <v>540</v>
      </c>
      <c r="Z353" s="313">
        <v>0.2</v>
      </c>
      <c r="AA353" s="313" t="s">
        <v>541</v>
      </c>
      <c r="AB353" s="313" t="s">
        <v>542</v>
      </c>
      <c r="AC353" s="313">
        <v>220</v>
      </c>
      <c r="AD353" s="158"/>
      <c r="AE353" s="188"/>
    </row>
    <row r="354" spans="1:31" ht="15.75">
      <c r="A354" s="313" t="s">
        <v>784</v>
      </c>
      <c r="B354" s="313">
        <v>2</v>
      </c>
      <c r="C354" s="313">
        <v>456</v>
      </c>
      <c r="D354" s="313" t="s">
        <v>564</v>
      </c>
      <c r="E354" s="313">
        <v>1</v>
      </c>
      <c r="F354" s="322">
        <v>45495.473611111112</v>
      </c>
      <c r="G354" s="313">
        <v>1</v>
      </c>
      <c r="H354" s="313">
        <v>51.377400000000002</v>
      </c>
      <c r="I354" s="313">
        <v>8.1066099999999999</v>
      </c>
      <c r="J354" s="313">
        <v>-24.337630999999998</v>
      </c>
      <c r="K354" s="313">
        <v>-22.839825000000001</v>
      </c>
      <c r="L354" s="313">
        <v>1098.74</v>
      </c>
      <c r="M354" s="313">
        <v>68.999942000000004</v>
      </c>
      <c r="N354" s="313">
        <v>11735.7279</v>
      </c>
      <c r="O354" s="313">
        <v>11740.2847</v>
      </c>
      <c r="P354" s="315">
        <v>2090.2751699999999</v>
      </c>
      <c r="Q354" s="302" t="s">
        <v>12</v>
      </c>
      <c r="R354" s="315" t="s">
        <v>539</v>
      </c>
      <c r="S354" s="315">
        <v>10</v>
      </c>
      <c r="T354" s="315">
        <v>5</v>
      </c>
      <c r="U354" s="315">
        <v>0.7</v>
      </c>
      <c r="V354" s="315">
        <v>0.7</v>
      </c>
      <c r="W354" s="315">
        <v>0.7</v>
      </c>
      <c r="X354" s="313">
        <v>2000</v>
      </c>
      <c r="Y354" s="313" t="s">
        <v>540</v>
      </c>
      <c r="Z354" s="313">
        <v>0.2</v>
      </c>
      <c r="AA354" s="313" t="s">
        <v>541</v>
      </c>
      <c r="AB354" s="313" t="s">
        <v>542</v>
      </c>
      <c r="AC354" s="313">
        <v>220</v>
      </c>
      <c r="AD354" s="158"/>
      <c r="AE354" s="188"/>
    </row>
    <row r="355" spans="1:31" ht="15.75">
      <c r="A355" s="313" t="s">
        <v>785</v>
      </c>
      <c r="B355" s="313">
        <v>2</v>
      </c>
      <c r="C355" s="313">
        <v>456</v>
      </c>
      <c r="D355" s="313" t="s">
        <v>564</v>
      </c>
      <c r="E355" s="313">
        <v>1</v>
      </c>
      <c r="F355" s="322">
        <v>45495.476388888892</v>
      </c>
      <c r="G355" s="313">
        <v>1</v>
      </c>
      <c r="H355" s="313">
        <v>51.377400000000002</v>
      </c>
      <c r="I355" s="313">
        <v>7.9759200000000003</v>
      </c>
      <c r="J355" s="313">
        <v>-24.295062999999999</v>
      </c>
      <c r="K355" s="313">
        <v>-22.990424999999998</v>
      </c>
      <c r="L355" s="313">
        <v>1104.95</v>
      </c>
      <c r="M355" s="313">
        <v>70.998707999999993</v>
      </c>
      <c r="N355" s="313">
        <v>11744.841399999999</v>
      </c>
      <c r="O355" s="313">
        <v>11740.2847</v>
      </c>
      <c r="P355" s="315">
        <v>2090.2751699999999</v>
      </c>
      <c r="Q355" s="302" t="s">
        <v>12</v>
      </c>
      <c r="R355" s="315" t="s">
        <v>539</v>
      </c>
      <c r="S355" s="315">
        <v>10</v>
      </c>
      <c r="T355" s="315">
        <v>5</v>
      </c>
      <c r="U355" s="315">
        <v>0.7</v>
      </c>
      <c r="V355" s="315">
        <v>0.7</v>
      </c>
      <c r="W355" s="315">
        <v>0.7</v>
      </c>
      <c r="X355" s="313">
        <v>2000</v>
      </c>
      <c r="Y355" s="313" t="s">
        <v>540</v>
      </c>
      <c r="Z355" s="313">
        <v>0.2</v>
      </c>
      <c r="AA355" s="313" t="s">
        <v>541</v>
      </c>
      <c r="AB355" s="313" t="s">
        <v>542</v>
      </c>
      <c r="AC355" s="313">
        <v>220</v>
      </c>
      <c r="AD355" s="158"/>
      <c r="AE355" s="188"/>
    </row>
    <row r="356" spans="1:31" ht="15.75">
      <c r="A356" s="313" t="s">
        <v>548</v>
      </c>
      <c r="B356" s="313">
        <v>3</v>
      </c>
      <c r="C356" s="313">
        <v>457</v>
      </c>
      <c r="D356" s="313" t="s">
        <v>568</v>
      </c>
      <c r="E356" s="313">
        <v>1</v>
      </c>
      <c r="F356" s="322">
        <v>45495.479861111111</v>
      </c>
      <c r="G356" s="313">
        <v>1</v>
      </c>
      <c r="H356" s="313">
        <v>51.370800000000003</v>
      </c>
      <c r="I356" s="313">
        <v>7.8627700000000003</v>
      </c>
      <c r="J356" s="313">
        <v>-24.300612000000001</v>
      </c>
      <c r="K356" s="313">
        <v>-22.677430999999999</v>
      </c>
      <c r="L356" s="313">
        <v>1087.23</v>
      </c>
      <c r="M356" s="313">
        <v>67.999602999999993</v>
      </c>
      <c r="N356" s="313">
        <v>11721.1446</v>
      </c>
      <c r="O356" s="313">
        <v>11722.260899999999</v>
      </c>
      <c r="P356" s="315">
        <v>2087.1184800000001</v>
      </c>
      <c r="Q356" s="302" t="s">
        <v>12</v>
      </c>
      <c r="R356" s="315" t="s">
        <v>539</v>
      </c>
      <c r="S356" s="315">
        <v>10</v>
      </c>
      <c r="T356" s="315">
        <v>5</v>
      </c>
      <c r="U356" s="315">
        <v>0.7</v>
      </c>
      <c r="V356" s="315">
        <v>0.7</v>
      </c>
      <c r="W356" s="315">
        <v>0.7</v>
      </c>
      <c r="X356" s="313">
        <v>2000</v>
      </c>
      <c r="Y356" s="313" t="s">
        <v>540</v>
      </c>
      <c r="Z356" s="313">
        <v>0.2</v>
      </c>
      <c r="AA356" s="313" t="s">
        <v>541</v>
      </c>
      <c r="AB356" s="313" t="s">
        <v>542</v>
      </c>
      <c r="AC356" s="313">
        <v>220</v>
      </c>
      <c r="AD356" s="158"/>
      <c r="AE356" s="188"/>
    </row>
    <row r="357" spans="1:31" ht="15.75">
      <c r="A357" s="313" t="s">
        <v>786</v>
      </c>
      <c r="B357" s="313">
        <v>3</v>
      </c>
      <c r="C357" s="313">
        <v>457</v>
      </c>
      <c r="D357" s="313" t="s">
        <v>568</v>
      </c>
      <c r="E357" s="313">
        <v>1</v>
      </c>
      <c r="F357" s="322">
        <v>45495.481944444444</v>
      </c>
      <c r="G357" s="313">
        <v>1</v>
      </c>
      <c r="H357" s="313">
        <v>51.377400000000002</v>
      </c>
      <c r="I357" s="313">
        <v>7.9188099999999997</v>
      </c>
      <c r="J357" s="313">
        <v>-24.228638</v>
      </c>
      <c r="K357" s="313">
        <v>-22.570988</v>
      </c>
      <c r="L357" s="313">
        <v>1097.3399999999999</v>
      </c>
      <c r="M357" s="313">
        <v>68.500012999999996</v>
      </c>
      <c r="N357" s="313">
        <v>11723.3771</v>
      </c>
      <c r="O357" s="313">
        <v>11722.260899999999</v>
      </c>
      <c r="P357" s="315">
        <v>2087.1184800000001</v>
      </c>
      <c r="Q357" s="302" t="s">
        <v>12</v>
      </c>
      <c r="R357" s="315" t="s">
        <v>539</v>
      </c>
      <c r="S357" s="315">
        <v>10</v>
      </c>
      <c r="T357" s="315">
        <v>5</v>
      </c>
      <c r="U357" s="315">
        <v>0.7</v>
      </c>
      <c r="V357" s="315">
        <v>0.7</v>
      </c>
      <c r="W357" s="315">
        <v>0.7</v>
      </c>
      <c r="X357" s="313">
        <v>2000</v>
      </c>
      <c r="Y357" s="313" t="s">
        <v>540</v>
      </c>
      <c r="Z357" s="313">
        <v>0.2</v>
      </c>
      <c r="AA357" s="313" t="s">
        <v>541</v>
      </c>
      <c r="AB357" s="313" t="s">
        <v>542</v>
      </c>
      <c r="AC357" s="313">
        <v>220</v>
      </c>
      <c r="AD357" s="158"/>
      <c r="AE357" s="188"/>
    </row>
    <row r="358" spans="1:31" ht="15.75">
      <c r="A358" s="313" t="s">
        <v>549</v>
      </c>
      <c r="B358" s="313">
        <v>4</v>
      </c>
      <c r="C358" s="313">
        <v>482</v>
      </c>
      <c r="D358" s="313" t="s">
        <v>571</v>
      </c>
      <c r="E358" s="313">
        <v>1</v>
      </c>
      <c r="F358" s="322">
        <v>45495.48541666667</v>
      </c>
      <c r="G358" s="313">
        <v>1</v>
      </c>
      <c r="H358" s="313">
        <v>51.377400000000002</v>
      </c>
      <c r="I358" s="313">
        <v>7.6851099999999999</v>
      </c>
      <c r="J358" s="313">
        <v>-24.425205999999999</v>
      </c>
      <c r="K358" s="313">
        <v>-22.918194</v>
      </c>
      <c r="L358" s="313">
        <v>1102.25</v>
      </c>
      <c r="M358" s="313">
        <v>72.498676000000003</v>
      </c>
      <c r="N358" s="313">
        <v>11840.281499999999</v>
      </c>
      <c r="O358" s="313">
        <v>11832.476500000001</v>
      </c>
      <c r="P358" s="315">
        <v>2106.4216500000002</v>
      </c>
      <c r="Q358" s="302" t="s">
        <v>12</v>
      </c>
      <c r="R358" s="315" t="s">
        <v>539</v>
      </c>
      <c r="S358" s="315">
        <v>10</v>
      </c>
      <c r="T358" s="315">
        <v>5</v>
      </c>
      <c r="U358" s="315">
        <v>0.7</v>
      </c>
      <c r="V358" s="315">
        <v>0.7</v>
      </c>
      <c r="W358" s="315">
        <v>0.7</v>
      </c>
      <c r="X358" s="313">
        <v>2000</v>
      </c>
      <c r="Y358" s="313" t="s">
        <v>540</v>
      </c>
      <c r="Z358" s="313">
        <v>0.2</v>
      </c>
      <c r="AA358" s="313" t="s">
        <v>541</v>
      </c>
      <c r="AB358" s="313" t="s">
        <v>542</v>
      </c>
      <c r="AC358" s="313">
        <v>220</v>
      </c>
      <c r="AD358" s="158"/>
      <c r="AE358" s="188"/>
    </row>
    <row r="359" spans="1:31" ht="15.75">
      <c r="A359" s="313" t="s">
        <v>787</v>
      </c>
      <c r="B359" s="313">
        <v>4</v>
      </c>
      <c r="C359" s="313">
        <v>482</v>
      </c>
      <c r="D359" s="313" t="s">
        <v>571</v>
      </c>
      <c r="E359" s="313">
        <v>1</v>
      </c>
      <c r="F359" s="322">
        <v>45495.488194444442</v>
      </c>
      <c r="G359" s="313">
        <v>1</v>
      </c>
      <c r="H359" s="313">
        <v>51.380699999999997</v>
      </c>
      <c r="I359" s="313">
        <v>7.3774499999999996</v>
      </c>
      <c r="J359" s="313">
        <v>-24.367062000000001</v>
      </c>
      <c r="K359" s="313">
        <v>-22.811938000000001</v>
      </c>
      <c r="L359" s="313">
        <v>1085.51</v>
      </c>
      <c r="M359" s="313">
        <v>70.001163000000005</v>
      </c>
      <c r="N359" s="313">
        <v>11824.671399999999</v>
      </c>
      <c r="O359" s="313">
        <v>11832.476500000001</v>
      </c>
      <c r="P359" s="315">
        <v>2106.4216500000002</v>
      </c>
      <c r="Q359" s="302" t="s">
        <v>12</v>
      </c>
      <c r="R359" s="315" t="s">
        <v>539</v>
      </c>
      <c r="S359" s="315">
        <v>10</v>
      </c>
      <c r="T359" s="315">
        <v>5</v>
      </c>
      <c r="U359" s="315">
        <v>0.7</v>
      </c>
      <c r="V359" s="315">
        <v>0.7</v>
      </c>
      <c r="W359" s="315">
        <v>0.7</v>
      </c>
      <c r="X359" s="313">
        <v>2000</v>
      </c>
      <c r="Y359" s="313" t="s">
        <v>540</v>
      </c>
      <c r="Z359" s="313">
        <v>0.2</v>
      </c>
      <c r="AA359" s="313" t="s">
        <v>541</v>
      </c>
      <c r="AB359" s="313" t="s">
        <v>542</v>
      </c>
      <c r="AC359" s="313">
        <v>220</v>
      </c>
      <c r="AD359" s="158"/>
      <c r="AE359" s="188"/>
    </row>
    <row r="360" spans="1:31" ht="15.75">
      <c r="A360" s="313" t="s">
        <v>676</v>
      </c>
      <c r="B360" s="313">
        <v>5</v>
      </c>
      <c r="C360" s="313">
        <v>483</v>
      </c>
      <c r="D360" s="313" t="s">
        <v>575</v>
      </c>
      <c r="E360" s="313">
        <v>1</v>
      </c>
      <c r="F360" s="322">
        <v>45495.491666666669</v>
      </c>
      <c r="G360" s="313">
        <v>1</v>
      </c>
      <c r="H360" s="313">
        <v>51.377400000000002</v>
      </c>
      <c r="I360" s="313">
        <v>7.1040599999999996</v>
      </c>
      <c r="J360" s="313">
        <v>-24.412562000000001</v>
      </c>
      <c r="K360" s="313">
        <v>-22.702380999999999</v>
      </c>
      <c r="L360" s="313">
        <v>1094.1600000000001</v>
      </c>
      <c r="M360" s="313">
        <v>72.500292999999999</v>
      </c>
      <c r="N360" s="313">
        <v>11818.187</v>
      </c>
      <c r="O360" s="313">
        <v>11810.392400000001</v>
      </c>
      <c r="P360" s="315">
        <v>2102.55384</v>
      </c>
      <c r="Q360" s="302" t="s">
        <v>12</v>
      </c>
      <c r="R360" s="315" t="s">
        <v>539</v>
      </c>
      <c r="S360" s="315">
        <v>10</v>
      </c>
      <c r="T360" s="315">
        <v>5</v>
      </c>
      <c r="U360" s="315">
        <v>0.7</v>
      </c>
      <c r="V360" s="315">
        <v>0.7</v>
      </c>
      <c r="W360" s="315">
        <v>0.7</v>
      </c>
      <c r="X360" s="313">
        <v>2000</v>
      </c>
      <c r="Y360" s="313" t="s">
        <v>540</v>
      </c>
      <c r="Z360" s="313">
        <v>0.2</v>
      </c>
      <c r="AA360" s="313" t="s">
        <v>541</v>
      </c>
      <c r="AB360" s="313" t="s">
        <v>542</v>
      </c>
      <c r="AC360" s="313">
        <v>220</v>
      </c>
      <c r="AD360" s="158"/>
      <c r="AE360" s="188"/>
    </row>
    <row r="361" spans="1:31" ht="15.75">
      <c r="A361" s="313" t="s">
        <v>788</v>
      </c>
      <c r="B361" s="313">
        <v>5</v>
      </c>
      <c r="C361" s="313">
        <v>483</v>
      </c>
      <c r="D361" s="313" t="s">
        <v>575</v>
      </c>
      <c r="E361" s="313">
        <v>1</v>
      </c>
      <c r="F361" s="322">
        <v>45495.494444444441</v>
      </c>
      <c r="G361" s="313">
        <v>1</v>
      </c>
      <c r="H361" s="313">
        <v>51.374099999999999</v>
      </c>
      <c r="I361" s="313">
        <v>6.99594</v>
      </c>
      <c r="J361" s="313">
        <v>-24.289362000000001</v>
      </c>
      <c r="K361" s="313">
        <v>-23.153669000000001</v>
      </c>
      <c r="L361" s="313">
        <v>1076.3800000000001</v>
      </c>
      <c r="M361" s="313">
        <v>77.000078999999999</v>
      </c>
      <c r="N361" s="313">
        <v>11802.5977</v>
      </c>
      <c r="O361" s="313">
        <v>11810.392400000001</v>
      </c>
      <c r="P361" s="315">
        <v>2102.55384</v>
      </c>
      <c r="Q361" s="302" t="s">
        <v>12</v>
      </c>
      <c r="R361" s="315" t="s">
        <v>539</v>
      </c>
      <c r="S361" s="315">
        <v>10</v>
      </c>
      <c r="T361" s="315">
        <v>5</v>
      </c>
      <c r="U361" s="315">
        <v>0.7</v>
      </c>
      <c r="V361" s="315">
        <v>0.7</v>
      </c>
      <c r="W361" s="315">
        <v>0.7</v>
      </c>
      <c r="X361" s="313">
        <v>2000</v>
      </c>
      <c r="Y361" s="313" t="s">
        <v>540</v>
      </c>
      <c r="Z361" s="313">
        <v>0.2</v>
      </c>
      <c r="AA361" s="313" t="s">
        <v>541</v>
      </c>
      <c r="AB361" s="313" t="s">
        <v>542</v>
      </c>
      <c r="AC361" s="313">
        <v>220</v>
      </c>
      <c r="AD361" s="158"/>
      <c r="AE361" s="188"/>
    </row>
    <row r="362" spans="1:31" ht="15.75">
      <c r="A362" s="313" t="s">
        <v>563</v>
      </c>
      <c r="B362" s="313">
        <v>6</v>
      </c>
      <c r="C362" s="313">
        <v>378</v>
      </c>
      <c r="D362" s="313" t="s">
        <v>579</v>
      </c>
      <c r="E362" s="313">
        <v>1</v>
      </c>
      <c r="F362" s="322">
        <v>45495.497916666667</v>
      </c>
      <c r="G362" s="313">
        <v>1</v>
      </c>
      <c r="H362" s="313">
        <v>51.374099999999999</v>
      </c>
      <c r="I362" s="313">
        <v>6.8669099999999998</v>
      </c>
      <c r="J362" s="313">
        <v>-24.366150000000001</v>
      </c>
      <c r="K362" s="313">
        <v>-22.498799999999999</v>
      </c>
      <c r="L362" s="313">
        <v>1062.52</v>
      </c>
      <c r="M362" s="313">
        <v>69.500836000000007</v>
      </c>
      <c r="N362" s="313">
        <v>11811.467500000001</v>
      </c>
      <c r="O362" s="313">
        <v>11802.0679</v>
      </c>
      <c r="P362" s="315">
        <v>2101.0958799999999</v>
      </c>
      <c r="Q362" s="302" t="s">
        <v>12</v>
      </c>
      <c r="R362" s="315" t="s">
        <v>539</v>
      </c>
      <c r="S362" s="315">
        <v>10</v>
      </c>
      <c r="T362" s="315">
        <v>5</v>
      </c>
      <c r="U362" s="315">
        <v>0.7</v>
      </c>
      <c r="V362" s="315">
        <v>0.7</v>
      </c>
      <c r="W362" s="315">
        <v>0.7</v>
      </c>
      <c r="X362" s="313">
        <v>2000</v>
      </c>
      <c r="Y362" s="313" t="s">
        <v>540</v>
      </c>
      <c r="Z362" s="313">
        <v>0.2</v>
      </c>
      <c r="AA362" s="313" t="s">
        <v>541</v>
      </c>
      <c r="AB362" s="313" t="s">
        <v>542</v>
      </c>
      <c r="AC362" s="313">
        <v>220</v>
      </c>
      <c r="AD362" s="158"/>
      <c r="AE362" s="188"/>
    </row>
    <row r="363" spans="1:31" ht="15.75">
      <c r="A363" s="313" t="s">
        <v>565</v>
      </c>
      <c r="B363" s="313">
        <v>6</v>
      </c>
      <c r="C363" s="313">
        <v>378</v>
      </c>
      <c r="D363" s="313" t="s">
        <v>579</v>
      </c>
      <c r="E363" s="313">
        <v>1</v>
      </c>
      <c r="F363" s="322">
        <v>45495.500694444447</v>
      </c>
      <c r="G363" s="313">
        <v>1</v>
      </c>
      <c r="H363" s="313">
        <v>51.377400000000002</v>
      </c>
      <c r="I363" s="313">
        <v>6.9029299999999996</v>
      </c>
      <c r="J363" s="313">
        <v>-24.412925000000001</v>
      </c>
      <c r="K363" s="313">
        <v>-22.318505999999999</v>
      </c>
      <c r="L363" s="313">
        <v>1061.7</v>
      </c>
      <c r="M363" s="313">
        <v>71.000490999999997</v>
      </c>
      <c r="N363" s="313">
        <v>11792.6682</v>
      </c>
      <c r="O363" s="313">
        <v>11802.0679</v>
      </c>
      <c r="P363" s="315">
        <v>2101.0958799999999</v>
      </c>
      <c r="Q363" s="302" t="s">
        <v>12</v>
      </c>
      <c r="R363" s="315" t="s">
        <v>539</v>
      </c>
      <c r="S363" s="315">
        <v>10</v>
      </c>
      <c r="T363" s="315">
        <v>5</v>
      </c>
      <c r="U363" s="315">
        <v>0.7</v>
      </c>
      <c r="V363" s="315">
        <v>0.7</v>
      </c>
      <c r="W363" s="315">
        <v>0.7</v>
      </c>
      <c r="X363" s="313">
        <v>2000</v>
      </c>
      <c r="Y363" s="313" t="s">
        <v>540</v>
      </c>
      <c r="Z363" s="313">
        <v>0.2</v>
      </c>
      <c r="AA363" s="313" t="s">
        <v>541</v>
      </c>
      <c r="AB363" s="313" t="s">
        <v>542</v>
      </c>
      <c r="AC363" s="313">
        <v>220</v>
      </c>
      <c r="AD363" s="158"/>
      <c r="AE363" s="188"/>
    </row>
    <row r="364" spans="1:31" ht="15.75">
      <c r="A364" s="313" t="s">
        <v>567</v>
      </c>
      <c r="B364" s="313">
        <v>7</v>
      </c>
      <c r="C364" s="313">
        <v>379</v>
      </c>
      <c r="D364" s="313" t="s">
        <v>582</v>
      </c>
      <c r="E364" s="313">
        <v>1</v>
      </c>
      <c r="F364" s="322">
        <v>45495.504166666666</v>
      </c>
      <c r="G364" s="313">
        <v>1</v>
      </c>
      <c r="H364" s="313">
        <v>51.370800000000003</v>
      </c>
      <c r="I364" s="313">
        <v>7.0178000000000003</v>
      </c>
      <c r="J364" s="313">
        <v>-24.147856000000001</v>
      </c>
      <c r="K364" s="313">
        <v>-22.618644</v>
      </c>
      <c r="L364" s="313">
        <v>1064.1400000000001</v>
      </c>
      <c r="M364" s="313">
        <v>72.499667000000002</v>
      </c>
      <c r="N364" s="313">
        <v>11809.5144</v>
      </c>
      <c r="O364" s="313">
        <v>0</v>
      </c>
      <c r="P364" s="315">
        <v>0</v>
      </c>
      <c r="Q364" s="302" t="s">
        <v>280</v>
      </c>
      <c r="R364" s="315" t="s">
        <v>607</v>
      </c>
      <c r="S364" s="315">
        <v>10</v>
      </c>
      <c r="T364" s="315">
        <v>5</v>
      </c>
      <c r="U364" s="315">
        <v>0.7</v>
      </c>
      <c r="V364" s="315">
        <v>0.7</v>
      </c>
      <c r="W364" s="315">
        <v>0.7</v>
      </c>
      <c r="X364" s="313">
        <v>2000</v>
      </c>
      <c r="Y364" s="313" t="s">
        <v>540</v>
      </c>
      <c r="Z364" s="313">
        <v>0.2</v>
      </c>
      <c r="AA364" s="313" t="s">
        <v>541</v>
      </c>
      <c r="AB364" s="313" t="s">
        <v>542</v>
      </c>
      <c r="AC364" s="313">
        <v>220</v>
      </c>
      <c r="AD364" s="158"/>
      <c r="AE364" s="188"/>
    </row>
    <row r="365" spans="1:31" ht="15.75">
      <c r="A365" s="313" t="s">
        <v>569</v>
      </c>
      <c r="B365" s="313">
        <v>7</v>
      </c>
      <c r="C365" s="313">
        <v>379</v>
      </c>
      <c r="D365" s="313" t="s">
        <v>582</v>
      </c>
      <c r="E365" s="313">
        <v>1</v>
      </c>
      <c r="F365" s="322">
        <v>45495.506944444445</v>
      </c>
      <c r="G365" s="313">
        <v>1</v>
      </c>
      <c r="H365" s="313">
        <v>51.374099999999999</v>
      </c>
      <c r="I365" s="313">
        <v>6.9599399999999996</v>
      </c>
      <c r="J365" s="313">
        <v>-24.297369</v>
      </c>
      <c r="K365" s="313">
        <v>-23.090819</v>
      </c>
      <c r="L365" s="313">
        <v>1084</v>
      </c>
      <c r="M365" s="313">
        <v>77.500099000000006</v>
      </c>
      <c r="N365" s="313">
        <v>11774.193499999999</v>
      </c>
      <c r="O365" s="313">
        <v>0</v>
      </c>
      <c r="P365" s="315">
        <v>0</v>
      </c>
      <c r="Q365" s="302" t="s">
        <v>280</v>
      </c>
      <c r="R365" s="315" t="s">
        <v>607</v>
      </c>
      <c r="S365" s="315">
        <v>10</v>
      </c>
      <c r="T365" s="315">
        <v>5</v>
      </c>
      <c r="U365" s="315">
        <v>0.7</v>
      </c>
      <c r="V365" s="315">
        <v>0.7</v>
      </c>
      <c r="W365" s="315">
        <v>0.7</v>
      </c>
      <c r="X365" s="313">
        <v>2000</v>
      </c>
      <c r="Y365" s="313" t="s">
        <v>540</v>
      </c>
      <c r="Z365" s="313">
        <v>0.2</v>
      </c>
      <c r="AA365" s="313" t="s">
        <v>541</v>
      </c>
      <c r="AB365" s="313" t="s">
        <v>542</v>
      </c>
      <c r="AC365" s="313">
        <v>220</v>
      </c>
      <c r="AD365" s="158"/>
      <c r="AE365" s="188"/>
    </row>
    <row r="366" spans="1:31" ht="15.75">
      <c r="A366" s="313" t="s">
        <v>789</v>
      </c>
      <c r="B366" s="313">
        <v>7</v>
      </c>
      <c r="C366" s="313">
        <v>379</v>
      </c>
      <c r="D366" s="313" t="s">
        <v>582</v>
      </c>
      <c r="E366" s="313">
        <v>1</v>
      </c>
      <c r="F366" s="322">
        <v>45495.510416666664</v>
      </c>
      <c r="G366" s="313">
        <v>1</v>
      </c>
      <c r="H366" s="313">
        <v>51.377400000000002</v>
      </c>
      <c r="I366" s="313">
        <v>6.81609</v>
      </c>
      <c r="J366" s="313">
        <v>-24.387231</v>
      </c>
      <c r="K366" s="313">
        <v>-23.319724999999998</v>
      </c>
      <c r="L366" s="313">
        <v>1069.04</v>
      </c>
      <c r="M366" s="313">
        <v>81.499650000000003</v>
      </c>
      <c r="N366" s="313">
        <v>11812.8174</v>
      </c>
      <c r="O366" s="313">
        <v>0</v>
      </c>
      <c r="P366" s="315">
        <v>0</v>
      </c>
      <c r="Q366" s="302" t="s">
        <v>280</v>
      </c>
      <c r="R366" s="315" t="s">
        <v>607</v>
      </c>
      <c r="S366" s="315">
        <v>10</v>
      </c>
      <c r="T366" s="315">
        <v>5</v>
      </c>
      <c r="U366" s="315">
        <v>0.7</v>
      </c>
      <c r="V366" s="315">
        <v>0.7</v>
      </c>
      <c r="W366" s="315">
        <v>0.7</v>
      </c>
      <c r="X366" s="313">
        <v>2000</v>
      </c>
      <c r="Y366" s="313" t="s">
        <v>540</v>
      </c>
      <c r="Z366" s="313">
        <v>0.2</v>
      </c>
      <c r="AA366" s="313" t="s">
        <v>541</v>
      </c>
      <c r="AB366" s="313" t="s">
        <v>542</v>
      </c>
      <c r="AC366" s="313">
        <v>220</v>
      </c>
      <c r="AD366" s="158"/>
      <c r="AE366" s="188"/>
    </row>
    <row r="367" spans="1:31" ht="15.75">
      <c r="A367" s="313" t="s">
        <v>790</v>
      </c>
      <c r="B367" s="313">
        <v>7</v>
      </c>
      <c r="C367" s="313">
        <v>379</v>
      </c>
      <c r="D367" s="313" t="s">
        <v>582</v>
      </c>
      <c r="E367" s="313">
        <v>1</v>
      </c>
      <c r="F367" s="322">
        <v>45495.513194444444</v>
      </c>
      <c r="G367" s="313">
        <v>1</v>
      </c>
      <c r="H367" s="313">
        <v>51.370800000000003</v>
      </c>
      <c r="I367" s="313">
        <v>6.6082999999999998</v>
      </c>
      <c r="J367" s="313">
        <v>-24.266905999999999</v>
      </c>
      <c r="K367" s="313">
        <v>-22.612843999999999</v>
      </c>
      <c r="L367" s="313">
        <v>1058.29</v>
      </c>
      <c r="M367" s="313">
        <v>72.999105999999998</v>
      </c>
      <c r="N367" s="313">
        <v>11769.259</v>
      </c>
      <c r="O367" s="313">
        <v>0</v>
      </c>
      <c r="P367" s="315">
        <v>0</v>
      </c>
      <c r="Q367" s="302" t="s">
        <v>280</v>
      </c>
      <c r="R367" s="315" t="s">
        <v>607</v>
      </c>
      <c r="S367" s="315">
        <v>10</v>
      </c>
      <c r="T367" s="315">
        <v>5</v>
      </c>
      <c r="U367" s="315">
        <v>0.7</v>
      </c>
      <c r="V367" s="315">
        <v>0.7</v>
      </c>
      <c r="W367" s="315">
        <v>0.7</v>
      </c>
      <c r="X367" s="313">
        <v>2000</v>
      </c>
      <c r="Y367" s="313" t="s">
        <v>540</v>
      </c>
      <c r="Z367" s="313">
        <v>0.2</v>
      </c>
      <c r="AA367" s="313" t="s">
        <v>541</v>
      </c>
      <c r="AB367" s="313" t="s">
        <v>542</v>
      </c>
      <c r="AC367" s="313">
        <v>220</v>
      </c>
      <c r="AD367" s="158"/>
      <c r="AE367" s="188"/>
    </row>
    <row r="368" spans="1:31" ht="15.75">
      <c r="A368" s="313" t="s">
        <v>791</v>
      </c>
      <c r="B368" s="313">
        <v>7</v>
      </c>
      <c r="C368" s="313">
        <v>379</v>
      </c>
      <c r="D368" s="313" t="s">
        <v>582</v>
      </c>
      <c r="E368" s="313">
        <v>1</v>
      </c>
      <c r="F368" s="322">
        <v>45495.515972222223</v>
      </c>
      <c r="G368" s="313">
        <v>1</v>
      </c>
      <c r="H368" s="313">
        <v>51.374099999999999</v>
      </c>
      <c r="I368" s="313">
        <v>6.6847000000000003</v>
      </c>
      <c r="J368" s="313">
        <v>-24.441462000000001</v>
      </c>
      <c r="K368" s="313">
        <v>-22.717293999999999</v>
      </c>
      <c r="L368" s="313">
        <v>1074.3800000000001</v>
      </c>
      <c r="M368" s="313">
        <v>70.999654000000007</v>
      </c>
      <c r="N368" s="313">
        <v>11629.0841</v>
      </c>
      <c r="O368" s="313">
        <v>0</v>
      </c>
      <c r="P368" s="315">
        <v>0</v>
      </c>
      <c r="Q368" s="302" t="s">
        <v>280</v>
      </c>
      <c r="R368" s="315" t="s">
        <v>607</v>
      </c>
      <c r="S368" s="315">
        <v>10</v>
      </c>
      <c r="T368" s="315">
        <v>5</v>
      </c>
      <c r="U368" s="315">
        <v>0.7</v>
      </c>
      <c r="V368" s="315">
        <v>0.7</v>
      </c>
      <c r="W368" s="315">
        <v>0.7</v>
      </c>
      <c r="X368" s="313">
        <v>2000</v>
      </c>
      <c r="Y368" s="313" t="s">
        <v>540</v>
      </c>
      <c r="Z368" s="313">
        <v>0.2</v>
      </c>
      <c r="AA368" s="313" t="s">
        <v>541</v>
      </c>
      <c r="AB368" s="313" t="s">
        <v>542</v>
      </c>
      <c r="AC368" s="313">
        <v>220</v>
      </c>
      <c r="AD368" s="158"/>
      <c r="AE368" s="188"/>
    </row>
    <row r="369" spans="1:31" ht="15.75">
      <c r="A369" s="313" t="s">
        <v>792</v>
      </c>
      <c r="B369" s="313">
        <v>7</v>
      </c>
      <c r="C369" s="313">
        <v>379</v>
      </c>
      <c r="D369" s="313" t="s">
        <v>582</v>
      </c>
      <c r="E369" s="313">
        <v>1</v>
      </c>
      <c r="F369" s="322">
        <v>45495.518750000003</v>
      </c>
      <c r="G369" s="313">
        <v>2</v>
      </c>
      <c r="H369" s="313">
        <v>51.374099999999999</v>
      </c>
      <c r="I369" s="313">
        <v>6.8966200000000004</v>
      </c>
      <c r="J369" s="313">
        <v>-24.239450000000001</v>
      </c>
      <c r="K369" s="313">
        <v>-22.455444</v>
      </c>
      <c r="L369" s="313">
        <v>1065.3399999999999</v>
      </c>
      <c r="M369" s="313">
        <v>68.999921999999998</v>
      </c>
      <c r="N369" s="313">
        <v>11799.078299999999</v>
      </c>
      <c r="O369" s="313">
        <v>11711.0123</v>
      </c>
      <c r="P369" s="315">
        <v>2085.1484099999998</v>
      </c>
      <c r="Q369" s="302" t="s">
        <v>12</v>
      </c>
      <c r="R369" s="315" t="s">
        <v>553</v>
      </c>
      <c r="S369" s="315">
        <v>10</v>
      </c>
      <c r="T369" s="315">
        <v>5</v>
      </c>
      <c r="U369" s="315">
        <v>0.7</v>
      </c>
      <c r="V369" s="315">
        <v>0.7</v>
      </c>
      <c r="W369" s="315">
        <v>0.7</v>
      </c>
      <c r="X369" s="313">
        <v>2000</v>
      </c>
      <c r="Y369" s="313" t="s">
        <v>540</v>
      </c>
      <c r="Z369" s="313">
        <v>0.2</v>
      </c>
      <c r="AA369" s="313" t="s">
        <v>541</v>
      </c>
      <c r="AB369" s="313" t="s">
        <v>542</v>
      </c>
      <c r="AC369" s="313">
        <v>220</v>
      </c>
      <c r="AD369" s="158"/>
      <c r="AE369" s="188"/>
    </row>
    <row r="370" spans="1:31" ht="15.75">
      <c r="A370" s="313" t="s">
        <v>793</v>
      </c>
      <c r="B370" s="313">
        <v>7</v>
      </c>
      <c r="C370" s="313">
        <v>379</v>
      </c>
      <c r="D370" s="313" t="s">
        <v>582</v>
      </c>
      <c r="E370" s="313">
        <v>1</v>
      </c>
      <c r="F370" s="322">
        <v>45495.521527777775</v>
      </c>
      <c r="G370" s="313">
        <v>2</v>
      </c>
      <c r="H370" s="313">
        <v>51.380699999999997</v>
      </c>
      <c r="I370" s="313">
        <v>6.6586299999999996</v>
      </c>
      <c r="J370" s="313">
        <v>-24.282800000000002</v>
      </c>
      <c r="K370" s="313">
        <v>-22.465662999999999</v>
      </c>
      <c r="L370" s="313">
        <v>1037.71</v>
      </c>
      <c r="M370" s="313">
        <v>69.500654999999995</v>
      </c>
      <c r="N370" s="313">
        <v>11721.9156</v>
      </c>
      <c r="O370" s="313">
        <v>11711.0123</v>
      </c>
      <c r="P370" s="315">
        <v>2085.1484099999998</v>
      </c>
      <c r="Q370" s="302" t="s">
        <v>12</v>
      </c>
      <c r="R370" s="315" t="s">
        <v>539</v>
      </c>
      <c r="S370" s="315">
        <v>10</v>
      </c>
      <c r="T370" s="315">
        <v>5</v>
      </c>
      <c r="U370" s="315">
        <v>0.7</v>
      </c>
      <c r="V370" s="315">
        <v>0.7</v>
      </c>
      <c r="W370" s="315">
        <v>0.7</v>
      </c>
      <c r="X370" s="313">
        <v>2000</v>
      </c>
      <c r="Y370" s="313" t="s">
        <v>540</v>
      </c>
      <c r="Z370" s="313">
        <v>0.2</v>
      </c>
      <c r="AA370" s="313" t="s">
        <v>541</v>
      </c>
      <c r="AB370" s="313" t="s">
        <v>542</v>
      </c>
      <c r="AC370" s="313">
        <v>220</v>
      </c>
      <c r="AD370" s="158"/>
      <c r="AE370" s="188"/>
    </row>
    <row r="371" spans="1:31" ht="15.75">
      <c r="A371" s="313" t="s">
        <v>794</v>
      </c>
      <c r="B371" s="313">
        <v>7</v>
      </c>
      <c r="C371" s="313">
        <v>379</v>
      </c>
      <c r="D371" s="313" t="s">
        <v>582</v>
      </c>
      <c r="E371" s="313">
        <v>1</v>
      </c>
      <c r="F371" s="322">
        <v>45495.524305555555</v>
      </c>
      <c r="G371" s="313">
        <v>2</v>
      </c>
      <c r="H371" s="313">
        <v>51.374099999999999</v>
      </c>
      <c r="I371" s="313">
        <v>6.5125500000000001</v>
      </c>
      <c r="J371" s="313">
        <v>-24.374475</v>
      </c>
      <c r="K371" s="313">
        <v>-22.577994</v>
      </c>
      <c r="L371" s="313">
        <v>1060.76</v>
      </c>
      <c r="M371" s="313">
        <v>71.499483999999995</v>
      </c>
      <c r="N371" s="313">
        <v>11700.1091</v>
      </c>
      <c r="O371" s="313">
        <v>11711.0123</v>
      </c>
      <c r="P371" s="315">
        <v>2085.1484099999998</v>
      </c>
      <c r="Q371" s="302" t="s">
        <v>12</v>
      </c>
      <c r="R371" s="315" t="s">
        <v>539</v>
      </c>
      <c r="S371" s="315">
        <v>10</v>
      </c>
      <c r="T371" s="315">
        <v>5</v>
      </c>
      <c r="U371" s="315">
        <v>0.7</v>
      </c>
      <c r="V371" s="315">
        <v>0.7</v>
      </c>
      <c r="W371" s="315">
        <v>0.7</v>
      </c>
      <c r="X371" s="313">
        <v>2000</v>
      </c>
      <c r="Y371" s="313" t="s">
        <v>540</v>
      </c>
      <c r="Z371" s="313">
        <v>0.2</v>
      </c>
      <c r="AA371" s="313" t="s">
        <v>541</v>
      </c>
      <c r="AB371" s="313" t="s">
        <v>542</v>
      </c>
      <c r="AC371" s="313">
        <v>220</v>
      </c>
      <c r="AD371" s="158"/>
      <c r="AE371" s="188"/>
    </row>
    <row r="372" spans="1:31" ht="15.75">
      <c r="A372" s="313" t="s">
        <v>570</v>
      </c>
      <c r="B372" s="313">
        <v>8</v>
      </c>
      <c r="C372" s="313">
        <v>521</v>
      </c>
      <c r="D372" s="313" t="s">
        <v>585</v>
      </c>
      <c r="E372" s="313">
        <v>1</v>
      </c>
      <c r="F372" s="322">
        <v>45495.527777777781</v>
      </c>
      <c r="G372" s="313">
        <v>1</v>
      </c>
      <c r="H372" s="313">
        <v>51.377400000000002</v>
      </c>
      <c r="I372" s="313">
        <v>6.5415700000000001</v>
      </c>
      <c r="J372" s="313">
        <v>-24.358519000000001</v>
      </c>
      <c r="K372" s="313">
        <v>-22.464912999999999</v>
      </c>
      <c r="L372" s="313">
        <v>1057.1300000000001</v>
      </c>
      <c r="M372" s="313">
        <v>68.998413999999997</v>
      </c>
      <c r="N372" s="313">
        <v>11502.0942</v>
      </c>
      <c r="O372" s="313">
        <v>11665.042299999999</v>
      </c>
      <c r="P372" s="315">
        <v>2077.0972000000002</v>
      </c>
      <c r="Q372" s="302" t="s">
        <v>12</v>
      </c>
      <c r="R372" s="315" t="s">
        <v>553</v>
      </c>
      <c r="S372" s="315">
        <v>10</v>
      </c>
      <c r="T372" s="315">
        <v>5</v>
      </c>
      <c r="U372" s="315">
        <v>0.7</v>
      </c>
      <c r="V372" s="315">
        <v>0.7</v>
      </c>
      <c r="W372" s="315">
        <v>0.7</v>
      </c>
      <c r="X372" s="313">
        <v>2000</v>
      </c>
      <c r="Y372" s="313" t="s">
        <v>540</v>
      </c>
      <c r="Z372" s="313">
        <v>0.2</v>
      </c>
      <c r="AA372" s="313" t="s">
        <v>541</v>
      </c>
      <c r="AB372" s="313" t="s">
        <v>542</v>
      </c>
      <c r="AC372" s="313">
        <v>220</v>
      </c>
      <c r="AD372" s="158"/>
      <c r="AE372" s="188"/>
    </row>
    <row r="373" spans="1:31" ht="15.75">
      <c r="A373" s="313" t="s">
        <v>572</v>
      </c>
      <c r="B373" s="313">
        <v>8</v>
      </c>
      <c r="C373" s="313">
        <v>521</v>
      </c>
      <c r="D373" s="313" t="s">
        <v>585</v>
      </c>
      <c r="E373" s="313">
        <v>1</v>
      </c>
      <c r="F373" s="322">
        <v>45495.530555555553</v>
      </c>
      <c r="G373" s="313">
        <v>1</v>
      </c>
      <c r="H373" s="313">
        <v>51.374099999999999</v>
      </c>
      <c r="I373" s="313">
        <v>6.89072</v>
      </c>
      <c r="J373" s="313">
        <v>-24.355763</v>
      </c>
      <c r="K373" s="313">
        <v>-22.648168999999999</v>
      </c>
      <c r="L373" s="313">
        <v>1042.73</v>
      </c>
      <c r="M373" s="313">
        <v>72.498508999999999</v>
      </c>
      <c r="N373" s="313">
        <v>11674.0278</v>
      </c>
      <c r="O373" s="313">
        <v>11665.042299999999</v>
      </c>
      <c r="P373" s="315">
        <v>2077.0972000000002</v>
      </c>
      <c r="Q373" s="302" t="s">
        <v>12</v>
      </c>
      <c r="R373" s="315" t="s">
        <v>539</v>
      </c>
      <c r="S373" s="315">
        <v>10</v>
      </c>
      <c r="T373" s="315">
        <v>5</v>
      </c>
      <c r="U373" s="315">
        <v>0.7</v>
      </c>
      <c r="V373" s="315">
        <v>0.7</v>
      </c>
      <c r="W373" s="315">
        <v>0.7</v>
      </c>
      <c r="X373" s="313">
        <v>2000</v>
      </c>
      <c r="Y373" s="313" t="s">
        <v>540</v>
      </c>
      <c r="Z373" s="313">
        <v>0.2</v>
      </c>
      <c r="AA373" s="313" t="s">
        <v>541</v>
      </c>
      <c r="AB373" s="313" t="s">
        <v>542</v>
      </c>
      <c r="AC373" s="313">
        <v>220</v>
      </c>
      <c r="AD373" s="158"/>
      <c r="AE373" s="188"/>
    </row>
    <row r="374" spans="1:31" ht="15.75">
      <c r="A374" s="313" t="s">
        <v>573</v>
      </c>
      <c r="B374" s="313">
        <v>8</v>
      </c>
      <c r="C374" s="313">
        <v>521</v>
      </c>
      <c r="D374" s="313" t="s">
        <v>585</v>
      </c>
      <c r="E374" s="313">
        <v>1</v>
      </c>
      <c r="F374" s="322">
        <v>45495.533333333333</v>
      </c>
      <c r="G374" s="313">
        <v>1</v>
      </c>
      <c r="H374" s="313">
        <v>51.370800000000003</v>
      </c>
      <c r="I374" s="313">
        <v>6.6795900000000001</v>
      </c>
      <c r="J374" s="313">
        <v>-24.382843999999999</v>
      </c>
      <c r="K374" s="313">
        <v>-22.686299999999999</v>
      </c>
      <c r="L374" s="313">
        <v>1049.72</v>
      </c>
      <c r="M374" s="313">
        <v>71.498312999999996</v>
      </c>
      <c r="N374" s="313">
        <v>11656.0568</v>
      </c>
      <c r="O374" s="313">
        <v>11665.042299999999</v>
      </c>
      <c r="P374" s="315">
        <v>2077.0972000000002</v>
      </c>
      <c r="Q374" s="302" t="s">
        <v>12</v>
      </c>
      <c r="R374" s="315" t="s">
        <v>539</v>
      </c>
      <c r="S374" s="315">
        <v>10</v>
      </c>
      <c r="T374" s="315">
        <v>5</v>
      </c>
      <c r="U374" s="315">
        <v>0.7</v>
      </c>
      <c r="V374" s="315">
        <v>0.7</v>
      </c>
      <c r="W374" s="315">
        <v>0.7</v>
      </c>
      <c r="X374" s="313">
        <v>2000</v>
      </c>
      <c r="Y374" s="313" t="s">
        <v>540</v>
      </c>
      <c r="Z374" s="313">
        <v>0.2</v>
      </c>
      <c r="AA374" s="313" t="s">
        <v>541</v>
      </c>
      <c r="AB374" s="313" t="s">
        <v>542</v>
      </c>
      <c r="AC374" s="313">
        <v>220</v>
      </c>
      <c r="AD374" s="158"/>
      <c r="AE374" s="188"/>
    </row>
    <row r="375" spans="1:31" ht="15.75">
      <c r="A375" s="313" t="s">
        <v>574</v>
      </c>
      <c r="B375" s="313">
        <v>9</v>
      </c>
      <c r="C375" s="313">
        <v>522</v>
      </c>
      <c r="D375" s="313" t="s">
        <v>589</v>
      </c>
      <c r="E375" s="313">
        <v>1</v>
      </c>
      <c r="F375" s="322">
        <v>45495.536805555559</v>
      </c>
      <c r="G375" s="313">
        <v>1</v>
      </c>
      <c r="H375" s="313">
        <v>51.380699999999997</v>
      </c>
      <c r="I375" s="313">
        <v>6.5819200000000002</v>
      </c>
      <c r="J375" s="313">
        <v>-24.367080999999999</v>
      </c>
      <c r="K375" s="313">
        <v>-22.875824999999999</v>
      </c>
      <c r="L375" s="313">
        <v>1047.2</v>
      </c>
      <c r="M375" s="313">
        <v>74.500872000000001</v>
      </c>
      <c r="N375" s="313">
        <v>11695.426600000001</v>
      </c>
      <c r="O375" s="313">
        <v>11772.4779</v>
      </c>
      <c r="P375" s="315">
        <v>2095.9135000000001</v>
      </c>
      <c r="Q375" s="302" t="s">
        <v>12</v>
      </c>
      <c r="R375" s="315" t="s">
        <v>553</v>
      </c>
      <c r="S375" s="315">
        <v>10</v>
      </c>
      <c r="T375" s="315">
        <v>5</v>
      </c>
      <c r="U375" s="315">
        <v>0.7</v>
      </c>
      <c r="V375" s="315">
        <v>0.7</v>
      </c>
      <c r="W375" s="315">
        <v>0.7</v>
      </c>
      <c r="X375" s="313">
        <v>2000</v>
      </c>
      <c r="Y375" s="313" t="s">
        <v>540</v>
      </c>
      <c r="Z375" s="313">
        <v>0.2</v>
      </c>
      <c r="AA375" s="313" t="s">
        <v>541</v>
      </c>
      <c r="AB375" s="313" t="s">
        <v>542</v>
      </c>
      <c r="AC375" s="313">
        <v>220</v>
      </c>
      <c r="AD375" s="158"/>
      <c r="AE375" s="188"/>
    </row>
    <row r="376" spans="1:31" ht="15.75">
      <c r="A376" s="313" t="s">
        <v>576</v>
      </c>
      <c r="B376" s="313">
        <v>9</v>
      </c>
      <c r="C376" s="313">
        <v>522</v>
      </c>
      <c r="D376" s="313" t="s">
        <v>589</v>
      </c>
      <c r="E376" s="313">
        <v>1</v>
      </c>
      <c r="F376" s="322">
        <v>45495.539583333331</v>
      </c>
      <c r="G376" s="313">
        <v>1</v>
      </c>
      <c r="H376" s="313">
        <v>51.3675</v>
      </c>
      <c r="I376" s="313">
        <v>6.60961</v>
      </c>
      <c r="J376" s="313">
        <v>-24.332799999999999</v>
      </c>
      <c r="K376" s="313">
        <v>-22.699543999999999</v>
      </c>
      <c r="L376" s="313">
        <v>1048.6199999999999</v>
      </c>
      <c r="M376" s="313">
        <v>72.499763000000002</v>
      </c>
      <c r="N376" s="313">
        <v>11732.4629</v>
      </c>
      <c r="O376" s="313">
        <v>11772.4779</v>
      </c>
      <c r="P376" s="315">
        <v>2095.9135000000001</v>
      </c>
      <c r="Q376" s="302" t="s">
        <v>12</v>
      </c>
      <c r="R376" s="315" t="s">
        <v>553</v>
      </c>
      <c r="S376" s="315">
        <v>10</v>
      </c>
      <c r="T376" s="315">
        <v>5</v>
      </c>
      <c r="U376" s="315">
        <v>0.7</v>
      </c>
      <c r="V376" s="315">
        <v>0.7</v>
      </c>
      <c r="W376" s="315">
        <v>0.7</v>
      </c>
      <c r="X376" s="313">
        <v>2000</v>
      </c>
      <c r="Y376" s="313" t="s">
        <v>540</v>
      </c>
      <c r="Z376" s="313">
        <v>0.2</v>
      </c>
      <c r="AA376" s="313" t="s">
        <v>541</v>
      </c>
      <c r="AB376" s="313" t="s">
        <v>542</v>
      </c>
      <c r="AC376" s="313">
        <v>220</v>
      </c>
      <c r="AD376" s="158"/>
      <c r="AE376" s="188"/>
    </row>
    <row r="377" spans="1:31" ht="15.75">
      <c r="A377" s="313" t="s">
        <v>577</v>
      </c>
      <c r="B377" s="313">
        <v>9</v>
      </c>
      <c r="C377" s="313">
        <v>522</v>
      </c>
      <c r="D377" s="313" t="s">
        <v>589</v>
      </c>
      <c r="E377" s="313">
        <v>1</v>
      </c>
      <c r="F377" s="322">
        <v>45495.542361111111</v>
      </c>
      <c r="G377" s="313">
        <v>1</v>
      </c>
      <c r="H377" s="313">
        <v>51.374099999999999</v>
      </c>
      <c r="I377" s="313">
        <v>6.9007199999999997</v>
      </c>
      <c r="J377" s="313">
        <v>-24.254774999999999</v>
      </c>
      <c r="K377" s="313">
        <v>-22.785288000000001</v>
      </c>
      <c r="L377" s="313">
        <v>1042.4100000000001</v>
      </c>
      <c r="M377" s="313">
        <v>72.999606</v>
      </c>
      <c r="N377" s="313">
        <v>11773.679400000001</v>
      </c>
      <c r="O377" s="313">
        <v>11772.4779</v>
      </c>
      <c r="P377" s="315">
        <v>2095.9135000000001</v>
      </c>
      <c r="Q377" s="302" t="s">
        <v>12</v>
      </c>
      <c r="R377" s="315" t="s">
        <v>539</v>
      </c>
      <c r="S377" s="315">
        <v>10</v>
      </c>
      <c r="T377" s="315">
        <v>5</v>
      </c>
      <c r="U377" s="315">
        <v>0.7</v>
      </c>
      <c r="V377" s="315">
        <v>0.7</v>
      </c>
      <c r="W377" s="315">
        <v>0.7</v>
      </c>
      <c r="X377" s="313">
        <v>2000</v>
      </c>
      <c r="Y377" s="313" t="s">
        <v>540</v>
      </c>
      <c r="Z377" s="313">
        <v>0.2</v>
      </c>
      <c r="AA377" s="313" t="s">
        <v>541</v>
      </c>
      <c r="AB377" s="313" t="s">
        <v>542</v>
      </c>
      <c r="AC377" s="313">
        <v>220</v>
      </c>
      <c r="AD377" s="158"/>
      <c r="AE377" s="188"/>
    </row>
    <row r="378" spans="1:31" ht="15.75">
      <c r="A378" s="313" t="s">
        <v>795</v>
      </c>
      <c r="B378" s="313">
        <v>9</v>
      </c>
      <c r="C378" s="313">
        <v>522</v>
      </c>
      <c r="D378" s="313" t="s">
        <v>589</v>
      </c>
      <c r="E378" s="313">
        <v>1</v>
      </c>
      <c r="F378" s="322">
        <v>45495.545138888891</v>
      </c>
      <c r="G378" s="313">
        <v>1</v>
      </c>
      <c r="H378" s="313">
        <v>51.380699999999997</v>
      </c>
      <c r="I378" s="313">
        <v>7.5162199999999997</v>
      </c>
      <c r="J378" s="313">
        <v>-24.221031</v>
      </c>
      <c r="K378" s="313">
        <v>-22.765806000000001</v>
      </c>
      <c r="L378" s="313">
        <v>1043.74</v>
      </c>
      <c r="M378" s="313">
        <v>69.999791999999999</v>
      </c>
      <c r="N378" s="313">
        <v>11771.276400000001</v>
      </c>
      <c r="O378" s="313">
        <v>11772.4779</v>
      </c>
      <c r="P378" s="315">
        <v>2095.9135000000001</v>
      </c>
      <c r="Q378" s="302" t="s">
        <v>12</v>
      </c>
      <c r="R378" s="315" t="s">
        <v>539</v>
      </c>
      <c r="S378" s="315">
        <v>10</v>
      </c>
      <c r="T378" s="315">
        <v>5</v>
      </c>
      <c r="U378" s="315">
        <v>0.7</v>
      </c>
      <c r="V378" s="315">
        <v>0.7</v>
      </c>
      <c r="W378" s="315">
        <v>0.7</v>
      </c>
      <c r="X378" s="313">
        <v>2000</v>
      </c>
      <c r="Y378" s="313" t="s">
        <v>540</v>
      </c>
      <c r="Z378" s="313">
        <v>0.2</v>
      </c>
      <c r="AA378" s="313" t="s">
        <v>541</v>
      </c>
      <c r="AB378" s="313" t="s">
        <v>542</v>
      </c>
      <c r="AC378" s="313">
        <v>220</v>
      </c>
      <c r="AD378" s="158"/>
      <c r="AE378" s="188"/>
    </row>
    <row r="379" spans="1:31" ht="15.75">
      <c r="A379" s="313" t="s">
        <v>796</v>
      </c>
      <c r="B379" s="313" t="s">
        <v>551</v>
      </c>
      <c r="C379" s="313" t="s">
        <v>776</v>
      </c>
      <c r="D379" s="313" t="s">
        <v>538</v>
      </c>
      <c r="E379" s="313">
        <v>0.8</v>
      </c>
      <c r="F379" s="322">
        <v>45495.561805555553</v>
      </c>
      <c r="G379" s="313">
        <v>1</v>
      </c>
      <c r="H379" s="313">
        <v>51.374099999999999</v>
      </c>
      <c r="I379" s="313">
        <v>7.4891100000000002</v>
      </c>
      <c r="J379" s="313">
        <v>-24.214649999999999</v>
      </c>
      <c r="K379" s="313">
        <v>-22.824719000000002</v>
      </c>
      <c r="L379" s="313">
        <v>993.47799999999995</v>
      </c>
      <c r="M379" s="313">
        <v>65.499823000000006</v>
      </c>
      <c r="N379" s="313">
        <v>9294.3407100000004</v>
      </c>
      <c r="O379" s="313">
        <v>9287.3397499999992</v>
      </c>
      <c r="P379" s="315">
        <v>2070.3456999999999</v>
      </c>
      <c r="Q379" s="302" t="s">
        <v>12</v>
      </c>
      <c r="R379" s="315" t="s">
        <v>539</v>
      </c>
      <c r="S379" s="315">
        <v>10</v>
      </c>
      <c r="T379" s="315">
        <v>5</v>
      </c>
      <c r="U379" s="315">
        <v>0.7</v>
      </c>
      <c r="V379" s="315">
        <v>0.7</v>
      </c>
      <c r="W379" s="315">
        <v>0.7</v>
      </c>
      <c r="X379" s="313">
        <v>2000</v>
      </c>
      <c r="Y379" s="313" t="s">
        <v>540</v>
      </c>
      <c r="Z379" s="313">
        <v>0.2</v>
      </c>
      <c r="AA379" s="313" t="s">
        <v>541</v>
      </c>
      <c r="AB379" s="313" t="s">
        <v>542</v>
      </c>
      <c r="AC379" s="313">
        <v>220</v>
      </c>
      <c r="AD379" s="158"/>
      <c r="AE379" s="188"/>
    </row>
    <row r="380" spans="1:31" ht="15.75">
      <c r="A380" s="313" t="s">
        <v>797</v>
      </c>
      <c r="B380" s="313" t="s">
        <v>551</v>
      </c>
      <c r="C380" s="313" t="s">
        <v>776</v>
      </c>
      <c r="D380" s="313" t="s">
        <v>538</v>
      </c>
      <c r="E380" s="313">
        <v>0.8</v>
      </c>
      <c r="F380" s="322">
        <v>45495.564583333333</v>
      </c>
      <c r="G380" s="313">
        <v>1</v>
      </c>
      <c r="H380" s="313">
        <v>51.377400000000002</v>
      </c>
      <c r="I380" s="313">
        <v>7.5573800000000002</v>
      </c>
      <c r="J380" s="313">
        <v>-24.200043999999998</v>
      </c>
      <c r="K380" s="313">
        <v>-22.965112999999999</v>
      </c>
      <c r="L380" s="313">
        <v>989.53700000000003</v>
      </c>
      <c r="M380" s="313">
        <v>66.001419999999996</v>
      </c>
      <c r="N380" s="313">
        <v>9280.3387999999995</v>
      </c>
      <c r="O380" s="313">
        <v>9287.3397499999992</v>
      </c>
      <c r="P380" s="315">
        <v>2070.3456999999999</v>
      </c>
      <c r="Q380" s="302" t="s">
        <v>12</v>
      </c>
      <c r="R380" s="315" t="s">
        <v>539</v>
      </c>
      <c r="S380" s="315">
        <v>10</v>
      </c>
      <c r="T380" s="315">
        <v>5</v>
      </c>
      <c r="U380" s="315">
        <v>0.7</v>
      </c>
      <c r="V380" s="315">
        <v>0.7</v>
      </c>
      <c r="W380" s="315">
        <v>0.7</v>
      </c>
      <c r="X380" s="313">
        <v>2000</v>
      </c>
      <c r="Y380" s="313" t="s">
        <v>540</v>
      </c>
      <c r="Z380" s="313">
        <v>0.2</v>
      </c>
      <c r="AA380" s="313" t="s">
        <v>541</v>
      </c>
      <c r="AB380" s="313" t="s">
        <v>542</v>
      </c>
      <c r="AC380" s="313">
        <v>220</v>
      </c>
      <c r="AD380" s="158"/>
      <c r="AE380" s="188"/>
    </row>
    <row r="381" spans="1:31" ht="15.75">
      <c r="A381" s="313" t="s">
        <v>798</v>
      </c>
      <c r="B381" s="313" t="s">
        <v>558</v>
      </c>
      <c r="C381" s="313" t="s">
        <v>776</v>
      </c>
      <c r="D381" s="313" t="s">
        <v>538</v>
      </c>
      <c r="E381" s="313">
        <v>1</v>
      </c>
      <c r="F381" s="322">
        <v>45495.567361111112</v>
      </c>
      <c r="G381" s="313">
        <v>1</v>
      </c>
      <c r="H381" s="313">
        <v>51.374099999999999</v>
      </c>
      <c r="I381" s="313">
        <v>7.4363200000000003</v>
      </c>
      <c r="J381" s="313">
        <v>-24.316593999999998</v>
      </c>
      <c r="K381" s="313">
        <v>-22.814143999999999</v>
      </c>
      <c r="L381" s="313">
        <v>1068.42</v>
      </c>
      <c r="M381" s="313">
        <v>73.498875999999996</v>
      </c>
      <c r="N381" s="313">
        <v>11680.8449</v>
      </c>
      <c r="O381" s="313">
        <v>11633.467500000001</v>
      </c>
      <c r="P381" s="315">
        <v>2070.3456999999999</v>
      </c>
      <c r="Q381" s="302" t="s">
        <v>12</v>
      </c>
      <c r="R381" s="315" t="s">
        <v>553</v>
      </c>
      <c r="S381" s="315">
        <v>10</v>
      </c>
      <c r="T381" s="315">
        <v>5</v>
      </c>
      <c r="U381" s="315">
        <v>0.7</v>
      </c>
      <c r="V381" s="315">
        <v>0.7</v>
      </c>
      <c r="W381" s="315">
        <v>0.7</v>
      </c>
      <c r="X381" s="313">
        <v>2000</v>
      </c>
      <c r="Y381" s="313" t="s">
        <v>540</v>
      </c>
      <c r="Z381" s="313">
        <v>0.2</v>
      </c>
      <c r="AA381" s="313" t="s">
        <v>541</v>
      </c>
      <c r="AB381" s="313" t="s">
        <v>542</v>
      </c>
      <c r="AC381" s="313">
        <v>220</v>
      </c>
      <c r="AD381" s="158"/>
      <c r="AE381" s="188"/>
    </row>
    <row r="382" spans="1:31" ht="15.75">
      <c r="A382" s="316" t="s">
        <v>799</v>
      </c>
      <c r="B382" s="316" t="s">
        <v>558</v>
      </c>
      <c r="C382" s="316" t="s">
        <v>776</v>
      </c>
      <c r="D382" s="316" t="s">
        <v>538</v>
      </c>
      <c r="E382" s="316">
        <v>1</v>
      </c>
      <c r="F382" s="323">
        <v>45495.570138888892</v>
      </c>
      <c r="G382" s="316">
        <v>1</v>
      </c>
      <c r="H382" s="316">
        <v>51.377400000000002</v>
      </c>
      <c r="I382" s="316">
        <v>7.3352700000000004</v>
      </c>
      <c r="J382" s="316">
        <v>-24.336338000000001</v>
      </c>
      <c r="K382" s="316">
        <v>-22.873536999999999</v>
      </c>
      <c r="L382" s="316">
        <v>1062.32</v>
      </c>
      <c r="M382" s="316">
        <v>72.500046999999995</v>
      </c>
      <c r="N382" s="316">
        <v>11626.3421</v>
      </c>
      <c r="O382" s="316">
        <v>11633.467500000001</v>
      </c>
      <c r="P382" s="318">
        <v>2070.3456999999999</v>
      </c>
      <c r="Q382" s="302" t="s">
        <v>12</v>
      </c>
      <c r="R382" s="318" t="s">
        <v>539</v>
      </c>
      <c r="S382" s="315">
        <v>10</v>
      </c>
      <c r="T382" s="315">
        <v>5</v>
      </c>
      <c r="U382" s="315">
        <v>0.7</v>
      </c>
      <c r="V382" s="315">
        <v>0.7</v>
      </c>
      <c r="W382" s="315">
        <v>0.7</v>
      </c>
      <c r="X382" s="313">
        <v>2000</v>
      </c>
      <c r="Y382" s="313" t="s">
        <v>540</v>
      </c>
      <c r="Z382" s="313">
        <v>0.2</v>
      </c>
      <c r="AA382" s="313" t="s">
        <v>541</v>
      </c>
      <c r="AB382" s="313" t="s">
        <v>542</v>
      </c>
      <c r="AC382" s="313">
        <v>220</v>
      </c>
      <c r="AD382" s="158"/>
      <c r="AE382" s="188"/>
    </row>
    <row r="383" spans="1:31" ht="15.75">
      <c r="A383" s="313" t="s">
        <v>800</v>
      </c>
      <c r="B383" s="313" t="s">
        <v>558</v>
      </c>
      <c r="C383" s="313" t="s">
        <v>776</v>
      </c>
      <c r="D383" s="313" t="s">
        <v>538</v>
      </c>
      <c r="E383" s="313">
        <v>1</v>
      </c>
      <c r="F383" s="322">
        <v>45495.572916666664</v>
      </c>
      <c r="G383" s="313">
        <v>1</v>
      </c>
      <c r="H383" s="313">
        <v>51.377400000000002</v>
      </c>
      <c r="I383" s="313">
        <v>7.2618499999999999</v>
      </c>
      <c r="J383" s="313">
        <v>-24.248131000000001</v>
      </c>
      <c r="K383" s="313">
        <v>-22.623581000000001</v>
      </c>
      <c r="L383" s="313">
        <v>1075.53</v>
      </c>
      <c r="M383" s="313">
        <v>69.500285000000005</v>
      </c>
      <c r="N383" s="313">
        <v>11640.5929</v>
      </c>
      <c r="O383" s="313">
        <v>11633.467500000001</v>
      </c>
      <c r="P383" s="315">
        <v>2070.3456999999999</v>
      </c>
      <c r="Q383" s="302" t="s">
        <v>12</v>
      </c>
      <c r="R383" s="315" t="s">
        <v>539</v>
      </c>
      <c r="S383" s="315">
        <v>10</v>
      </c>
      <c r="T383" s="315">
        <v>5</v>
      </c>
      <c r="U383" s="315">
        <v>0.7</v>
      </c>
      <c r="V383" s="315">
        <v>0.7</v>
      </c>
      <c r="W383" s="315">
        <v>0.7</v>
      </c>
      <c r="X383" s="313">
        <v>2000</v>
      </c>
      <c r="Y383" s="313" t="s">
        <v>540</v>
      </c>
      <c r="Z383" s="313">
        <v>0.2</v>
      </c>
      <c r="AA383" s="313" t="s">
        <v>541</v>
      </c>
      <c r="AB383" s="313" t="s">
        <v>542</v>
      </c>
      <c r="AC383" s="313">
        <v>220</v>
      </c>
      <c r="AD383" s="158"/>
      <c r="AE383" s="188"/>
    </row>
    <row r="384" spans="1:31" ht="15.75">
      <c r="A384" s="313" t="s">
        <v>801</v>
      </c>
      <c r="B384" s="313" t="s">
        <v>561</v>
      </c>
      <c r="C384" s="313" t="s">
        <v>776</v>
      </c>
      <c r="D384" s="313" t="s">
        <v>538</v>
      </c>
      <c r="E384" s="313">
        <v>1.2</v>
      </c>
      <c r="F384" s="322">
        <v>45495.575694444444</v>
      </c>
      <c r="G384" s="313">
        <v>1</v>
      </c>
      <c r="H384" s="313">
        <v>51.377400000000002</v>
      </c>
      <c r="I384" s="313">
        <v>7.1769499999999997</v>
      </c>
      <c r="J384" s="313">
        <v>-24.247744000000001</v>
      </c>
      <c r="K384" s="313">
        <v>-22.929725000000001</v>
      </c>
      <c r="L384" s="313">
        <v>1090.1099999999999</v>
      </c>
      <c r="M384" s="313">
        <v>81.499371999999994</v>
      </c>
      <c r="N384" s="313">
        <v>14024.877200000001</v>
      </c>
      <c r="O384" s="313">
        <v>13977.714099999999</v>
      </c>
      <c r="P384" s="315">
        <v>2070.3456999999999</v>
      </c>
      <c r="Q384" s="302" t="s">
        <v>12</v>
      </c>
      <c r="R384" s="315" t="s">
        <v>553</v>
      </c>
      <c r="S384" s="315">
        <v>10</v>
      </c>
      <c r="T384" s="315">
        <v>5</v>
      </c>
      <c r="U384" s="315">
        <v>0.7</v>
      </c>
      <c r="V384" s="315">
        <v>0.7</v>
      </c>
      <c r="W384" s="315">
        <v>0.7</v>
      </c>
      <c r="X384" s="313">
        <v>2000</v>
      </c>
      <c r="Y384" s="313" t="s">
        <v>540</v>
      </c>
      <c r="Z384" s="313">
        <v>0.2</v>
      </c>
      <c r="AA384" s="313" t="s">
        <v>541</v>
      </c>
      <c r="AB384" s="313" t="s">
        <v>542</v>
      </c>
      <c r="AC384" s="313">
        <v>220</v>
      </c>
      <c r="AD384" s="158"/>
      <c r="AE384" s="188"/>
    </row>
    <row r="385" spans="1:31" ht="15.75">
      <c r="A385" s="313" t="s">
        <v>802</v>
      </c>
      <c r="B385" s="313" t="s">
        <v>561</v>
      </c>
      <c r="C385" s="313" t="s">
        <v>776</v>
      </c>
      <c r="D385" s="313" t="s">
        <v>538</v>
      </c>
      <c r="E385" s="313">
        <v>1.2</v>
      </c>
      <c r="F385" s="322">
        <v>45495.57916666667</v>
      </c>
      <c r="G385" s="313">
        <v>1</v>
      </c>
      <c r="H385" s="313">
        <v>51.370800000000003</v>
      </c>
      <c r="I385" s="313">
        <v>7.0635599999999998</v>
      </c>
      <c r="J385" s="313">
        <v>-24.116243999999998</v>
      </c>
      <c r="K385" s="313">
        <v>-22.302012000000001</v>
      </c>
      <c r="L385" s="313">
        <v>1107.72</v>
      </c>
      <c r="M385" s="313">
        <v>73.499184999999997</v>
      </c>
      <c r="N385" s="313">
        <v>13989.3431</v>
      </c>
      <c r="O385" s="313">
        <v>13977.714099999999</v>
      </c>
      <c r="P385" s="315">
        <v>2070.3456999999999</v>
      </c>
      <c r="Q385" s="302" t="s">
        <v>12</v>
      </c>
      <c r="R385" s="315" t="s">
        <v>539</v>
      </c>
      <c r="S385" s="315">
        <v>10</v>
      </c>
      <c r="T385" s="315">
        <v>5</v>
      </c>
      <c r="U385" s="315">
        <v>0.7</v>
      </c>
      <c r="V385" s="315">
        <v>0.7</v>
      </c>
      <c r="W385" s="315">
        <v>0.7</v>
      </c>
      <c r="X385" s="313">
        <v>2000</v>
      </c>
      <c r="Y385" s="313" t="s">
        <v>540</v>
      </c>
      <c r="Z385" s="313">
        <v>0.2</v>
      </c>
      <c r="AA385" s="313" t="s">
        <v>541</v>
      </c>
      <c r="AB385" s="313" t="s">
        <v>542</v>
      </c>
      <c r="AC385" s="313">
        <v>220</v>
      </c>
      <c r="AD385" s="158"/>
      <c r="AE385" s="188"/>
    </row>
    <row r="386" spans="1:31" ht="15.75">
      <c r="A386" s="313" t="s">
        <v>803</v>
      </c>
      <c r="B386" s="313" t="s">
        <v>561</v>
      </c>
      <c r="C386" s="313" t="s">
        <v>776</v>
      </c>
      <c r="D386" s="313" t="s">
        <v>538</v>
      </c>
      <c r="E386" s="313">
        <v>1.2</v>
      </c>
      <c r="F386" s="322">
        <v>45495.581944444442</v>
      </c>
      <c r="G386" s="313">
        <v>1</v>
      </c>
      <c r="H386" s="313">
        <v>51.377400000000002</v>
      </c>
      <c r="I386" s="313">
        <v>6.97668</v>
      </c>
      <c r="J386" s="313">
        <v>-23.848431000000001</v>
      </c>
      <c r="K386" s="313">
        <v>-22.374181</v>
      </c>
      <c r="L386" s="313">
        <v>1100.5999999999999</v>
      </c>
      <c r="M386" s="313">
        <v>75.000653999999997</v>
      </c>
      <c r="N386" s="313">
        <v>13966.0851</v>
      </c>
      <c r="O386" s="313">
        <v>13977.714099999999</v>
      </c>
      <c r="P386" s="315">
        <v>2070.3456999999999</v>
      </c>
      <c r="Q386" s="302" t="s">
        <v>12</v>
      </c>
      <c r="R386" s="315" t="s">
        <v>539</v>
      </c>
      <c r="S386" s="315">
        <v>10</v>
      </c>
      <c r="T386" s="315">
        <v>5</v>
      </c>
      <c r="U386" s="315">
        <v>0.7</v>
      </c>
      <c r="V386" s="315">
        <v>0.7</v>
      </c>
      <c r="W386" s="315">
        <v>0.7</v>
      </c>
      <c r="X386" s="313">
        <v>2000</v>
      </c>
      <c r="Y386" s="313" t="s">
        <v>540</v>
      </c>
      <c r="Z386" s="313">
        <v>0.2</v>
      </c>
      <c r="AA386" s="313" t="s">
        <v>541</v>
      </c>
      <c r="AB386" s="313" t="s">
        <v>542</v>
      </c>
      <c r="AC386" s="313">
        <v>220</v>
      </c>
      <c r="AD386" s="158"/>
      <c r="AE386" s="188"/>
    </row>
    <row r="387" spans="1:31" ht="15.75">
      <c r="A387" s="313" t="s">
        <v>581</v>
      </c>
      <c r="B387" s="313">
        <v>2</v>
      </c>
      <c r="C387" s="313">
        <v>495</v>
      </c>
      <c r="D387" s="313" t="s">
        <v>564</v>
      </c>
      <c r="E387" s="313">
        <v>1</v>
      </c>
      <c r="F387" s="322">
        <v>45495.585416666669</v>
      </c>
      <c r="G387" s="313">
        <v>1</v>
      </c>
      <c r="H387" s="313">
        <v>51.377400000000002</v>
      </c>
      <c r="I387" s="313">
        <v>6.8574400000000004</v>
      </c>
      <c r="J387" s="313">
        <v>-24.134312000000001</v>
      </c>
      <c r="K387" s="313">
        <v>-22.524138000000001</v>
      </c>
      <c r="L387" s="313">
        <v>1082.46</v>
      </c>
      <c r="M387" s="313">
        <v>73.000071000000005</v>
      </c>
      <c r="N387" s="313">
        <v>11696.4223</v>
      </c>
      <c r="O387" s="313">
        <v>11691.966899999999</v>
      </c>
      <c r="P387" s="315">
        <v>2080.78514</v>
      </c>
      <c r="Q387" s="302" t="s">
        <v>12</v>
      </c>
      <c r="R387" s="315" t="s">
        <v>539</v>
      </c>
      <c r="S387" s="315">
        <v>10</v>
      </c>
      <c r="T387" s="315">
        <v>5</v>
      </c>
      <c r="U387" s="315">
        <v>0.7</v>
      </c>
      <c r="V387" s="315">
        <v>0.7</v>
      </c>
      <c r="W387" s="315">
        <v>0.7</v>
      </c>
      <c r="X387" s="313">
        <v>2000</v>
      </c>
      <c r="Y387" s="313" t="s">
        <v>540</v>
      </c>
      <c r="Z387" s="313">
        <v>0.2</v>
      </c>
      <c r="AA387" s="313" t="s">
        <v>541</v>
      </c>
      <c r="AB387" s="313" t="s">
        <v>542</v>
      </c>
      <c r="AC387" s="313">
        <v>220</v>
      </c>
      <c r="AD387" s="158"/>
      <c r="AE387" s="188"/>
    </row>
    <row r="388" spans="1:31" ht="15.75">
      <c r="A388" s="313" t="s">
        <v>583</v>
      </c>
      <c r="B388" s="313">
        <v>2</v>
      </c>
      <c r="C388" s="313">
        <v>495</v>
      </c>
      <c r="D388" s="313" t="s">
        <v>564</v>
      </c>
      <c r="E388" s="313">
        <v>1</v>
      </c>
      <c r="F388" s="322">
        <v>45495.588194444441</v>
      </c>
      <c r="G388" s="313">
        <v>1</v>
      </c>
      <c r="H388" s="313">
        <v>51.374099999999999</v>
      </c>
      <c r="I388" s="313">
        <v>7.3258700000000001</v>
      </c>
      <c r="J388" s="313">
        <v>-24.1675</v>
      </c>
      <c r="K388" s="313">
        <v>-22.612874999999999</v>
      </c>
      <c r="L388" s="313">
        <v>1085.58</v>
      </c>
      <c r="M388" s="313">
        <v>69.501050000000006</v>
      </c>
      <c r="N388" s="313">
        <v>11687.511500000001</v>
      </c>
      <c r="O388" s="313">
        <v>11691.966899999999</v>
      </c>
      <c r="P388" s="315">
        <v>2080.78514</v>
      </c>
      <c r="Q388" s="302" t="s">
        <v>12</v>
      </c>
      <c r="R388" s="315" t="s">
        <v>539</v>
      </c>
      <c r="S388" s="315">
        <v>10</v>
      </c>
      <c r="T388" s="315">
        <v>5</v>
      </c>
      <c r="U388" s="315">
        <v>0.7</v>
      </c>
      <c r="V388" s="315">
        <v>0.7</v>
      </c>
      <c r="W388" s="315">
        <v>0.7</v>
      </c>
      <c r="X388" s="313">
        <v>2000</v>
      </c>
      <c r="Y388" s="313" t="s">
        <v>540</v>
      </c>
      <c r="Z388" s="313">
        <v>0.2</v>
      </c>
      <c r="AA388" s="313" t="s">
        <v>541</v>
      </c>
      <c r="AB388" s="313" t="s">
        <v>542</v>
      </c>
      <c r="AC388" s="313">
        <v>220</v>
      </c>
      <c r="AD388" s="158"/>
      <c r="AE388" s="188"/>
    </row>
    <row r="389" spans="1:31" ht="15.75">
      <c r="A389" s="313" t="s">
        <v>584</v>
      </c>
      <c r="B389" s="313">
        <v>3</v>
      </c>
      <c r="C389" s="313">
        <v>496</v>
      </c>
      <c r="D389" s="313" t="s">
        <v>568</v>
      </c>
      <c r="E389" s="313">
        <v>1</v>
      </c>
      <c r="F389" s="322">
        <v>45495.591666666667</v>
      </c>
      <c r="G389" s="313">
        <v>1</v>
      </c>
      <c r="H389" s="313">
        <v>51.374099999999999</v>
      </c>
      <c r="I389" s="313">
        <v>7.4389200000000004</v>
      </c>
      <c r="J389" s="313">
        <v>-24.219850000000001</v>
      </c>
      <c r="K389" s="313">
        <v>-22.524687</v>
      </c>
      <c r="L389" s="313">
        <v>1101.49</v>
      </c>
      <c r="M389" s="313">
        <v>66.999011999999993</v>
      </c>
      <c r="N389" s="313">
        <v>11694.1114</v>
      </c>
      <c r="O389" s="313">
        <v>11686.0491</v>
      </c>
      <c r="P389" s="315">
        <v>2079.74028</v>
      </c>
      <c r="Q389" s="302" t="s">
        <v>12</v>
      </c>
      <c r="R389" s="315" t="s">
        <v>539</v>
      </c>
      <c r="S389" s="315">
        <v>10</v>
      </c>
      <c r="T389" s="315">
        <v>5</v>
      </c>
      <c r="U389" s="315">
        <v>0.7</v>
      </c>
      <c r="V389" s="315">
        <v>0.7</v>
      </c>
      <c r="W389" s="315">
        <v>0.7</v>
      </c>
      <c r="X389" s="313">
        <v>2000</v>
      </c>
      <c r="Y389" s="313" t="s">
        <v>540</v>
      </c>
      <c r="Z389" s="313">
        <v>0.2</v>
      </c>
      <c r="AA389" s="313" t="s">
        <v>541</v>
      </c>
      <c r="AB389" s="313" t="s">
        <v>542</v>
      </c>
      <c r="AC389" s="313">
        <v>220</v>
      </c>
      <c r="AD389" s="158"/>
      <c r="AE389" s="188"/>
    </row>
    <row r="390" spans="1:31" ht="15.75">
      <c r="A390" s="313" t="s">
        <v>586</v>
      </c>
      <c r="B390" s="313">
        <v>3</v>
      </c>
      <c r="C390" s="313">
        <v>496</v>
      </c>
      <c r="D390" s="313" t="s">
        <v>568</v>
      </c>
      <c r="E390" s="313">
        <v>1</v>
      </c>
      <c r="F390" s="322">
        <v>45495.594444444447</v>
      </c>
      <c r="G390" s="313">
        <v>1</v>
      </c>
      <c r="H390" s="313">
        <v>51.374099999999999</v>
      </c>
      <c r="I390" s="313">
        <v>7.5434900000000003</v>
      </c>
      <c r="J390" s="313">
        <v>-24.230512000000001</v>
      </c>
      <c r="K390" s="313">
        <v>-22.925913000000001</v>
      </c>
      <c r="L390" s="313">
        <v>1073.3800000000001</v>
      </c>
      <c r="M390" s="313">
        <v>72.501977999999994</v>
      </c>
      <c r="N390" s="313">
        <v>11677.986699999999</v>
      </c>
      <c r="O390" s="313">
        <v>11686.0491</v>
      </c>
      <c r="P390" s="315">
        <v>2079.74028</v>
      </c>
      <c r="Q390" s="302" t="s">
        <v>12</v>
      </c>
      <c r="R390" s="315" t="s">
        <v>539</v>
      </c>
      <c r="S390" s="315">
        <v>10</v>
      </c>
      <c r="T390" s="315">
        <v>5</v>
      </c>
      <c r="U390" s="315">
        <v>0.7</v>
      </c>
      <c r="V390" s="315">
        <v>0.7</v>
      </c>
      <c r="W390" s="315">
        <v>0.7</v>
      </c>
      <c r="X390" s="313">
        <v>2000</v>
      </c>
      <c r="Y390" s="313" t="s">
        <v>540</v>
      </c>
      <c r="Z390" s="313">
        <v>0.2</v>
      </c>
      <c r="AA390" s="313" t="s">
        <v>541</v>
      </c>
      <c r="AB390" s="313" t="s">
        <v>542</v>
      </c>
      <c r="AC390" s="313">
        <v>220</v>
      </c>
      <c r="AD390" s="158"/>
      <c r="AE390" s="188"/>
    </row>
    <row r="391" spans="1:31" ht="15.75">
      <c r="A391" s="313" t="s">
        <v>588</v>
      </c>
      <c r="B391" s="313">
        <v>4</v>
      </c>
      <c r="C391" s="313">
        <v>560</v>
      </c>
      <c r="D391" s="313" t="s">
        <v>571</v>
      </c>
      <c r="E391" s="313">
        <v>1</v>
      </c>
      <c r="F391" s="322">
        <v>45495.597222222219</v>
      </c>
      <c r="G391" s="313">
        <v>1</v>
      </c>
      <c r="H391" s="313">
        <v>51.377400000000002</v>
      </c>
      <c r="I391" s="313">
        <v>7.49796</v>
      </c>
      <c r="J391" s="313">
        <v>-24.095644</v>
      </c>
      <c r="K391" s="313">
        <v>-22.309374999999999</v>
      </c>
      <c r="L391" s="313">
        <v>1076.3800000000001</v>
      </c>
      <c r="M391" s="313">
        <v>65.499561999999997</v>
      </c>
      <c r="N391" s="313">
        <v>11692.7819</v>
      </c>
      <c r="O391" s="313">
        <v>11724.079100000001</v>
      </c>
      <c r="P391" s="315">
        <v>2086.4549000000002</v>
      </c>
      <c r="Q391" s="302" t="s">
        <v>12</v>
      </c>
      <c r="R391" s="315" t="s">
        <v>553</v>
      </c>
      <c r="S391" s="315">
        <v>10</v>
      </c>
      <c r="T391" s="315">
        <v>5</v>
      </c>
      <c r="U391" s="315">
        <v>0.7</v>
      </c>
      <c r="V391" s="315">
        <v>0.7</v>
      </c>
      <c r="W391" s="315">
        <v>0.7</v>
      </c>
      <c r="X391" s="313">
        <v>2000</v>
      </c>
      <c r="Y391" s="313" t="s">
        <v>540</v>
      </c>
      <c r="Z391" s="313">
        <v>0.2</v>
      </c>
      <c r="AA391" s="313" t="s">
        <v>541</v>
      </c>
      <c r="AB391" s="313" t="s">
        <v>542</v>
      </c>
      <c r="AC391" s="313">
        <v>220</v>
      </c>
      <c r="AD391" s="158"/>
      <c r="AE391" s="188"/>
    </row>
    <row r="392" spans="1:31" ht="15.75">
      <c r="A392" s="313" t="s">
        <v>590</v>
      </c>
      <c r="B392" s="313">
        <v>4</v>
      </c>
      <c r="C392" s="313">
        <v>560</v>
      </c>
      <c r="D392" s="313" t="s">
        <v>571</v>
      </c>
      <c r="E392" s="313">
        <v>1</v>
      </c>
      <c r="F392" s="322">
        <v>45495.6</v>
      </c>
      <c r="G392" s="313">
        <v>1</v>
      </c>
      <c r="H392" s="313">
        <v>51.377400000000002</v>
      </c>
      <c r="I392" s="313">
        <v>7.3752800000000001</v>
      </c>
      <c r="J392" s="313">
        <v>-24.193331000000001</v>
      </c>
      <c r="K392" s="313">
        <v>-22.475487000000001</v>
      </c>
      <c r="L392" s="313">
        <v>1071.82</v>
      </c>
      <c r="M392" s="313">
        <v>68.999806000000007</v>
      </c>
      <c r="N392" s="313">
        <v>11734.552</v>
      </c>
      <c r="O392" s="313">
        <v>11724.079100000001</v>
      </c>
      <c r="P392" s="315">
        <v>2086.4549000000002</v>
      </c>
      <c r="Q392" s="302" t="s">
        <v>12</v>
      </c>
      <c r="R392" s="315" t="s">
        <v>539</v>
      </c>
      <c r="S392" s="315">
        <v>10</v>
      </c>
      <c r="T392" s="315">
        <v>5</v>
      </c>
      <c r="U392" s="315">
        <v>0.7</v>
      </c>
      <c r="V392" s="315">
        <v>0.7</v>
      </c>
      <c r="W392" s="315">
        <v>0.7</v>
      </c>
      <c r="X392" s="313">
        <v>2000</v>
      </c>
      <c r="Y392" s="313" t="s">
        <v>540</v>
      </c>
      <c r="Z392" s="313">
        <v>0.2</v>
      </c>
      <c r="AA392" s="313" t="s">
        <v>541</v>
      </c>
      <c r="AB392" s="313" t="s">
        <v>542</v>
      </c>
      <c r="AC392" s="313">
        <v>220</v>
      </c>
      <c r="AD392" s="158"/>
      <c r="AE392" s="188"/>
    </row>
    <row r="393" spans="1:31" ht="15.75">
      <c r="A393" s="313" t="s">
        <v>685</v>
      </c>
      <c r="B393" s="313">
        <v>4</v>
      </c>
      <c r="C393" s="313">
        <v>560</v>
      </c>
      <c r="D393" s="313" t="s">
        <v>571</v>
      </c>
      <c r="E393" s="313">
        <v>1</v>
      </c>
      <c r="F393" s="322">
        <v>45495.602777777778</v>
      </c>
      <c r="G393" s="313">
        <v>1</v>
      </c>
      <c r="H393" s="313">
        <v>51.374099999999999</v>
      </c>
      <c r="I393" s="313">
        <v>7.14879</v>
      </c>
      <c r="J393" s="313">
        <v>-24.615569000000001</v>
      </c>
      <c r="K393" s="313">
        <v>-23.112012</v>
      </c>
      <c r="L393" s="313">
        <v>1066.6400000000001</v>
      </c>
      <c r="M393" s="313">
        <v>70.499117999999996</v>
      </c>
      <c r="N393" s="313">
        <v>11713.606100000001</v>
      </c>
      <c r="O393" s="313">
        <v>11724.079100000001</v>
      </c>
      <c r="P393" s="315">
        <v>2086.4549000000002</v>
      </c>
      <c r="Q393" s="302" t="s">
        <v>12</v>
      </c>
      <c r="R393" s="315" t="s">
        <v>539</v>
      </c>
      <c r="S393" s="315">
        <v>10</v>
      </c>
      <c r="T393" s="315">
        <v>5</v>
      </c>
      <c r="U393" s="315">
        <v>0.7</v>
      </c>
      <c r="V393" s="315">
        <v>0.7</v>
      </c>
      <c r="W393" s="315">
        <v>0.7</v>
      </c>
      <c r="X393" s="313">
        <v>2000</v>
      </c>
      <c r="Y393" s="313" t="s">
        <v>540</v>
      </c>
      <c r="Z393" s="313">
        <v>0.2</v>
      </c>
      <c r="AA393" s="313" t="s">
        <v>541</v>
      </c>
      <c r="AB393" s="313" t="s">
        <v>542</v>
      </c>
      <c r="AC393" s="313">
        <v>220</v>
      </c>
      <c r="AD393" s="158"/>
      <c r="AE393" s="188"/>
    </row>
    <row r="394" spans="1:31" ht="15.75">
      <c r="A394" s="313" t="s">
        <v>688</v>
      </c>
      <c r="B394" s="313">
        <v>5</v>
      </c>
      <c r="C394" s="313">
        <v>561</v>
      </c>
      <c r="D394" s="313" t="s">
        <v>575</v>
      </c>
      <c r="E394" s="313">
        <v>1</v>
      </c>
      <c r="F394" s="322">
        <v>45495.606249999997</v>
      </c>
      <c r="G394" s="313">
        <v>1</v>
      </c>
      <c r="H394" s="313">
        <v>51.374099999999999</v>
      </c>
      <c r="I394" s="313">
        <v>6.9155800000000003</v>
      </c>
      <c r="J394" s="313">
        <v>-24.687144</v>
      </c>
      <c r="K394" s="313">
        <v>-22.930969000000001</v>
      </c>
      <c r="L394" s="313">
        <v>1052.81</v>
      </c>
      <c r="M394" s="313">
        <v>73.500230999999999</v>
      </c>
      <c r="N394" s="313">
        <v>11617.586300000001</v>
      </c>
      <c r="O394" s="313">
        <v>11644.699199999999</v>
      </c>
      <c r="P394" s="315">
        <v>2072.4395</v>
      </c>
      <c r="Q394" s="302" t="s">
        <v>12</v>
      </c>
      <c r="R394" s="315" t="s">
        <v>553</v>
      </c>
      <c r="S394" s="315">
        <v>10</v>
      </c>
      <c r="T394" s="315">
        <v>5</v>
      </c>
      <c r="U394" s="315">
        <v>0.7</v>
      </c>
      <c r="V394" s="315">
        <v>0.7</v>
      </c>
      <c r="W394" s="315">
        <v>0.7</v>
      </c>
      <c r="X394" s="313">
        <v>2000</v>
      </c>
      <c r="Y394" s="313" t="s">
        <v>540</v>
      </c>
      <c r="Z394" s="313">
        <v>0.2</v>
      </c>
      <c r="AA394" s="313" t="s">
        <v>541</v>
      </c>
      <c r="AB394" s="313" t="s">
        <v>542</v>
      </c>
      <c r="AC394" s="313">
        <v>220</v>
      </c>
      <c r="AD394" s="158"/>
      <c r="AE394" s="188"/>
    </row>
    <row r="395" spans="1:31" ht="15.75">
      <c r="A395" s="313" t="s">
        <v>689</v>
      </c>
      <c r="B395" s="313">
        <v>5</v>
      </c>
      <c r="C395" s="313">
        <v>561</v>
      </c>
      <c r="D395" s="313" t="s">
        <v>575</v>
      </c>
      <c r="E395" s="313">
        <v>1</v>
      </c>
      <c r="F395" s="322">
        <v>45495.609027777777</v>
      </c>
      <c r="G395" s="313">
        <v>1</v>
      </c>
      <c r="H395" s="313">
        <v>51.377400000000002</v>
      </c>
      <c r="I395" s="313">
        <v>7.0165300000000004</v>
      </c>
      <c r="J395" s="313">
        <v>-24.623180999999999</v>
      </c>
      <c r="K395" s="313">
        <v>-23.342093999999999</v>
      </c>
      <c r="L395" s="313">
        <v>1043.6500000000001</v>
      </c>
      <c r="M395" s="313">
        <v>74.499498000000003</v>
      </c>
      <c r="N395" s="313">
        <v>11667.797399999999</v>
      </c>
      <c r="O395" s="313">
        <v>11644.699199999999</v>
      </c>
      <c r="P395" s="315">
        <v>2072.4395</v>
      </c>
      <c r="Q395" s="302" t="s">
        <v>12</v>
      </c>
      <c r="R395" s="315" t="s">
        <v>553</v>
      </c>
      <c r="S395" s="315">
        <v>10</v>
      </c>
      <c r="T395" s="315">
        <v>5</v>
      </c>
      <c r="U395" s="315">
        <v>0.7</v>
      </c>
      <c r="V395" s="315">
        <v>0.7</v>
      </c>
      <c r="W395" s="315">
        <v>0.7</v>
      </c>
      <c r="X395" s="313">
        <v>2000</v>
      </c>
      <c r="Y395" s="313" t="s">
        <v>540</v>
      </c>
      <c r="Z395" s="313">
        <v>0.2</v>
      </c>
      <c r="AA395" s="313" t="s">
        <v>541</v>
      </c>
      <c r="AB395" s="313" t="s">
        <v>542</v>
      </c>
      <c r="AC395" s="313">
        <v>220</v>
      </c>
      <c r="AD395" s="158"/>
      <c r="AE395" s="188"/>
    </row>
    <row r="396" spans="1:31" ht="15.75">
      <c r="A396" s="313" t="s">
        <v>690</v>
      </c>
      <c r="B396" s="313">
        <v>5</v>
      </c>
      <c r="C396" s="313">
        <v>561</v>
      </c>
      <c r="D396" s="313" t="s">
        <v>575</v>
      </c>
      <c r="E396" s="313">
        <v>1</v>
      </c>
      <c r="F396" s="322">
        <v>45495.611805555556</v>
      </c>
      <c r="G396" s="313">
        <v>1</v>
      </c>
      <c r="H396" s="313">
        <v>51.370800000000003</v>
      </c>
      <c r="I396" s="313">
        <v>6.88042</v>
      </c>
      <c r="J396" s="313">
        <v>-24.634568999999999</v>
      </c>
      <c r="K396" s="313">
        <v>-23.208818999999998</v>
      </c>
      <c r="L396" s="313">
        <v>1077.22</v>
      </c>
      <c r="M396" s="313">
        <v>72.999701000000002</v>
      </c>
      <c r="N396" s="313">
        <v>11642.1682</v>
      </c>
      <c r="O396" s="313">
        <v>11644.699199999999</v>
      </c>
      <c r="P396" s="315">
        <v>2072.4395</v>
      </c>
      <c r="Q396" s="302" t="s">
        <v>12</v>
      </c>
      <c r="R396" s="315" t="s">
        <v>539</v>
      </c>
      <c r="S396" s="315">
        <v>10</v>
      </c>
      <c r="T396" s="315">
        <v>5</v>
      </c>
      <c r="U396" s="315">
        <v>0.7</v>
      </c>
      <c r="V396" s="315">
        <v>0.7</v>
      </c>
      <c r="W396" s="315">
        <v>0.7</v>
      </c>
      <c r="X396" s="313">
        <v>2000</v>
      </c>
      <c r="Y396" s="313" t="s">
        <v>540</v>
      </c>
      <c r="Z396" s="313">
        <v>0.2</v>
      </c>
      <c r="AA396" s="313" t="s">
        <v>541</v>
      </c>
      <c r="AB396" s="313" t="s">
        <v>542</v>
      </c>
      <c r="AC396" s="313">
        <v>220</v>
      </c>
      <c r="AD396" s="158"/>
      <c r="AE396" s="188"/>
    </row>
    <row r="397" spans="1:31" ht="15.75">
      <c r="A397" s="313" t="s">
        <v>804</v>
      </c>
      <c r="B397" s="313">
        <v>5</v>
      </c>
      <c r="C397" s="313">
        <v>561</v>
      </c>
      <c r="D397" s="313" t="s">
        <v>575</v>
      </c>
      <c r="E397" s="313">
        <v>1</v>
      </c>
      <c r="F397" s="322">
        <v>45495.615277777775</v>
      </c>
      <c r="G397" s="313">
        <v>1</v>
      </c>
      <c r="H397" s="313">
        <v>51.374099999999999</v>
      </c>
      <c r="I397" s="313">
        <v>6.6973700000000003</v>
      </c>
      <c r="J397" s="313">
        <v>-24.666675000000001</v>
      </c>
      <c r="K397" s="313">
        <v>-22.922924999999999</v>
      </c>
      <c r="L397" s="313">
        <v>1054.02</v>
      </c>
      <c r="M397" s="313">
        <v>71.000448000000006</v>
      </c>
      <c r="N397" s="313">
        <v>11647.230299999999</v>
      </c>
      <c r="O397" s="313">
        <v>11644.699199999999</v>
      </c>
      <c r="P397" s="315">
        <v>2072.4395</v>
      </c>
      <c r="Q397" s="302" t="s">
        <v>12</v>
      </c>
      <c r="R397" s="315" t="s">
        <v>539</v>
      </c>
      <c r="S397" s="315">
        <v>10</v>
      </c>
      <c r="T397" s="315">
        <v>5</v>
      </c>
      <c r="U397" s="315">
        <v>0.7</v>
      </c>
      <c r="V397" s="315">
        <v>0.7</v>
      </c>
      <c r="W397" s="315">
        <v>0.7</v>
      </c>
      <c r="X397" s="313">
        <v>2000</v>
      </c>
      <c r="Y397" s="313" t="s">
        <v>540</v>
      </c>
      <c r="Z397" s="313">
        <v>0.2</v>
      </c>
      <c r="AA397" s="313" t="s">
        <v>541</v>
      </c>
      <c r="AB397" s="313" t="s">
        <v>542</v>
      </c>
      <c r="AC397" s="313">
        <v>220</v>
      </c>
      <c r="AD397" s="158"/>
      <c r="AE397" s="188"/>
    </row>
    <row r="398" spans="1:31" ht="15.75">
      <c r="A398" s="313" t="s">
        <v>597</v>
      </c>
      <c r="B398" s="313">
        <v>6</v>
      </c>
      <c r="C398" s="313">
        <v>430</v>
      </c>
      <c r="D398" s="313" t="s">
        <v>579</v>
      </c>
      <c r="E398" s="313">
        <v>1</v>
      </c>
      <c r="F398" s="322">
        <v>45495.618055555555</v>
      </c>
      <c r="G398" s="313">
        <v>1</v>
      </c>
      <c r="H398" s="313">
        <v>51.370800000000003</v>
      </c>
      <c r="I398" s="313">
        <v>6.5135899999999998</v>
      </c>
      <c r="J398" s="313">
        <v>-24.784756000000002</v>
      </c>
      <c r="K398" s="313">
        <v>-24.418256</v>
      </c>
      <c r="L398" s="313">
        <v>-2.2822399999999998</v>
      </c>
      <c r="M398" s="313">
        <v>50.999698000000002</v>
      </c>
      <c r="N398" s="313">
        <v>277.93428</v>
      </c>
      <c r="O398" s="313">
        <v>11598.9648</v>
      </c>
      <c r="P398" s="315">
        <v>2064.3645799999999</v>
      </c>
      <c r="Q398" s="302" t="s">
        <v>12</v>
      </c>
      <c r="R398" s="315" t="s">
        <v>553</v>
      </c>
      <c r="S398" s="315">
        <v>10</v>
      </c>
      <c r="T398" s="315">
        <v>5</v>
      </c>
      <c r="U398" s="315">
        <v>0.7</v>
      </c>
      <c r="V398" s="315">
        <v>0.7</v>
      </c>
      <c r="W398" s="315">
        <v>0.7</v>
      </c>
      <c r="X398" s="313">
        <v>2000</v>
      </c>
      <c r="Y398" s="313" t="s">
        <v>540</v>
      </c>
      <c r="Z398" s="313">
        <v>0.2</v>
      </c>
      <c r="AA398" s="313" t="s">
        <v>541</v>
      </c>
      <c r="AB398" s="313" t="s">
        <v>542</v>
      </c>
      <c r="AC398" s="313">
        <v>220</v>
      </c>
      <c r="AD398" s="158"/>
      <c r="AE398" s="188"/>
    </row>
    <row r="399" spans="1:31" ht="15.75">
      <c r="A399" s="313" t="s">
        <v>598</v>
      </c>
      <c r="B399" s="313">
        <v>6</v>
      </c>
      <c r="C399" s="313">
        <v>430</v>
      </c>
      <c r="D399" s="313" t="s">
        <v>579</v>
      </c>
      <c r="E399" s="313">
        <v>1</v>
      </c>
      <c r="F399" s="322">
        <v>45495.620833333334</v>
      </c>
      <c r="G399" s="313">
        <v>1</v>
      </c>
      <c r="H399" s="313">
        <v>51.370800000000003</v>
      </c>
      <c r="I399" s="313">
        <v>6.43818</v>
      </c>
      <c r="J399" s="313">
        <v>-24.761012999999998</v>
      </c>
      <c r="K399" s="313">
        <v>-24.544294000000001</v>
      </c>
      <c r="L399" s="313">
        <v>-5.2326300000000003</v>
      </c>
      <c r="M399" s="313">
        <v>51.499246999999997</v>
      </c>
      <c r="N399" s="313">
        <v>240.12213700000001</v>
      </c>
      <c r="O399" s="313">
        <v>11598.9648</v>
      </c>
      <c r="P399" s="315">
        <v>2064.3645799999999</v>
      </c>
      <c r="Q399" s="302" t="s">
        <v>12</v>
      </c>
      <c r="R399" s="315" t="s">
        <v>553</v>
      </c>
      <c r="S399" s="315">
        <v>10</v>
      </c>
      <c r="T399" s="315">
        <v>5</v>
      </c>
      <c r="U399" s="315">
        <v>0.7</v>
      </c>
      <c r="V399" s="315">
        <v>0.7</v>
      </c>
      <c r="W399" s="315">
        <v>0.7</v>
      </c>
      <c r="X399" s="313">
        <v>2000</v>
      </c>
      <c r="Y399" s="313" t="s">
        <v>540</v>
      </c>
      <c r="Z399" s="313">
        <v>0.2</v>
      </c>
      <c r="AA399" s="313" t="s">
        <v>541</v>
      </c>
      <c r="AB399" s="313" t="s">
        <v>542</v>
      </c>
      <c r="AC399" s="313">
        <v>220</v>
      </c>
      <c r="AD399" s="158"/>
      <c r="AE399" s="188"/>
    </row>
    <row r="400" spans="1:31" ht="15.75">
      <c r="A400" s="313" t="s">
        <v>739</v>
      </c>
      <c r="B400" s="313">
        <v>6</v>
      </c>
      <c r="C400" s="313">
        <v>430</v>
      </c>
      <c r="D400" s="313" t="s">
        <v>579</v>
      </c>
      <c r="E400" s="313">
        <v>1</v>
      </c>
      <c r="F400" s="322">
        <v>45495.623611111114</v>
      </c>
      <c r="G400" s="313">
        <v>1</v>
      </c>
      <c r="H400" s="313">
        <v>51.374099999999999</v>
      </c>
      <c r="I400" s="313">
        <v>6.5055699999999996</v>
      </c>
      <c r="J400" s="313">
        <v>-24.658000000000001</v>
      </c>
      <c r="K400" s="313">
        <v>-23.137550000000001</v>
      </c>
      <c r="L400" s="313">
        <v>752.39400000000001</v>
      </c>
      <c r="M400" s="313">
        <v>69.500080999999994</v>
      </c>
      <c r="N400" s="313">
        <v>7924.8753699999997</v>
      </c>
      <c r="O400" s="313">
        <v>11598.9648</v>
      </c>
      <c r="P400" s="315">
        <v>2064.3645799999999</v>
      </c>
      <c r="Q400" s="302" t="s">
        <v>12</v>
      </c>
      <c r="R400" s="315" t="s">
        <v>553</v>
      </c>
      <c r="S400" s="315">
        <v>10</v>
      </c>
      <c r="T400" s="315">
        <v>5</v>
      </c>
      <c r="U400" s="315">
        <v>0.7</v>
      </c>
      <c r="V400" s="315">
        <v>0.7</v>
      </c>
      <c r="W400" s="315">
        <v>0.7</v>
      </c>
      <c r="X400" s="313">
        <v>2000</v>
      </c>
      <c r="Y400" s="313" t="s">
        <v>540</v>
      </c>
      <c r="Z400" s="313">
        <v>0.2</v>
      </c>
      <c r="AA400" s="313" t="s">
        <v>541</v>
      </c>
      <c r="AB400" s="313" t="s">
        <v>542</v>
      </c>
      <c r="AC400" s="313">
        <v>220</v>
      </c>
      <c r="AD400" s="158"/>
      <c r="AE400" s="188"/>
    </row>
    <row r="401" spans="1:31" ht="15.75">
      <c r="A401" s="313" t="s">
        <v>740</v>
      </c>
      <c r="B401" s="313">
        <v>6</v>
      </c>
      <c r="C401" s="313">
        <v>430</v>
      </c>
      <c r="D401" s="313" t="s">
        <v>579</v>
      </c>
      <c r="E401" s="313">
        <v>1</v>
      </c>
      <c r="F401" s="322">
        <v>45495.626388888886</v>
      </c>
      <c r="G401" s="313">
        <v>1</v>
      </c>
      <c r="H401" s="313">
        <v>51.377400000000002</v>
      </c>
      <c r="I401" s="313">
        <v>6.6799299999999997</v>
      </c>
      <c r="J401" s="313">
        <v>-24.531444</v>
      </c>
      <c r="K401" s="313">
        <v>-22.550944000000001</v>
      </c>
      <c r="L401" s="313">
        <v>1047.94</v>
      </c>
      <c r="M401" s="313">
        <v>68.499968999999993</v>
      </c>
      <c r="N401" s="313">
        <v>11597.447899999999</v>
      </c>
      <c r="O401" s="313">
        <v>11598.9648</v>
      </c>
      <c r="P401" s="315">
        <v>2064.3645799999999</v>
      </c>
      <c r="Q401" s="302" t="s">
        <v>12</v>
      </c>
      <c r="R401" s="315" t="s">
        <v>539</v>
      </c>
      <c r="S401" s="315">
        <v>10</v>
      </c>
      <c r="T401" s="315">
        <v>5</v>
      </c>
      <c r="U401" s="315">
        <v>0.7</v>
      </c>
      <c r="V401" s="315">
        <v>0.7</v>
      </c>
      <c r="W401" s="315">
        <v>0.7</v>
      </c>
      <c r="X401" s="313">
        <v>2000</v>
      </c>
      <c r="Y401" s="313" t="s">
        <v>540</v>
      </c>
      <c r="Z401" s="313">
        <v>0.2</v>
      </c>
      <c r="AA401" s="313" t="s">
        <v>541</v>
      </c>
      <c r="AB401" s="313" t="s">
        <v>542</v>
      </c>
      <c r="AC401" s="313">
        <v>220</v>
      </c>
      <c r="AD401" s="158"/>
      <c r="AE401" s="188"/>
    </row>
    <row r="402" spans="1:31" ht="15.75">
      <c r="A402" s="313" t="s">
        <v>805</v>
      </c>
      <c r="B402" s="313">
        <v>6</v>
      </c>
      <c r="C402" s="313">
        <v>430</v>
      </c>
      <c r="D402" s="313" t="s">
        <v>579</v>
      </c>
      <c r="E402" s="313">
        <v>1</v>
      </c>
      <c r="F402" s="322">
        <v>45495.629166666666</v>
      </c>
      <c r="G402" s="313">
        <v>1</v>
      </c>
      <c r="H402" s="313">
        <v>51.380699999999997</v>
      </c>
      <c r="I402" s="313">
        <v>6.77651</v>
      </c>
      <c r="J402" s="313">
        <v>-24.814599999999999</v>
      </c>
      <c r="K402" s="313">
        <v>-23.341830999999999</v>
      </c>
      <c r="L402" s="313">
        <v>1060.82</v>
      </c>
      <c r="M402" s="313">
        <v>74.500141999999997</v>
      </c>
      <c r="N402" s="313">
        <v>11600.4818</v>
      </c>
      <c r="O402" s="313">
        <v>11598.9648</v>
      </c>
      <c r="P402" s="315">
        <v>2064.3645799999999</v>
      </c>
      <c r="Q402" s="302" t="s">
        <v>12</v>
      </c>
      <c r="R402" s="315" t="s">
        <v>539</v>
      </c>
      <c r="S402" s="315">
        <v>10</v>
      </c>
      <c r="T402" s="315">
        <v>5</v>
      </c>
      <c r="U402" s="315">
        <v>0.7</v>
      </c>
      <c r="V402" s="315">
        <v>0.7</v>
      </c>
      <c r="W402" s="315">
        <v>0.7</v>
      </c>
      <c r="X402" s="313">
        <v>2000</v>
      </c>
      <c r="Y402" s="313" t="s">
        <v>540</v>
      </c>
      <c r="Z402" s="313">
        <v>0.2</v>
      </c>
      <c r="AA402" s="313" t="s">
        <v>541</v>
      </c>
      <c r="AB402" s="313" t="s">
        <v>542</v>
      </c>
      <c r="AC402" s="313">
        <v>220</v>
      </c>
      <c r="AD402" s="158"/>
      <c r="AE402" s="188"/>
    </row>
    <row r="403" spans="1:31" ht="15.75">
      <c r="A403" s="313" t="s">
        <v>599</v>
      </c>
      <c r="B403" s="313">
        <v>7</v>
      </c>
      <c r="C403" s="313">
        <v>431</v>
      </c>
      <c r="D403" s="313" t="s">
        <v>582</v>
      </c>
      <c r="E403" s="313">
        <v>1</v>
      </c>
      <c r="F403" s="322">
        <v>45495.632638888892</v>
      </c>
      <c r="G403" s="313">
        <v>1</v>
      </c>
      <c r="H403" s="313">
        <v>51.374099999999999</v>
      </c>
      <c r="I403" s="313">
        <v>6.6303900000000002</v>
      </c>
      <c r="J403" s="313">
        <v>-24.869888</v>
      </c>
      <c r="K403" s="313">
        <v>-23.201425</v>
      </c>
      <c r="L403" s="313">
        <v>1048.46</v>
      </c>
      <c r="M403" s="313">
        <v>72.000085999999996</v>
      </c>
      <c r="N403" s="313">
        <v>11354.3791</v>
      </c>
      <c r="O403" s="313">
        <v>0</v>
      </c>
      <c r="P403" s="315">
        <v>0</v>
      </c>
      <c r="Q403" s="302" t="s">
        <v>280</v>
      </c>
      <c r="R403" s="315" t="s">
        <v>607</v>
      </c>
      <c r="S403" s="315">
        <v>10</v>
      </c>
      <c r="T403" s="315">
        <v>5</v>
      </c>
      <c r="U403" s="315">
        <v>0.7</v>
      </c>
      <c r="V403" s="315">
        <v>0.7</v>
      </c>
      <c r="W403" s="315">
        <v>0.7</v>
      </c>
      <c r="X403" s="313">
        <v>2000</v>
      </c>
      <c r="Y403" s="313" t="s">
        <v>540</v>
      </c>
      <c r="Z403" s="313">
        <v>0.2</v>
      </c>
      <c r="AA403" s="313" t="s">
        <v>541</v>
      </c>
      <c r="AB403" s="313" t="s">
        <v>542</v>
      </c>
      <c r="AC403" s="313">
        <v>220</v>
      </c>
      <c r="AD403" s="158"/>
      <c r="AE403" s="188"/>
    </row>
    <row r="404" spans="1:31" ht="15.75">
      <c r="A404" s="313" t="s">
        <v>600</v>
      </c>
      <c r="B404" s="313">
        <v>7</v>
      </c>
      <c r="C404" s="313">
        <v>431</v>
      </c>
      <c r="D404" s="313" t="s">
        <v>582</v>
      </c>
      <c r="E404" s="313">
        <v>1</v>
      </c>
      <c r="F404" s="322">
        <v>45495.635416666664</v>
      </c>
      <c r="G404" s="313">
        <v>1</v>
      </c>
      <c r="H404" s="313">
        <v>51.377400000000002</v>
      </c>
      <c r="I404" s="313">
        <v>7.1314799999999998</v>
      </c>
      <c r="J404" s="313">
        <v>-24.666269</v>
      </c>
      <c r="K404" s="313">
        <v>-23.573663</v>
      </c>
      <c r="L404" s="313">
        <v>1061.3800000000001</v>
      </c>
      <c r="M404" s="313">
        <v>77.999039999999994</v>
      </c>
      <c r="N404" s="313">
        <v>11726.7822</v>
      </c>
      <c r="O404" s="313">
        <v>0</v>
      </c>
      <c r="P404" s="315">
        <v>0</v>
      </c>
      <c r="Q404" s="302" t="s">
        <v>280</v>
      </c>
      <c r="R404" s="315" t="s">
        <v>607</v>
      </c>
      <c r="S404" s="315">
        <v>10</v>
      </c>
      <c r="T404" s="315">
        <v>5</v>
      </c>
      <c r="U404" s="315">
        <v>0.7</v>
      </c>
      <c r="V404" s="315">
        <v>0.7</v>
      </c>
      <c r="W404" s="315">
        <v>0.7</v>
      </c>
      <c r="X404" s="313">
        <v>2000</v>
      </c>
      <c r="Y404" s="313" t="s">
        <v>540</v>
      </c>
      <c r="Z404" s="313">
        <v>0.2</v>
      </c>
      <c r="AA404" s="313" t="s">
        <v>541</v>
      </c>
      <c r="AB404" s="313" t="s">
        <v>542</v>
      </c>
      <c r="AC404" s="313">
        <v>220</v>
      </c>
      <c r="AD404" s="158"/>
      <c r="AE404" s="188"/>
    </row>
    <row r="405" spans="1:31" ht="15.75">
      <c r="A405" s="313" t="s">
        <v>691</v>
      </c>
      <c r="B405" s="313">
        <v>7</v>
      </c>
      <c r="C405" s="313">
        <v>431</v>
      </c>
      <c r="D405" s="313" t="s">
        <v>582</v>
      </c>
      <c r="E405" s="313">
        <v>1</v>
      </c>
      <c r="F405" s="322">
        <v>45495.638194444444</v>
      </c>
      <c r="G405" s="313">
        <v>1</v>
      </c>
      <c r="H405" s="313">
        <v>51.374099999999999</v>
      </c>
      <c r="I405" s="313">
        <v>7.5071899999999996</v>
      </c>
      <c r="J405" s="313">
        <v>-24.778044000000001</v>
      </c>
      <c r="K405" s="313">
        <v>-22.536549999999998</v>
      </c>
      <c r="L405" s="313">
        <v>1075.76</v>
      </c>
      <c r="M405" s="313">
        <v>63.500044000000003</v>
      </c>
      <c r="N405" s="313">
        <v>11579.11</v>
      </c>
      <c r="O405" s="313">
        <v>0</v>
      </c>
      <c r="P405" s="315">
        <v>0</v>
      </c>
      <c r="Q405" s="302" t="s">
        <v>280</v>
      </c>
      <c r="R405" s="315" t="s">
        <v>607</v>
      </c>
      <c r="S405" s="315">
        <v>10</v>
      </c>
      <c r="T405" s="315">
        <v>5</v>
      </c>
      <c r="U405" s="315">
        <v>0.7</v>
      </c>
      <c r="V405" s="315">
        <v>0.7</v>
      </c>
      <c r="W405" s="315">
        <v>0.7</v>
      </c>
      <c r="X405" s="313">
        <v>2000</v>
      </c>
      <c r="Y405" s="313" t="s">
        <v>540</v>
      </c>
      <c r="Z405" s="313">
        <v>0.2</v>
      </c>
      <c r="AA405" s="313" t="s">
        <v>541</v>
      </c>
      <c r="AB405" s="313" t="s">
        <v>542</v>
      </c>
      <c r="AC405" s="313">
        <v>220</v>
      </c>
      <c r="AD405" s="158"/>
      <c r="AE405" s="188"/>
    </row>
    <row r="406" spans="1:31" ht="15.75">
      <c r="A406" s="313" t="s">
        <v>806</v>
      </c>
      <c r="B406" s="313">
        <v>7</v>
      </c>
      <c r="C406" s="313">
        <v>431</v>
      </c>
      <c r="D406" s="313" t="s">
        <v>582</v>
      </c>
      <c r="E406" s="313">
        <v>1</v>
      </c>
      <c r="F406" s="322">
        <v>45495.640972222223</v>
      </c>
      <c r="G406" s="313">
        <v>1</v>
      </c>
      <c r="H406" s="313">
        <v>51.374099999999999</v>
      </c>
      <c r="I406" s="313">
        <v>7.4779099999999996</v>
      </c>
      <c r="J406" s="313">
        <v>-24.726455999999999</v>
      </c>
      <c r="K406" s="313">
        <v>-22.871649999999999</v>
      </c>
      <c r="L406" s="313">
        <v>1071.8</v>
      </c>
      <c r="M406" s="313">
        <v>67.999814999999998</v>
      </c>
      <c r="N406" s="313">
        <v>11833.588299999999</v>
      </c>
      <c r="O406" s="313">
        <v>0</v>
      </c>
      <c r="P406" s="315">
        <v>0</v>
      </c>
      <c r="Q406" s="302" t="s">
        <v>280</v>
      </c>
      <c r="R406" s="315" t="s">
        <v>607</v>
      </c>
      <c r="S406" s="315">
        <v>10</v>
      </c>
      <c r="T406" s="315">
        <v>5</v>
      </c>
      <c r="U406" s="315">
        <v>0.7</v>
      </c>
      <c r="V406" s="315">
        <v>0.7</v>
      </c>
      <c r="W406" s="315">
        <v>0.7</v>
      </c>
      <c r="X406" s="313">
        <v>2000</v>
      </c>
      <c r="Y406" s="313" t="s">
        <v>540</v>
      </c>
      <c r="Z406" s="313">
        <v>0.2</v>
      </c>
      <c r="AA406" s="313" t="s">
        <v>541</v>
      </c>
      <c r="AB406" s="313" t="s">
        <v>542</v>
      </c>
      <c r="AC406" s="313">
        <v>220</v>
      </c>
      <c r="AD406" s="158"/>
      <c r="AE406" s="188"/>
    </row>
    <row r="407" spans="1:31" ht="14.25" customHeight="1">
      <c r="A407" s="313" t="s">
        <v>807</v>
      </c>
      <c r="B407" s="313">
        <v>7</v>
      </c>
      <c r="C407" s="313">
        <v>431</v>
      </c>
      <c r="D407" s="313" t="s">
        <v>582</v>
      </c>
      <c r="E407" s="313">
        <v>1</v>
      </c>
      <c r="F407" s="322">
        <v>45495.643750000003</v>
      </c>
      <c r="G407" s="313">
        <v>1</v>
      </c>
      <c r="H407" s="313">
        <v>51.377400000000002</v>
      </c>
      <c r="I407" s="313">
        <v>7.69414</v>
      </c>
      <c r="J407" s="313">
        <v>-24.834944</v>
      </c>
      <c r="K407" s="313">
        <v>-23.200468999999998</v>
      </c>
      <c r="L407" s="313">
        <v>1078.32</v>
      </c>
      <c r="M407" s="313">
        <v>69.000246000000004</v>
      </c>
      <c r="N407" s="313">
        <v>11620.488600000001</v>
      </c>
      <c r="O407" s="313">
        <v>0</v>
      </c>
      <c r="P407" s="315">
        <v>0</v>
      </c>
      <c r="Q407" s="302" t="s">
        <v>280</v>
      </c>
      <c r="R407" s="315" t="s">
        <v>607</v>
      </c>
      <c r="S407" s="315">
        <v>10</v>
      </c>
      <c r="T407" s="315">
        <v>5</v>
      </c>
      <c r="U407" s="315">
        <v>0.7</v>
      </c>
      <c r="V407" s="315">
        <v>0.7</v>
      </c>
      <c r="W407" s="315">
        <v>0.7</v>
      </c>
      <c r="X407" s="313">
        <v>2000</v>
      </c>
      <c r="Y407" s="313" t="s">
        <v>540</v>
      </c>
      <c r="Z407" s="313">
        <v>0.2</v>
      </c>
      <c r="AA407" s="313" t="s">
        <v>541</v>
      </c>
      <c r="AB407" s="313" t="s">
        <v>542</v>
      </c>
      <c r="AC407" s="313">
        <v>220</v>
      </c>
      <c r="AD407" s="158"/>
      <c r="AE407" s="188"/>
    </row>
    <row r="408" spans="1:31" ht="15.75">
      <c r="A408" s="313" t="s">
        <v>808</v>
      </c>
      <c r="B408" s="313">
        <v>7</v>
      </c>
      <c r="C408" s="313">
        <v>431</v>
      </c>
      <c r="D408" s="313" t="s">
        <v>582</v>
      </c>
      <c r="E408" s="313">
        <v>1</v>
      </c>
      <c r="F408" s="324">
        <v>45495.646527777775</v>
      </c>
      <c r="G408" s="313">
        <v>2</v>
      </c>
      <c r="H408" s="313">
        <v>51.374099999999999</v>
      </c>
      <c r="I408" s="313">
        <v>7.6872400000000001</v>
      </c>
      <c r="J408" s="313">
        <v>-24.793261999999999</v>
      </c>
      <c r="K408" s="313">
        <v>-23.272849999999998</v>
      </c>
      <c r="L408" s="313">
        <v>1077.68</v>
      </c>
      <c r="M408" s="313">
        <v>69.000237999999996</v>
      </c>
      <c r="N408" s="313">
        <v>11629.7279</v>
      </c>
      <c r="O408" s="313">
        <v>11624.2516</v>
      </c>
      <c r="P408" s="315">
        <v>2068.82924</v>
      </c>
      <c r="Q408" s="302" t="s">
        <v>12</v>
      </c>
      <c r="R408" s="315" t="s">
        <v>539</v>
      </c>
      <c r="S408" s="315">
        <v>10</v>
      </c>
      <c r="T408" s="315">
        <v>5</v>
      </c>
      <c r="U408" s="315">
        <v>0.7</v>
      </c>
      <c r="V408" s="315">
        <v>0.7</v>
      </c>
      <c r="W408" s="315">
        <v>0.7</v>
      </c>
      <c r="X408" s="313">
        <v>2000</v>
      </c>
      <c r="Y408" s="313" t="s">
        <v>540</v>
      </c>
      <c r="Z408" s="313">
        <v>0.2</v>
      </c>
      <c r="AA408" s="313" t="s">
        <v>541</v>
      </c>
      <c r="AB408" s="313" t="s">
        <v>542</v>
      </c>
      <c r="AC408" s="313">
        <v>220</v>
      </c>
      <c r="AD408" s="158"/>
      <c r="AE408" s="188"/>
    </row>
    <row r="409" spans="1:31" ht="15.75">
      <c r="A409" s="313" t="s">
        <v>809</v>
      </c>
      <c r="B409" s="313">
        <v>7</v>
      </c>
      <c r="C409" s="313">
        <v>431</v>
      </c>
      <c r="D409" s="313" t="s">
        <v>582</v>
      </c>
      <c r="E409" s="313">
        <v>1</v>
      </c>
      <c r="F409" s="322">
        <v>45495.649305555555</v>
      </c>
      <c r="G409" s="313">
        <v>2</v>
      </c>
      <c r="H409" s="313">
        <v>51.374099999999999</v>
      </c>
      <c r="I409" s="313">
        <v>7.6528600000000004</v>
      </c>
      <c r="J409" s="313">
        <v>-24.904955999999999</v>
      </c>
      <c r="K409" s="313">
        <v>-23.158799999999999</v>
      </c>
      <c r="L409" s="313">
        <v>1065.68</v>
      </c>
      <c r="M409" s="313">
        <v>65.500748999999999</v>
      </c>
      <c r="N409" s="313">
        <v>11618.775299999999</v>
      </c>
      <c r="O409" s="313">
        <v>11624.2516</v>
      </c>
      <c r="P409" s="315">
        <v>2068.82924</v>
      </c>
      <c r="Q409" s="302" t="s">
        <v>12</v>
      </c>
      <c r="R409" s="315" t="s">
        <v>539</v>
      </c>
      <c r="S409" s="315">
        <v>10</v>
      </c>
      <c r="T409" s="315">
        <v>5</v>
      </c>
      <c r="U409" s="315">
        <v>0.7</v>
      </c>
      <c r="V409" s="315">
        <v>0.7</v>
      </c>
      <c r="W409" s="315">
        <v>0.7</v>
      </c>
      <c r="X409" s="313">
        <v>2000</v>
      </c>
      <c r="Y409" s="313" t="s">
        <v>540</v>
      </c>
      <c r="Z409" s="313">
        <v>0.2</v>
      </c>
      <c r="AA409" s="313" t="s">
        <v>541</v>
      </c>
      <c r="AB409" s="313" t="s">
        <v>542</v>
      </c>
      <c r="AC409" s="313">
        <v>220</v>
      </c>
      <c r="AD409" s="158"/>
      <c r="AE409" s="188"/>
    </row>
    <row r="410" spans="1:31" ht="15.75">
      <c r="A410" s="313" t="s">
        <v>601</v>
      </c>
      <c r="B410" s="313">
        <v>8</v>
      </c>
      <c r="C410" s="313">
        <v>534</v>
      </c>
      <c r="D410" s="313" t="s">
        <v>585</v>
      </c>
      <c r="E410" s="313">
        <v>1</v>
      </c>
      <c r="F410" s="314">
        <v>45495.652777777781</v>
      </c>
      <c r="G410" s="313">
        <v>1</v>
      </c>
      <c r="H410" s="313">
        <v>51.374099999999999</v>
      </c>
      <c r="I410" s="313">
        <v>7.6386399999999997</v>
      </c>
      <c r="J410" s="313">
        <v>-24.789224999999998</v>
      </c>
      <c r="K410" s="313">
        <v>-23.456769000000001</v>
      </c>
      <c r="L410" s="313">
        <v>1076.03</v>
      </c>
      <c r="M410" s="313">
        <v>74.499629999999996</v>
      </c>
      <c r="N410" s="313">
        <v>11694.6913</v>
      </c>
      <c r="O410" s="313">
        <v>11694.810299999999</v>
      </c>
      <c r="P410" s="315">
        <v>2081.2871799999998</v>
      </c>
      <c r="Q410" s="302" t="s">
        <v>12</v>
      </c>
      <c r="R410" s="315" t="s">
        <v>539</v>
      </c>
      <c r="S410" s="315">
        <v>10</v>
      </c>
      <c r="T410" s="315">
        <v>5</v>
      </c>
      <c r="U410" s="315">
        <v>0.7</v>
      </c>
      <c r="V410" s="315">
        <v>0.7</v>
      </c>
      <c r="W410" s="315">
        <v>0.7</v>
      </c>
      <c r="X410" s="313">
        <v>2000</v>
      </c>
      <c r="Y410" s="313" t="s">
        <v>540</v>
      </c>
      <c r="Z410" s="313">
        <v>0.2</v>
      </c>
      <c r="AA410" s="313" t="s">
        <v>541</v>
      </c>
      <c r="AB410" s="313" t="s">
        <v>542</v>
      </c>
      <c r="AC410" s="313">
        <v>220</v>
      </c>
      <c r="AD410" s="158"/>
      <c r="AE410" s="188"/>
    </row>
    <row r="411" spans="1:31" ht="15.75">
      <c r="A411" s="313" t="s">
        <v>602</v>
      </c>
      <c r="B411" s="313">
        <v>8</v>
      </c>
      <c r="C411" s="313">
        <v>534</v>
      </c>
      <c r="D411" s="313" t="s">
        <v>585</v>
      </c>
      <c r="E411" s="313">
        <v>1</v>
      </c>
      <c r="F411" s="314">
        <v>45495.655555555553</v>
      </c>
      <c r="G411" s="313">
        <v>1</v>
      </c>
      <c r="H411" s="313">
        <v>51.377400000000002</v>
      </c>
      <c r="I411" s="313">
        <v>7.6149100000000001</v>
      </c>
      <c r="J411" s="313">
        <v>-24.874437</v>
      </c>
      <c r="K411" s="313">
        <v>-23.108888</v>
      </c>
      <c r="L411" s="313">
        <v>1119.95</v>
      </c>
      <c r="M411" s="313">
        <v>68.500810000000001</v>
      </c>
      <c r="N411" s="313">
        <v>11694.9293</v>
      </c>
      <c r="O411" s="313">
        <v>11694.810299999999</v>
      </c>
      <c r="P411" s="315">
        <v>2081.2871799999998</v>
      </c>
      <c r="Q411" s="302" t="s">
        <v>12</v>
      </c>
      <c r="R411" s="315" t="s">
        <v>539</v>
      </c>
      <c r="S411" s="315">
        <v>10</v>
      </c>
      <c r="T411" s="315">
        <v>5</v>
      </c>
      <c r="U411" s="315">
        <v>0.7</v>
      </c>
      <c r="V411" s="315">
        <v>0.7</v>
      </c>
      <c r="W411" s="315">
        <v>0.7</v>
      </c>
      <c r="X411" s="313">
        <v>2000</v>
      </c>
      <c r="Y411" s="313" t="s">
        <v>540</v>
      </c>
      <c r="Z411" s="313">
        <v>0.2</v>
      </c>
      <c r="AA411" s="313" t="s">
        <v>541</v>
      </c>
      <c r="AB411" s="313" t="s">
        <v>542</v>
      </c>
      <c r="AC411" s="313">
        <v>220</v>
      </c>
      <c r="AD411" s="158"/>
      <c r="AE411" s="188"/>
    </row>
    <row r="412" spans="1:31" ht="15.75">
      <c r="A412" s="313" t="s">
        <v>606</v>
      </c>
      <c r="B412" s="313">
        <v>9</v>
      </c>
      <c r="C412" s="313">
        <v>535</v>
      </c>
      <c r="D412" s="313" t="s">
        <v>589</v>
      </c>
      <c r="E412" s="313">
        <v>1</v>
      </c>
      <c r="F412" s="314">
        <v>45495.65902777778</v>
      </c>
      <c r="G412" s="313">
        <v>1</v>
      </c>
      <c r="H412" s="313">
        <v>51.374099999999999</v>
      </c>
      <c r="I412" s="313">
        <v>7.4660599999999997</v>
      </c>
      <c r="J412" s="313">
        <v>-24.810406</v>
      </c>
      <c r="K412" s="313">
        <v>-23.072862000000001</v>
      </c>
      <c r="L412" s="313">
        <v>1096.69</v>
      </c>
      <c r="M412" s="313">
        <v>66.499887000000001</v>
      </c>
      <c r="N412" s="313">
        <v>11687.028899999999</v>
      </c>
      <c r="O412" s="313">
        <v>11714.8073</v>
      </c>
      <c r="P412" s="315">
        <v>2084.8178699999999</v>
      </c>
      <c r="Q412" s="302" t="s">
        <v>12</v>
      </c>
      <c r="R412" s="315" t="s">
        <v>553</v>
      </c>
      <c r="S412" s="315">
        <v>10</v>
      </c>
      <c r="T412" s="315">
        <v>5</v>
      </c>
      <c r="U412" s="315">
        <v>0.7</v>
      </c>
      <c r="V412" s="315">
        <v>0.7</v>
      </c>
      <c r="W412" s="315">
        <v>0.7</v>
      </c>
      <c r="X412" s="313">
        <v>2000</v>
      </c>
      <c r="Y412" s="313" t="s">
        <v>540</v>
      </c>
      <c r="Z412" s="313">
        <v>0.2</v>
      </c>
      <c r="AA412" s="313" t="s">
        <v>541</v>
      </c>
      <c r="AB412" s="313" t="s">
        <v>542</v>
      </c>
      <c r="AC412" s="313">
        <v>220</v>
      </c>
      <c r="AD412" s="158"/>
      <c r="AE412" s="188"/>
    </row>
    <row r="413" spans="1:31" ht="15.75">
      <c r="A413" s="313" t="s">
        <v>608</v>
      </c>
      <c r="B413" s="313">
        <v>9</v>
      </c>
      <c r="C413" s="313">
        <v>535</v>
      </c>
      <c r="D413" s="313" t="s">
        <v>589</v>
      </c>
      <c r="E413" s="313">
        <v>1</v>
      </c>
      <c r="F413" s="314">
        <v>45495.661805555559</v>
      </c>
      <c r="G413" s="313">
        <v>1</v>
      </c>
      <c r="H413" s="313">
        <v>51.377400000000002</v>
      </c>
      <c r="I413" s="313">
        <v>7.4628800000000002</v>
      </c>
      <c r="J413" s="313">
        <v>-24.887131</v>
      </c>
      <c r="K413" s="313">
        <v>-23.323437999999999</v>
      </c>
      <c r="L413" s="313">
        <v>1091.75</v>
      </c>
      <c r="M413" s="313">
        <v>71.501164000000003</v>
      </c>
      <c r="N413" s="313">
        <v>11754.801299999999</v>
      </c>
      <c r="O413" s="313">
        <v>11714.8073</v>
      </c>
      <c r="P413" s="315">
        <v>2084.8178699999999</v>
      </c>
      <c r="Q413" s="302" t="s">
        <v>12</v>
      </c>
      <c r="R413" s="315" t="s">
        <v>553</v>
      </c>
      <c r="S413" s="315">
        <v>10</v>
      </c>
      <c r="T413" s="315">
        <v>5</v>
      </c>
      <c r="U413" s="315">
        <v>0.7</v>
      </c>
      <c r="V413" s="315">
        <v>0.7</v>
      </c>
      <c r="W413" s="315">
        <v>0.7</v>
      </c>
      <c r="X413" s="313">
        <v>2000</v>
      </c>
      <c r="Y413" s="313" t="s">
        <v>540</v>
      </c>
      <c r="Z413" s="313">
        <v>0.2</v>
      </c>
      <c r="AA413" s="313" t="s">
        <v>541</v>
      </c>
      <c r="AB413" s="313" t="s">
        <v>542</v>
      </c>
      <c r="AC413" s="313">
        <v>220</v>
      </c>
      <c r="AD413" s="158"/>
      <c r="AE413" s="188"/>
    </row>
    <row r="414" spans="1:31" ht="15.75">
      <c r="A414" s="313" t="s">
        <v>609</v>
      </c>
      <c r="B414" s="313">
        <v>9</v>
      </c>
      <c r="C414" s="313">
        <v>535</v>
      </c>
      <c r="D414" s="313" t="s">
        <v>589</v>
      </c>
      <c r="E414" s="313">
        <v>1</v>
      </c>
      <c r="F414" s="314">
        <v>45495.664583333331</v>
      </c>
      <c r="G414" s="313">
        <v>1</v>
      </c>
      <c r="H414" s="313">
        <v>51.3675</v>
      </c>
      <c r="I414" s="313">
        <v>7.3942199999999998</v>
      </c>
      <c r="J414" s="313">
        <v>-24.905799999999999</v>
      </c>
      <c r="K414" s="313">
        <v>-23.451644000000002</v>
      </c>
      <c r="L414" s="313">
        <v>1066.6600000000001</v>
      </c>
      <c r="M414" s="313">
        <v>73.001501000000005</v>
      </c>
      <c r="N414" s="313">
        <v>11710.7014</v>
      </c>
      <c r="O414" s="313">
        <v>11714.8073</v>
      </c>
      <c r="P414" s="315">
        <v>2084.8178699999999</v>
      </c>
      <c r="Q414" s="302" t="s">
        <v>12</v>
      </c>
      <c r="R414" s="315" t="s">
        <v>539</v>
      </c>
      <c r="S414" s="315">
        <v>10</v>
      </c>
      <c r="T414" s="315">
        <v>5</v>
      </c>
      <c r="U414" s="315">
        <v>0.7</v>
      </c>
      <c r="V414" s="315">
        <v>0.7</v>
      </c>
      <c r="W414" s="315">
        <v>0.7</v>
      </c>
      <c r="X414" s="313">
        <v>2000</v>
      </c>
      <c r="Y414" s="313" t="s">
        <v>540</v>
      </c>
      <c r="Z414" s="313">
        <v>0.2</v>
      </c>
      <c r="AA414" s="313" t="s">
        <v>541</v>
      </c>
      <c r="AB414" s="313" t="s">
        <v>542</v>
      </c>
      <c r="AC414" s="313">
        <v>220</v>
      </c>
      <c r="AD414" s="158"/>
      <c r="AE414" s="188"/>
    </row>
    <row r="415" spans="1:31" ht="15.75">
      <c r="A415" s="313" t="s">
        <v>610</v>
      </c>
      <c r="B415" s="313">
        <v>9</v>
      </c>
      <c r="C415" s="313">
        <v>535</v>
      </c>
      <c r="D415" s="313" t="s">
        <v>589</v>
      </c>
      <c r="E415" s="313">
        <v>1</v>
      </c>
      <c r="F415" s="314">
        <v>45495.667361111111</v>
      </c>
      <c r="G415" s="313">
        <v>1</v>
      </c>
      <c r="H415" s="313">
        <v>51.374099999999999</v>
      </c>
      <c r="I415" s="313">
        <v>7.2748499999999998</v>
      </c>
      <c r="J415" s="313">
        <v>-24.868293999999999</v>
      </c>
      <c r="K415" s="313">
        <v>-23.451143999999999</v>
      </c>
      <c r="L415" s="313">
        <v>1073.95</v>
      </c>
      <c r="M415" s="313">
        <v>72.500641999999999</v>
      </c>
      <c r="N415" s="313">
        <v>11718.913200000001</v>
      </c>
      <c r="O415" s="313">
        <v>11714.8073</v>
      </c>
      <c r="P415" s="315">
        <v>2084.8178699999999</v>
      </c>
      <c r="Q415" s="302" t="s">
        <v>12</v>
      </c>
      <c r="R415" s="315" t="s">
        <v>539</v>
      </c>
      <c r="S415" s="315">
        <v>10</v>
      </c>
      <c r="T415" s="315">
        <v>5</v>
      </c>
      <c r="U415" s="315">
        <v>0.7</v>
      </c>
      <c r="V415" s="315">
        <v>0.7</v>
      </c>
      <c r="W415" s="315">
        <v>0.7</v>
      </c>
      <c r="X415" s="313">
        <v>2000</v>
      </c>
      <c r="Y415" s="313" t="s">
        <v>540</v>
      </c>
      <c r="Z415" s="313">
        <v>0.2</v>
      </c>
      <c r="AA415" s="313" t="s">
        <v>541</v>
      </c>
      <c r="AB415" s="313" t="s">
        <v>542</v>
      </c>
      <c r="AC415" s="313">
        <v>220</v>
      </c>
      <c r="AD415" s="158"/>
      <c r="AE415" s="188"/>
    </row>
    <row r="416" spans="1:31" ht="15.75">
      <c r="A416" s="313" t="s">
        <v>810</v>
      </c>
      <c r="B416" s="313" t="s">
        <v>551</v>
      </c>
      <c r="C416" s="313" t="s">
        <v>776</v>
      </c>
      <c r="D416" s="313" t="s">
        <v>538</v>
      </c>
      <c r="E416" s="313">
        <v>0.8</v>
      </c>
      <c r="F416" s="314">
        <v>45495.67083333333</v>
      </c>
      <c r="G416" s="313">
        <v>1</v>
      </c>
      <c r="H416" s="313">
        <v>51.374099999999999</v>
      </c>
      <c r="I416" s="313">
        <v>7.0510599999999997</v>
      </c>
      <c r="J416" s="313">
        <v>-24.981175</v>
      </c>
      <c r="K416" s="313">
        <v>-23.896438</v>
      </c>
      <c r="L416" s="313">
        <v>980.81200000000001</v>
      </c>
      <c r="M416" s="313">
        <v>72.499816999999993</v>
      </c>
      <c r="N416" s="313">
        <v>9264.1901400000006</v>
      </c>
      <c r="O416" s="313">
        <v>9223.96155</v>
      </c>
      <c r="P416" s="315">
        <v>2070.3456999999999</v>
      </c>
      <c r="Q416" s="302" t="s">
        <v>12</v>
      </c>
      <c r="R416" s="315" t="s">
        <v>553</v>
      </c>
      <c r="S416" s="315">
        <v>10</v>
      </c>
      <c r="T416" s="315">
        <v>5</v>
      </c>
      <c r="U416" s="315">
        <v>0.7</v>
      </c>
      <c r="V416" s="315">
        <v>0.7</v>
      </c>
      <c r="W416" s="315">
        <v>0.7</v>
      </c>
      <c r="X416" s="313">
        <v>2000</v>
      </c>
      <c r="Y416" s="313" t="s">
        <v>540</v>
      </c>
      <c r="Z416" s="313">
        <v>0.2</v>
      </c>
      <c r="AA416" s="313" t="s">
        <v>541</v>
      </c>
      <c r="AB416" s="313" t="s">
        <v>542</v>
      </c>
      <c r="AC416" s="313">
        <v>220</v>
      </c>
      <c r="AD416" s="158"/>
      <c r="AE416" s="188"/>
    </row>
    <row r="417" spans="1:31" ht="15.75">
      <c r="A417" s="313" t="s">
        <v>811</v>
      </c>
      <c r="B417" s="313" t="s">
        <v>551</v>
      </c>
      <c r="C417" s="313" t="s">
        <v>776</v>
      </c>
      <c r="D417" s="313" t="s">
        <v>538</v>
      </c>
      <c r="E417" s="313">
        <v>0.8</v>
      </c>
      <c r="F417" s="314">
        <v>45495.673611111109</v>
      </c>
      <c r="G417" s="313">
        <v>1</v>
      </c>
      <c r="H417" s="313">
        <v>51.374099999999999</v>
      </c>
      <c r="I417" s="313">
        <v>7.0275800000000004</v>
      </c>
      <c r="J417" s="313">
        <v>-24.902200000000001</v>
      </c>
      <c r="K417" s="313">
        <v>-23.169125000000001</v>
      </c>
      <c r="L417" s="313">
        <v>974.85199999999998</v>
      </c>
      <c r="M417" s="313">
        <v>64.498969000000002</v>
      </c>
      <c r="N417" s="313">
        <v>9221.1272300000001</v>
      </c>
      <c r="O417" s="313">
        <v>9223.96155</v>
      </c>
      <c r="P417" s="315">
        <v>2070.3456999999999</v>
      </c>
      <c r="Q417" s="302" t="s">
        <v>12</v>
      </c>
      <c r="R417" s="315" t="s">
        <v>539</v>
      </c>
      <c r="S417" s="315">
        <v>10</v>
      </c>
      <c r="T417" s="315">
        <v>5</v>
      </c>
      <c r="U417" s="315">
        <v>0.7</v>
      </c>
      <c r="V417" s="315">
        <v>0.7</v>
      </c>
      <c r="W417" s="315">
        <v>0.7</v>
      </c>
      <c r="X417" s="313">
        <v>2000</v>
      </c>
      <c r="Y417" s="313" t="s">
        <v>540</v>
      </c>
      <c r="Z417" s="313">
        <v>0.2</v>
      </c>
      <c r="AA417" s="313" t="s">
        <v>541</v>
      </c>
      <c r="AB417" s="313" t="s">
        <v>542</v>
      </c>
      <c r="AC417" s="313">
        <v>220</v>
      </c>
      <c r="AD417" s="158"/>
      <c r="AE417" s="188"/>
    </row>
    <row r="418" spans="1:31" ht="15.75">
      <c r="A418" s="313" t="s">
        <v>812</v>
      </c>
      <c r="B418" s="313" t="s">
        <v>551</v>
      </c>
      <c r="C418" s="313" t="s">
        <v>776</v>
      </c>
      <c r="D418" s="313" t="s">
        <v>538</v>
      </c>
      <c r="E418" s="313">
        <v>0.8</v>
      </c>
      <c r="F418" s="314">
        <v>45495.676388888889</v>
      </c>
      <c r="G418" s="313">
        <v>1</v>
      </c>
      <c r="H418" s="313">
        <v>51.377400000000002</v>
      </c>
      <c r="I418" s="313">
        <v>6.90808</v>
      </c>
      <c r="J418" s="313">
        <v>-24.919824999999999</v>
      </c>
      <c r="K418" s="313">
        <v>-23.317712</v>
      </c>
      <c r="L418" s="313">
        <v>990.54399999999998</v>
      </c>
      <c r="M418" s="313">
        <v>65.499491000000006</v>
      </c>
      <c r="N418" s="313">
        <v>9226.7958600000002</v>
      </c>
      <c r="O418" s="313">
        <v>9223.96155</v>
      </c>
      <c r="P418" s="315">
        <v>2070.3456999999999</v>
      </c>
      <c r="Q418" s="302" t="s">
        <v>12</v>
      </c>
      <c r="R418" s="315" t="s">
        <v>539</v>
      </c>
      <c r="S418" s="315">
        <v>10</v>
      </c>
      <c r="T418" s="315">
        <v>5</v>
      </c>
      <c r="U418" s="315">
        <v>0.7</v>
      </c>
      <c r="V418" s="315">
        <v>0.7</v>
      </c>
      <c r="W418" s="315">
        <v>0.7</v>
      </c>
      <c r="X418" s="313">
        <v>2000</v>
      </c>
      <c r="Y418" s="313" t="s">
        <v>540</v>
      </c>
      <c r="Z418" s="313">
        <v>0.2</v>
      </c>
      <c r="AA418" s="313" t="s">
        <v>541</v>
      </c>
      <c r="AB418" s="313" t="s">
        <v>542</v>
      </c>
      <c r="AC418" s="313">
        <v>220</v>
      </c>
      <c r="AD418" s="158"/>
      <c r="AE418" s="188"/>
    </row>
    <row r="419" spans="1:31" ht="15.75">
      <c r="A419" s="313" t="s">
        <v>813</v>
      </c>
      <c r="B419" s="313" t="s">
        <v>558</v>
      </c>
      <c r="C419" s="313" t="s">
        <v>776</v>
      </c>
      <c r="D419" s="313" t="s">
        <v>538</v>
      </c>
      <c r="E419" s="313">
        <v>1</v>
      </c>
      <c r="F419" s="314">
        <v>45495.679166666669</v>
      </c>
      <c r="G419" s="313">
        <v>1</v>
      </c>
      <c r="H419" s="313">
        <v>51.377400000000002</v>
      </c>
      <c r="I419" s="313">
        <v>6.9519200000000003</v>
      </c>
      <c r="J419" s="313">
        <v>-24.990962</v>
      </c>
      <c r="K419" s="313">
        <v>-23.502124999999999</v>
      </c>
      <c r="L419" s="313">
        <v>1054.03</v>
      </c>
      <c r="M419" s="313">
        <v>75.499657999999997</v>
      </c>
      <c r="N419" s="313">
        <v>11592.389499999999</v>
      </c>
      <c r="O419" s="313">
        <v>11558.0322</v>
      </c>
      <c r="P419" s="315">
        <v>2070.3456999999999</v>
      </c>
      <c r="Q419" s="302" t="s">
        <v>12</v>
      </c>
      <c r="R419" s="315" t="s">
        <v>553</v>
      </c>
      <c r="S419" s="315">
        <v>10</v>
      </c>
      <c r="T419" s="315">
        <v>5</v>
      </c>
      <c r="U419" s="315">
        <v>0.7</v>
      </c>
      <c r="V419" s="315">
        <v>0.7</v>
      </c>
      <c r="W419" s="315">
        <v>0.7</v>
      </c>
      <c r="X419" s="313">
        <v>2000</v>
      </c>
      <c r="Y419" s="313" t="s">
        <v>540</v>
      </c>
      <c r="Z419" s="313">
        <v>0.2</v>
      </c>
      <c r="AA419" s="313" t="s">
        <v>541</v>
      </c>
      <c r="AB419" s="313" t="s">
        <v>542</v>
      </c>
      <c r="AC419" s="313">
        <v>220</v>
      </c>
      <c r="AD419" s="158"/>
      <c r="AE419" s="188"/>
    </row>
    <row r="420" spans="1:31" ht="15.75">
      <c r="A420" s="313" t="s">
        <v>814</v>
      </c>
      <c r="B420" s="313" t="s">
        <v>558</v>
      </c>
      <c r="C420" s="313" t="s">
        <v>776</v>
      </c>
      <c r="D420" s="313" t="s">
        <v>538</v>
      </c>
      <c r="E420" s="313">
        <v>1</v>
      </c>
      <c r="F420" s="314">
        <v>45495.681944444441</v>
      </c>
      <c r="G420" s="313">
        <v>1</v>
      </c>
      <c r="H420" s="313">
        <v>51.374099999999999</v>
      </c>
      <c r="I420" s="313">
        <v>6.9390999999999998</v>
      </c>
      <c r="J420" s="313">
        <v>-24.974350000000001</v>
      </c>
      <c r="K420" s="313">
        <v>-23.284831000000001</v>
      </c>
      <c r="L420" s="313">
        <v>1058</v>
      </c>
      <c r="M420" s="313">
        <v>68.999827999999994</v>
      </c>
      <c r="N420" s="313">
        <v>11555.392</v>
      </c>
      <c r="O420" s="313">
        <v>11558.0322</v>
      </c>
      <c r="P420" s="315">
        <v>2070.3456999999999</v>
      </c>
      <c r="Q420" s="302" t="s">
        <v>12</v>
      </c>
      <c r="R420" s="315" t="s">
        <v>539</v>
      </c>
      <c r="S420" s="315">
        <v>10</v>
      </c>
      <c r="T420" s="315">
        <v>5</v>
      </c>
      <c r="U420" s="315">
        <v>0.7</v>
      </c>
      <c r="V420" s="315">
        <v>0.7</v>
      </c>
      <c r="W420" s="315">
        <v>0.7</v>
      </c>
      <c r="X420" s="313">
        <v>2000</v>
      </c>
      <c r="Y420" s="313" t="s">
        <v>540</v>
      </c>
      <c r="Z420" s="313">
        <v>0.2</v>
      </c>
      <c r="AA420" s="313" t="s">
        <v>541</v>
      </c>
      <c r="AB420" s="313" t="s">
        <v>542</v>
      </c>
      <c r="AC420" s="313">
        <v>220</v>
      </c>
      <c r="AD420" s="158"/>
      <c r="AE420" s="188"/>
    </row>
    <row r="421" spans="1:31" ht="15.75">
      <c r="A421" s="316" t="s">
        <v>815</v>
      </c>
      <c r="B421" s="316" t="s">
        <v>558</v>
      </c>
      <c r="C421" s="316" t="s">
        <v>776</v>
      </c>
      <c r="D421" s="316" t="s">
        <v>538</v>
      </c>
      <c r="E421" s="316">
        <v>1</v>
      </c>
      <c r="F421" s="317">
        <v>45495.68472222222</v>
      </c>
      <c r="G421" s="316">
        <v>1</v>
      </c>
      <c r="H421" s="316">
        <v>51.374099999999999</v>
      </c>
      <c r="I421" s="316">
        <v>7.4568099999999999</v>
      </c>
      <c r="J421" s="316">
        <v>-24.943349999999999</v>
      </c>
      <c r="K421" s="316">
        <v>-23.086994000000001</v>
      </c>
      <c r="L421" s="316">
        <v>1073.73</v>
      </c>
      <c r="M421" s="316">
        <v>65.501321000000004</v>
      </c>
      <c r="N421" s="316">
        <v>11560.672399999999</v>
      </c>
      <c r="O421" s="316">
        <v>11558.0322</v>
      </c>
      <c r="P421" s="318">
        <v>2070.3456999999999</v>
      </c>
      <c r="Q421" s="302" t="s">
        <v>12</v>
      </c>
      <c r="R421" s="315" t="s">
        <v>539</v>
      </c>
      <c r="S421" s="315">
        <v>10</v>
      </c>
      <c r="T421" s="315">
        <v>5</v>
      </c>
      <c r="U421" s="315">
        <v>0.7</v>
      </c>
      <c r="V421" s="315">
        <v>0.7</v>
      </c>
      <c r="W421" s="315">
        <v>0.7</v>
      </c>
      <c r="X421" s="313">
        <v>2000</v>
      </c>
      <c r="Y421" s="313" t="s">
        <v>540</v>
      </c>
      <c r="Z421" s="313">
        <v>0.2</v>
      </c>
      <c r="AA421" s="313" t="s">
        <v>541</v>
      </c>
      <c r="AB421" s="313" t="s">
        <v>542</v>
      </c>
      <c r="AC421" s="313">
        <v>220</v>
      </c>
      <c r="AD421" s="158"/>
      <c r="AE421" s="188"/>
    </row>
    <row r="422" spans="1:31" ht="15.75">
      <c r="A422" s="313" t="s">
        <v>816</v>
      </c>
      <c r="B422" s="313" t="s">
        <v>561</v>
      </c>
      <c r="C422" s="313" t="s">
        <v>776</v>
      </c>
      <c r="D422" s="313" t="s">
        <v>538</v>
      </c>
      <c r="E422" s="313">
        <v>1.2</v>
      </c>
      <c r="F422" s="314">
        <v>45495.6875</v>
      </c>
      <c r="G422" s="313">
        <v>1</v>
      </c>
      <c r="H422" s="313">
        <v>51.377400000000002</v>
      </c>
      <c r="I422" s="313">
        <v>7.5215899999999998</v>
      </c>
      <c r="J422" s="313">
        <v>-24.918112000000001</v>
      </c>
      <c r="K422" s="313">
        <v>-22.462700000000002</v>
      </c>
      <c r="L422" s="313">
        <v>1117.1199999999999</v>
      </c>
      <c r="M422" s="313">
        <v>69.501902999999999</v>
      </c>
      <c r="N422" s="313">
        <v>13904.856299999999</v>
      </c>
      <c r="O422" s="313">
        <v>13944.372100000001</v>
      </c>
      <c r="P422" s="315">
        <v>2070.3456999999999</v>
      </c>
      <c r="Q422" s="302" t="s">
        <v>12</v>
      </c>
      <c r="R422" s="315" t="s">
        <v>553</v>
      </c>
      <c r="S422" s="315">
        <v>10</v>
      </c>
      <c r="T422" s="315">
        <v>5</v>
      </c>
      <c r="U422" s="315">
        <v>0.7</v>
      </c>
      <c r="V422" s="315">
        <v>0.7</v>
      </c>
      <c r="W422" s="315">
        <v>0.7</v>
      </c>
      <c r="X422" s="313">
        <v>2000</v>
      </c>
      <c r="Y422" s="313" t="s">
        <v>540</v>
      </c>
      <c r="Z422" s="313">
        <v>0.2</v>
      </c>
      <c r="AA422" s="313" t="s">
        <v>541</v>
      </c>
      <c r="AB422" s="313" t="s">
        <v>542</v>
      </c>
      <c r="AC422" s="313">
        <v>220</v>
      </c>
      <c r="AD422" s="158"/>
      <c r="AE422" s="188"/>
    </row>
    <row r="423" spans="1:31" ht="15.75">
      <c r="A423" s="313" t="s">
        <v>817</v>
      </c>
      <c r="B423" s="313" t="s">
        <v>561</v>
      </c>
      <c r="C423" s="313" t="s">
        <v>776</v>
      </c>
      <c r="D423" s="313" t="s">
        <v>538</v>
      </c>
      <c r="E423" s="313">
        <v>1.2</v>
      </c>
      <c r="F423" s="314">
        <v>45495.69027777778</v>
      </c>
      <c r="G423" s="313">
        <v>1</v>
      </c>
      <c r="H423" s="313">
        <v>51.374099999999999</v>
      </c>
      <c r="I423" s="313">
        <v>7.5457999999999998</v>
      </c>
      <c r="J423" s="313">
        <v>-24.934256000000001</v>
      </c>
      <c r="K423" s="313">
        <v>-22.988512</v>
      </c>
      <c r="L423" s="313">
        <v>1098.1500000000001</v>
      </c>
      <c r="M423" s="313">
        <v>71.498632000000001</v>
      </c>
      <c r="N423" s="313">
        <v>13869.336799999999</v>
      </c>
      <c r="O423" s="313">
        <v>13944.372100000001</v>
      </c>
      <c r="P423" s="315">
        <v>2070.3456999999999</v>
      </c>
      <c r="Q423" s="302" t="s">
        <v>12</v>
      </c>
      <c r="R423" s="315" t="s">
        <v>553</v>
      </c>
      <c r="S423" s="315">
        <v>10</v>
      </c>
      <c r="T423" s="315">
        <v>5</v>
      </c>
      <c r="U423" s="315">
        <v>0.7</v>
      </c>
      <c r="V423" s="315">
        <v>0.7</v>
      </c>
      <c r="W423" s="315">
        <v>0.7</v>
      </c>
      <c r="X423" s="313">
        <v>2000</v>
      </c>
      <c r="Y423" s="313" t="s">
        <v>540</v>
      </c>
      <c r="Z423" s="313">
        <v>0.2</v>
      </c>
      <c r="AA423" s="313" t="s">
        <v>541</v>
      </c>
      <c r="AB423" s="313" t="s">
        <v>542</v>
      </c>
      <c r="AC423" s="313">
        <v>220</v>
      </c>
      <c r="AD423" s="158"/>
      <c r="AE423" s="188"/>
    </row>
    <row r="424" spans="1:31" ht="15.75">
      <c r="A424" s="313" t="s">
        <v>818</v>
      </c>
      <c r="B424" s="313" t="s">
        <v>561</v>
      </c>
      <c r="C424" s="313" t="s">
        <v>776</v>
      </c>
      <c r="D424" s="313" t="s">
        <v>538</v>
      </c>
      <c r="E424" s="313">
        <v>1.2</v>
      </c>
      <c r="F424" s="314">
        <v>45495.693055555559</v>
      </c>
      <c r="G424" s="313">
        <v>1</v>
      </c>
      <c r="H424" s="313">
        <v>51.370800000000003</v>
      </c>
      <c r="I424" s="313">
        <v>7.4011899999999997</v>
      </c>
      <c r="J424" s="313">
        <v>-24.980919</v>
      </c>
      <c r="K424" s="313">
        <v>-23.514938000000001</v>
      </c>
      <c r="L424" s="313">
        <v>1088.19</v>
      </c>
      <c r="M424" s="313">
        <v>75.500960000000006</v>
      </c>
      <c r="N424" s="313">
        <v>13946.559300000001</v>
      </c>
      <c r="O424" s="313">
        <v>13944.372100000001</v>
      </c>
      <c r="P424" s="315">
        <v>2070.3456999999999</v>
      </c>
      <c r="Q424" s="302" t="s">
        <v>12</v>
      </c>
      <c r="R424" s="315" t="s">
        <v>539</v>
      </c>
      <c r="S424" s="315">
        <v>10</v>
      </c>
      <c r="T424" s="315">
        <v>5</v>
      </c>
      <c r="U424" s="315">
        <v>0.7</v>
      </c>
      <c r="V424" s="315">
        <v>0.7</v>
      </c>
      <c r="W424" s="315">
        <v>0.7</v>
      </c>
      <c r="X424" s="313">
        <v>2000</v>
      </c>
      <c r="Y424" s="313" t="s">
        <v>540</v>
      </c>
      <c r="Z424" s="313">
        <v>0.2</v>
      </c>
      <c r="AA424" s="313" t="s">
        <v>541</v>
      </c>
      <c r="AB424" s="313" t="s">
        <v>542</v>
      </c>
      <c r="AC424" s="313">
        <v>220</v>
      </c>
      <c r="AD424" s="158"/>
      <c r="AE424" s="188"/>
    </row>
    <row r="425" spans="1:31" ht="15.75">
      <c r="A425" s="313" t="s">
        <v>819</v>
      </c>
      <c r="B425" s="313" t="s">
        <v>561</v>
      </c>
      <c r="C425" s="313" t="s">
        <v>776</v>
      </c>
      <c r="D425" s="313" t="s">
        <v>538</v>
      </c>
      <c r="E425" s="313">
        <v>1.2</v>
      </c>
      <c r="F425" s="314">
        <v>45495.695833333331</v>
      </c>
      <c r="G425" s="313">
        <v>1</v>
      </c>
      <c r="H425" s="313">
        <v>51.374099999999999</v>
      </c>
      <c r="I425" s="313">
        <v>7.1852600000000004</v>
      </c>
      <c r="J425" s="313">
        <v>-24.977136999999999</v>
      </c>
      <c r="K425" s="313">
        <v>-23.216369</v>
      </c>
      <c r="L425" s="313">
        <v>1100.79</v>
      </c>
      <c r="M425" s="313">
        <v>71.999348999999995</v>
      </c>
      <c r="N425" s="313">
        <v>13942.184999999999</v>
      </c>
      <c r="O425" s="313">
        <v>13944.372100000001</v>
      </c>
      <c r="P425" s="315">
        <v>2070.3456999999999</v>
      </c>
      <c r="Q425" s="302" t="s">
        <v>12</v>
      </c>
      <c r="R425" s="315" t="s">
        <v>539</v>
      </c>
      <c r="S425" s="315">
        <v>10</v>
      </c>
      <c r="T425" s="315">
        <v>5</v>
      </c>
      <c r="U425" s="315">
        <v>0.7</v>
      </c>
      <c r="V425" s="315">
        <v>0.7</v>
      </c>
      <c r="W425" s="315">
        <v>0.7</v>
      </c>
      <c r="X425" s="313">
        <v>2000</v>
      </c>
      <c r="Y425" s="313" t="s">
        <v>540</v>
      </c>
      <c r="Z425" s="313">
        <v>0.2</v>
      </c>
      <c r="AA425" s="313" t="s">
        <v>541</v>
      </c>
      <c r="AB425" s="313" t="s">
        <v>542</v>
      </c>
      <c r="AC425" s="313">
        <v>220</v>
      </c>
      <c r="AD425" s="158"/>
      <c r="AE425" s="188"/>
    </row>
    <row r="426" spans="1:31" ht="15.75">
      <c r="A426" s="313" t="s">
        <v>627</v>
      </c>
      <c r="B426" s="313">
        <v>2</v>
      </c>
      <c r="C426" s="313">
        <v>508</v>
      </c>
      <c r="D426" s="313" t="s">
        <v>564</v>
      </c>
      <c r="E426" s="313">
        <v>1</v>
      </c>
      <c r="F426" s="314">
        <v>45495.699305555558</v>
      </c>
      <c r="G426" s="313">
        <v>1</v>
      </c>
      <c r="H426" s="313">
        <v>51.374099999999999</v>
      </c>
      <c r="I426" s="313">
        <v>7.0546199999999999</v>
      </c>
      <c r="J426" s="313">
        <v>-25.025700000000001</v>
      </c>
      <c r="K426" s="313">
        <v>-23.3748</v>
      </c>
      <c r="L426" s="313">
        <v>1078.97</v>
      </c>
      <c r="M426" s="313">
        <v>70.001042999999996</v>
      </c>
      <c r="N426" s="313">
        <v>11662.2269</v>
      </c>
      <c r="O426" s="313">
        <v>11658.7472</v>
      </c>
      <c r="P426" s="315">
        <v>2084.9582399999999</v>
      </c>
      <c r="Q426" s="302" t="s">
        <v>12</v>
      </c>
      <c r="R426" s="315" t="s">
        <v>539</v>
      </c>
      <c r="S426" s="315">
        <v>10</v>
      </c>
      <c r="T426" s="315">
        <v>5</v>
      </c>
      <c r="U426" s="315">
        <v>0.7</v>
      </c>
      <c r="V426" s="315">
        <v>0.7</v>
      </c>
      <c r="W426" s="315">
        <v>0.7</v>
      </c>
      <c r="X426" s="313">
        <v>2000</v>
      </c>
      <c r="Y426" s="313" t="s">
        <v>540</v>
      </c>
      <c r="Z426" s="313">
        <v>0.2</v>
      </c>
      <c r="AA426" s="313" t="s">
        <v>541</v>
      </c>
      <c r="AB426" s="313" t="s">
        <v>542</v>
      </c>
      <c r="AC426" s="313">
        <v>220</v>
      </c>
      <c r="AD426" s="158"/>
      <c r="AE426" s="188"/>
    </row>
    <row r="427" spans="1:31" ht="15.75">
      <c r="A427" s="313" t="s">
        <v>628</v>
      </c>
      <c r="B427" s="313">
        <v>2</v>
      </c>
      <c r="C427" s="313">
        <v>508</v>
      </c>
      <c r="D427" s="313" t="s">
        <v>564</v>
      </c>
      <c r="E427" s="313">
        <v>1</v>
      </c>
      <c r="F427" s="314">
        <v>45495.70208333333</v>
      </c>
      <c r="G427" s="313">
        <v>1</v>
      </c>
      <c r="H427" s="313">
        <v>51.374099999999999</v>
      </c>
      <c r="I427" s="313">
        <v>7.0536799999999999</v>
      </c>
      <c r="J427" s="313">
        <v>-24.957799999999999</v>
      </c>
      <c r="K427" s="313">
        <v>-23.442619000000001</v>
      </c>
      <c r="L427" s="313">
        <v>1044.99</v>
      </c>
      <c r="M427" s="313">
        <v>70.999694000000005</v>
      </c>
      <c r="N427" s="313">
        <v>11655.267400000001</v>
      </c>
      <c r="O427" s="313">
        <v>11658.7472</v>
      </c>
      <c r="P427" s="315">
        <v>2084.9582399999999</v>
      </c>
      <c r="Q427" s="302" t="s">
        <v>12</v>
      </c>
      <c r="R427" s="315" t="s">
        <v>539</v>
      </c>
      <c r="S427" s="315">
        <v>10</v>
      </c>
      <c r="T427" s="315">
        <v>5</v>
      </c>
      <c r="U427" s="315">
        <v>0.7</v>
      </c>
      <c r="V427" s="315">
        <v>0.7</v>
      </c>
      <c r="W427" s="315">
        <v>0.7</v>
      </c>
      <c r="X427" s="313">
        <v>2000</v>
      </c>
      <c r="Y427" s="313" t="s">
        <v>540</v>
      </c>
      <c r="Z427" s="313">
        <v>0.2</v>
      </c>
      <c r="AA427" s="313" t="s">
        <v>541</v>
      </c>
      <c r="AB427" s="313" t="s">
        <v>542</v>
      </c>
      <c r="AC427" s="313">
        <v>220</v>
      </c>
      <c r="AD427" s="158"/>
      <c r="AE427" s="188"/>
    </row>
    <row r="428" spans="1:31" ht="15.75">
      <c r="A428" s="313" t="s">
        <v>629</v>
      </c>
      <c r="B428" s="313">
        <v>3</v>
      </c>
      <c r="C428" s="313">
        <v>509</v>
      </c>
      <c r="D428" s="313" t="s">
        <v>568</v>
      </c>
      <c r="E428" s="313">
        <v>1</v>
      </c>
      <c r="F428" s="314">
        <v>45495.705555555556</v>
      </c>
      <c r="G428" s="313">
        <v>1</v>
      </c>
      <c r="H428" s="313">
        <v>51.374099999999999</v>
      </c>
      <c r="I428" s="313">
        <v>7.0213900000000002</v>
      </c>
      <c r="J428" s="313">
        <v>-24.938130999999998</v>
      </c>
      <c r="K428" s="313">
        <v>-23.135356000000002</v>
      </c>
      <c r="L428" s="313">
        <v>1073.96</v>
      </c>
      <c r="M428" s="313">
        <v>67.500242999999998</v>
      </c>
      <c r="N428" s="313">
        <v>11727.392099999999</v>
      </c>
      <c r="O428" s="313">
        <v>11639.7664</v>
      </c>
      <c r="P428" s="315">
        <v>2081.6282999999999</v>
      </c>
      <c r="Q428" s="302" t="s">
        <v>12</v>
      </c>
      <c r="R428" s="315" t="s">
        <v>553</v>
      </c>
      <c r="S428" s="315">
        <v>10</v>
      </c>
      <c r="T428" s="315">
        <v>5</v>
      </c>
      <c r="U428" s="315">
        <v>0.7</v>
      </c>
      <c r="V428" s="315">
        <v>0.7</v>
      </c>
      <c r="W428" s="315">
        <v>0.7</v>
      </c>
      <c r="X428" s="313">
        <v>2000</v>
      </c>
      <c r="Y428" s="313" t="s">
        <v>540</v>
      </c>
      <c r="Z428" s="313">
        <v>0.2</v>
      </c>
      <c r="AA428" s="313" t="s">
        <v>541</v>
      </c>
      <c r="AB428" s="313" t="s">
        <v>542</v>
      </c>
      <c r="AC428" s="313">
        <v>220</v>
      </c>
      <c r="AD428" s="158"/>
      <c r="AE428" s="188"/>
    </row>
    <row r="429" spans="1:31" ht="15.75">
      <c r="A429" s="313" t="s">
        <v>630</v>
      </c>
      <c r="B429" s="313">
        <v>3</v>
      </c>
      <c r="C429" s="313">
        <v>509</v>
      </c>
      <c r="D429" s="313" t="s">
        <v>568</v>
      </c>
      <c r="E429" s="313">
        <v>1</v>
      </c>
      <c r="F429" s="314">
        <v>45495.708333333336</v>
      </c>
      <c r="G429" s="313">
        <v>1</v>
      </c>
      <c r="H429" s="313">
        <v>51.374099999999999</v>
      </c>
      <c r="I429" s="313">
        <v>7.1133499999999996</v>
      </c>
      <c r="J429" s="313">
        <v>-25.034962</v>
      </c>
      <c r="K429" s="313">
        <v>-23.599544000000002</v>
      </c>
      <c r="L429" s="313">
        <v>1054.97</v>
      </c>
      <c r="M429" s="313">
        <v>73.000148999999993</v>
      </c>
      <c r="N429" s="313">
        <v>11640.0131</v>
      </c>
      <c r="O429" s="313">
        <v>11639.7664</v>
      </c>
      <c r="P429" s="315">
        <v>2081.6282999999999</v>
      </c>
      <c r="Q429" s="302" t="s">
        <v>12</v>
      </c>
      <c r="R429" s="315" t="s">
        <v>539</v>
      </c>
      <c r="S429" s="315">
        <v>10</v>
      </c>
      <c r="T429" s="315">
        <v>5</v>
      </c>
      <c r="U429" s="315">
        <v>0.7</v>
      </c>
      <c r="V429" s="315">
        <v>0.7</v>
      </c>
      <c r="W429" s="315">
        <v>0.7</v>
      </c>
      <c r="X429" s="313">
        <v>2000</v>
      </c>
      <c r="Y429" s="313" t="s">
        <v>540</v>
      </c>
      <c r="Z429" s="313">
        <v>0.2</v>
      </c>
      <c r="AA429" s="313" t="s">
        <v>541</v>
      </c>
      <c r="AB429" s="313" t="s">
        <v>542</v>
      </c>
      <c r="AC429" s="313">
        <v>220</v>
      </c>
      <c r="AD429" s="158"/>
      <c r="AE429" s="188"/>
    </row>
    <row r="430" spans="1:31" ht="15.75">
      <c r="A430" s="313" t="s">
        <v>631</v>
      </c>
      <c r="B430" s="313">
        <v>3</v>
      </c>
      <c r="C430" s="313">
        <v>509</v>
      </c>
      <c r="D430" s="313" t="s">
        <v>568</v>
      </c>
      <c r="E430" s="313">
        <v>1</v>
      </c>
      <c r="F430" s="314">
        <v>45495.711111111108</v>
      </c>
      <c r="G430" s="313">
        <v>1</v>
      </c>
      <c r="H430" s="313">
        <v>51.380699999999997</v>
      </c>
      <c r="I430" s="313">
        <v>7.0140099999999999</v>
      </c>
      <c r="J430" s="313">
        <v>-24.952743999999999</v>
      </c>
      <c r="K430" s="313">
        <v>-23.322649999999999</v>
      </c>
      <c r="L430" s="313">
        <v>1050.74</v>
      </c>
      <c r="M430" s="313">
        <v>71.501904999999994</v>
      </c>
      <c r="N430" s="313">
        <v>11639.5198</v>
      </c>
      <c r="O430" s="313">
        <v>11639.7664</v>
      </c>
      <c r="P430" s="315">
        <v>2081.6282999999999</v>
      </c>
      <c r="Q430" s="302" t="s">
        <v>12</v>
      </c>
      <c r="R430" s="315" t="s">
        <v>539</v>
      </c>
      <c r="S430" s="315">
        <v>10</v>
      </c>
      <c r="T430" s="315">
        <v>5</v>
      </c>
      <c r="U430" s="315">
        <v>0.7</v>
      </c>
      <c r="V430" s="315">
        <v>0.7</v>
      </c>
      <c r="W430" s="315">
        <v>0.7</v>
      </c>
      <c r="X430" s="313">
        <v>2000</v>
      </c>
      <c r="Y430" s="313" t="s">
        <v>540</v>
      </c>
      <c r="Z430" s="313">
        <v>0.2</v>
      </c>
      <c r="AA430" s="313" t="s">
        <v>541</v>
      </c>
      <c r="AB430" s="313" t="s">
        <v>542</v>
      </c>
      <c r="AC430" s="313">
        <v>220</v>
      </c>
      <c r="AD430" s="158"/>
      <c r="AE430" s="188"/>
    </row>
    <row r="431" spans="1:31" ht="15.75">
      <c r="A431" s="313" t="s">
        <v>632</v>
      </c>
      <c r="B431" s="313">
        <v>4</v>
      </c>
      <c r="C431" s="313">
        <v>469</v>
      </c>
      <c r="D431" s="313" t="s">
        <v>571</v>
      </c>
      <c r="E431" s="313">
        <v>1</v>
      </c>
      <c r="F431" s="314">
        <v>45495.714583333334</v>
      </c>
      <c r="G431" s="313">
        <v>1</v>
      </c>
      <c r="H431" s="313">
        <v>51.370800000000003</v>
      </c>
      <c r="I431" s="313">
        <v>6.93872</v>
      </c>
      <c r="J431" s="313">
        <v>-24.9756</v>
      </c>
      <c r="K431" s="313">
        <v>-23.591462</v>
      </c>
      <c r="L431" s="313">
        <v>1067.28</v>
      </c>
      <c r="M431" s="313">
        <v>74.000146999999998</v>
      </c>
      <c r="N431" s="313">
        <v>11600.3215</v>
      </c>
      <c r="O431" s="313">
        <v>11598.0306</v>
      </c>
      <c r="P431" s="315">
        <v>2074.30627</v>
      </c>
      <c r="Q431" s="302" t="s">
        <v>12</v>
      </c>
      <c r="R431" s="315" t="s">
        <v>539</v>
      </c>
      <c r="S431" s="315">
        <v>10</v>
      </c>
      <c r="T431" s="315">
        <v>5</v>
      </c>
      <c r="U431" s="315">
        <v>0.7</v>
      </c>
      <c r="V431" s="315">
        <v>0.7</v>
      </c>
      <c r="W431" s="315">
        <v>0.7</v>
      </c>
      <c r="X431" s="313">
        <v>2000</v>
      </c>
      <c r="Y431" s="313" t="s">
        <v>540</v>
      </c>
      <c r="Z431" s="313">
        <v>0.2</v>
      </c>
      <c r="AA431" s="313" t="s">
        <v>541</v>
      </c>
      <c r="AB431" s="313" t="s">
        <v>542</v>
      </c>
      <c r="AC431" s="313">
        <v>220</v>
      </c>
      <c r="AD431" s="158"/>
      <c r="AE431" s="188"/>
    </row>
    <row r="432" spans="1:31" ht="15.75">
      <c r="A432" s="313" t="s">
        <v>633</v>
      </c>
      <c r="B432" s="313">
        <v>4</v>
      </c>
      <c r="C432" s="313">
        <v>469</v>
      </c>
      <c r="D432" s="313" t="s">
        <v>571</v>
      </c>
      <c r="E432" s="313">
        <v>1</v>
      </c>
      <c r="F432" s="314">
        <v>45495.717361111114</v>
      </c>
      <c r="G432" s="313">
        <v>1</v>
      </c>
      <c r="H432" s="313">
        <v>51.377400000000002</v>
      </c>
      <c r="I432" s="313">
        <v>6.9264000000000001</v>
      </c>
      <c r="J432" s="313">
        <v>-24.936187</v>
      </c>
      <c r="K432" s="313">
        <v>-23.568294000000002</v>
      </c>
      <c r="L432" s="313">
        <v>1044.04</v>
      </c>
      <c r="M432" s="313">
        <v>74.999356000000006</v>
      </c>
      <c r="N432" s="313">
        <v>11595.739799999999</v>
      </c>
      <c r="O432" s="313">
        <v>11598.0306</v>
      </c>
      <c r="P432" s="315">
        <v>2074.30627</v>
      </c>
      <c r="Q432" s="302" t="s">
        <v>12</v>
      </c>
      <c r="R432" s="315" t="s">
        <v>539</v>
      </c>
      <c r="S432" s="315">
        <v>10</v>
      </c>
      <c r="T432" s="315">
        <v>5</v>
      </c>
      <c r="U432" s="315">
        <v>0.7</v>
      </c>
      <c r="V432" s="315">
        <v>0.7</v>
      </c>
      <c r="W432" s="315">
        <v>0.7</v>
      </c>
      <c r="X432" s="313">
        <v>2000</v>
      </c>
      <c r="Y432" s="313" t="s">
        <v>540</v>
      </c>
      <c r="Z432" s="313">
        <v>0.2</v>
      </c>
      <c r="AA432" s="313" t="s">
        <v>541</v>
      </c>
      <c r="AB432" s="313" t="s">
        <v>542</v>
      </c>
      <c r="AC432" s="313">
        <v>220</v>
      </c>
      <c r="AD432" s="158"/>
      <c r="AE432" s="188"/>
    </row>
    <row r="433" spans="1:31" ht="15.75">
      <c r="A433" s="313" t="s">
        <v>704</v>
      </c>
      <c r="B433" s="313">
        <v>5</v>
      </c>
      <c r="C433" s="313">
        <v>470</v>
      </c>
      <c r="D433" s="313" t="s">
        <v>575</v>
      </c>
      <c r="E433" s="313">
        <v>1</v>
      </c>
      <c r="F433" s="314">
        <v>45495.720833333333</v>
      </c>
      <c r="G433" s="313">
        <v>1</v>
      </c>
      <c r="H433" s="313">
        <v>51.370800000000003</v>
      </c>
      <c r="I433" s="313">
        <v>6.8979999999999997</v>
      </c>
      <c r="J433" s="313">
        <v>-24.867263000000001</v>
      </c>
      <c r="K433" s="313">
        <v>-23.017837</v>
      </c>
      <c r="L433" s="313">
        <v>1062.07</v>
      </c>
      <c r="M433" s="313">
        <v>66.499807000000004</v>
      </c>
      <c r="N433" s="313">
        <v>11591.5237</v>
      </c>
      <c r="O433" s="313">
        <v>11591.203299999999</v>
      </c>
      <c r="P433" s="315">
        <v>2073.1084900000001</v>
      </c>
      <c r="Q433" s="302" t="s">
        <v>12</v>
      </c>
      <c r="R433" s="315" t="s">
        <v>539</v>
      </c>
      <c r="S433" s="315">
        <v>10</v>
      </c>
      <c r="T433" s="315">
        <v>5</v>
      </c>
      <c r="U433" s="315">
        <v>0.7</v>
      </c>
      <c r="V433" s="315">
        <v>0.7</v>
      </c>
      <c r="W433" s="315">
        <v>0.7</v>
      </c>
      <c r="X433" s="313">
        <v>2000</v>
      </c>
      <c r="Y433" s="313" t="s">
        <v>540</v>
      </c>
      <c r="Z433" s="313">
        <v>0.2</v>
      </c>
      <c r="AA433" s="313" t="s">
        <v>541</v>
      </c>
      <c r="AB433" s="313" t="s">
        <v>542</v>
      </c>
      <c r="AC433" s="313">
        <v>220</v>
      </c>
      <c r="AD433" s="158"/>
      <c r="AE433" s="188"/>
    </row>
    <row r="434" spans="1:31" ht="15.75">
      <c r="A434" s="313" t="s">
        <v>705</v>
      </c>
      <c r="B434" s="313">
        <v>5</v>
      </c>
      <c r="C434" s="313">
        <v>470</v>
      </c>
      <c r="D434" s="313" t="s">
        <v>575</v>
      </c>
      <c r="E434" s="313">
        <v>1</v>
      </c>
      <c r="F434" s="314">
        <v>45495.723611111112</v>
      </c>
      <c r="G434" s="313">
        <v>1</v>
      </c>
      <c r="H434" s="313">
        <v>51.380699999999997</v>
      </c>
      <c r="I434" s="313">
        <v>7.0085499999999996</v>
      </c>
      <c r="J434" s="313">
        <v>-24.729312</v>
      </c>
      <c r="K434" s="313">
        <v>-23.001694000000001</v>
      </c>
      <c r="L434" s="313">
        <v>1064.33</v>
      </c>
      <c r="M434" s="313">
        <v>66.498807999999997</v>
      </c>
      <c r="N434" s="313">
        <v>11590.882900000001</v>
      </c>
      <c r="O434" s="313">
        <v>11591.203299999999</v>
      </c>
      <c r="P434" s="315">
        <v>2073.1084900000001</v>
      </c>
      <c r="Q434" s="302" t="s">
        <v>12</v>
      </c>
      <c r="R434" s="315" t="s">
        <v>539</v>
      </c>
      <c r="S434" s="315">
        <v>10</v>
      </c>
      <c r="T434" s="315">
        <v>5</v>
      </c>
      <c r="U434" s="315">
        <v>0.7</v>
      </c>
      <c r="V434" s="315">
        <v>0.7</v>
      </c>
      <c r="W434" s="315">
        <v>0.7</v>
      </c>
      <c r="X434" s="313">
        <v>2000</v>
      </c>
      <c r="Y434" s="313" t="s">
        <v>540</v>
      </c>
      <c r="Z434" s="313">
        <v>0.2</v>
      </c>
      <c r="AA434" s="313" t="s">
        <v>541</v>
      </c>
      <c r="AB434" s="313" t="s">
        <v>542</v>
      </c>
      <c r="AC434" s="313">
        <v>220</v>
      </c>
      <c r="AD434" s="158"/>
      <c r="AE434" s="188"/>
    </row>
    <row r="435" spans="1:31" ht="15.75">
      <c r="A435" s="313" t="s">
        <v>640</v>
      </c>
      <c r="B435" s="313">
        <v>6</v>
      </c>
      <c r="C435" s="313">
        <v>573</v>
      </c>
      <c r="D435" s="313" t="s">
        <v>579</v>
      </c>
      <c r="E435" s="313">
        <v>1</v>
      </c>
      <c r="F435" s="314">
        <v>45495.727083333331</v>
      </c>
      <c r="G435" s="313">
        <v>1</v>
      </c>
      <c r="H435" s="313">
        <v>51.380699999999997</v>
      </c>
      <c r="I435" s="313">
        <v>7.00101</v>
      </c>
      <c r="J435" s="313">
        <v>-25.012312999999999</v>
      </c>
      <c r="K435" s="313">
        <v>-23.304974999999999</v>
      </c>
      <c r="L435" s="313">
        <v>1086.6199999999999</v>
      </c>
      <c r="M435" s="313">
        <v>70.500476000000006</v>
      </c>
      <c r="N435" s="313">
        <v>11825.4707</v>
      </c>
      <c r="O435" s="313">
        <v>11837.1679</v>
      </c>
      <c r="P435" s="315">
        <v>2116.2599799999998</v>
      </c>
      <c r="Q435" s="302" t="s">
        <v>12</v>
      </c>
      <c r="R435" s="315" t="s">
        <v>539</v>
      </c>
      <c r="S435" s="315">
        <v>10</v>
      </c>
      <c r="T435" s="315">
        <v>5</v>
      </c>
      <c r="U435" s="315">
        <v>0.7</v>
      </c>
      <c r="V435" s="315">
        <v>0.7</v>
      </c>
      <c r="W435" s="315">
        <v>0.7</v>
      </c>
      <c r="X435" s="313">
        <v>2000</v>
      </c>
      <c r="Y435" s="313" t="s">
        <v>540</v>
      </c>
      <c r="Z435" s="313">
        <v>0.2</v>
      </c>
      <c r="AA435" s="313" t="s">
        <v>541</v>
      </c>
      <c r="AB435" s="313" t="s">
        <v>542</v>
      </c>
      <c r="AC435" s="313">
        <v>220</v>
      </c>
      <c r="AD435" s="158"/>
      <c r="AE435" s="188"/>
    </row>
    <row r="436" spans="1:31" ht="15.75">
      <c r="A436" s="313" t="s">
        <v>641</v>
      </c>
      <c r="B436" s="313">
        <v>6</v>
      </c>
      <c r="C436" s="313">
        <v>573</v>
      </c>
      <c r="D436" s="313" t="s">
        <v>579</v>
      </c>
      <c r="E436" s="313">
        <v>1</v>
      </c>
      <c r="F436" s="314">
        <v>45495.729861111111</v>
      </c>
      <c r="G436" s="313">
        <v>1</v>
      </c>
      <c r="H436" s="313">
        <v>51.374099999999999</v>
      </c>
      <c r="I436" s="313">
        <v>7.2872000000000003</v>
      </c>
      <c r="J436" s="313">
        <v>-24.919250000000002</v>
      </c>
      <c r="K436" s="313">
        <v>-23.285975000000001</v>
      </c>
      <c r="L436" s="313">
        <v>1111.71</v>
      </c>
      <c r="M436" s="313">
        <v>69.498474999999999</v>
      </c>
      <c r="N436" s="313">
        <v>11848.8652</v>
      </c>
      <c r="O436" s="313">
        <v>11837.1679</v>
      </c>
      <c r="P436" s="315">
        <v>2116.2599799999998</v>
      </c>
      <c r="Q436" s="302" t="s">
        <v>12</v>
      </c>
      <c r="R436" s="315" t="s">
        <v>539</v>
      </c>
      <c r="S436" s="315">
        <v>10</v>
      </c>
      <c r="T436" s="315">
        <v>5</v>
      </c>
      <c r="U436" s="315">
        <v>0.7</v>
      </c>
      <c r="V436" s="315">
        <v>0.7</v>
      </c>
      <c r="W436" s="315">
        <v>0.7</v>
      </c>
      <c r="X436" s="313">
        <v>2000</v>
      </c>
      <c r="Y436" s="313" t="s">
        <v>540</v>
      </c>
      <c r="Z436" s="313">
        <v>0.2</v>
      </c>
      <c r="AA436" s="313" t="s">
        <v>541</v>
      </c>
      <c r="AB436" s="313" t="s">
        <v>542</v>
      </c>
      <c r="AC436" s="313">
        <v>220</v>
      </c>
      <c r="AD436" s="158"/>
      <c r="AE436" s="188"/>
    </row>
    <row r="437" spans="1:31" ht="15.75">
      <c r="A437" s="313" t="s">
        <v>643</v>
      </c>
      <c r="B437" s="313">
        <v>7</v>
      </c>
      <c r="C437" s="313">
        <v>574</v>
      </c>
      <c r="D437" s="313" t="s">
        <v>582</v>
      </c>
      <c r="E437" s="313">
        <v>1</v>
      </c>
      <c r="F437" s="314">
        <v>45495.73333333333</v>
      </c>
      <c r="G437" s="313">
        <v>1</v>
      </c>
      <c r="H437" s="313">
        <v>51.377400000000002</v>
      </c>
      <c r="I437" s="313">
        <v>7.2664499999999999</v>
      </c>
      <c r="J437" s="313">
        <v>-24.941199999999998</v>
      </c>
      <c r="K437" s="313">
        <v>-22.774025000000002</v>
      </c>
      <c r="L437" s="313">
        <v>1081.42</v>
      </c>
      <c r="M437" s="313">
        <v>64.999968999999993</v>
      </c>
      <c r="N437" s="313">
        <v>11758.659299999999</v>
      </c>
      <c r="O437" s="313">
        <v>11757.8758</v>
      </c>
      <c r="P437" s="315">
        <v>2102.34915</v>
      </c>
      <c r="Q437" s="302" t="s">
        <v>12</v>
      </c>
      <c r="R437" s="315" t="s">
        <v>539</v>
      </c>
      <c r="S437" s="315">
        <v>10</v>
      </c>
      <c r="T437" s="315">
        <v>5</v>
      </c>
      <c r="U437" s="315">
        <v>0.7</v>
      </c>
      <c r="V437" s="315">
        <v>0.7</v>
      </c>
      <c r="W437" s="315">
        <v>0.7</v>
      </c>
      <c r="X437" s="313">
        <v>2000</v>
      </c>
      <c r="Y437" s="313" t="s">
        <v>540</v>
      </c>
      <c r="Z437" s="313">
        <v>0.2</v>
      </c>
      <c r="AA437" s="313" t="s">
        <v>541</v>
      </c>
      <c r="AB437" s="313" t="s">
        <v>542</v>
      </c>
      <c r="AC437" s="313">
        <v>220</v>
      </c>
      <c r="AD437" s="158"/>
      <c r="AE437" s="188"/>
    </row>
    <row r="438" spans="1:31" ht="15.75">
      <c r="A438" s="313" t="s">
        <v>644</v>
      </c>
      <c r="B438" s="313">
        <v>7</v>
      </c>
      <c r="C438" s="313">
        <v>574</v>
      </c>
      <c r="D438" s="313" t="s">
        <v>582</v>
      </c>
      <c r="E438" s="313">
        <v>1</v>
      </c>
      <c r="F438" s="314">
        <v>45495.736111111109</v>
      </c>
      <c r="G438" s="313">
        <v>1</v>
      </c>
      <c r="H438" s="313">
        <v>51.374099999999999</v>
      </c>
      <c r="I438" s="313">
        <v>7.2880099999999999</v>
      </c>
      <c r="J438" s="313">
        <v>-24.916149999999998</v>
      </c>
      <c r="K438" s="313">
        <v>-23.409618999999999</v>
      </c>
      <c r="L438" s="313">
        <v>1070.96</v>
      </c>
      <c r="M438" s="313">
        <v>70.500074999999995</v>
      </c>
      <c r="N438" s="313">
        <v>11757.0924</v>
      </c>
      <c r="O438" s="313">
        <v>11757.8758</v>
      </c>
      <c r="P438" s="315">
        <v>2102.34915</v>
      </c>
      <c r="Q438" s="302" t="s">
        <v>12</v>
      </c>
      <c r="R438" s="315" t="s">
        <v>539</v>
      </c>
      <c r="S438" s="315">
        <v>10</v>
      </c>
      <c r="T438" s="315">
        <v>5</v>
      </c>
      <c r="U438" s="315">
        <v>0.7</v>
      </c>
      <c r="V438" s="315">
        <v>0.7</v>
      </c>
      <c r="W438" s="315">
        <v>0.7</v>
      </c>
      <c r="X438" s="313">
        <v>2000</v>
      </c>
      <c r="Y438" s="313" t="s">
        <v>540</v>
      </c>
      <c r="Z438" s="313">
        <v>0.2</v>
      </c>
      <c r="AA438" s="313" t="s">
        <v>541</v>
      </c>
      <c r="AB438" s="313" t="s">
        <v>542</v>
      </c>
      <c r="AC438" s="313">
        <v>220</v>
      </c>
      <c r="AD438" s="158"/>
      <c r="AE438" s="188"/>
    </row>
    <row r="439" spans="1:31" ht="15.75">
      <c r="A439" s="313" t="s">
        <v>648</v>
      </c>
      <c r="B439" s="313">
        <v>8</v>
      </c>
      <c r="C439" s="313">
        <v>612</v>
      </c>
      <c r="D439" s="313" t="s">
        <v>585</v>
      </c>
      <c r="E439" s="313">
        <v>1</v>
      </c>
      <c r="F439" s="314">
        <v>45495.738888888889</v>
      </c>
      <c r="G439" s="313">
        <v>1</v>
      </c>
      <c r="H439" s="313">
        <v>51.374099999999999</v>
      </c>
      <c r="I439" s="313">
        <v>7.3506499999999999</v>
      </c>
      <c r="J439" s="313">
        <v>-24.934244</v>
      </c>
      <c r="K439" s="313">
        <v>-23.451405999999999</v>
      </c>
      <c r="L439" s="313">
        <v>1084.58</v>
      </c>
      <c r="M439" s="313">
        <v>74.50067</v>
      </c>
      <c r="N439" s="313">
        <v>11773.781300000001</v>
      </c>
      <c r="O439" s="313">
        <v>11748.980600000001</v>
      </c>
      <c r="P439" s="315">
        <v>2100.7885900000001</v>
      </c>
      <c r="Q439" s="302" t="s">
        <v>12</v>
      </c>
      <c r="R439" s="315" t="s">
        <v>553</v>
      </c>
      <c r="S439" s="315">
        <v>10</v>
      </c>
      <c r="T439" s="315">
        <v>5</v>
      </c>
      <c r="U439" s="315">
        <v>0.7</v>
      </c>
      <c r="V439" s="315">
        <v>0.7</v>
      </c>
      <c r="W439" s="315">
        <v>0.7</v>
      </c>
      <c r="X439" s="313">
        <v>2000</v>
      </c>
      <c r="Y439" s="313" t="s">
        <v>540</v>
      </c>
      <c r="Z439" s="313">
        <v>0.2</v>
      </c>
      <c r="AA439" s="313" t="s">
        <v>541</v>
      </c>
      <c r="AB439" s="313" t="s">
        <v>542</v>
      </c>
      <c r="AC439" s="313">
        <v>220</v>
      </c>
      <c r="AD439" s="158"/>
      <c r="AE439" s="188"/>
    </row>
    <row r="440" spans="1:31" ht="15.75">
      <c r="A440" s="313" t="s">
        <v>650</v>
      </c>
      <c r="B440" s="313">
        <v>8</v>
      </c>
      <c r="C440" s="313">
        <v>612</v>
      </c>
      <c r="D440" s="313" t="s">
        <v>585</v>
      </c>
      <c r="E440" s="313">
        <v>1</v>
      </c>
      <c r="F440" s="314">
        <v>45495.741666666669</v>
      </c>
      <c r="G440" s="313">
        <v>1</v>
      </c>
      <c r="H440" s="313">
        <v>51.377400000000002</v>
      </c>
      <c r="I440" s="313">
        <v>7.4000199999999996</v>
      </c>
      <c r="J440" s="313">
        <v>-24.859287999999999</v>
      </c>
      <c r="K440" s="313">
        <v>-23.056650000000001</v>
      </c>
      <c r="L440" s="313">
        <v>1088.26</v>
      </c>
      <c r="M440" s="313">
        <v>66.500467999999998</v>
      </c>
      <c r="N440" s="313">
        <v>11749.103300000001</v>
      </c>
      <c r="O440" s="313">
        <v>11748.980600000001</v>
      </c>
      <c r="P440" s="315">
        <v>2100.7885900000001</v>
      </c>
      <c r="Q440" s="302" t="s">
        <v>12</v>
      </c>
      <c r="R440" s="315" t="s">
        <v>539</v>
      </c>
      <c r="S440" s="315">
        <v>10</v>
      </c>
      <c r="T440" s="315">
        <v>5</v>
      </c>
      <c r="U440" s="315">
        <v>0.7</v>
      </c>
      <c r="V440" s="315">
        <v>0.7</v>
      </c>
      <c r="W440" s="315">
        <v>0.7</v>
      </c>
      <c r="X440" s="313">
        <v>2000</v>
      </c>
      <c r="Y440" s="313" t="s">
        <v>540</v>
      </c>
      <c r="Z440" s="313">
        <v>0.2</v>
      </c>
      <c r="AA440" s="313" t="s">
        <v>541</v>
      </c>
      <c r="AB440" s="313" t="s">
        <v>542</v>
      </c>
      <c r="AC440" s="313">
        <v>220</v>
      </c>
      <c r="AD440" s="158"/>
      <c r="AE440" s="188"/>
    </row>
    <row r="441" spans="1:31" ht="15.75">
      <c r="A441" s="313" t="s">
        <v>820</v>
      </c>
      <c r="B441" s="313">
        <v>8</v>
      </c>
      <c r="C441" s="313">
        <v>612</v>
      </c>
      <c r="D441" s="313" t="s">
        <v>585</v>
      </c>
      <c r="E441" s="313">
        <v>1</v>
      </c>
      <c r="F441" s="314">
        <v>45495.744444444441</v>
      </c>
      <c r="G441" s="313">
        <v>1</v>
      </c>
      <c r="H441" s="313">
        <v>51.374099999999999</v>
      </c>
      <c r="I441" s="313">
        <v>7.3101200000000004</v>
      </c>
      <c r="J441" s="313">
        <v>-24.880718999999999</v>
      </c>
      <c r="K441" s="313">
        <v>-23.193093999999999</v>
      </c>
      <c r="L441" s="313">
        <v>1067.74</v>
      </c>
      <c r="M441" s="313">
        <v>68.000009000000006</v>
      </c>
      <c r="N441" s="313">
        <v>11748.857900000001</v>
      </c>
      <c r="O441" s="313">
        <v>11748.980600000001</v>
      </c>
      <c r="P441" s="315">
        <v>2100.7885900000001</v>
      </c>
      <c r="Q441" s="302" t="s">
        <v>12</v>
      </c>
      <c r="R441" s="315" t="s">
        <v>539</v>
      </c>
      <c r="S441" s="315">
        <v>10</v>
      </c>
      <c r="T441" s="315">
        <v>5</v>
      </c>
      <c r="U441" s="315">
        <v>0.7</v>
      </c>
      <c r="V441" s="315">
        <v>0.7</v>
      </c>
      <c r="W441" s="315">
        <v>0.7</v>
      </c>
      <c r="X441" s="313">
        <v>2000</v>
      </c>
      <c r="Y441" s="313" t="s">
        <v>540</v>
      </c>
      <c r="Z441" s="313">
        <v>0.2</v>
      </c>
      <c r="AA441" s="313" t="s">
        <v>541</v>
      </c>
      <c r="AB441" s="313" t="s">
        <v>542</v>
      </c>
      <c r="AC441" s="313">
        <v>220</v>
      </c>
      <c r="AD441" s="158"/>
      <c r="AE441" s="188"/>
    </row>
    <row r="442" spans="1:31" ht="15.75">
      <c r="A442" s="313" t="s">
        <v>651</v>
      </c>
      <c r="B442" s="313">
        <v>9</v>
      </c>
      <c r="C442" s="313">
        <v>613</v>
      </c>
      <c r="D442" s="313" t="s">
        <v>589</v>
      </c>
      <c r="E442" s="313">
        <v>1</v>
      </c>
      <c r="F442" s="314">
        <v>45495.747916666667</v>
      </c>
      <c r="G442" s="313">
        <v>1</v>
      </c>
      <c r="H442" s="313">
        <v>51.377400000000002</v>
      </c>
      <c r="I442" s="313">
        <v>7.1104000000000003</v>
      </c>
      <c r="J442" s="313">
        <v>-24.883987000000001</v>
      </c>
      <c r="K442" s="313">
        <v>-23.321994</v>
      </c>
      <c r="L442" s="313">
        <v>1078.1500000000001</v>
      </c>
      <c r="M442" s="313">
        <v>71.999367000000007</v>
      </c>
      <c r="N442" s="313">
        <v>11852.414699999999</v>
      </c>
      <c r="O442" s="313">
        <v>11812.912</v>
      </c>
      <c r="P442" s="315">
        <v>2112.0045700000001</v>
      </c>
      <c r="Q442" s="302" t="s">
        <v>12</v>
      </c>
      <c r="R442" s="315" t="s">
        <v>553</v>
      </c>
      <c r="S442" s="315">
        <v>10</v>
      </c>
      <c r="T442" s="315">
        <v>5</v>
      </c>
      <c r="U442" s="315">
        <v>0.7</v>
      </c>
      <c r="V442" s="315">
        <v>0.7</v>
      </c>
      <c r="W442" s="315">
        <v>0.7</v>
      </c>
      <c r="X442" s="313">
        <v>2000</v>
      </c>
      <c r="Y442" s="313" t="s">
        <v>540</v>
      </c>
      <c r="Z442" s="313">
        <v>0.2</v>
      </c>
      <c r="AA442" s="313" t="s">
        <v>541</v>
      </c>
      <c r="AB442" s="313" t="s">
        <v>542</v>
      </c>
      <c r="AC442" s="313">
        <v>220</v>
      </c>
      <c r="AD442" s="158"/>
      <c r="AE442" s="188"/>
    </row>
    <row r="443" spans="1:31" ht="15.75">
      <c r="A443" s="313" t="s">
        <v>652</v>
      </c>
      <c r="B443" s="313">
        <v>9</v>
      </c>
      <c r="C443" s="313">
        <v>613</v>
      </c>
      <c r="D443" s="313" t="s">
        <v>589</v>
      </c>
      <c r="E443" s="313">
        <v>1</v>
      </c>
      <c r="F443" s="314">
        <v>45495.750694444447</v>
      </c>
      <c r="G443" s="313">
        <v>1</v>
      </c>
      <c r="H443" s="313">
        <v>51.370800000000003</v>
      </c>
      <c r="I443" s="313">
        <v>7.1535799999999998</v>
      </c>
      <c r="J443" s="313">
        <v>-24.743956000000001</v>
      </c>
      <c r="K443" s="313">
        <v>-23.258163</v>
      </c>
      <c r="L443" s="313">
        <v>1101.49</v>
      </c>
      <c r="M443" s="313">
        <v>70.499700000000004</v>
      </c>
      <c r="N443" s="313">
        <v>11817.9961</v>
      </c>
      <c r="O443" s="313">
        <v>11812.912</v>
      </c>
      <c r="P443" s="315">
        <v>2112.0045700000001</v>
      </c>
      <c r="Q443" s="302" t="s">
        <v>12</v>
      </c>
      <c r="R443" s="315" t="s">
        <v>539</v>
      </c>
      <c r="S443" s="315">
        <v>10</v>
      </c>
      <c r="T443" s="315">
        <v>5</v>
      </c>
      <c r="U443" s="315">
        <v>0.7</v>
      </c>
      <c r="V443" s="315">
        <v>0.7</v>
      </c>
      <c r="W443" s="315">
        <v>0.7</v>
      </c>
      <c r="X443" s="313">
        <v>2000</v>
      </c>
      <c r="Y443" s="313" t="s">
        <v>540</v>
      </c>
      <c r="Z443" s="313">
        <v>0.2</v>
      </c>
      <c r="AA443" s="313" t="s">
        <v>541</v>
      </c>
      <c r="AB443" s="313" t="s">
        <v>542</v>
      </c>
      <c r="AC443" s="313">
        <v>220</v>
      </c>
      <c r="AD443" s="158"/>
      <c r="AE443" s="188"/>
    </row>
    <row r="444" spans="1:31" ht="15.75">
      <c r="A444" s="313" t="s">
        <v>653</v>
      </c>
      <c r="B444" s="313">
        <v>9</v>
      </c>
      <c r="C444" s="313">
        <v>613</v>
      </c>
      <c r="D444" s="313" t="s">
        <v>589</v>
      </c>
      <c r="E444" s="313">
        <v>1</v>
      </c>
      <c r="F444" s="314">
        <v>45495.753472222219</v>
      </c>
      <c r="G444" s="313">
        <v>1</v>
      </c>
      <c r="H444" s="313">
        <v>51.3675</v>
      </c>
      <c r="I444" s="313">
        <v>7.2295499999999997</v>
      </c>
      <c r="J444" s="313">
        <v>-24.891625000000001</v>
      </c>
      <c r="K444" s="313">
        <v>-23.298106000000001</v>
      </c>
      <c r="L444" s="313">
        <v>1063.3800000000001</v>
      </c>
      <c r="M444" s="313">
        <v>68.998819999999995</v>
      </c>
      <c r="N444" s="313">
        <v>11807.827799999999</v>
      </c>
      <c r="O444" s="313">
        <v>11812.912</v>
      </c>
      <c r="P444" s="315">
        <v>2112.0045700000001</v>
      </c>
      <c r="Q444" s="302" t="s">
        <v>12</v>
      </c>
      <c r="R444" s="315" t="s">
        <v>539</v>
      </c>
      <c r="S444" s="315">
        <v>10</v>
      </c>
      <c r="T444" s="315">
        <v>5</v>
      </c>
      <c r="U444" s="315">
        <v>0.7</v>
      </c>
      <c r="V444" s="315">
        <v>0.7</v>
      </c>
      <c r="W444" s="315">
        <v>0.7</v>
      </c>
      <c r="X444" s="313">
        <v>2000</v>
      </c>
      <c r="Y444" s="313" t="s">
        <v>540</v>
      </c>
      <c r="Z444" s="313">
        <v>0.2</v>
      </c>
      <c r="AA444" s="313" t="s">
        <v>541</v>
      </c>
      <c r="AB444" s="313" t="s">
        <v>542</v>
      </c>
      <c r="AC444" s="313">
        <v>220</v>
      </c>
      <c r="AD444" s="158"/>
      <c r="AE444" s="188"/>
    </row>
    <row r="445" spans="1:31" ht="15.75">
      <c r="A445" s="313" t="s">
        <v>654</v>
      </c>
      <c r="B445" s="313">
        <v>10</v>
      </c>
      <c r="C445" s="313" t="s">
        <v>776</v>
      </c>
      <c r="D445" s="313" t="s">
        <v>538</v>
      </c>
      <c r="E445" s="313">
        <v>1</v>
      </c>
      <c r="F445" s="314">
        <v>45495.756944444445</v>
      </c>
      <c r="G445" s="313">
        <v>1</v>
      </c>
      <c r="H445" s="313">
        <v>51.370800000000003</v>
      </c>
      <c r="I445" s="313">
        <v>7.05396</v>
      </c>
      <c r="J445" s="313">
        <v>-24.924256</v>
      </c>
      <c r="K445" s="313">
        <v>-23.565474999999999</v>
      </c>
      <c r="L445" s="313">
        <v>1063.71</v>
      </c>
      <c r="M445" s="313">
        <v>72.499539999999996</v>
      </c>
      <c r="N445" s="313">
        <v>11637.2315</v>
      </c>
      <c r="O445" s="313">
        <v>11634.331099999999</v>
      </c>
      <c r="P445" s="315">
        <v>2080.6747399999999</v>
      </c>
      <c r="Q445" s="302" t="s">
        <v>12</v>
      </c>
      <c r="R445" s="315" t="s">
        <v>553</v>
      </c>
      <c r="S445" s="315">
        <v>10</v>
      </c>
      <c r="T445" s="315">
        <v>5</v>
      </c>
      <c r="U445" s="315">
        <v>0.7</v>
      </c>
      <c r="V445" s="315">
        <v>0.7</v>
      </c>
      <c r="W445" s="315">
        <v>0.7</v>
      </c>
      <c r="X445" s="313">
        <v>2000</v>
      </c>
      <c r="Y445" s="313" t="s">
        <v>540</v>
      </c>
      <c r="Z445" s="313">
        <v>0.2</v>
      </c>
      <c r="AA445" s="313" t="s">
        <v>541</v>
      </c>
      <c r="AB445" s="313" t="s">
        <v>542</v>
      </c>
      <c r="AC445" s="313">
        <v>220</v>
      </c>
      <c r="AD445" s="158"/>
      <c r="AE445" s="188"/>
    </row>
    <row r="446" spans="1:31" ht="15.75">
      <c r="A446" s="313" t="s">
        <v>655</v>
      </c>
      <c r="B446" s="313">
        <v>10</v>
      </c>
      <c r="C446" s="313" t="s">
        <v>776</v>
      </c>
      <c r="D446" s="313" t="s">
        <v>538</v>
      </c>
      <c r="E446" s="313">
        <v>1</v>
      </c>
      <c r="F446" s="314">
        <v>45495.759722222225</v>
      </c>
      <c r="G446" s="313">
        <v>1</v>
      </c>
      <c r="H446" s="313">
        <v>51.377400000000002</v>
      </c>
      <c r="I446" s="313">
        <v>6.9185499999999998</v>
      </c>
      <c r="J446" s="313">
        <v>-25.013936999999999</v>
      </c>
      <c r="K446" s="313">
        <v>-23.211631000000001</v>
      </c>
      <c r="L446" s="313">
        <v>1066.95</v>
      </c>
      <c r="M446" s="313">
        <v>67.999300000000005</v>
      </c>
      <c r="N446" s="313">
        <v>11589.1142</v>
      </c>
      <c r="O446" s="313">
        <v>11634.331099999999</v>
      </c>
      <c r="P446" s="315">
        <v>2080.6747399999999</v>
      </c>
      <c r="Q446" s="302" t="s">
        <v>12</v>
      </c>
      <c r="R446" s="315" t="s">
        <v>553</v>
      </c>
      <c r="S446" s="315">
        <v>10</v>
      </c>
      <c r="T446" s="315">
        <v>5</v>
      </c>
      <c r="U446" s="315">
        <v>0.7</v>
      </c>
      <c r="V446" s="315">
        <v>0.7</v>
      </c>
      <c r="W446" s="315">
        <v>0.7</v>
      </c>
      <c r="X446" s="313">
        <v>2000</v>
      </c>
      <c r="Y446" s="313" t="s">
        <v>540</v>
      </c>
      <c r="Z446" s="313">
        <v>0.2</v>
      </c>
      <c r="AA446" s="313" t="s">
        <v>541</v>
      </c>
      <c r="AB446" s="313" t="s">
        <v>542</v>
      </c>
      <c r="AC446" s="313">
        <v>220</v>
      </c>
      <c r="AD446" s="158"/>
      <c r="AE446" s="188"/>
    </row>
    <row r="447" spans="1:31" ht="15.75">
      <c r="A447" s="313" t="s">
        <v>656</v>
      </c>
      <c r="B447" s="313">
        <v>10</v>
      </c>
      <c r="C447" s="313" t="s">
        <v>776</v>
      </c>
      <c r="D447" s="313" t="s">
        <v>538</v>
      </c>
      <c r="E447" s="313">
        <v>1</v>
      </c>
      <c r="F447" s="314">
        <v>45495.762499999997</v>
      </c>
      <c r="G447" s="313">
        <v>1</v>
      </c>
      <c r="H447" s="313">
        <v>51.374099999999999</v>
      </c>
      <c r="I447" s="313">
        <v>6.9967800000000002</v>
      </c>
      <c r="J447" s="313">
        <v>-24.939588000000001</v>
      </c>
      <c r="K447" s="313">
        <v>-23.516838</v>
      </c>
      <c r="L447" s="313">
        <v>1068.01</v>
      </c>
      <c r="M447" s="313">
        <v>76.999634</v>
      </c>
      <c r="N447" s="313">
        <v>11645.452600000001</v>
      </c>
      <c r="O447" s="313">
        <v>11634.331099999999</v>
      </c>
      <c r="P447" s="315">
        <v>2080.6747399999999</v>
      </c>
      <c r="Q447" s="302" t="s">
        <v>12</v>
      </c>
      <c r="R447" s="315" t="s">
        <v>539</v>
      </c>
      <c r="S447" s="315">
        <v>10</v>
      </c>
      <c r="T447" s="315">
        <v>5</v>
      </c>
      <c r="U447" s="315">
        <v>0.7</v>
      </c>
      <c r="V447" s="315">
        <v>0.7</v>
      </c>
      <c r="W447" s="315">
        <v>0.7</v>
      </c>
      <c r="X447" s="313">
        <v>2000</v>
      </c>
      <c r="Y447" s="313" t="s">
        <v>540</v>
      </c>
      <c r="Z447" s="313">
        <v>0.2</v>
      </c>
      <c r="AA447" s="313" t="s">
        <v>541</v>
      </c>
      <c r="AB447" s="313" t="s">
        <v>542</v>
      </c>
      <c r="AC447" s="313">
        <v>220</v>
      </c>
      <c r="AD447" s="151"/>
      <c r="AE447" s="206"/>
    </row>
    <row r="448" spans="1:31" ht="15.75">
      <c r="A448" s="313" t="s">
        <v>761</v>
      </c>
      <c r="B448" s="313">
        <v>10</v>
      </c>
      <c r="C448" s="313" t="s">
        <v>776</v>
      </c>
      <c r="D448" s="313" t="s">
        <v>538</v>
      </c>
      <c r="E448" s="313">
        <v>1</v>
      </c>
      <c r="F448" s="314">
        <v>45495.765277777777</v>
      </c>
      <c r="G448" s="313">
        <v>1</v>
      </c>
      <c r="H448" s="313">
        <v>51.377400000000002</v>
      </c>
      <c r="I448" s="313">
        <v>6.9863400000000002</v>
      </c>
      <c r="J448" s="313">
        <v>-25.024994</v>
      </c>
      <c r="K448" s="313">
        <v>-23.526712</v>
      </c>
      <c r="L448" s="313">
        <v>1058.75</v>
      </c>
      <c r="M448" s="313">
        <v>73.998616999999996</v>
      </c>
      <c r="N448" s="313">
        <v>11623.2096</v>
      </c>
      <c r="O448" s="313">
        <v>11634.331099999999</v>
      </c>
      <c r="P448" s="315">
        <v>2080.6747399999999</v>
      </c>
      <c r="Q448" s="302" t="s">
        <v>12</v>
      </c>
      <c r="R448" s="315" t="s">
        <v>539</v>
      </c>
      <c r="S448" s="315">
        <v>10</v>
      </c>
      <c r="T448" s="315">
        <v>5</v>
      </c>
      <c r="U448" s="315">
        <v>0.7</v>
      </c>
      <c r="V448" s="315">
        <v>0.7</v>
      </c>
      <c r="W448" s="315">
        <v>0.7</v>
      </c>
      <c r="X448" s="313">
        <v>2000</v>
      </c>
      <c r="Y448" s="313" t="s">
        <v>540</v>
      </c>
      <c r="Z448" s="313">
        <v>0.2</v>
      </c>
      <c r="AA448" s="313" t="s">
        <v>541</v>
      </c>
      <c r="AB448" s="313" t="s">
        <v>542</v>
      </c>
      <c r="AC448" s="313">
        <v>220</v>
      </c>
      <c r="AD448" s="151"/>
      <c r="AE448" s="206"/>
    </row>
    <row r="449" spans="1:31" ht="15.75">
      <c r="A449" s="316" t="s">
        <v>798</v>
      </c>
      <c r="B449" s="316" t="s">
        <v>558</v>
      </c>
      <c r="C449" s="316" t="s">
        <v>776</v>
      </c>
      <c r="D449" s="316" t="s">
        <v>538</v>
      </c>
      <c r="E449" s="316">
        <v>1</v>
      </c>
      <c r="F449" s="317">
        <v>45495.567361111112</v>
      </c>
      <c r="G449" s="316">
        <v>1</v>
      </c>
      <c r="H449" s="316">
        <v>51.374099999999999</v>
      </c>
      <c r="I449" s="316">
        <v>7.4363200000000003</v>
      </c>
      <c r="J449" s="316">
        <v>-24.316593999999998</v>
      </c>
      <c r="K449" s="316">
        <v>-22.814143999999999</v>
      </c>
      <c r="L449" s="316">
        <v>1068.42</v>
      </c>
      <c r="M449" s="316">
        <v>73.498875999999996</v>
      </c>
      <c r="N449" s="316">
        <v>11680.8449</v>
      </c>
      <c r="O449" s="316">
        <v>11633.467500000001</v>
      </c>
      <c r="P449" s="318">
        <v>2070.3456999999999</v>
      </c>
      <c r="Q449" s="302" t="s">
        <v>12</v>
      </c>
      <c r="R449" s="318" t="s">
        <v>553</v>
      </c>
      <c r="S449" s="318">
        <v>10</v>
      </c>
      <c r="T449" s="318">
        <v>5</v>
      </c>
      <c r="U449" s="318">
        <v>0.7</v>
      </c>
      <c r="V449" s="318">
        <v>0.7</v>
      </c>
      <c r="W449" s="318">
        <v>0.7</v>
      </c>
      <c r="X449" s="316">
        <v>2000</v>
      </c>
      <c r="Y449" s="316" t="s">
        <v>540</v>
      </c>
      <c r="Z449" s="316">
        <v>0.2</v>
      </c>
      <c r="AA449" s="316" t="s">
        <v>541</v>
      </c>
      <c r="AB449" s="316" t="s">
        <v>542</v>
      </c>
      <c r="AC449" s="325">
        <v>0.85</v>
      </c>
      <c r="AD449" s="326"/>
      <c r="AE449" s="327"/>
    </row>
    <row r="450" spans="1:31" ht="15.75">
      <c r="A450" s="313" t="s">
        <v>799</v>
      </c>
      <c r="B450" s="313" t="s">
        <v>558</v>
      </c>
      <c r="C450" s="313" t="s">
        <v>776</v>
      </c>
      <c r="D450" s="313" t="s">
        <v>538</v>
      </c>
      <c r="E450" s="313">
        <v>1</v>
      </c>
      <c r="F450" s="314">
        <v>45495.570138888892</v>
      </c>
      <c r="G450" s="313">
        <v>1</v>
      </c>
      <c r="H450" s="313">
        <v>51.377400000000002</v>
      </c>
      <c r="I450" s="313">
        <v>7.3352700000000004</v>
      </c>
      <c r="J450" s="313">
        <v>-24.336338000000001</v>
      </c>
      <c r="K450" s="313">
        <v>-22.873536999999999</v>
      </c>
      <c r="L450" s="313">
        <v>1062.32</v>
      </c>
      <c r="M450" s="313">
        <v>72.500046999999995</v>
      </c>
      <c r="N450" s="313">
        <v>11626.3421</v>
      </c>
      <c r="O450" s="313">
        <v>11633.467500000001</v>
      </c>
      <c r="P450" s="315">
        <v>2070.3456999999999</v>
      </c>
      <c r="Q450" s="302" t="s">
        <v>12</v>
      </c>
      <c r="R450" s="315" t="s">
        <v>539</v>
      </c>
      <c r="S450" s="315">
        <v>10</v>
      </c>
      <c r="T450" s="315">
        <v>5</v>
      </c>
      <c r="U450" s="315">
        <v>0.7</v>
      </c>
      <c r="V450" s="315">
        <v>0.7</v>
      </c>
      <c r="W450" s="315">
        <v>0.7</v>
      </c>
      <c r="X450" s="313">
        <v>2000</v>
      </c>
      <c r="Y450" s="313" t="s">
        <v>540</v>
      </c>
      <c r="Z450" s="313">
        <v>0.2</v>
      </c>
      <c r="AA450" s="313" t="s">
        <v>541</v>
      </c>
      <c r="AB450" s="313" t="s">
        <v>542</v>
      </c>
      <c r="AC450" s="328">
        <v>0.85</v>
      </c>
      <c r="AD450" s="151"/>
      <c r="AE450" s="206"/>
    </row>
    <row r="451" spans="1:31" ht="15.75">
      <c r="A451" s="313" t="s">
        <v>800</v>
      </c>
      <c r="B451" s="313" t="s">
        <v>558</v>
      </c>
      <c r="C451" s="313" t="s">
        <v>776</v>
      </c>
      <c r="D451" s="313" t="s">
        <v>538</v>
      </c>
      <c r="E451" s="313">
        <v>1</v>
      </c>
      <c r="F451" s="314">
        <v>45495.572916666664</v>
      </c>
      <c r="G451" s="313">
        <v>1</v>
      </c>
      <c r="H451" s="313">
        <v>51.377400000000002</v>
      </c>
      <c r="I451" s="313">
        <v>7.2618499999999999</v>
      </c>
      <c r="J451" s="313">
        <v>-24.248131000000001</v>
      </c>
      <c r="K451" s="313">
        <v>-22.623581000000001</v>
      </c>
      <c r="L451" s="313">
        <v>1075.53</v>
      </c>
      <c r="M451" s="313">
        <v>69.500285000000005</v>
      </c>
      <c r="N451" s="313">
        <v>11640.5929</v>
      </c>
      <c r="O451" s="313">
        <v>11633.467500000001</v>
      </c>
      <c r="P451" s="315">
        <v>2070.3456999999999</v>
      </c>
      <c r="Q451" s="302" t="s">
        <v>12</v>
      </c>
      <c r="R451" s="315" t="s">
        <v>539</v>
      </c>
      <c r="S451" s="315">
        <v>10</v>
      </c>
      <c r="T451" s="315">
        <v>5</v>
      </c>
      <c r="U451" s="315">
        <v>0.7</v>
      </c>
      <c r="V451" s="315">
        <v>0.7</v>
      </c>
      <c r="W451" s="315">
        <v>0.7</v>
      </c>
      <c r="X451" s="313">
        <v>2000</v>
      </c>
      <c r="Y451" s="313" t="s">
        <v>540</v>
      </c>
      <c r="Z451" s="313">
        <v>0.2</v>
      </c>
      <c r="AA451" s="313" t="s">
        <v>541</v>
      </c>
      <c r="AB451" s="313" t="s">
        <v>542</v>
      </c>
      <c r="AC451" s="328">
        <v>0.85</v>
      </c>
      <c r="AD451" s="151"/>
      <c r="AE451" s="206"/>
    </row>
    <row r="452" spans="1:31" ht="15.75">
      <c r="A452" s="313" t="s">
        <v>801</v>
      </c>
      <c r="B452" s="313" t="s">
        <v>561</v>
      </c>
      <c r="C452" s="313" t="s">
        <v>776</v>
      </c>
      <c r="D452" s="313" t="s">
        <v>538</v>
      </c>
      <c r="E452" s="313">
        <v>1.2</v>
      </c>
      <c r="F452" s="314">
        <v>45495.575694444444</v>
      </c>
      <c r="G452" s="313">
        <v>1</v>
      </c>
      <c r="H452" s="313">
        <v>51.377400000000002</v>
      </c>
      <c r="I452" s="313">
        <v>7.1769499999999997</v>
      </c>
      <c r="J452" s="313">
        <v>-24.247744000000001</v>
      </c>
      <c r="K452" s="313">
        <v>-22.929725000000001</v>
      </c>
      <c r="L452" s="313">
        <v>1090.1099999999999</v>
      </c>
      <c r="M452" s="313">
        <v>81.499371999999994</v>
      </c>
      <c r="N452" s="313">
        <v>14024.877200000001</v>
      </c>
      <c r="O452" s="313">
        <v>13977.714099999999</v>
      </c>
      <c r="P452" s="315">
        <v>2070.3456999999999</v>
      </c>
      <c r="Q452" s="302" t="s">
        <v>12</v>
      </c>
      <c r="R452" s="315" t="s">
        <v>553</v>
      </c>
      <c r="S452" s="315">
        <v>10</v>
      </c>
      <c r="T452" s="315">
        <v>5</v>
      </c>
      <c r="U452" s="315">
        <v>0.7</v>
      </c>
      <c r="V452" s="315">
        <v>0.7</v>
      </c>
      <c r="W452" s="315">
        <v>0.7</v>
      </c>
      <c r="X452" s="313">
        <v>2000</v>
      </c>
      <c r="Y452" s="313" t="s">
        <v>540</v>
      </c>
      <c r="Z452" s="313">
        <v>0.2</v>
      </c>
      <c r="AA452" s="313" t="s">
        <v>541</v>
      </c>
      <c r="AB452" s="313" t="s">
        <v>542</v>
      </c>
      <c r="AC452" s="328">
        <v>0.85</v>
      </c>
      <c r="AD452" s="151"/>
      <c r="AE452" s="206"/>
    </row>
    <row r="453" spans="1:31" ht="15.75">
      <c r="A453" s="313" t="s">
        <v>802</v>
      </c>
      <c r="B453" s="313" t="s">
        <v>561</v>
      </c>
      <c r="C453" s="313" t="s">
        <v>776</v>
      </c>
      <c r="D453" s="313" t="s">
        <v>538</v>
      </c>
      <c r="E453" s="313">
        <v>1.2</v>
      </c>
      <c r="F453" s="314">
        <v>45495.57916666667</v>
      </c>
      <c r="G453" s="313">
        <v>1</v>
      </c>
      <c r="H453" s="313">
        <v>51.370800000000003</v>
      </c>
      <c r="I453" s="313">
        <v>7.0635599999999998</v>
      </c>
      <c r="J453" s="313">
        <v>-24.116243999999998</v>
      </c>
      <c r="K453" s="313">
        <v>-22.302012000000001</v>
      </c>
      <c r="L453" s="313">
        <v>1107.72</v>
      </c>
      <c r="M453" s="313">
        <v>73.499184999999997</v>
      </c>
      <c r="N453" s="313">
        <v>13989.3431</v>
      </c>
      <c r="O453" s="313">
        <v>13977.714099999999</v>
      </c>
      <c r="P453" s="315">
        <v>2070.3456999999999</v>
      </c>
      <c r="Q453" s="302" t="s">
        <v>12</v>
      </c>
      <c r="R453" s="315" t="s">
        <v>539</v>
      </c>
      <c r="S453" s="315">
        <v>10</v>
      </c>
      <c r="T453" s="315">
        <v>5</v>
      </c>
      <c r="U453" s="315">
        <v>0.7</v>
      </c>
      <c r="V453" s="315">
        <v>0.7</v>
      </c>
      <c r="W453" s="315">
        <v>0.7</v>
      </c>
      <c r="X453" s="313">
        <v>2000</v>
      </c>
      <c r="Y453" s="313" t="s">
        <v>540</v>
      </c>
      <c r="Z453" s="313">
        <v>0.2</v>
      </c>
      <c r="AA453" s="313" t="s">
        <v>541</v>
      </c>
      <c r="AB453" s="313" t="s">
        <v>542</v>
      </c>
      <c r="AC453" s="328">
        <v>0.85</v>
      </c>
      <c r="AD453" s="151"/>
      <c r="AE453" s="206"/>
    </row>
    <row r="454" spans="1:31" ht="15.75">
      <c r="A454" s="313" t="s">
        <v>803</v>
      </c>
      <c r="B454" s="313" t="s">
        <v>561</v>
      </c>
      <c r="C454" s="313" t="s">
        <v>776</v>
      </c>
      <c r="D454" s="313" t="s">
        <v>538</v>
      </c>
      <c r="E454" s="313">
        <v>1.2</v>
      </c>
      <c r="F454" s="314">
        <v>45495.581944444442</v>
      </c>
      <c r="G454" s="313">
        <v>1</v>
      </c>
      <c r="H454" s="313">
        <v>51.377400000000002</v>
      </c>
      <c r="I454" s="313">
        <v>6.97668</v>
      </c>
      <c r="J454" s="313">
        <v>-23.848431000000001</v>
      </c>
      <c r="K454" s="313">
        <v>-22.374181</v>
      </c>
      <c r="L454" s="313">
        <v>1100.5999999999999</v>
      </c>
      <c r="M454" s="313">
        <v>75.000653999999997</v>
      </c>
      <c r="N454" s="313">
        <v>13966.0851</v>
      </c>
      <c r="O454" s="313">
        <v>13977.714099999999</v>
      </c>
      <c r="P454" s="315">
        <v>2070.3456999999999</v>
      </c>
      <c r="Q454" s="302" t="s">
        <v>12</v>
      </c>
      <c r="R454" s="315" t="s">
        <v>539</v>
      </c>
      <c r="S454" s="315">
        <v>10</v>
      </c>
      <c r="T454" s="315">
        <v>5</v>
      </c>
      <c r="U454" s="315">
        <v>0.7</v>
      </c>
      <c r="V454" s="315">
        <v>0.7</v>
      </c>
      <c r="W454" s="315">
        <v>0.7</v>
      </c>
      <c r="X454" s="313">
        <v>2000</v>
      </c>
      <c r="Y454" s="313" t="s">
        <v>540</v>
      </c>
      <c r="Z454" s="313">
        <v>0.2</v>
      </c>
      <c r="AA454" s="313" t="s">
        <v>541</v>
      </c>
      <c r="AB454" s="313" t="s">
        <v>542</v>
      </c>
      <c r="AC454" s="328">
        <v>0.85</v>
      </c>
      <c r="AD454" s="151"/>
      <c r="AE454" s="206"/>
    </row>
    <row r="455" spans="1:31" ht="15.75">
      <c r="A455" s="313" t="s">
        <v>581</v>
      </c>
      <c r="B455" s="313">
        <v>2</v>
      </c>
      <c r="C455" s="313">
        <v>495</v>
      </c>
      <c r="D455" s="313" t="s">
        <v>564</v>
      </c>
      <c r="E455" s="313">
        <v>1</v>
      </c>
      <c r="F455" s="314">
        <v>45495.585416666669</v>
      </c>
      <c r="G455" s="313">
        <v>1</v>
      </c>
      <c r="H455" s="313">
        <v>51.377400000000002</v>
      </c>
      <c r="I455" s="313">
        <v>6.8574400000000004</v>
      </c>
      <c r="J455" s="313">
        <v>-24.134312000000001</v>
      </c>
      <c r="K455" s="313">
        <v>-22.524138000000001</v>
      </c>
      <c r="L455" s="313">
        <v>1082.46</v>
      </c>
      <c r="M455" s="313">
        <v>73.000071000000005</v>
      </c>
      <c r="N455" s="313">
        <v>11696.4223</v>
      </c>
      <c r="O455" s="313">
        <v>11691.966899999999</v>
      </c>
      <c r="P455" s="315">
        <v>2080.78514</v>
      </c>
      <c r="Q455" s="302" t="s">
        <v>12</v>
      </c>
      <c r="R455" s="315" t="s">
        <v>539</v>
      </c>
      <c r="S455" s="315">
        <v>10</v>
      </c>
      <c r="T455" s="315">
        <v>5</v>
      </c>
      <c r="U455" s="315">
        <v>0.7</v>
      </c>
      <c r="V455" s="315">
        <v>0.7</v>
      </c>
      <c r="W455" s="315">
        <v>0.7</v>
      </c>
      <c r="X455" s="313">
        <v>2000</v>
      </c>
      <c r="Y455" s="313" t="s">
        <v>540</v>
      </c>
      <c r="Z455" s="313">
        <v>0.2</v>
      </c>
      <c r="AA455" s="313" t="s">
        <v>541</v>
      </c>
      <c r="AB455" s="313" t="s">
        <v>542</v>
      </c>
      <c r="AC455" s="328">
        <v>0.85</v>
      </c>
      <c r="AD455" s="151"/>
      <c r="AE455" s="206"/>
    </row>
    <row r="456" spans="1:31" ht="15.75">
      <c r="A456" s="313" t="s">
        <v>583</v>
      </c>
      <c r="B456" s="313">
        <v>2</v>
      </c>
      <c r="C456" s="313">
        <v>495</v>
      </c>
      <c r="D456" s="313" t="s">
        <v>564</v>
      </c>
      <c r="E456" s="313">
        <v>1</v>
      </c>
      <c r="F456" s="314">
        <v>45495.588194444441</v>
      </c>
      <c r="G456" s="313">
        <v>1</v>
      </c>
      <c r="H456" s="313">
        <v>51.374099999999999</v>
      </c>
      <c r="I456" s="313">
        <v>7.3258700000000001</v>
      </c>
      <c r="J456" s="313">
        <v>-24.1675</v>
      </c>
      <c r="K456" s="313">
        <v>-22.612874999999999</v>
      </c>
      <c r="L456" s="313">
        <v>1085.58</v>
      </c>
      <c r="M456" s="313">
        <v>69.501050000000006</v>
      </c>
      <c r="N456" s="313">
        <v>11687.511500000001</v>
      </c>
      <c r="O456" s="313">
        <v>11691.966899999999</v>
      </c>
      <c r="P456" s="315">
        <v>2080.78514</v>
      </c>
      <c r="Q456" s="302" t="s">
        <v>12</v>
      </c>
      <c r="R456" s="315" t="s">
        <v>539</v>
      </c>
      <c r="S456" s="315">
        <v>10</v>
      </c>
      <c r="T456" s="315">
        <v>5</v>
      </c>
      <c r="U456" s="315">
        <v>0.7</v>
      </c>
      <c r="V456" s="315">
        <v>0.7</v>
      </c>
      <c r="W456" s="315">
        <v>0.7</v>
      </c>
      <c r="X456" s="313">
        <v>2000</v>
      </c>
      <c r="Y456" s="313" t="s">
        <v>540</v>
      </c>
      <c r="Z456" s="313">
        <v>0.2</v>
      </c>
      <c r="AA456" s="313" t="s">
        <v>541</v>
      </c>
      <c r="AB456" s="313" t="s">
        <v>542</v>
      </c>
      <c r="AC456" s="328">
        <v>0.85</v>
      </c>
      <c r="AD456" s="151"/>
      <c r="AE456" s="206"/>
    </row>
    <row r="457" spans="1:31" ht="15.75">
      <c r="A457" s="313" t="s">
        <v>584</v>
      </c>
      <c r="B457" s="313">
        <v>3</v>
      </c>
      <c r="C457" s="313">
        <v>496</v>
      </c>
      <c r="D457" s="313" t="s">
        <v>568</v>
      </c>
      <c r="E457" s="313">
        <v>1</v>
      </c>
      <c r="F457" s="314">
        <v>45495.591666666667</v>
      </c>
      <c r="G457" s="313">
        <v>1</v>
      </c>
      <c r="H457" s="313">
        <v>51.374099999999999</v>
      </c>
      <c r="I457" s="313">
        <v>7.4389200000000004</v>
      </c>
      <c r="J457" s="313">
        <v>-24.219850000000001</v>
      </c>
      <c r="K457" s="313">
        <v>-22.524687</v>
      </c>
      <c r="L457" s="313">
        <v>1101.49</v>
      </c>
      <c r="M457" s="313">
        <v>66.999011999999993</v>
      </c>
      <c r="N457" s="313">
        <v>11694.1114</v>
      </c>
      <c r="O457" s="313">
        <v>11686.0491</v>
      </c>
      <c r="P457" s="315">
        <v>2079.74028</v>
      </c>
      <c r="Q457" s="302" t="s">
        <v>12</v>
      </c>
      <c r="R457" s="315" t="s">
        <v>539</v>
      </c>
      <c r="S457" s="315">
        <v>10</v>
      </c>
      <c r="T457" s="315">
        <v>5</v>
      </c>
      <c r="U457" s="315">
        <v>0.7</v>
      </c>
      <c r="V457" s="315">
        <v>0.7</v>
      </c>
      <c r="W457" s="315">
        <v>0.7</v>
      </c>
      <c r="X457" s="313">
        <v>2000</v>
      </c>
      <c r="Y457" s="313" t="s">
        <v>540</v>
      </c>
      <c r="Z457" s="313">
        <v>0.2</v>
      </c>
      <c r="AA457" s="313" t="s">
        <v>541</v>
      </c>
      <c r="AB457" s="313" t="s">
        <v>542</v>
      </c>
      <c r="AC457" s="328">
        <v>0.85</v>
      </c>
      <c r="AD457" s="151"/>
      <c r="AE457" s="206"/>
    </row>
    <row r="458" spans="1:31" ht="15.75">
      <c r="A458" s="313" t="s">
        <v>586</v>
      </c>
      <c r="B458" s="313">
        <v>3</v>
      </c>
      <c r="C458" s="313">
        <v>496</v>
      </c>
      <c r="D458" s="313" t="s">
        <v>568</v>
      </c>
      <c r="E458" s="313">
        <v>1</v>
      </c>
      <c r="F458" s="314">
        <v>45495.594444444447</v>
      </c>
      <c r="G458" s="313">
        <v>1</v>
      </c>
      <c r="H458" s="313">
        <v>51.374099999999999</v>
      </c>
      <c r="I458" s="313">
        <v>7.5434900000000003</v>
      </c>
      <c r="J458" s="313">
        <v>-24.230512000000001</v>
      </c>
      <c r="K458" s="313">
        <v>-22.925913000000001</v>
      </c>
      <c r="L458" s="313">
        <v>1073.3800000000001</v>
      </c>
      <c r="M458" s="313">
        <v>72.501977999999994</v>
      </c>
      <c r="N458" s="313">
        <v>11677.986699999999</v>
      </c>
      <c r="O458" s="313">
        <v>11686.0491</v>
      </c>
      <c r="P458" s="315">
        <v>2079.74028</v>
      </c>
      <c r="Q458" s="302" t="s">
        <v>12</v>
      </c>
      <c r="R458" s="315" t="s">
        <v>539</v>
      </c>
      <c r="S458" s="315">
        <v>10</v>
      </c>
      <c r="T458" s="315">
        <v>5</v>
      </c>
      <c r="U458" s="315">
        <v>0.7</v>
      </c>
      <c r="V458" s="315">
        <v>0.7</v>
      </c>
      <c r="W458" s="315">
        <v>0.7</v>
      </c>
      <c r="X458" s="313">
        <v>2000</v>
      </c>
      <c r="Y458" s="313" t="s">
        <v>540</v>
      </c>
      <c r="Z458" s="313">
        <v>0.2</v>
      </c>
      <c r="AA458" s="313" t="s">
        <v>541</v>
      </c>
      <c r="AB458" s="313" t="s">
        <v>542</v>
      </c>
      <c r="AC458" s="328">
        <v>0.85</v>
      </c>
      <c r="AD458" s="151"/>
      <c r="AE458" s="206"/>
    </row>
    <row r="459" spans="1:31" ht="15.75">
      <c r="A459" s="313" t="s">
        <v>588</v>
      </c>
      <c r="B459" s="313">
        <v>4</v>
      </c>
      <c r="C459" s="313">
        <v>560</v>
      </c>
      <c r="D459" s="313" t="s">
        <v>571</v>
      </c>
      <c r="E459" s="313">
        <v>1</v>
      </c>
      <c r="F459" s="314">
        <v>45495.597222222219</v>
      </c>
      <c r="G459" s="313">
        <v>1</v>
      </c>
      <c r="H459" s="313">
        <v>51.377400000000002</v>
      </c>
      <c r="I459" s="313">
        <v>7.49796</v>
      </c>
      <c r="J459" s="313">
        <v>-24.095644</v>
      </c>
      <c r="K459" s="313">
        <v>-22.309374999999999</v>
      </c>
      <c r="L459" s="313">
        <v>1076.3800000000001</v>
      </c>
      <c r="M459" s="313">
        <v>65.499561999999997</v>
      </c>
      <c r="N459" s="313">
        <v>11692.7819</v>
      </c>
      <c r="O459" s="313">
        <v>11724.079100000001</v>
      </c>
      <c r="P459" s="315">
        <v>2086.4549000000002</v>
      </c>
      <c r="Q459" s="302" t="s">
        <v>12</v>
      </c>
      <c r="R459" s="315" t="s">
        <v>553</v>
      </c>
      <c r="S459" s="315">
        <v>10</v>
      </c>
      <c r="T459" s="315">
        <v>5</v>
      </c>
      <c r="U459" s="315">
        <v>0.7</v>
      </c>
      <c r="V459" s="315">
        <v>0.7</v>
      </c>
      <c r="W459" s="315">
        <v>0.7</v>
      </c>
      <c r="X459" s="313">
        <v>2000</v>
      </c>
      <c r="Y459" s="313" t="s">
        <v>540</v>
      </c>
      <c r="Z459" s="313">
        <v>0.2</v>
      </c>
      <c r="AA459" s="313" t="s">
        <v>541</v>
      </c>
      <c r="AB459" s="313" t="s">
        <v>542</v>
      </c>
      <c r="AC459" s="328">
        <v>0.85</v>
      </c>
      <c r="AD459" s="151"/>
      <c r="AE459" s="206"/>
    </row>
    <row r="460" spans="1:31" ht="15.75">
      <c r="A460" s="313" t="s">
        <v>590</v>
      </c>
      <c r="B460" s="313">
        <v>4</v>
      </c>
      <c r="C460" s="313">
        <v>560</v>
      </c>
      <c r="D460" s="313" t="s">
        <v>571</v>
      </c>
      <c r="E460" s="313">
        <v>1</v>
      </c>
      <c r="F460" s="314">
        <v>45495.6</v>
      </c>
      <c r="G460" s="313">
        <v>1</v>
      </c>
      <c r="H460" s="313">
        <v>51.377400000000002</v>
      </c>
      <c r="I460" s="313">
        <v>7.3752800000000001</v>
      </c>
      <c r="J460" s="313">
        <v>-24.193331000000001</v>
      </c>
      <c r="K460" s="313">
        <v>-22.475487000000001</v>
      </c>
      <c r="L460" s="313">
        <v>1071.82</v>
      </c>
      <c r="M460" s="313">
        <v>68.999806000000007</v>
      </c>
      <c r="N460" s="313">
        <v>11734.552</v>
      </c>
      <c r="O460" s="313">
        <v>11724.079100000001</v>
      </c>
      <c r="P460" s="315">
        <v>2086.4549000000002</v>
      </c>
      <c r="Q460" s="302" t="s">
        <v>12</v>
      </c>
      <c r="R460" s="315" t="s">
        <v>539</v>
      </c>
      <c r="S460" s="315">
        <v>10</v>
      </c>
      <c r="T460" s="315">
        <v>5</v>
      </c>
      <c r="U460" s="315">
        <v>0.7</v>
      </c>
      <c r="V460" s="315">
        <v>0.7</v>
      </c>
      <c r="W460" s="315">
        <v>0.7</v>
      </c>
      <c r="X460" s="313">
        <v>2000</v>
      </c>
      <c r="Y460" s="313" t="s">
        <v>540</v>
      </c>
      <c r="Z460" s="313">
        <v>0.2</v>
      </c>
      <c r="AA460" s="313" t="s">
        <v>541</v>
      </c>
      <c r="AB460" s="313" t="s">
        <v>542</v>
      </c>
      <c r="AC460" s="328">
        <v>0.85</v>
      </c>
      <c r="AD460" s="151"/>
      <c r="AE460" s="206"/>
    </row>
    <row r="461" spans="1:31" ht="15.75">
      <c r="A461" s="313" t="s">
        <v>685</v>
      </c>
      <c r="B461" s="313">
        <v>4</v>
      </c>
      <c r="C461" s="313">
        <v>560</v>
      </c>
      <c r="D461" s="313" t="s">
        <v>571</v>
      </c>
      <c r="E461" s="313">
        <v>1</v>
      </c>
      <c r="F461" s="314">
        <v>45495.602777777778</v>
      </c>
      <c r="G461" s="313">
        <v>1</v>
      </c>
      <c r="H461" s="313">
        <v>51.374099999999999</v>
      </c>
      <c r="I461" s="313">
        <v>7.14879</v>
      </c>
      <c r="J461" s="313">
        <v>-24.615569000000001</v>
      </c>
      <c r="K461" s="313">
        <v>-23.112012</v>
      </c>
      <c r="L461" s="313">
        <v>1066.6400000000001</v>
      </c>
      <c r="M461" s="313">
        <v>70.499117999999996</v>
      </c>
      <c r="N461" s="313">
        <v>11713.606100000001</v>
      </c>
      <c r="O461" s="313">
        <v>11724.079100000001</v>
      </c>
      <c r="P461" s="315">
        <v>2086.4549000000002</v>
      </c>
      <c r="Q461" s="302" t="s">
        <v>12</v>
      </c>
      <c r="R461" s="315" t="s">
        <v>539</v>
      </c>
      <c r="S461" s="315">
        <v>10</v>
      </c>
      <c r="T461" s="315">
        <v>5</v>
      </c>
      <c r="U461" s="315">
        <v>0.7</v>
      </c>
      <c r="V461" s="315">
        <v>0.7</v>
      </c>
      <c r="W461" s="315">
        <v>0.7</v>
      </c>
      <c r="X461" s="313">
        <v>2000</v>
      </c>
      <c r="Y461" s="313" t="s">
        <v>540</v>
      </c>
      <c r="Z461" s="313">
        <v>0.2</v>
      </c>
      <c r="AA461" s="313" t="s">
        <v>541</v>
      </c>
      <c r="AB461" s="313" t="s">
        <v>542</v>
      </c>
      <c r="AC461" s="328">
        <v>0.85</v>
      </c>
      <c r="AD461" s="151"/>
      <c r="AE461" s="206"/>
    </row>
    <row r="462" spans="1:31" ht="15.75">
      <c r="A462" s="313" t="s">
        <v>688</v>
      </c>
      <c r="B462" s="313">
        <v>5</v>
      </c>
      <c r="C462" s="313">
        <v>561</v>
      </c>
      <c r="D462" s="313" t="s">
        <v>575</v>
      </c>
      <c r="E462" s="313">
        <v>1</v>
      </c>
      <c r="F462" s="314">
        <v>45495.606249999997</v>
      </c>
      <c r="G462" s="313">
        <v>1</v>
      </c>
      <c r="H462" s="313">
        <v>51.374099999999999</v>
      </c>
      <c r="I462" s="313">
        <v>6.9155800000000003</v>
      </c>
      <c r="J462" s="313">
        <v>-24.687144</v>
      </c>
      <c r="K462" s="313">
        <v>-22.930969000000001</v>
      </c>
      <c r="L462" s="313">
        <v>1052.81</v>
      </c>
      <c r="M462" s="313">
        <v>73.500230999999999</v>
      </c>
      <c r="N462" s="313">
        <v>11617.586300000001</v>
      </c>
      <c r="O462" s="313">
        <v>11644.699199999999</v>
      </c>
      <c r="P462" s="315">
        <v>2072.4395</v>
      </c>
      <c r="Q462" s="302" t="s">
        <v>12</v>
      </c>
      <c r="R462" s="315" t="s">
        <v>553</v>
      </c>
      <c r="S462" s="315">
        <v>10</v>
      </c>
      <c r="T462" s="315">
        <v>5</v>
      </c>
      <c r="U462" s="315">
        <v>0.7</v>
      </c>
      <c r="V462" s="315">
        <v>0.7</v>
      </c>
      <c r="W462" s="315">
        <v>0.7</v>
      </c>
      <c r="X462" s="313">
        <v>2000</v>
      </c>
      <c r="Y462" s="313" t="s">
        <v>540</v>
      </c>
      <c r="Z462" s="313">
        <v>0.2</v>
      </c>
      <c r="AA462" s="313" t="s">
        <v>541</v>
      </c>
      <c r="AB462" s="313" t="s">
        <v>542</v>
      </c>
      <c r="AC462" s="328">
        <v>0.85</v>
      </c>
      <c r="AD462" s="151"/>
      <c r="AE462" s="206"/>
    </row>
    <row r="463" spans="1:31" ht="15.75">
      <c r="A463" s="313" t="s">
        <v>689</v>
      </c>
      <c r="B463" s="313">
        <v>5</v>
      </c>
      <c r="C463" s="313">
        <v>561</v>
      </c>
      <c r="D463" s="313" t="s">
        <v>575</v>
      </c>
      <c r="E463" s="313">
        <v>1</v>
      </c>
      <c r="F463" s="314">
        <v>45495.609027777777</v>
      </c>
      <c r="G463" s="313">
        <v>1</v>
      </c>
      <c r="H463" s="313">
        <v>51.377400000000002</v>
      </c>
      <c r="I463" s="313">
        <v>7.0165300000000004</v>
      </c>
      <c r="J463" s="313">
        <v>-24.623180999999999</v>
      </c>
      <c r="K463" s="313">
        <v>-23.342093999999999</v>
      </c>
      <c r="L463" s="313">
        <v>1043.6500000000001</v>
      </c>
      <c r="M463" s="313">
        <v>74.499498000000003</v>
      </c>
      <c r="N463" s="313">
        <v>11667.797399999999</v>
      </c>
      <c r="O463" s="313">
        <v>11644.699199999999</v>
      </c>
      <c r="P463" s="315">
        <v>2072.4395</v>
      </c>
      <c r="Q463" s="302" t="s">
        <v>12</v>
      </c>
      <c r="R463" s="315" t="s">
        <v>553</v>
      </c>
      <c r="S463" s="315">
        <v>10</v>
      </c>
      <c r="T463" s="315">
        <v>5</v>
      </c>
      <c r="U463" s="315">
        <v>0.7</v>
      </c>
      <c r="V463" s="315">
        <v>0.7</v>
      </c>
      <c r="W463" s="315">
        <v>0.7</v>
      </c>
      <c r="X463" s="313">
        <v>2000</v>
      </c>
      <c r="Y463" s="313" t="s">
        <v>540</v>
      </c>
      <c r="Z463" s="313">
        <v>0.2</v>
      </c>
      <c r="AA463" s="313" t="s">
        <v>541</v>
      </c>
      <c r="AB463" s="313" t="s">
        <v>542</v>
      </c>
      <c r="AC463" s="328">
        <v>0.85</v>
      </c>
      <c r="AD463" s="151"/>
      <c r="AE463" s="206"/>
    </row>
    <row r="464" spans="1:31" ht="15.75">
      <c r="A464" s="313" t="s">
        <v>690</v>
      </c>
      <c r="B464" s="313">
        <v>5</v>
      </c>
      <c r="C464" s="313">
        <v>561</v>
      </c>
      <c r="D464" s="313" t="s">
        <v>575</v>
      </c>
      <c r="E464" s="313">
        <v>1</v>
      </c>
      <c r="F464" s="314">
        <v>45495.611805555556</v>
      </c>
      <c r="G464" s="313">
        <v>1</v>
      </c>
      <c r="H464" s="313">
        <v>51.370800000000003</v>
      </c>
      <c r="I464" s="313">
        <v>6.88042</v>
      </c>
      <c r="J464" s="313">
        <v>-24.634568999999999</v>
      </c>
      <c r="K464" s="313">
        <v>-23.208818999999998</v>
      </c>
      <c r="L464" s="313">
        <v>1077.22</v>
      </c>
      <c r="M464" s="313">
        <v>72.999701000000002</v>
      </c>
      <c r="N464" s="313">
        <v>11642.168100000001</v>
      </c>
      <c r="O464" s="313">
        <v>11644.699199999999</v>
      </c>
      <c r="P464" s="315">
        <v>2072.4395</v>
      </c>
      <c r="Q464" s="302" t="s">
        <v>12</v>
      </c>
      <c r="R464" s="315" t="s">
        <v>539</v>
      </c>
      <c r="S464" s="315">
        <v>10</v>
      </c>
      <c r="T464" s="315">
        <v>5</v>
      </c>
      <c r="U464" s="315">
        <v>0.7</v>
      </c>
      <c r="V464" s="315">
        <v>0.7</v>
      </c>
      <c r="W464" s="315">
        <v>0.7</v>
      </c>
      <c r="X464" s="313">
        <v>2000</v>
      </c>
      <c r="Y464" s="313" t="s">
        <v>540</v>
      </c>
      <c r="Z464" s="313">
        <v>0.2</v>
      </c>
      <c r="AA464" s="313" t="s">
        <v>541</v>
      </c>
      <c r="AB464" s="313" t="s">
        <v>542</v>
      </c>
      <c r="AC464" s="328">
        <v>0.85</v>
      </c>
      <c r="AD464" s="151"/>
      <c r="AE464" s="206"/>
    </row>
    <row r="465" spans="1:31" ht="15.75">
      <c r="A465" s="313" t="s">
        <v>804</v>
      </c>
      <c r="B465" s="313">
        <v>5</v>
      </c>
      <c r="C465" s="313">
        <v>561</v>
      </c>
      <c r="D465" s="313" t="s">
        <v>575</v>
      </c>
      <c r="E465" s="313">
        <v>1</v>
      </c>
      <c r="F465" s="314">
        <v>45495.615277777775</v>
      </c>
      <c r="G465" s="313">
        <v>1</v>
      </c>
      <c r="H465" s="313">
        <v>51.374099999999999</v>
      </c>
      <c r="I465" s="313">
        <v>6.6973700000000003</v>
      </c>
      <c r="J465" s="313">
        <v>-24.666675000000001</v>
      </c>
      <c r="K465" s="313">
        <v>-22.922924999999999</v>
      </c>
      <c r="L465" s="313">
        <v>1054.02</v>
      </c>
      <c r="M465" s="313">
        <v>71.000448000000006</v>
      </c>
      <c r="N465" s="313">
        <v>11647.230299999999</v>
      </c>
      <c r="O465" s="313">
        <v>11644.699199999999</v>
      </c>
      <c r="P465" s="315">
        <v>2072.4395</v>
      </c>
      <c r="Q465" s="302" t="s">
        <v>12</v>
      </c>
      <c r="R465" s="315" t="s">
        <v>539</v>
      </c>
      <c r="S465" s="315">
        <v>10</v>
      </c>
      <c r="T465" s="315">
        <v>5</v>
      </c>
      <c r="U465" s="315">
        <v>0.7</v>
      </c>
      <c r="V465" s="315">
        <v>0.7</v>
      </c>
      <c r="W465" s="315">
        <v>0.7</v>
      </c>
      <c r="X465" s="313">
        <v>2000</v>
      </c>
      <c r="Y465" s="313" t="s">
        <v>540</v>
      </c>
      <c r="Z465" s="313">
        <v>0.2</v>
      </c>
      <c r="AA465" s="313" t="s">
        <v>541</v>
      </c>
      <c r="AB465" s="313" t="s">
        <v>542</v>
      </c>
      <c r="AC465" s="328">
        <v>0.85</v>
      </c>
      <c r="AD465" s="151"/>
      <c r="AE465" s="206"/>
    </row>
    <row r="466" spans="1:31" ht="15.75">
      <c r="A466" s="313" t="s">
        <v>597</v>
      </c>
      <c r="B466" s="313">
        <v>6</v>
      </c>
      <c r="C466" s="313">
        <v>430</v>
      </c>
      <c r="D466" s="313" t="s">
        <v>579</v>
      </c>
      <c r="E466" s="313">
        <v>1</v>
      </c>
      <c r="F466" s="314">
        <v>45495.618055555555</v>
      </c>
      <c r="G466" s="313">
        <v>1</v>
      </c>
      <c r="H466" s="313">
        <v>51.370800000000003</v>
      </c>
      <c r="I466" s="313">
        <v>6.5135899999999998</v>
      </c>
      <c r="J466" s="313">
        <v>-24.784756000000002</v>
      </c>
      <c r="K466" s="313">
        <v>-24.418256</v>
      </c>
      <c r="L466" s="313">
        <v>-2.2822399999999998</v>
      </c>
      <c r="M466" s="313">
        <v>50.999698000000002</v>
      </c>
      <c r="N466" s="313">
        <v>277.93428</v>
      </c>
      <c r="O466" s="313">
        <v>11598.9648</v>
      </c>
      <c r="P466" s="315">
        <v>2064.3645799999999</v>
      </c>
      <c r="Q466" s="302" t="s">
        <v>12</v>
      </c>
      <c r="R466" s="315" t="s">
        <v>553</v>
      </c>
      <c r="S466" s="315">
        <v>10</v>
      </c>
      <c r="T466" s="315">
        <v>5</v>
      </c>
      <c r="U466" s="315">
        <v>0.7</v>
      </c>
      <c r="V466" s="315">
        <v>0.7</v>
      </c>
      <c r="W466" s="315">
        <v>0.7</v>
      </c>
      <c r="X466" s="313">
        <v>2000</v>
      </c>
      <c r="Y466" s="313" t="s">
        <v>540</v>
      </c>
      <c r="Z466" s="313">
        <v>0.2</v>
      </c>
      <c r="AA466" s="313" t="s">
        <v>541</v>
      </c>
      <c r="AB466" s="313" t="s">
        <v>542</v>
      </c>
      <c r="AC466" s="328">
        <v>0.85</v>
      </c>
      <c r="AD466" s="151"/>
      <c r="AE466" s="206"/>
    </row>
    <row r="467" spans="1:31" ht="15.75">
      <c r="A467" s="313" t="s">
        <v>598</v>
      </c>
      <c r="B467" s="313">
        <v>6</v>
      </c>
      <c r="C467" s="313">
        <v>430</v>
      </c>
      <c r="D467" s="313" t="s">
        <v>579</v>
      </c>
      <c r="E467" s="313">
        <v>1</v>
      </c>
      <c r="F467" s="314">
        <v>45495.620833333334</v>
      </c>
      <c r="G467" s="313">
        <v>1</v>
      </c>
      <c r="H467" s="313">
        <v>51.370800000000003</v>
      </c>
      <c r="I467" s="313">
        <v>6.43818</v>
      </c>
      <c r="J467" s="313">
        <v>-24.761012999999998</v>
      </c>
      <c r="K467" s="313">
        <v>-24.544294000000001</v>
      </c>
      <c r="L467" s="313">
        <v>-5.2326300000000003</v>
      </c>
      <c r="M467" s="313">
        <v>51.499246999999997</v>
      </c>
      <c r="N467" s="313">
        <v>240.12213700000001</v>
      </c>
      <c r="O467" s="313">
        <v>11598.9648</v>
      </c>
      <c r="P467" s="315">
        <v>2064.3645799999999</v>
      </c>
      <c r="Q467" s="302" t="s">
        <v>12</v>
      </c>
      <c r="R467" s="315" t="s">
        <v>553</v>
      </c>
      <c r="S467" s="315">
        <v>10</v>
      </c>
      <c r="T467" s="315">
        <v>5</v>
      </c>
      <c r="U467" s="315">
        <v>0.7</v>
      </c>
      <c r="V467" s="315">
        <v>0.7</v>
      </c>
      <c r="W467" s="315">
        <v>0.7</v>
      </c>
      <c r="X467" s="313">
        <v>2000</v>
      </c>
      <c r="Y467" s="313" t="s">
        <v>540</v>
      </c>
      <c r="Z467" s="313">
        <v>0.2</v>
      </c>
      <c r="AA467" s="313" t="s">
        <v>541</v>
      </c>
      <c r="AB467" s="313" t="s">
        <v>542</v>
      </c>
      <c r="AC467" s="328">
        <v>0.85</v>
      </c>
      <c r="AD467" s="151"/>
      <c r="AE467" s="206"/>
    </row>
    <row r="468" spans="1:31" ht="15.75">
      <c r="A468" s="313" t="s">
        <v>739</v>
      </c>
      <c r="B468" s="313">
        <v>6</v>
      </c>
      <c r="C468" s="313">
        <v>430</v>
      </c>
      <c r="D468" s="313" t="s">
        <v>579</v>
      </c>
      <c r="E468" s="313">
        <v>1</v>
      </c>
      <c r="F468" s="314">
        <v>45495.623611111114</v>
      </c>
      <c r="G468" s="313">
        <v>1</v>
      </c>
      <c r="H468" s="313">
        <v>51.374099999999999</v>
      </c>
      <c r="I468" s="313">
        <v>6.5055699999999996</v>
      </c>
      <c r="J468" s="313">
        <v>-24.658000000000001</v>
      </c>
      <c r="K468" s="313">
        <v>-23.137550000000001</v>
      </c>
      <c r="L468" s="313">
        <v>752.39400000000001</v>
      </c>
      <c r="M468" s="313">
        <v>69.500080999999994</v>
      </c>
      <c r="N468" s="313">
        <v>7924.8753699999997</v>
      </c>
      <c r="O468" s="313">
        <v>11598.9648</v>
      </c>
      <c r="P468" s="315">
        <v>2064.3645799999999</v>
      </c>
      <c r="Q468" s="302" t="s">
        <v>12</v>
      </c>
      <c r="R468" s="315" t="s">
        <v>553</v>
      </c>
      <c r="S468" s="315">
        <v>10</v>
      </c>
      <c r="T468" s="315">
        <v>5</v>
      </c>
      <c r="U468" s="315">
        <v>0.7</v>
      </c>
      <c r="V468" s="315">
        <v>0.7</v>
      </c>
      <c r="W468" s="315">
        <v>0.7</v>
      </c>
      <c r="X468" s="313">
        <v>2000</v>
      </c>
      <c r="Y468" s="313" t="s">
        <v>540</v>
      </c>
      <c r="Z468" s="313">
        <v>0.2</v>
      </c>
      <c r="AA468" s="313" t="s">
        <v>541</v>
      </c>
      <c r="AB468" s="313" t="s">
        <v>542</v>
      </c>
      <c r="AC468" s="328">
        <v>0.85</v>
      </c>
      <c r="AD468" s="151"/>
      <c r="AE468" s="206"/>
    </row>
    <row r="469" spans="1:31" ht="15.75">
      <c r="A469" s="313" t="s">
        <v>740</v>
      </c>
      <c r="B469" s="313">
        <v>6</v>
      </c>
      <c r="C469" s="313">
        <v>430</v>
      </c>
      <c r="D469" s="313" t="s">
        <v>579</v>
      </c>
      <c r="E469" s="313">
        <v>1</v>
      </c>
      <c r="F469" s="314">
        <v>45495.626388888886</v>
      </c>
      <c r="G469" s="313">
        <v>1</v>
      </c>
      <c r="H469" s="313">
        <v>51.377400000000002</v>
      </c>
      <c r="I469" s="313">
        <v>6.6799299999999997</v>
      </c>
      <c r="J469" s="313">
        <v>-24.531444</v>
      </c>
      <c r="K469" s="313">
        <v>-22.550944000000001</v>
      </c>
      <c r="L469" s="313">
        <v>1047.94</v>
      </c>
      <c r="M469" s="313">
        <v>68.499968999999993</v>
      </c>
      <c r="N469" s="313">
        <v>11597.447899999999</v>
      </c>
      <c r="O469" s="313">
        <v>11598.9648</v>
      </c>
      <c r="P469" s="315">
        <v>2064.3645799999999</v>
      </c>
      <c r="Q469" s="302" t="s">
        <v>12</v>
      </c>
      <c r="R469" s="315" t="s">
        <v>539</v>
      </c>
      <c r="S469" s="315">
        <v>10</v>
      </c>
      <c r="T469" s="315">
        <v>5</v>
      </c>
      <c r="U469" s="315">
        <v>0.7</v>
      </c>
      <c r="V469" s="315">
        <v>0.7</v>
      </c>
      <c r="W469" s="315">
        <v>0.7</v>
      </c>
      <c r="X469" s="313">
        <v>2000</v>
      </c>
      <c r="Y469" s="313" t="s">
        <v>540</v>
      </c>
      <c r="Z469" s="313">
        <v>0.2</v>
      </c>
      <c r="AA469" s="313" t="s">
        <v>541</v>
      </c>
      <c r="AB469" s="313" t="s">
        <v>542</v>
      </c>
      <c r="AC469" s="328">
        <v>0.85</v>
      </c>
      <c r="AD469" s="151"/>
      <c r="AE469" s="206"/>
    </row>
    <row r="470" spans="1:31" ht="15.75">
      <c r="A470" s="313" t="s">
        <v>805</v>
      </c>
      <c r="B470" s="313">
        <v>6</v>
      </c>
      <c r="C470" s="313">
        <v>430</v>
      </c>
      <c r="D470" s="313" t="s">
        <v>579</v>
      </c>
      <c r="E470" s="313">
        <v>1</v>
      </c>
      <c r="F470" s="314">
        <v>45495.629166666666</v>
      </c>
      <c r="G470" s="313">
        <v>1</v>
      </c>
      <c r="H470" s="313">
        <v>51.380699999999997</v>
      </c>
      <c r="I470" s="313">
        <v>6.77651</v>
      </c>
      <c r="J470" s="313">
        <v>-24.814599999999999</v>
      </c>
      <c r="K470" s="313">
        <v>-23.341830999999999</v>
      </c>
      <c r="L470" s="313">
        <v>1060.82</v>
      </c>
      <c r="M470" s="313">
        <v>74.500141999999997</v>
      </c>
      <c r="N470" s="313">
        <v>11600.4817</v>
      </c>
      <c r="O470" s="313">
        <v>11598.9648</v>
      </c>
      <c r="P470" s="315">
        <v>2064.3645799999999</v>
      </c>
      <c r="Q470" s="302" t="s">
        <v>12</v>
      </c>
      <c r="R470" s="315" t="s">
        <v>539</v>
      </c>
      <c r="S470" s="315">
        <v>10</v>
      </c>
      <c r="T470" s="315">
        <v>5</v>
      </c>
      <c r="U470" s="315">
        <v>0.7</v>
      </c>
      <c r="V470" s="315">
        <v>0.7</v>
      </c>
      <c r="W470" s="315">
        <v>0.7</v>
      </c>
      <c r="X470" s="313">
        <v>2000</v>
      </c>
      <c r="Y470" s="313" t="s">
        <v>540</v>
      </c>
      <c r="Z470" s="313">
        <v>0.2</v>
      </c>
      <c r="AA470" s="313" t="s">
        <v>541</v>
      </c>
      <c r="AB470" s="313" t="s">
        <v>542</v>
      </c>
      <c r="AC470" s="328">
        <v>0.85</v>
      </c>
      <c r="AD470" s="151"/>
      <c r="AE470" s="206"/>
    </row>
    <row r="471" spans="1:31" ht="15.75">
      <c r="A471" s="313" t="s">
        <v>599</v>
      </c>
      <c r="B471" s="313">
        <v>7</v>
      </c>
      <c r="C471" s="313">
        <v>431</v>
      </c>
      <c r="D471" s="313" t="s">
        <v>582</v>
      </c>
      <c r="E471" s="313">
        <v>1</v>
      </c>
      <c r="F471" s="314">
        <v>45495.632638888892</v>
      </c>
      <c r="G471" s="313">
        <v>1</v>
      </c>
      <c r="H471" s="313">
        <v>51.374099999999999</v>
      </c>
      <c r="I471" s="313">
        <v>6.6303900000000002</v>
      </c>
      <c r="J471" s="313">
        <v>-24.869888</v>
      </c>
      <c r="K471" s="313">
        <v>-23.201425</v>
      </c>
      <c r="L471" s="313">
        <v>1048.46</v>
      </c>
      <c r="M471" s="313">
        <v>72.000085999999996</v>
      </c>
      <c r="N471" s="313">
        <v>11354.3791</v>
      </c>
      <c r="O471" s="313">
        <v>0</v>
      </c>
      <c r="P471" s="315">
        <v>0</v>
      </c>
      <c r="Q471" s="302" t="s">
        <v>280</v>
      </c>
      <c r="R471" s="315" t="s">
        <v>607</v>
      </c>
      <c r="S471" s="315">
        <v>10</v>
      </c>
      <c r="T471" s="315">
        <v>5</v>
      </c>
      <c r="U471" s="315">
        <v>0.7</v>
      </c>
      <c r="V471" s="315">
        <v>0.7</v>
      </c>
      <c r="W471" s="315">
        <v>0.7</v>
      </c>
      <c r="X471" s="313">
        <v>2000</v>
      </c>
      <c r="Y471" s="313" t="s">
        <v>540</v>
      </c>
      <c r="Z471" s="313">
        <v>0.2</v>
      </c>
      <c r="AA471" s="313" t="s">
        <v>541</v>
      </c>
      <c r="AB471" s="313" t="s">
        <v>542</v>
      </c>
      <c r="AC471" s="328">
        <v>0.85</v>
      </c>
      <c r="AD471" s="151"/>
      <c r="AE471" s="206"/>
    </row>
    <row r="472" spans="1:31" ht="15.75">
      <c r="A472" s="313" t="s">
        <v>600</v>
      </c>
      <c r="B472" s="313">
        <v>7</v>
      </c>
      <c r="C472" s="313">
        <v>431</v>
      </c>
      <c r="D472" s="313" t="s">
        <v>582</v>
      </c>
      <c r="E472" s="313">
        <v>1</v>
      </c>
      <c r="F472" s="314">
        <v>45495.635416666664</v>
      </c>
      <c r="G472" s="313">
        <v>1</v>
      </c>
      <c r="H472" s="313">
        <v>51.377400000000002</v>
      </c>
      <c r="I472" s="313">
        <v>7.1314799999999998</v>
      </c>
      <c r="J472" s="313">
        <v>-24.666269</v>
      </c>
      <c r="K472" s="313">
        <v>-23.573663</v>
      </c>
      <c r="L472" s="313">
        <v>1061.3800000000001</v>
      </c>
      <c r="M472" s="313">
        <v>77.999039999999994</v>
      </c>
      <c r="N472" s="313">
        <v>11726.7822</v>
      </c>
      <c r="O472" s="313">
        <v>0</v>
      </c>
      <c r="P472" s="315">
        <v>0</v>
      </c>
      <c r="Q472" s="302" t="s">
        <v>280</v>
      </c>
      <c r="R472" s="315" t="s">
        <v>607</v>
      </c>
      <c r="S472" s="315">
        <v>10</v>
      </c>
      <c r="T472" s="315">
        <v>5</v>
      </c>
      <c r="U472" s="315">
        <v>0.7</v>
      </c>
      <c r="V472" s="315">
        <v>0.7</v>
      </c>
      <c r="W472" s="315">
        <v>0.7</v>
      </c>
      <c r="X472" s="313">
        <v>2000</v>
      </c>
      <c r="Y472" s="313" t="s">
        <v>540</v>
      </c>
      <c r="Z472" s="313">
        <v>0.2</v>
      </c>
      <c r="AA472" s="313" t="s">
        <v>541</v>
      </c>
      <c r="AB472" s="313" t="s">
        <v>542</v>
      </c>
      <c r="AC472" s="328">
        <v>0.85</v>
      </c>
      <c r="AD472" s="151"/>
      <c r="AE472" s="206"/>
    </row>
    <row r="473" spans="1:31" ht="15.75">
      <c r="A473" s="313" t="s">
        <v>691</v>
      </c>
      <c r="B473" s="313">
        <v>7</v>
      </c>
      <c r="C473" s="313">
        <v>431</v>
      </c>
      <c r="D473" s="313" t="s">
        <v>582</v>
      </c>
      <c r="E473" s="313">
        <v>1</v>
      </c>
      <c r="F473" s="314">
        <v>45495.638194444444</v>
      </c>
      <c r="G473" s="313">
        <v>1</v>
      </c>
      <c r="H473" s="313">
        <v>51.374099999999999</v>
      </c>
      <c r="I473" s="313">
        <v>7.5071899999999996</v>
      </c>
      <c r="J473" s="313">
        <v>-24.778044000000001</v>
      </c>
      <c r="K473" s="313">
        <v>-22.536549999999998</v>
      </c>
      <c r="L473" s="313">
        <v>1075.76</v>
      </c>
      <c r="M473" s="313">
        <v>63.500044000000003</v>
      </c>
      <c r="N473" s="313">
        <v>11579.11</v>
      </c>
      <c r="O473" s="313">
        <v>0</v>
      </c>
      <c r="P473" s="315">
        <v>0</v>
      </c>
      <c r="Q473" s="302" t="s">
        <v>280</v>
      </c>
      <c r="R473" s="315" t="s">
        <v>607</v>
      </c>
      <c r="S473" s="315">
        <v>10</v>
      </c>
      <c r="T473" s="315">
        <v>5</v>
      </c>
      <c r="U473" s="315">
        <v>0.7</v>
      </c>
      <c r="V473" s="315">
        <v>0.7</v>
      </c>
      <c r="W473" s="315">
        <v>0.7</v>
      </c>
      <c r="X473" s="313">
        <v>2000</v>
      </c>
      <c r="Y473" s="313" t="s">
        <v>540</v>
      </c>
      <c r="Z473" s="313">
        <v>0.2</v>
      </c>
      <c r="AA473" s="313" t="s">
        <v>541</v>
      </c>
      <c r="AB473" s="313" t="s">
        <v>542</v>
      </c>
      <c r="AC473" s="328">
        <v>0.85</v>
      </c>
      <c r="AD473" s="151"/>
      <c r="AE473" s="206"/>
    </row>
    <row r="474" spans="1:31" ht="15.75">
      <c r="A474" s="313" t="s">
        <v>806</v>
      </c>
      <c r="B474" s="313">
        <v>7</v>
      </c>
      <c r="C474" s="313">
        <v>431</v>
      </c>
      <c r="D474" s="313" t="s">
        <v>582</v>
      </c>
      <c r="E474" s="313">
        <v>1</v>
      </c>
      <c r="F474" s="314">
        <v>45495.640972222223</v>
      </c>
      <c r="G474" s="313">
        <v>1</v>
      </c>
      <c r="H474" s="313">
        <v>51.374099999999999</v>
      </c>
      <c r="I474" s="313">
        <v>7.4779099999999996</v>
      </c>
      <c r="J474" s="313">
        <v>-24.726455999999999</v>
      </c>
      <c r="K474" s="313">
        <v>-22.871649999999999</v>
      </c>
      <c r="L474" s="313">
        <v>1071.8</v>
      </c>
      <c r="M474" s="313">
        <v>67.999814999999998</v>
      </c>
      <c r="N474" s="313">
        <v>11833.588299999999</v>
      </c>
      <c r="O474" s="313">
        <v>0</v>
      </c>
      <c r="P474" s="315">
        <v>0</v>
      </c>
      <c r="Q474" s="302" t="s">
        <v>280</v>
      </c>
      <c r="R474" s="315" t="s">
        <v>607</v>
      </c>
      <c r="S474" s="315">
        <v>10</v>
      </c>
      <c r="T474" s="315">
        <v>5</v>
      </c>
      <c r="U474" s="315">
        <v>0.7</v>
      </c>
      <c r="V474" s="315">
        <v>0.7</v>
      </c>
      <c r="W474" s="315">
        <v>0.7</v>
      </c>
      <c r="X474" s="313">
        <v>2000</v>
      </c>
      <c r="Y474" s="313" t="s">
        <v>540</v>
      </c>
      <c r="Z474" s="313">
        <v>0.2</v>
      </c>
      <c r="AA474" s="313" t="s">
        <v>541</v>
      </c>
      <c r="AB474" s="313" t="s">
        <v>542</v>
      </c>
      <c r="AC474" s="328">
        <v>0.85</v>
      </c>
      <c r="AD474" s="151"/>
      <c r="AE474" s="206"/>
    </row>
    <row r="475" spans="1:31" ht="15.75">
      <c r="A475" s="313" t="s">
        <v>807</v>
      </c>
      <c r="B475" s="313">
        <v>7</v>
      </c>
      <c r="C475" s="313">
        <v>431</v>
      </c>
      <c r="D475" s="313" t="s">
        <v>582</v>
      </c>
      <c r="E475" s="313">
        <v>1</v>
      </c>
      <c r="F475" s="314">
        <v>45495.643750000003</v>
      </c>
      <c r="G475" s="313">
        <v>1</v>
      </c>
      <c r="H475" s="313">
        <v>51.377400000000002</v>
      </c>
      <c r="I475" s="313">
        <v>7.69414</v>
      </c>
      <c r="J475" s="313">
        <v>-24.834944</v>
      </c>
      <c r="K475" s="313">
        <v>-23.200468999999998</v>
      </c>
      <c r="L475" s="313">
        <v>1078.32</v>
      </c>
      <c r="M475" s="313">
        <v>69.000246000000004</v>
      </c>
      <c r="N475" s="313">
        <v>11620.488600000001</v>
      </c>
      <c r="O475" s="313">
        <v>0</v>
      </c>
      <c r="P475" s="315">
        <v>0</v>
      </c>
      <c r="Q475" s="302" t="s">
        <v>280</v>
      </c>
      <c r="R475" s="315" t="s">
        <v>607</v>
      </c>
      <c r="S475" s="315">
        <v>10</v>
      </c>
      <c r="T475" s="315">
        <v>5</v>
      </c>
      <c r="U475" s="315">
        <v>0.7</v>
      </c>
      <c r="V475" s="315">
        <v>0.7</v>
      </c>
      <c r="W475" s="315">
        <v>0.7</v>
      </c>
      <c r="X475" s="313">
        <v>2000</v>
      </c>
      <c r="Y475" s="313" t="s">
        <v>540</v>
      </c>
      <c r="Z475" s="313">
        <v>0.2</v>
      </c>
      <c r="AA475" s="313" t="s">
        <v>541</v>
      </c>
      <c r="AB475" s="313" t="s">
        <v>542</v>
      </c>
      <c r="AC475" s="328">
        <v>0.85</v>
      </c>
      <c r="AD475" s="151"/>
      <c r="AE475" s="206"/>
    </row>
    <row r="476" spans="1:31" ht="15.75">
      <c r="A476" s="313" t="s">
        <v>808</v>
      </c>
      <c r="B476" s="313">
        <v>7</v>
      </c>
      <c r="C476" s="313">
        <v>431</v>
      </c>
      <c r="D476" s="313" t="s">
        <v>582</v>
      </c>
      <c r="E476" s="313">
        <v>1</v>
      </c>
      <c r="F476" s="314">
        <v>45495.646527777775</v>
      </c>
      <c r="G476" s="313">
        <v>2</v>
      </c>
      <c r="H476" s="313">
        <v>51.374099999999999</v>
      </c>
      <c r="I476" s="313">
        <v>7.6872400000000001</v>
      </c>
      <c r="J476" s="313">
        <v>-24.793261999999999</v>
      </c>
      <c r="K476" s="313">
        <v>-23.272849999999998</v>
      </c>
      <c r="L476" s="313">
        <v>1077.68</v>
      </c>
      <c r="M476" s="313">
        <v>69.000237999999996</v>
      </c>
      <c r="N476" s="313">
        <v>11629.7279</v>
      </c>
      <c r="O476" s="313">
        <v>11624.2516</v>
      </c>
      <c r="P476" s="315">
        <v>2068.82924</v>
      </c>
      <c r="Q476" s="302" t="s">
        <v>12</v>
      </c>
      <c r="R476" s="315" t="s">
        <v>539</v>
      </c>
      <c r="S476" s="315">
        <v>10</v>
      </c>
      <c r="T476" s="315">
        <v>5</v>
      </c>
      <c r="U476" s="315">
        <v>0.7</v>
      </c>
      <c r="V476" s="315">
        <v>0.7</v>
      </c>
      <c r="W476" s="315">
        <v>0.7</v>
      </c>
      <c r="X476" s="313">
        <v>2000</v>
      </c>
      <c r="Y476" s="313" t="s">
        <v>540</v>
      </c>
      <c r="Z476" s="313">
        <v>0.2</v>
      </c>
      <c r="AA476" s="313" t="s">
        <v>541</v>
      </c>
      <c r="AB476" s="313" t="s">
        <v>542</v>
      </c>
      <c r="AC476" s="328">
        <v>0.85</v>
      </c>
      <c r="AD476" s="151"/>
      <c r="AE476" s="206"/>
    </row>
    <row r="477" spans="1:31" ht="15.75">
      <c r="A477" s="313" t="s">
        <v>809</v>
      </c>
      <c r="B477" s="313">
        <v>7</v>
      </c>
      <c r="C477" s="313">
        <v>431</v>
      </c>
      <c r="D477" s="313" t="s">
        <v>582</v>
      </c>
      <c r="E477" s="313">
        <v>1</v>
      </c>
      <c r="F477" s="314">
        <v>45495.649305555555</v>
      </c>
      <c r="G477" s="313">
        <v>2</v>
      </c>
      <c r="H477" s="313">
        <v>51.374099999999999</v>
      </c>
      <c r="I477" s="313">
        <v>7.6528600000000004</v>
      </c>
      <c r="J477" s="313">
        <v>-24.904955999999999</v>
      </c>
      <c r="K477" s="313">
        <v>-23.158799999999999</v>
      </c>
      <c r="L477" s="313">
        <v>1065.68</v>
      </c>
      <c r="M477" s="313">
        <v>65.500748999999999</v>
      </c>
      <c r="N477" s="313">
        <v>11618.775299999999</v>
      </c>
      <c r="O477" s="313">
        <v>11624.2516</v>
      </c>
      <c r="P477" s="315">
        <v>2068.82924</v>
      </c>
      <c r="Q477" s="302" t="s">
        <v>12</v>
      </c>
      <c r="R477" s="315" t="s">
        <v>539</v>
      </c>
      <c r="S477" s="315">
        <v>10</v>
      </c>
      <c r="T477" s="315">
        <v>5</v>
      </c>
      <c r="U477" s="315">
        <v>0.7</v>
      </c>
      <c r="V477" s="315">
        <v>0.7</v>
      </c>
      <c r="W477" s="315">
        <v>0.7</v>
      </c>
      <c r="X477" s="313">
        <v>2000</v>
      </c>
      <c r="Y477" s="313" t="s">
        <v>540</v>
      </c>
      <c r="Z477" s="313">
        <v>0.2</v>
      </c>
      <c r="AA477" s="313" t="s">
        <v>541</v>
      </c>
      <c r="AB477" s="313" t="s">
        <v>542</v>
      </c>
      <c r="AC477" s="328">
        <v>0.85</v>
      </c>
      <c r="AD477" s="151"/>
      <c r="AE477" s="206"/>
    </row>
    <row r="478" spans="1:31" ht="15.75">
      <c r="A478" s="313" t="s">
        <v>601</v>
      </c>
      <c r="B478" s="313">
        <v>8</v>
      </c>
      <c r="C478" s="313">
        <v>534</v>
      </c>
      <c r="D478" s="313" t="s">
        <v>585</v>
      </c>
      <c r="E478" s="313">
        <v>1</v>
      </c>
      <c r="F478" s="314">
        <v>45495.652777777781</v>
      </c>
      <c r="G478" s="313">
        <v>1</v>
      </c>
      <c r="H478" s="313">
        <v>51.374099999999999</v>
      </c>
      <c r="I478" s="313">
        <v>7.6386399999999997</v>
      </c>
      <c r="J478" s="313">
        <v>-24.789224999999998</v>
      </c>
      <c r="K478" s="313">
        <v>-23.456769000000001</v>
      </c>
      <c r="L478" s="313">
        <v>1076.03</v>
      </c>
      <c r="M478" s="313">
        <v>74.499629999999996</v>
      </c>
      <c r="N478" s="313">
        <v>11694.6913</v>
      </c>
      <c r="O478" s="313">
        <v>11694.810299999999</v>
      </c>
      <c r="P478" s="315">
        <v>2081.2871799999998</v>
      </c>
      <c r="Q478" s="302" t="s">
        <v>12</v>
      </c>
      <c r="R478" s="315" t="s">
        <v>539</v>
      </c>
      <c r="S478" s="315">
        <v>10</v>
      </c>
      <c r="T478" s="315">
        <v>5</v>
      </c>
      <c r="U478" s="315">
        <v>0.7</v>
      </c>
      <c r="V478" s="315">
        <v>0.7</v>
      </c>
      <c r="W478" s="315">
        <v>0.7</v>
      </c>
      <c r="X478" s="313">
        <v>2000</v>
      </c>
      <c r="Y478" s="313" t="s">
        <v>540</v>
      </c>
      <c r="Z478" s="313">
        <v>0.2</v>
      </c>
      <c r="AA478" s="313" t="s">
        <v>541</v>
      </c>
      <c r="AB478" s="313" t="s">
        <v>542</v>
      </c>
      <c r="AC478" s="328">
        <v>0.85</v>
      </c>
      <c r="AD478" s="151"/>
      <c r="AE478" s="206"/>
    </row>
    <row r="479" spans="1:31" ht="15.75">
      <c r="A479" s="313" t="s">
        <v>602</v>
      </c>
      <c r="B479" s="313">
        <v>8</v>
      </c>
      <c r="C479" s="313">
        <v>534</v>
      </c>
      <c r="D479" s="313" t="s">
        <v>585</v>
      </c>
      <c r="E479" s="313">
        <v>1</v>
      </c>
      <c r="F479" s="314">
        <v>45495.655555555553</v>
      </c>
      <c r="G479" s="313">
        <v>1</v>
      </c>
      <c r="H479" s="313">
        <v>51.377400000000002</v>
      </c>
      <c r="I479" s="313">
        <v>7.6149100000000001</v>
      </c>
      <c r="J479" s="313">
        <v>-24.874437</v>
      </c>
      <c r="K479" s="313">
        <v>-23.108888</v>
      </c>
      <c r="L479" s="313">
        <v>1119.95</v>
      </c>
      <c r="M479" s="313">
        <v>68.500810000000001</v>
      </c>
      <c r="N479" s="313">
        <v>11694.9293</v>
      </c>
      <c r="O479" s="313">
        <v>11694.810299999999</v>
      </c>
      <c r="P479" s="315">
        <v>2081.2871799999998</v>
      </c>
      <c r="Q479" s="302" t="s">
        <v>12</v>
      </c>
      <c r="R479" s="315" t="s">
        <v>539</v>
      </c>
      <c r="S479" s="315">
        <v>10</v>
      </c>
      <c r="T479" s="315">
        <v>5</v>
      </c>
      <c r="U479" s="315">
        <v>0.7</v>
      </c>
      <c r="V479" s="315">
        <v>0.7</v>
      </c>
      <c r="W479" s="315">
        <v>0.7</v>
      </c>
      <c r="X479" s="313">
        <v>2000</v>
      </c>
      <c r="Y479" s="313" t="s">
        <v>540</v>
      </c>
      <c r="Z479" s="313">
        <v>0.2</v>
      </c>
      <c r="AA479" s="313" t="s">
        <v>541</v>
      </c>
      <c r="AB479" s="313" t="s">
        <v>542</v>
      </c>
      <c r="AC479" s="328">
        <v>0.85</v>
      </c>
      <c r="AD479" s="151"/>
      <c r="AE479" s="206"/>
    </row>
    <row r="480" spans="1:31" ht="15.75">
      <c r="A480" s="313" t="s">
        <v>606</v>
      </c>
      <c r="B480" s="313">
        <v>9</v>
      </c>
      <c r="C480" s="313">
        <v>535</v>
      </c>
      <c r="D480" s="313" t="s">
        <v>589</v>
      </c>
      <c r="E480" s="313">
        <v>1</v>
      </c>
      <c r="F480" s="314">
        <v>45495.65902777778</v>
      </c>
      <c r="G480" s="313">
        <v>1</v>
      </c>
      <c r="H480" s="313">
        <v>51.374099999999999</v>
      </c>
      <c r="I480" s="313">
        <v>7.4660599999999997</v>
      </c>
      <c r="J480" s="313">
        <v>-24.810406</v>
      </c>
      <c r="K480" s="313">
        <v>-23.072862000000001</v>
      </c>
      <c r="L480" s="313">
        <v>1096.69</v>
      </c>
      <c r="M480" s="313">
        <v>66.499887000000001</v>
      </c>
      <c r="N480" s="313">
        <v>11687.028899999999</v>
      </c>
      <c r="O480" s="313">
        <v>11714.8073</v>
      </c>
      <c r="P480" s="315">
        <v>2084.8178699999999</v>
      </c>
      <c r="Q480" s="302" t="s">
        <v>12</v>
      </c>
      <c r="R480" s="315" t="s">
        <v>553</v>
      </c>
      <c r="S480" s="315">
        <v>10</v>
      </c>
      <c r="T480" s="315">
        <v>5</v>
      </c>
      <c r="U480" s="315">
        <v>0.7</v>
      </c>
      <c r="V480" s="315">
        <v>0.7</v>
      </c>
      <c r="W480" s="315">
        <v>0.7</v>
      </c>
      <c r="X480" s="313">
        <v>2000</v>
      </c>
      <c r="Y480" s="313" t="s">
        <v>540</v>
      </c>
      <c r="Z480" s="313">
        <v>0.2</v>
      </c>
      <c r="AA480" s="313" t="s">
        <v>541</v>
      </c>
      <c r="AB480" s="313" t="s">
        <v>542</v>
      </c>
      <c r="AC480" s="328">
        <v>0.85</v>
      </c>
      <c r="AD480" s="151"/>
      <c r="AE480" s="206"/>
    </row>
    <row r="481" spans="1:31" ht="15.75">
      <c r="A481" s="313" t="s">
        <v>608</v>
      </c>
      <c r="B481" s="313">
        <v>9</v>
      </c>
      <c r="C481" s="313">
        <v>535</v>
      </c>
      <c r="D481" s="313" t="s">
        <v>589</v>
      </c>
      <c r="E481" s="313">
        <v>1</v>
      </c>
      <c r="F481" s="314">
        <v>45495.661805555559</v>
      </c>
      <c r="G481" s="313">
        <v>1</v>
      </c>
      <c r="H481" s="313">
        <v>51.377400000000002</v>
      </c>
      <c r="I481" s="313">
        <v>7.4628800000000002</v>
      </c>
      <c r="J481" s="313">
        <v>-24.887131</v>
      </c>
      <c r="K481" s="313">
        <v>-23.323437999999999</v>
      </c>
      <c r="L481" s="313">
        <v>1091.75</v>
      </c>
      <c r="M481" s="313">
        <v>71.501164000000003</v>
      </c>
      <c r="N481" s="313">
        <v>11754.801299999999</v>
      </c>
      <c r="O481" s="313">
        <v>11714.8073</v>
      </c>
      <c r="P481" s="315">
        <v>2084.8178699999999</v>
      </c>
      <c r="Q481" s="302" t="s">
        <v>12</v>
      </c>
      <c r="R481" s="315" t="s">
        <v>553</v>
      </c>
      <c r="S481" s="315">
        <v>10</v>
      </c>
      <c r="T481" s="315">
        <v>5</v>
      </c>
      <c r="U481" s="315">
        <v>0.7</v>
      </c>
      <c r="V481" s="315">
        <v>0.7</v>
      </c>
      <c r="W481" s="315">
        <v>0.7</v>
      </c>
      <c r="X481" s="313">
        <v>2000</v>
      </c>
      <c r="Y481" s="313" t="s">
        <v>540</v>
      </c>
      <c r="Z481" s="313">
        <v>0.2</v>
      </c>
      <c r="AA481" s="313" t="s">
        <v>541</v>
      </c>
      <c r="AB481" s="313" t="s">
        <v>542</v>
      </c>
      <c r="AC481" s="328">
        <v>0.85</v>
      </c>
      <c r="AD481" s="151"/>
      <c r="AE481" s="206"/>
    </row>
    <row r="482" spans="1:31" ht="15.75">
      <c r="A482" s="313" t="s">
        <v>609</v>
      </c>
      <c r="B482" s="313">
        <v>9</v>
      </c>
      <c r="C482" s="313">
        <v>535</v>
      </c>
      <c r="D482" s="313" t="s">
        <v>589</v>
      </c>
      <c r="E482" s="313">
        <v>1</v>
      </c>
      <c r="F482" s="314">
        <v>45495.664583333331</v>
      </c>
      <c r="G482" s="313">
        <v>1</v>
      </c>
      <c r="H482" s="313">
        <v>51.3675</v>
      </c>
      <c r="I482" s="313">
        <v>7.3942199999999998</v>
      </c>
      <c r="J482" s="313">
        <v>-24.905799999999999</v>
      </c>
      <c r="K482" s="313">
        <v>-23.451644000000002</v>
      </c>
      <c r="L482" s="313">
        <v>1066.6600000000001</v>
      </c>
      <c r="M482" s="313">
        <v>73.001501000000005</v>
      </c>
      <c r="N482" s="313">
        <v>11710.7014</v>
      </c>
      <c r="O482" s="313">
        <v>11714.8073</v>
      </c>
      <c r="P482" s="315">
        <v>2084.8178699999999</v>
      </c>
      <c r="Q482" s="302" t="s">
        <v>12</v>
      </c>
      <c r="R482" s="315" t="s">
        <v>539</v>
      </c>
      <c r="S482" s="315">
        <v>10</v>
      </c>
      <c r="T482" s="315">
        <v>5</v>
      </c>
      <c r="U482" s="315">
        <v>0.7</v>
      </c>
      <c r="V482" s="315">
        <v>0.7</v>
      </c>
      <c r="W482" s="315">
        <v>0.7</v>
      </c>
      <c r="X482" s="313">
        <v>2000</v>
      </c>
      <c r="Y482" s="313" t="s">
        <v>540</v>
      </c>
      <c r="Z482" s="313">
        <v>0.2</v>
      </c>
      <c r="AA482" s="313" t="s">
        <v>541</v>
      </c>
      <c r="AB482" s="313" t="s">
        <v>542</v>
      </c>
      <c r="AC482" s="328">
        <v>0.85</v>
      </c>
      <c r="AD482" s="151"/>
      <c r="AE482" s="206"/>
    </row>
    <row r="483" spans="1:31" ht="15.75">
      <c r="A483" s="313" t="s">
        <v>610</v>
      </c>
      <c r="B483" s="313">
        <v>9</v>
      </c>
      <c r="C483" s="313">
        <v>535</v>
      </c>
      <c r="D483" s="313" t="s">
        <v>589</v>
      </c>
      <c r="E483" s="313">
        <v>1</v>
      </c>
      <c r="F483" s="314">
        <v>45495.667361111111</v>
      </c>
      <c r="G483" s="313">
        <v>1</v>
      </c>
      <c r="H483" s="313">
        <v>51.374099999999999</v>
      </c>
      <c r="I483" s="313">
        <v>7.2748499999999998</v>
      </c>
      <c r="J483" s="313">
        <v>-24.868293999999999</v>
      </c>
      <c r="K483" s="313">
        <v>-23.451143999999999</v>
      </c>
      <c r="L483" s="313">
        <v>1073.95</v>
      </c>
      <c r="M483" s="313">
        <v>72.500641999999999</v>
      </c>
      <c r="N483" s="313">
        <v>11718.913200000001</v>
      </c>
      <c r="O483" s="313">
        <v>11714.8073</v>
      </c>
      <c r="P483" s="315">
        <v>2084.8178699999999</v>
      </c>
      <c r="Q483" s="302" t="s">
        <v>12</v>
      </c>
      <c r="R483" s="315" t="s">
        <v>539</v>
      </c>
      <c r="S483" s="315">
        <v>10</v>
      </c>
      <c r="T483" s="315">
        <v>5</v>
      </c>
      <c r="U483" s="315">
        <v>0.7</v>
      </c>
      <c r="V483" s="315">
        <v>0.7</v>
      </c>
      <c r="W483" s="315">
        <v>0.7</v>
      </c>
      <c r="X483" s="313">
        <v>2000</v>
      </c>
      <c r="Y483" s="313" t="s">
        <v>540</v>
      </c>
      <c r="Z483" s="313">
        <v>0.2</v>
      </c>
      <c r="AA483" s="313" t="s">
        <v>541</v>
      </c>
      <c r="AB483" s="313" t="s">
        <v>542</v>
      </c>
      <c r="AC483" s="328">
        <v>0.85</v>
      </c>
      <c r="AD483" s="151"/>
      <c r="AE483" s="206"/>
    </row>
    <row r="484" spans="1:31" ht="15.75">
      <c r="A484" s="313" t="s">
        <v>810</v>
      </c>
      <c r="B484" s="313" t="s">
        <v>551</v>
      </c>
      <c r="C484" s="313" t="s">
        <v>776</v>
      </c>
      <c r="D484" s="313" t="s">
        <v>538</v>
      </c>
      <c r="E484" s="313">
        <v>0.8</v>
      </c>
      <c r="F484" s="314">
        <v>45495.67083333333</v>
      </c>
      <c r="G484" s="313">
        <v>1</v>
      </c>
      <c r="H484" s="313">
        <v>51.374099999999999</v>
      </c>
      <c r="I484" s="313">
        <v>7.0510599999999997</v>
      </c>
      <c r="J484" s="313">
        <v>-24.981175</v>
      </c>
      <c r="K484" s="313">
        <v>-23.896438</v>
      </c>
      <c r="L484" s="313">
        <v>980.81200000000001</v>
      </c>
      <c r="M484" s="313">
        <v>72.499816999999993</v>
      </c>
      <c r="N484" s="313">
        <v>9264.1901400000006</v>
      </c>
      <c r="O484" s="313">
        <v>9223.96155</v>
      </c>
      <c r="P484" s="315">
        <v>2070.3456999999999</v>
      </c>
      <c r="Q484" s="302" t="s">
        <v>12</v>
      </c>
      <c r="R484" s="315" t="s">
        <v>553</v>
      </c>
      <c r="S484" s="315">
        <v>10</v>
      </c>
      <c r="T484" s="315">
        <v>5</v>
      </c>
      <c r="U484" s="315">
        <v>0.7</v>
      </c>
      <c r="V484" s="315">
        <v>0.7</v>
      </c>
      <c r="W484" s="315">
        <v>0.7</v>
      </c>
      <c r="X484" s="313">
        <v>2000</v>
      </c>
      <c r="Y484" s="313" t="s">
        <v>540</v>
      </c>
      <c r="Z484" s="313">
        <v>0.2</v>
      </c>
      <c r="AA484" s="313" t="s">
        <v>541</v>
      </c>
      <c r="AB484" s="313" t="s">
        <v>542</v>
      </c>
      <c r="AC484" s="328">
        <v>0.85</v>
      </c>
      <c r="AD484" s="151"/>
      <c r="AE484" s="206"/>
    </row>
    <row r="485" spans="1:31" ht="15.75">
      <c r="A485" s="313" t="s">
        <v>811</v>
      </c>
      <c r="B485" s="313" t="s">
        <v>551</v>
      </c>
      <c r="C485" s="313" t="s">
        <v>776</v>
      </c>
      <c r="D485" s="313" t="s">
        <v>538</v>
      </c>
      <c r="E485" s="313">
        <v>0.8</v>
      </c>
      <c r="F485" s="314">
        <v>45495.673611111109</v>
      </c>
      <c r="G485" s="313">
        <v>1</v>
      </c>
      <c r="H485" s="313">
        <v>51.374099999999999</v>
      </c>
      <c r="I485" s="313">
        <v>7.0275800000000004</v>
      </c>
      <c r="J485" s="313">
        <v>-24.902200000000001</v>
      </c>
      <c r="K485" s="313">
        <v>-23.169125000000001</v>
      </c>
      <c r="L485" s="313">
        <v>974.85199999999998</v>
      </c>
      <c r="M485" s="313">
        <v>64.498969000000002</v>
      </c>
      <c r="N485" s="313">
        <v>9221.1272300000001</v>
      </c>
      <c r="O485" s="313">
        <v>9223.96155</v>
      </c>
      <c r="P485" s="315">
        <v>2070.3456999999999</v>
      </c>
      <c r="Q485" s="302" t="s">
        <v>12</v>
      </c>
      <c r="R485" s="315" t="s">
        <v>539</v>
      </c>
      <c r="S485" s="315">
        <v>10</v>
      </c>
      <c r="T485" s="315">
        <v>5</v>
      </c>
      <c r="U485" s="315">
        <v>0.7</v>
      </c>
      <c r="V485" s="315">
        <v>0.7</v>
      </c>
      <c r="W485" s="315">
        <v>0.7</v>
      </c>
      <c r="X485" s="313">
        <v>2000</v>
      </c>
      <c r="Y485" s="313" t="s">
        <v>540</v>
      </c>
      <c r="Z485" s="313">
        <v>0.2</v>
      </c>
      <c r="AA485" s="313" t="s">
        <v>541</v>
      </c>
      <c r="AB485" s="313" t="s">
        <v>542</v>
      </c>
      <c r="AC485" s="328">
        <v>0.85</v>
      </c>
      <c r="AD485" s="151"/>
      <c r="AE485" s="206"/>
    </row>
    <row r="486" spans="1:31" ht="15.75">
      <c r="A486" s="313" t="s">
        <v>812</v>
      </c>
      <c r="B486" s="313" t="s">
        <v>551</v>
      </c>
      <c r="C486" s="313" t="s">
        <v>776</v>
      </c>
      <c r="D486" s="313" t="s">
        <v>538</v>
      </c>
      <c r="E486" s="313">
        <v>0.8</v>
      </c>
      <c r="F486" s="314">
        <v>45495.676388888889</v>
      </c>
      <c r="G486" s="313">
        <v>1</v>
      </c>
      <c r="H486" s="313">
        <v>51.377400000000002</v>
      </c>
      <c r="I486" s="313">
        <v>6.90808</v>
      </c>
      <c r="J486" s="313">
        <v>-24.919824999999999</v>
      </c>
      <c r="K486" s="313">
        <v>-23.317712</v>
      </c>
      <c r="L486" s="313">
        <v>990.54399999999998</v>
      </c>
      <c r="M486" s="313">
        <v>65.499491000000006</v>
      </c>
      <c r="N486" s="313">
        <v>9226.7958600000002</v>
      </c>
      <c r="O486" s="313">
        <v>9223.96155</v>
      </c>
      <c r="P486" s="315">
        <v>2070.3456999999999</v>
      </c>
      <c r="Q486" s="302" t="s">
        <v>12</v>
      </c>
      <c r="R486" s="315" t="s">
        <v>539</v>
      </c>
      <c r="S486" s="315">
        <v>10</v>
      </c>
      <c r="T486" s="315">
        <v>5</v>
      </c>
      <c r="U486" s="315">
        <v>0.7</v>
      </c>
      <c r="V486" s="315">
        <v>0.7</v>
      </c>
      <c r="W486" s="315">
        <v>0.7</v>
      </c>
      <c r="X486" s="313">
        <v>2000</v>
      </c>
      <c r="Y486" s="313" t="s">
        <v>540</v>
      </c>
      <c r="Z486" s="313">
        <v>0.2</v>
      </c>
      <c r="AA486" s="313" t="s">
        <v>541</v>
      </c>
      <c r="AB486" s="313" t="s">
        <v>542</v>
      </c>
      <c r="AC486" s="328">
        <v>0.85</v>
      </c>
      <c r="AD486" s="151"/>
      <c r="AE486" s="206"/>
    </row>
    <row r="487" spans="1:31" ht="15.75">
      <c r="A487" s="313" t="s">
        <v>813</v>
      </c>
      <c r="B487" s="313" t="s">
        <v>558</v>
      </c>
      <c r="C487" s="313" t="s">
        <v>776</v>
      </c>
      <c r="D487" s="313" t="s">
        <v>538</v>
      </c>
      <c r="E487" s="313">
        <v>1</v>
      </c>
      <c r="F487" s="314">
        <v>45495.679166666669</v>
      </c>
      <c r="G487" s="313">
        <v>1</v>
      </c>
      <c r="H487" s="313">
        <v>51.377400000000002</v>
      </c>
      <c r="I487" s="313">
        <v>6.9519200000000003</v>
      </c>
      <c r="J487" s="313">
        <v>-24.990962</v>
      </c>
      <c r="K487" s="313">
        <v>-23.502124999999999</v>
      </c>
      <c r="L487" s="313">
        <v>1054.03</v>
      </c>
      <c r="M487" s="313">
        <v>75.499657999999997</v>
      </c>
      <c r="N487" s="313">
        <v>11592.389499999999</v>
      </c>
      <c r="O487" s="313">
        <v>11558.0322</v>
      </c>
      <c r="P487" s="315">
        <v>2070.3456999999999</v>
      </c>
      <c r="Q487" s="302" t="s">
        <v>12</v>
      </c>
      <c r="R487" s="315" t="s">
        <v>553</v>
      </c>
      <c r="S487" s="315">
        <v>10</v>
      </c>
      <c r="T487" s="315">
        <v>5</v>
      </c>
      <c r="U487" s="315">
        <v>0.7</v>
      </c>
      <c r="V487" s="315">
        <v>0.7</v>
      </c>
      <c r="W487" s="315">
        <v>0.7</v>
      </c>
      <c r="X487" s="313">
        <v>2000</v>
      </c>
      <c r="Y487" s="313" t="s">
        <v>540</v>
      </c>
      <c r="Z487" s="313">
        <v>0.2</v>
      </c>
      <c r="AA487" s="313" t="s">
        <v>541</v>
      </c>
      <c r="AB487" s="313" t="s">
        <v>542</v>
      </c>
      <c r="AC487" s="328">
        <v>0.85</v>
      </c>
      <c r="AD487" s="151"/>
      <c r="AE487" s="206"/>
    </row>
    <row r="488" spans="1:31" ht="15.75">
      <c r="A488" s="313" t="s">
        <v>814</v>
      </c>
      <c r="B488" s="313" t="s">
        <v>558</v>
      </c>
      <c r="C488" s="313" t="s">
        <v>776</v>
      </c>
      <c r="D488" s="313" t="s">
        <v>538</v>
      </c>
      <c r="E488" s="313">
        <v>1</v>
      </c>
      <c r="F488" s="314">
        <v>45495.681944444441</v>
      </c>
      <c r="G488" s="313">
        <v>1</v>
      </c>
      <c r="H488" s="313">
        <v>51.374099999999999</v>
      </c>
      <c r="I488" s="313">
        <v>6.9390999999999998</v>
      </c>
      <c r="J488" s="313">
        <v>-24.974350000000001</v>
      </c>
      <c r="K488" s="313">
        <v>-23.284831000000001</v>
      </c>
      <c r="L488" s="313">
        <v>1058</v>
      </c>
      <c r="M488" s="313">
        <v>68.999827999999994</v>
      </c>
      <c r="N488" s="313">
        <v>11555.392</v>
      </c>
      <c r="O488" s="313">
        <v>11558.0322</v>
      </c>
      <c r="P488" s="315">
        <v>2070.3456999999999</v>
      </c>
      <c r="Q488" s="302" t="s">
        <v>12</v>
      </c>
      <c r="R488" s="315" t="s">
        <v>539</v>
      </c>
      <c r="S488" s="315">
        <v>10</v>
      </c>
      <c r="T488" s="315">
        <v>5</v>
      </c>
      <c r="U488" s="315">
        <v>0.7</v>
      </c>
      <c r="V488" s="315">
        <v>0.7</v>
      </c>
      <c r="W488" s="315">
        <v>0.7</v>
      </c>
      <c r="X488" s="313">
        <v>2000</v>
      </c>
      <c r="Y488" s="313" t="s">
        <v>540</v>
      </c>
      <c r="Z488" s="313">
        <v>0.2</v>
      </c>
      <c r="AA488" s="313" t="s">
        <v>541</v>
      </c>
      <c r="AB488" s="313" t="s">
        <v>542</v>
      </c>
      <c r="AC488" s="328">
        <v>0.85</v>
      </c>
      <c r="AD488" s="151"/>
      <c r="AE488" s="206"/>
    </row>
    <row r="489" spans="1:31" ht="15.75">
      <c r="A489" s="316" t="s">
        <v>815</v>
      </c>
      <c r="B489" s="316" t="s">
        <v>558</v>
      </c>
      <c r="C489" s="316" t="s">
        <v>776</v>
      </c>
      <c r="D489" s="316" t="s">
        <v>538</v>
      </c>
      <c r="E489" s="316">
        <v>1</v>
      </c>
      <c r="F489" s="317">
        <v>45495.68472222222</v>
      </c>
      <c r="G489" s="316">
        <v>1</v>
      </c>
      <c r="H489" s="316">
        <v>51.374099999999999</v>
      </c>
      <c r="I489" s="316">
        <v>7.4568099999999999</v>
      </c>
      <c r="J489" s="316">
        <v>-24.943349999999999</v>
      </c>
      <c r="K489" s="316">
        <v>-23.086994000000001</v>
      </c>
      <c r="L489" s="316">
        <v>1073.73</v>
      </c>
      <c r="M489" s="316">
        <v>65.501321000000004</v>
      </c>
      <c r="N489" s="316">
        <v>11560.672399999999</v>
      </c>
      <c r="O489" s="316">
        <v>11558.0322</v>
      </c>
      <c r="P489" s="318">
        <v>2070.3456999999999</v>
      </c>
      <c r="Q489" s="302" t="s">
        <v>12</v>
      </c>
      <c r="R489" s="315" t="s">
        <v>539</v>
      </c>
      <c r="S489" s="315">
        <v>10</v>
      </c>
      <c r="T489" s="315">
        <v>5</v>
      </c>
      <c r="U489" s="315">
        <v>0.7</v>
      </c>
      <c r="V489" s="315">
        <v>0.7</v>
      </c>
      <c r="W489" s="315">
        <v>0.7</v>
      </c>
      <c r="X489" s="313">
        <v>2000</v>
      </c>
      <c r="Y489" s="313" t="s">
        <v>540</v>
      </c>
      <c r="Z489" s="313">
        <v>0.2</v>
      </c>
      <c r="AA489" s="313" t="s">
        <v>541</v>
      </c>
      <c r="AB489" s="313" t="s">
        <v>542</v>
      </c>
      <c r="AC489" s="328">
        <v>0.85</v>
      </c>
      <c r="AD489" s="151"/>
      <c r="AE489" s="206"/>
    </row>
    <row r="490" spans="1:31" ht="15.75">
      <c r="A490" s="313" t="s">
        <v>816</v>
      </c>
      <c r="B490" s="313" t="s">
        <v>561</v>
      </c>
      <c r="C490" s="313" t="s">
        <v>776</v>
      </c>
      <c r="D490" s="313" t="s">
        <v>538</v>
      </c>
      <c r="E490" s="313">
        <v>1.2</v>
      </c>
      <c r="F490" s="314">
        <v>45495.6875</v>
      </c>
      <c r="G490" s="313">
        <v>1</v>
      </c>
      <c r="H490" s="313">
        <v>51.377400000000002</v>
      </c>
      <c r="I490" s="313">
        <v>7.5215899999999998</v>
      </c>
      <c r="J490" s="313">
        <v>-24.918112000000001</v>
      </c>
      <c r="K490" s="313">
        <v>-22.462700000000002</v>
      </c>
      <c r="L490" s="313">
        <v>1117.1199999999999</v>
      </c>
      <c r="M490" s="313">
        <v>69.501902999999999</v>
      </c>
      <c r="N490" s="313">
        <v>13904.856299999999</v>
      </c>
      <c r="O490" s="313">
        <v>13944.372100000001</v>
      </c>
      <c r="P490" s="315">
        <v>2070.3456999999999</v>
      </c>
      <c r="Q490" s="302" t="s">
        <v>12</v>
      </c>
      <c r="R490" s="315" t="s">
        <v>553</v>
      </c>
      <c r="S490" s="315">
        <v>10</v>
      </c>
      <c r="T490" s="315">
        <v>5</v>
      </c>
      <c r="U490" s="315">
        <v>0.7</v>
      </c>
      <c r="V490" s="315">
        <v>0.7</v>
      </c>
      <c r="W490" s="315">
        <v>0.7</v>
      </c>
      <c r="X490" s="313">
        <v>2000</v>
      </c>
      <c r="Y490" s="313" t="s">
        <v>540</v>
      </c>
      <c r="Z490" s="313">
        <v>0.2</v>
      </c>
      <c r="AA490" s="313" t="s">
        <v>541</v>
      </c>
      <c r="AB490" s="313" t="s">
        <v>542</v>
      </c>
      <c r="AC490" s="328">
        <v>0.85</v>
      </c>
      <c r="AD490" s="151"/>
      <c r="AE490" s="206"/>
    </row>
    <row r="491" spans="1:31" ht="15.75">
      <c r="A491" s="313" t="s">
        <v>817</v>
      </c>
      <c r="B491" s="313" t="s">
        <v>561</v>
      </c>
      <c r="C491" s="313" t="s">
        <v>776</v>
      </c>
      <c r="D491" s="313" t="s">
        <v>538</v>
      </c>
      <c r="E491" s="313">
        <v>1.2</v>
      </c>
      <c r="F491" s="314">
        <v>45495.69027777778</v>
      </c>
      <c r="G491" s="313">
        <v>1</v>
      </c>
      <c r="H491" s="313">
        <v>51.374099999999999</v>
      </c>
      <c r="I491" s="313">
        <v>7.5457999999999998</v>
      </c>
      <c r="J491" s="313">
        <v>-24.934256000000001</v>
      </c>
      <c r="K491" s="313">
        <v>-22.988512</v>
      </c>
      <c r="L491" s="313">
        <v>1098.1500000000001</v>
      </c>
      <c r="M491" s="313">
        <v>71.498632000000001</v>
      </c>
      <c r="N491" s="313">
        <v>13869.336799999999</v>
      </c>
      <c r="O491" s="313">
        <v>13944.372100000001</v>
      </c>
      <c r="P491" s="315">
        <v>2070.3456999999999</v>
      </c>
      <c r="Q491" s="302" t="s">
        <v>12</v>
      </c>
      <c r="R491" s="315" t="s">
        <v>553</v>
      </c>
      <c r="S491" s="315">
        <v>10</v>
      </c>
      <c r="T491" s="315">
        <v>5</v>
      </c>
      <c r="U491" s="315">
        <v>0.7</v>
      </c>
      <c r="V491" s="315">
        <v>0.7</v>
      </c>
      <c r="W491" s="315">
        <v>0.7</v>
      </c>
      <c r="X491" s="313">
        <v>2000</v>
      </c>
      <c r="Y491" s="313" t="s">
        <v>540</v>
      </c>
      <c r="Z491" s="313">
        <v>0.2</v>
      </c>
      <c r="AA491" s="313" t="s">
        <v>541</v>
      </c>
      <c r="AB491" s="313" t="s">
        <v>542</v>
      </c>
      <c r="AC491" s="328">
        <v>0.85</v>
      </c>
      <c r="AD491" s="151"/>
      <c r="AE491" s="206"/>
    </row>
    <row r="492" spans="1:31" ht="15.75">
      <c r="A492" s="313" t="s">
        <v>818</v>
      </c>
      <c r="B492" s="313" t="s">
        <v>561</v>
      </c>
      <c r="C492" s="313" t="s">
        <v>776</v>
      </c>
      <c r="D492" s="313" t="s">
        <v>538</v>
      </c>
      <c r="E492" s="313">
        <v>1.2</v>
      </c>
      <c r="F492" s="314">
        <v>45495.693055555559</v>
      </c>
      <c r="G492" s="313">
        <v>1</v>
      </c>
      <c r="H492" s="313">
        <v>51.370800000000003</v>
      </c>
      <c r="I492" s="313">
        <v>7.4011899999999997</v>
      </c>
      <c r="J492" s="313">
        <v>-24.980919</v>
      </c>
      <c r="K492" s="313">
        <v>-23.514938000000001</v>
      </c>
      <c r="L492" s="313">
        <v>1088.19</v>
      </c>
      <c r="M492" s="313">
        <v>75.500960000000006</v>
      </c>
      <c r="N492" s="313">
        <v>13946.559300000001</v>
      </c>
      <c r="O492" s="313">
        <v>13944.372100000001</v>
      </c>
      <c r="P492" s="315">
        <v>2070.3456999999999</v>
      </c>
      <c r="Q492" s="302" t="s">
        <v>12</v>
      </c>
      <c r="R492" s="315" t="s">
        <v>539</v>
      </c>
      <c r="S492" s="315">
        <v>10</v>
      </c>
      <c r="T492" s="315">
        <v>5</v>
      </c>
      <c r="U492" s="315">
        <v>0.7</v>
      </c>
      <c r="V492" s="315">
        <v>0.7</v>
      </c>
      <c r="W492" s="315">
        <v>0.7</v>
      </c>
      <c r="X492" s="313">
        <v>2000</v>
      </c>
      <c r="Y492" s="313" t="s">
        <v>540</v>
      </c>
      <c r="Z492" s="313">
        <v>0.2</v>
      </c>
      <c r="AA492" s="313" t="s">
        <v>541</v>
      </c>
      <c r="AB492" s="313" t="s">
        <v>542</v>
      </c>
      <c r="AC492" s="328">
        <v>0.85</v>
      </c>
      <c r="AD492" s="151"/>
      <c r="AE492" s="206"/>
    </row>
    <row r="493" spans="1:31" ht="15.75">
      <c r="A493" s="313" t="s">
        <v>819</v>
      </c>
      <c r="B493" s="313" t="s">
        <v>561</v>
      </c>
      <c r="C493" s="313" t="s">
        <v>776</v>
      </c>
      <c r="D493" s="313" t="s">
        <v>538</v>
      </c>
      <c r="E493" s="313">
        <v>1.2</v>
      </c>
      <c r="F493" s="314">
        <v>45495.695833333331</v>
      </c>
      <c r="G493" s="313">
        <v>1</v>
      </c>
      <c r="H493" s="313">
        <v>51.374099999999999</v>
      </c>
      <c r="I493" s="313">
        <v>7.1852600000000004</v>
      </c>
      <c r="J493" s="313">
        <v>-24.977136999999999</v>
      </c>
      <c r="K493" s="313">
        <v>-23.216369</v>
      </c>
      <c r="L493" s="313">
        <v>1100.79</v>
      </c>
      <c r="M493" s="313">
        <v>71.999348999999995</v>
      </c>
      <c r="N493" s="313">
        <v>13942.184999999999</v>
      </c>
      <c r="O493" s="313">
        <v>13944.372100000001</v>
      </c>
      <c r="P493" s="315">
        <v>2070.3456999999999</v>
      </c>
      <c r="Q493" s="302" t="s">
        <v>12</v>
      </c>
      <c r="R493" s="315" t="s">
        <v>539</v>
      </c>
      <c r="S493" s="315">
        <v>10</v>
      </c>
      <c r="T493" s="315">
        <v>5</v>
      </c>
      <c r="U493" s="315">
        <v>0.7</v>
      </c>
      <c r="V493" s="315">
        <v>0.7</v>
      </c>
      <c r="W493" s="315">
        <v>0.7</v>
      </c>
      <c r="X493" s="313">
        <v>2000</v>
      </c>
      <c r="Y493" s="313" t="s">
        <v>540</v>
      </c>
      <c r="Z493" s="313">
        <v>0.2</v>
      </c>
      <c r="AA493" s="313" t="s">
        <v>541</v>
      </c>
      <c r="AB493" s="313" t="s">
        <v>542</v>
      </c>
      <c r="AC493" s="328">
        <v>0.85</v>
      </c>
      <c r="AD493" s="151"/>
      <c r="AE493" s="206"/>
    </row>
    <row r="494" spans="1:31" ht="15.75">
      <c r="A494" s="313" t="s">
        <v>627</v>
      </c>
      <c r="B494" s="313">
        <v>2</v>
      </c>
      <c r="C494" s="313">
        <v>508</v>
      </c>
      <c r="D494" s="313" t="s">
        <v>564</v>
      </c>
      <c r="E494" s="313">
        <v>1</v>
      </c>
      <c r="F494" s="314">
        <v>45495.699305555558</v>
      </c>
      <c r="G494" s="313">
        <v>1</v>
      </c>
      <c r="H494" s="313">
        <v>51.374099999999999</v>
      </c>
      <c r="I494" s="313">
        <v>7.0546199999999999</v>
      </c>
      <c r="J494" s="313">
        <v>-25.025700000000001</v>
      </c>
      <c r="K494" s="313">
        <v>-23.3748</v>
      </c>
      <c r="L494" s="313">
        <v>1078.97</v>
      </c>
      <c r="M494" s="313">
        <v>70.001042999999996</v>
      </c>
      <c r="N494" s="313">
        <v>11662.2269</v>
      </c>
      <c r="O494" s="313">
        <v>11658.7472</v>
      </c>
      <c r="P494" s="315">
        <v>2084.9582399999999</v>
      </c>
      <c r="Q494" s="302" t="s">
        <v>12</v>
      </c>
      <c r="R494" s="315" t="s">
        <v>539</v>
      </c>
      <c r="S494" s="315">
        <v>10</v>
      </c>
      <c r="T494" s="315">
        <v>5</v>
      </c>
      <c r="U494" s="315">
        <v>0.7</v>
      </c>
      <c r="V494" s="315">
        <v>0.7</v>
      </c>
      <c r="W494" s="315">
        <v>0.7</v>
      </c>
      <c r="X494" s="313">
        <v>2000</v>
      </c>
      <c r="Y494" s="313" t="s">
        <v>540</v>
      </c>
      <c r="Z494" s="313">
        <v>0.2</v>
      </c>
      <c r="AA494" s="313" t="s">
        <v>541</v>
      </c>
      <c r="AB494" s="313" t="s">
        <v>542</v>
      </c>
      <c r="AC494" s="328">
        <v>0.85</v>
      </c>
      <c r="AD494" s="151"/>
      <c r="AE494" s="206"/>
    </row>
    <row r="495" spans="1:31" ht="15.75">
      <c r="A495" s="313" t="s">
        <v>628</v>
      </c>
      <c r="B495" s="313">
        <v>2</v>
      </c>
      <c r="C495" s="313">
        <v>508</v>
      </c>
      <c r="D495" s="313" t="s">
        <v>564</v>
      </c>
      <c r="E495" s="313">
        <v>1</v>
      </c>
      <c r="F495" s="314">
        <v>45495.70208333333</v>
      </c>
      <c r="G495" s="313">
        <v>1</v>
      </c>
      <c r="H495" s="313">
        <v>51.374099999999999</v>
      </c>
      <c r="I495" s="313">
        <v>7.0536799999999999</v>
      </c>
      <c r="J495" s="313">
        <v>-24.957799999999999</v>
      </c>
      <c r="K495" s="313">
        <v>-23.442619000000001</v>
      </c>
      <c r="L495" s="313">
        <v>1044.99</v>
      </c>
      <c r="M495" s="313">
        <v>70.999694000000005</v>
      </c>
      <c r="N495" s="313">
        <v>11655.267400000001</v>
      </c>
      <c r="O495" s="313">
        <v>11658.7472</v>
      </c>
      <c r="P495" s="315">
        <v>2084.9582399999999</v>
      </c>
      <c r="Q495" s="302" t="s">
        <v>12</v>
      </c>
      <c r="R495" s="315" t="s">
        <v>539</v>
      </c>
      <c r="S495" s="315">
        <v>10</v>
      </c>
      <c r="T495" s="315">
        <v>5</v>
      </c>
      <c r="U495" s="315">
        <v>0.7</v>
      </c>
      <c r="V495" s="315">
        <v>0.7</v>
      </c>
      <c r="W495" s="315">
        <v>0.7</v>
      </c>
      <c r="X495" s="313">
        <v>2000</v>
      </c>
      <c r="Y495" s="313" t="s">
        <v>540</v>
      </c>
      <c r="Z495" s="313">
        <v>0.2</v>
      </c>
      <c r="AA495" s="313" t="s">
        <v>541</v>
      </c>
      <c r="AB495" s="313" t="s">
        <v>542</v>
      </c>
      <c r="AC495" s="328">
        <v>0.85</v>
      </c>
      <c r="AD495" s="151"/>
      <c r="AE495" s="206"/>
    </row>
    <row r="496" spans="1:31" ht="15.75">
      <c r="A496" s="313" t="s">
        <v>629</v>
      </c>
      <c r="B496" s="313">
        <v>3</v>
      </c>
      <c r="C496" s="313">
        <v>509</v>
      </c>
      <c r="D496" s="313" t="s">
        <v>568</v>
      </c>
      <c r="E496" s="313">
        <v>1</v>
      </c>
      <c r="F496" s="314">
        <v>45495.705555555556</v>
      </c>
      <c r="G496" s="313">
        <v>1</v>
      </c>
      <c r="H496" s="313">
        <v>51.374099999999999</v>
      </c>
      <c r="I496" s="313">
        <v>7.0213900000000002</v>
      </c>
      <c r="J496" s="313">
        <v>-24.938130999999998</v>
      </c>
      <c r="K496" s="313">
        <v>-23.135356000000002</v>
      </c>
      <c r="L496" s="313">
        <v>1073.96</v>
      </c>
      <c r="M496" s="313">
        <v>67.500242999999998</v>
      </c>
      <c r="N496" s="313">
        <v>11727.392099999999</v>
      </c>
      <c r="O496" s="313">
        <v>11639.7664</v>
      </c>
      <c r="P496" s="315">
        <v>2081.6282999999999</v>
      </c>
      <c r="Q496" s="302" t="s">
        <v>12</v>
      </c>
      <c r="R496" s="315" t="s">
        <v>553</v>
      </c>
      <c r="S496" s="315">
        <v>10</v>
      </c>
      <c r="T496" s="315">
        <v>5</v>
      </c>
      <c r="U496" s="315">
        <v>0.7</v>
      </c>
      <c r="V496" s="315">
        <v>0.7</v>
      </c>
      <c r="W496" s="315">
        <v>0.7</v>
      </c>
      <c r="X496" s="313">
        <v>2000</v>
      </c>
      <c r="Y496" s="313" t="s">
        <v>540</v>
      </c>
      <c r="Z496" s="313">
        <v>0.2</v>
      </c>
      <c r="AA496" s="313" t="s">
        <v>541</v>
      </c>
      <c r="AB496" s="313" t="s">
        <v>542</v>
      </c>
      <c r="AC496" s="328">
        <v>0.85</v>
      </c>
      <c r="AD496" s="151"/>
      <c r="AE496" s="206"/>
    </row>
    <row r="497" spans="1:31" ht="15.75">
      <c r="A497" s="313" t="s">
        <v>630</v>
      </c>
      <c r="B497" s="313">
        <v>3</v>
      </c>
      <c r="C497" s="313">
        <v>509</v>
      </c>
      <c r="D497" s="313" t="s">
        <v>568</v>
      </c>
      <c r="E497" s="313">
        <v>1</v>
      </c>
      <c r="F497" s="314">
        <v>45495.708333333336</v>
      </c>
      <c r="G497" s="313">
        <v>1</v>
      </c>
      <c r="H497" s="313">
        <v>51.374099999999999</v>
      </c>
      <c r="I497" s="313">
        <v>7.1133499999999996</v>
      </c>
      <c r="J497" s="313">
        <v>-25.034962</v>
      </c>
      <c r="K497" s="313">
        <v>-23.599544000000002</v>
      </c>
      <c r="L497" s="313">
        <v>1054.97</v>
      </c>
      <c r="M497" s="313">
        <v>73.000148999999993</v>
      </c>
      <c r="N497" s="313">
        <v>11640.0131</v>
      </c>
      <c r="O497" s="313">
        <v>11639.7664</v>
      </c>
      <c r="P497" s="315">
        <v>2081.6282999999999</v>
      </c>
      <c r="Q497" s="302" t="s">
        <v>12</v>
      </c>
      <c r="R497" s="315" t="s">
        <v>539</v>
      </c>
      <c r="S497" s="315">
        <v>10</v>
      </c>
      <c r="T497" s="315">
        <v>5</v>
      </c>
      <c r="U497" s="315">
        <v>0.7</v>
      </c>
      <c r="V497" s="315">
        <v>0.7</v>
      </c>
      <c r="W497" s="315">
        <v>0.7</v>
      </c>
      <c r="X497" s="313">
        <v>2000</v>
      </c>
      <c r="Y497" s="313" t="s">
        <v>540</v>
      </c>
      <c r="Z497" s="313">
        <v>0.2</v>
      </c>
      <c r="AA497" s="313" t="s">
        <v>541</v>
      </c>
      <c r="AB497" s="313" t="s">
        <v>542</v>
      </c>
      <c r="AC497" s="328">
        <v>0.85</v>
      </c>
      <c r="AD497" s="151"/>
      <c r="AE497" s="206"/>
    </row>
    <row r="498" spans="1:31" ht="15.75">
      <c r="A498" s="313" t="s">
        <v>631</v>
      </c>
      <c r="B498" s="313">
        <v>3</v>
      </c>
      <c r="C498" s="313">
        <v>509</v>
      </c>
      <c r="D498" s="313" t="s">
        <v>568</v>
      </c>
      <c r="E498" s="313">
        <v>1</v>
      </c>
      <c r="F498" s="314">
        <v>45495.711111111108</v>
      </c>
      <c r="G498" s="313">
        <v>1</v>
      </c>
      <c r="H498" s="313">
        <v>51.380699999999997</v>
      </c>
      <c r="I498" s="313">
        <v>7.0140099999999999</v>
      </c>
      <c r="J498" s="313">
        <v>-24.952743999999999</v>
      </c>
      <c r="K498" s="313">
        <v>-23.322649999999999</v>
      </c>
      <c r="L498" s="313">
        <v>1050.74</v>
      </c>
      <c r="M498" s="313">
        <v>71.501904999999994</v>
      </c>
      <c r="N498" s="313">
        <v>11639.5198</v>
      </c>
      <c r="O498" s="313">
        <v>11639.7664</v>
      </c>
      <c r="P498" s="315">
        <v>2081.6282999999999</v>
      </c>
      <c r="Q498" s="302" t="s">
        <v>12</v>
      </c>
      <c r="R498" s="315" t="s">
        <v>539</v>
      </c>
      <c r="S498" s="315">
        <v>10</v>
      </c>
      <c r="T498" s="315">
        <v>5</v>
      </c>
      <c r="U498" s="315">
        <v>0.7</v>
      </c>
      <c r="V498" s="315">
        <v>0.7</v>
      </c>
      <c r="W498" s="315">
        <v>0.7</v>
      </c>
      <c r="X498" s="313">
        <v>2000</v>
      </c>
      <c r="Y498" s="313" t="s">
        <v>540</v>
      </c>
      <c r="Z498" s="313">
        <v>0.2</v>
      </c>
      <c r="AA498" s="313" t="s">
        <v>541</v>
      </c>
      <c r="AB498" s="313" t="s">
        <v>542</v>
      </c>
      <c r="AC498" s="328">
        <v>0.85</v>
      </c>
      <c r="AD498" s="151"/>
      <c r="AE498" s="206"/>
    </row>
    <row r="499" spans="1:31" ht="15.75">
      <c r="A499" s="313" t="s">
        <v>632</v>
      </c>
      <c r="B499" s="313">
        <v>4</v>
      </c>
      <c r="C499" s="313">
        <v>469</v>
      </c>
      <c r="D499" s="313" t="s">
        <v>571</v>
      </c>
      <c r="E499" s="313">
        <v>1</v>
      </c>
      <c r="F499" s="314">
        <v>45495.714583333334</v>
      </c>
      <c r="G499" s="313">
        <v>1</v>
      </c>
      <c r="H499" s="313">
        <v>51.370800000000003</v>
      </c>
      <c r="I499" s="313">
        <v>6.93872</v>
      </c>
      <c r="J499" s="313">
        <v>-24.9756</v>
      </c>
      <c r="K499" s="313">
        <v>-23.591462</v>
      </c>
      <c r="L499" s="313">
        <v>1067.28</v>
      </c>
      <c r="M499" s="313">
        <v>74.000146999999998</v>
      </c>
      <c r="N499" s="313">
        <v>11600.3215</v>
      </c>
      <c r="O499" s="313">
        <v>11598.0306</v>
      </c>
      <c r="P499" s="315">
        <v>2074.30627</v>
      </c>
      <c r="Q499" s="302" t="s">
        <v>12</v>
      </c>
      <c r="R499" s="315" t="s">
        <v>539</v>
      </c>
      <c r="S499" s="315">
        <v>10</v>
      </c>
      <c r="T499" s="315">
        <v>5</v>
      </c>
      <c r="U499" s="315">
        <v>0.7</v>
      </c>
      <c r="V499" s="315">
        <v>0.7</v>
      </c>
      <c r="W499" s="315">
        <v>0.7</v>
      </c>
      <c r="X499" s="313">
        <v>2000</v>
      </c>
      <c r="Y499" s="313" t="s">
        <v>540</v>
      </c>
      <c r="Z499" s="313">
        <v>0.2</v>
      </c>
      <c r="AA499" s="313" t="s">
        <v>541</v>
      </c>
      <c r="AB499" s="313" t="s">
        <v>542</v>
      </c>
      <c r="AC499" s="328">
        <v>0.85</v>
      </c>
      <c r="AD499" s="151"/>
      <c r="AE499" s="206"/>
    </row>
    <row r="500" spans="1:31" ht="15.75">
      <c r="A500" s="313" t="s">
        <v>633</v>
      </c>
      <c r="B500" s="313">
        <v>4</v>
      </c>
      <c r="C500" s="313">
        <v>469</v>
      </c>
      <c r="D500" s="313" t="s">
        <v>571</v>
      </c>
      <c r="E500" s="313">
        <v>1</v>
      </c>
      <c r="F500" s="314">
        <v>45495.717361111114</v>
      </c>
      <c r="G500" s="313">
        <v>1</v>
      </c>
      <c r="H500" s="313">
        <v>51.377400000000002</v>
      </c>
      <c r="I500" s="313">
        <v>6.9264000000000001</v>
      </c>
      <c r="J500" s="313">
        <v>-24.936187</v>
      </c>
      <c r="K500" s="313">
        <v>-23.568294000000002</v>
      </c>
      <c r="L500" s="313">
        <v>1044.04</v>
      </c>
      <c r="M500" s="313">
        <v>74.999356000000006</v>
      </c>
      <c r="N500" s="313">
        <v>11595.739799999999</v>
      </c>
      <c r="O500" s="313">
        <v>11598.0306</v>
      </c>
      <c r="P500" s="315">
        <v>2074.30627</v>
      </c>
      <c r="Q500" s="302" t="s">
        <v>12</v>
      </c>
      <c r="R500" s="315" t="s">
        <v>539</v>
      </c>
      <c r="S500" s="315">
        <v>10</v>
      </c>
      <c r="T500" s="315">
        <v>5</v>
      </c>
      <c r="U500" s="315">
        <v>0.7</v>
      </c>
      <c r="V500" s="315">
        <v>0.7</v>
      </c>
      <c r="W500" s="315">
        <v>0.7</v>
      </c>
      <c r="X500" s="313">
        <v>2000</v>
      </c>
      <c r="Y500" s="313" t="s">
        <v>540</v>
      </c>
      <c r="Z500" s="313">
        <v>0.2</v>
      </c>
      <c r="AA500" s="313" t="s">
        <v>541</v>
      </c>
      <c r="AB500" s="313" t="s">
        <v>542</v>
      </c>
      <c r="AC500" s="328">
        <v>0.85</v>
      </c>
      <c r="AD500" s="151"/>
      <c r="AE500" s="206"/>
    </row>
    <row r="501" spans="1:31" ht="15.75">
      <c r="A501" s="313" t="s">
        <v>704</v>
      </c>
      <c r="B501" s="313">
        <v>5</v>
      </c>
      <c r="C501" s="313">
        <v>470</v>
      </c>
      <c r="D501" s="313" t="s">
        <v>575</v>
      </c>
      <c r="E501" s="313">
        <v>1</v>
      </c>
      <c r="F501" s="314">
        <v>45495.720833333333</v>
      </c>
      <c r="G501" s="313">
        <v>1</v>
      </c>
      <c r="H501" s="313">
        <v>51.370800000000003</v>
      </c>
      <c r="I501" s="313">
        <v>6.8979999999999997</v>
      </c>
      <c r="J501" s="313">
        <v>-24.867263000000001</v>
      </c>
      <c r="K501" s="313">
        <v>-23.017837</v>
      </c>
      <c r="L501" s="313">
        <v>1062.07</v>
      </c>
      <c r="M501" s="313">
        <v>66.499807000000004</v>
      </c>
      <c r="N501" s="313">
        <v>11591.5237</v>
      </c>
      <c r="O501" s="313">
        <v>11591.203299999999</v>
      </c>
      <c r="P501" s="315">
        <v>2073.1084900000001</v>
      </c>
      <c r="Q501" s="302" t="s">
        <v>12</v>
      </c>
      <c r="R501" s="315" t="s">
        <v>539</v>
      </c>
      <c r="S501" s="315">
        <v>10</v>
      </c>
      <c r="T501" s="315">
        <v>5</v>
      </c>
      <c r="U501" s="315">
        <v>0.7</v>
      </c>
      <c r="V501" s="315">
        <v>0.7</v>
      </c>
      <c r="W501" s="315">
        <v>0.7</v>
      </c>
      <c r="X501" s="313">
        <v>2000</v>
      </c>
      <c r="Y501" s="313" t="s">
        <v>540</v>
      </c>
      <c r="Z501" s="313">
        <v>0.2</v>
      </c>
      <c r="AA501" s="313" t="s">
        <v>541</v>
      </c>
      <c r="AB501" s="313" t="s">
        <v>542</v>
      </c>
      <c r="AC501" s="328">
        <v>0.85</v>
      </c>
      <c r="AD501" s="151"/>
      <c r="AE501" s="206"/>
    </row>
    <row r="502" spans="1:31" ht="15.75">
      <c r="A502" s="313" t="s">
        <v>705</v>
      </c>
      <c r="B502" s="313">
        <v>5</v>
      </c>
      <c r="C502" s="313">
        <v>470</v>
      </c>
      <c r="D502" s="313" t="s">
        <v>575</v>
      </c>
      <c r="E502" s="313">
        <v>1</v>
      </c>
      <c r="F502" s="314">
        <v>45495.723611111112</v>
      </c>
      <c r="G502" s="313">
        <v>1</v>
      </c>
      <c r="H502" s="313">
        <v>51.380699999999997</v>
      </c>
      <c r="I502" s="313">
        <v>7.0085499999999996</v>
      </c>
      <c r="J502" s="313">
        <v>-24.729312</v>
      </c>
      <c r="K502" s="313">
        <v>-23.001694000000001</v>
      </c>
      <c r="L502" s="313">
        <v>1064.33</v>
      </c>
      <c r="M502" s="313">
        <v>66.498807999999997</v>
      </c>
      <c r="N502" s="313">
        <v>11590.882799999999</v>
      </c>
      <c r="O502" s="313">
        <v>11591.203299999999</v>
      </c>
      <c r="P502" s="315">
        <v>2073.1084900000001</v>
      </c>
      <c r="Q502" s="302" t="s">
        <v>12</v>
      </c>
      <c r="R502" s="315" t="s">
        <v>539</v>
      </c>
      <c r="S502" s="315">
        <v>10</v>
      </c>
      <c r="T502" s="315">
        <v>5</v>
      </c>
      <c r="U502" s="315">
        <v>0.7</v>
      </c>
      <c r="V502" s="315">
        <v>0.7</v>
      </c>
      <c r="W502" s="315">
        <v>0.7</v>
      </c>
      <c r="X502" s="313">
        <v>2000</v>
      </c>
      <c r="Y502" s="313" t="s">
        <v>540</v>
      </c>
      <c r="Z502" s="313">
        <v>0.2</v>
      </c>
      <c r="AA502" s="313" t="s">
        <v>541</v>
      </c>
      <c r="AB502" s="313" t="s">
        <v>542</v>
      </c>
      <c r="AC502" s="328">
        <v>0.85</v>
      </c>
      <c r="AD502" s="151"/>
      <c r="AE502" s="206"/>
    </row>
    <row r="503" spans="1:31" ht="15.75">
      <c r="A503" s="313" t="s">
        <v>640</v>
      </c>
      <c r="B503" s="313">
        <v>6</v>
      </c>
      <c r="C503" s="313">
        <v>573</v>
      </c>
      <c r="D503" s="313" t="s">
        <v>579</v>
      </c>
      <c r="E503" s="313">
        <v>1</v>
      </c>
      <c r="F503" s="314">
        <v>45495.727083333331</v>
      </c>
      <c r="G503" s="313">
        <v>1</v>
      </c>
      <c r="H503" s="313">
        <v>51.380699999999997</v>
      </c>
      <c r="I503" s="313">
        <v>7.00101</v>
      </c>
      <c r="J503" s="313">
        <v>-25.012312999999999</v>
      </c>
      <c r="K503" s="313">
        <v>-23.304974999999999</v>
      </c>
      <c r="L503" s="313">
        <v>1086.6199999999999</v>
      </c>
      <c r="M503" s="313">
        <v>70.500476000000006</v>
      </c>
      <c r="N503" s="313">
        <v>11825.4707</v>
      </c>
      <c r="O503" s="313">
        <v>11837.1679</v>
      </c>
      <c r="P503" s="315">
        <v>2116.2599799999998</v>
      </c>
      <c r="Q503" s="302" t="s">
        <v>12</v>
      </c>
      <c r="R503" s="315" t="s">
        <v>539</v>
      </c>
      <c r="S503" s="315">
        <v>10</v>
      </c>
      <c r="T503" s="315">
        <v>5</v>
      </c>
      <c r="U503" s="315">
        <v>0.7</v>
      </c>
      <c r="V503" s="315">
        <v>0.7</v>
      </c>
      <c r="W503" s="315">
        <v>0.7</v>
      </c>
      <c r="X503" s="313">
        <v>2000</v>
      </c>
      <c r="Y503" s="313" t="s">
        <v>540</v>
      </c>
      <c r="Z503" s="313">
        <v>0.2</v>
      </c>
      <c r="AA503" s="313" t="s">
        <v>541</v>
      </c>
      <c r="AB503" s="313" t="s">
        <v>542</v>
      </c>
      <c r="AC503" s="328">
        <v>0.85</v>
      </c>
      <c r="AD503" s="151"/>
      <c r="AE503" s="206"/>
    </row>
    <row r="504" spans="1:31" ht="15.75">
      <c r="A504" s="313" t="s">
        <v>641</v>
      </c>
      <c r="B504" s="313">
        <v>6</v>
      </c>
      <c r="C504" s="313">
        <v>573</v>
      </c>
      <c r="D504" s="313" t="s">
        <v>579</v>
      </c>
      <c r="E504" s="313">
        <v>1</v>
      </c>
      <c r="F504" s="314">
        <v>45495.729861111111</v>
      </c>
      <c r="G504" s="313">
        <v>1</v>
      </c>
      <c r="H504" s="313">
        <v>51.374099999999999</v>
      </c>
      <c r="I504" s="313">
        <v>7.2872000000000003</v>
      </c>
      <c r="J504" s="313">
        <v>-24.919250000000002</v>
      </c>
      <c r="K504" s="313">
        <v>-23.285975000000001</v>
      </c>
      <c r="L504" s="313">
        <v>1111.71</v>
      </c>
      <c r="M504" s="313">
        <v>69.498474999999999</v>
      </c>
      <c r="N504" s="313">
        <v>11848.865100000001</v>
      </c>
      <c r="O504" s="313">
        <v>11837.1679</v>
      </c>
      <c r="P504" s="315">
        <v>2116.2599799999998</v>
      </c>
      <c r="Q504" s="302" t="s">
        <v>12</v>
      </c>
      <c r="R504" s="315" t="s">
        <v>539</v>
      </c>
      <c r="S504" s="315">
        <v>10</v>
      </c>
      <c r="T504" s="315">
        <v>5</v>
      </c>
      <c r="U504" s="315">
        <v>0.7</v>
      </c>
      <c r="V504" s="315">
        <v>0.7</v>
      </c>
      <c r="W504" s="315">
        <v>0.7</v>
      </c>
      <c r="X504" s="313">
        <v>2000</v>
      </c>
      <c r="Y504" s="313" t="s">
        <v>540</v>
      </c>
      <c r="Z504" s="313">
        <v>0.2</v>
      </c>
      <c r="AA504" s="313" t="s">
        <v>541</v>
      </c>
      <c r="AB504" s="313" t="s">
        <v>542</v>
      </c>
      <c r="AC504" s="328">
        <v>0.85</v>
      </c>
      <c r="AD504" s="151"/>
      <c r="AE504" s="206"/>
    </row>
    <row r="505" spans="1:31" ht="15.75">
      <c r="A505" s="313" t="s">
        <v>643</v>
      </c>
      <c r="B505" s="313">
        <v>7</v>
      </c>
      <c r="C505" s="313">
        <v>574</v>
      </c>
      <c r="D505" s="313" t="s">
        <v>582</v>
      </c>
      <c r="E505" s="313">
        <v>1</v>
      </c>
      <c r="F505" s="314">
        <v>45495.73333333333</v>
      </c>
      <c r="G505" s="313">
        <v>1</v>
      </c>
      <c r="H505" s="313">
        <v>51.377400000000002</v>
      </c>
      <c r="I505" s="313">
        <v>7.2664499999999999</v>
      </c>
      <c r="J505" s="313">
        <v>-24.941199999999998</v>
      </c>
      <c r="K505" s="313">
        <v>-22.774025000000002</v>
      </c>
      <c r="L505" s="313">
        <v>1081.42</v>
      </c>
      <c r="M505" s="313">
        <v>64.999968999999993</v>
      </c>
      <c r="N505" s="313">
        <v>11758.659299999999</v>
      </c>
      <c r="O505" s="313">
        <v>11757.8758</v>
      </c>
      <c r="P505" s="315">
        <v>2102.34915</v>
      </c>
      <c r="Q505" s="302" t="s">
        <v>12</v>
      </c>
      <c r="R505" s="315" t="s">
        <v>539</v>
      </c>
      <c r="S505" s="315">
        <v>10</v>
      </c>
      <c r="T505" s="315">
        <v>5</v>
      </c>
      <c r="U505" s="315">
        <v>0.7</v>
      </c>
      <c r="V505" s="315">
        <v>0.7</v>
      </c>
      <c r="W505" s="315">
        <v>0.7</v>
      </c>
      <c r="X505" s="313">
        <v>2000</v>
      </c>
      <c r="Y505" s="313" t="s">
        <v>540</v>
      </c>
      <c r="Z505" s="313">
        <v>0.2</v>
      </c>
      <c r="AA505" s="313" t="s">
        <v>541</v>
      </c>
      <c r="AB505" s="313" t="s">
        <v>542</v>
      </c>
      <c r="AC505" s="328">
        <v>0.85</v>
      </c>
      <c r="AD505" s="151"/>
      <c r="AE505" s="206"/>
    </row>
    <row r="506" spans="1:31" ht="15.75">
      <c r="A506" s="313" t="s">
        <v>644</v>
      </c>
      <c r="B506" s="313">
        <v>7</v>
      </c>
      <c r="C506" s="313">
        <v>574</v>
      </c>
      <c r="D506" s="313" t="s">
        <v>582</v>
      </c>
      <c r="E506" s="313">
        <v>1</v>
      </c>
      <c r="F506" s="314">
        <v>45495.736111111109</v>
      </c>
      <c r="G506" s="313">
        <v>1</v>
      </c>
      <c r="H506" s="313">
        <v>51.374099999999999</v>
      </c>
      <c r="I506" s="313">
        <v>7.2880099999999999</v>
      </c>
      <c r="J506" s="313">
        <v>-24.916149999999998</v>
      </c>
      <c r="K506" s="313">
        <v>-23.409618999999999</v>
      </c>
      <c r="L506" s="313">
        <v>1070.96</v>
      </c>
      <c r="M506" s="313">
        <v>70.500074999999995</v>
      </c>
      <c r="N506" s="313">
        <v>11757.0924</v>
      </c>
      <c r="O506" s="313">
        <v>11757.8758</v>
      </c>
      <c r="P506" s="315">
        <v>2102.34915</v>
      </c>
      <c r="Q506" s="302" t="s">
        <v>12</v>
      </c>
      <c r="R506" s="315" t="s">
        <v>539</v>
      </c>
      <c r="S506" s="315">
        <v>10</v>
      </c>
      <c r="T506" s="315">
        <v>5</v>
      </c>
      <c r="U506" s="315">
        <v>0.7</v>
      </c>
      <c r="V506" s="315">
        <v>0.7</v>
      </c>
      <c r="W506" s="315">
        <v>0.7</v>
      </c>
      <c r="X506" s="313">
        <v>2000</v>
      </c>
      <c r="Y506" s="313" t="s">
        <v>540</v>
      </c>
      <c r="Z506" s="313">
        <v>0.2</v>
      </c>
      <c r="AA506" s="313" t="s">
        <v>541</v>
      </c>
      <c r="AB506" s="313" t="s">
        <v>542</v>
      </c>
      <c r="AC506" s="328">
        <v>0.85</v>
      </c>
      <c r="AD506" s="151"/>
      <c r="AE506" s="206"/>
    </row>
    <row r="507" spans="1:31" ht="15.75">
      <c r="A507" s="313" t="s">
        <v>648</v>
      </c>
      <c r="B507" s="313">
        <v>8</v>
      </c>
      <c r="C507" s="313">
        <v>612</v>
      </c>
      <c r="D507" s="313" t="s">
        <v>585</v>
      </c>
      <c r="E507" s="313">
        <v>1</v>
      </c>
      <c r="F507" s="314">
        <v>45495.738888888889</v>
      </c>
      <c r="G507" s="313">
        <v>1</v>
      </c>
      <c r="H507" s="313">
        <v>51.374099999999999</v>
      </c>
      <c r="I507" s="313">
        <v>7.3506499999999999</v>
      </c>
      <c r="J507" s="313">
        <v>-24.934244</v>
      </c>
      <c r="K507" s="313">
        <v>-23.451405999999999</v>
      </c>
      <c r="L507" s="313">
        <v>1084.58</v>
      </c>
      <c r="M507" s="313">
        <v>74.50067</v>
      </c>
      <c r="N507" s="313">
        <v>11773.781300000001</v>
      </c>
      <c r="O507" s="313">
        <v>11748.980600000001</v>
      </c>
      <c r="P507" s="315">
        <v>2100.7885900000001</v>
      </c>
      <c r="Q507" s="302" t="s">
        <v>12</v>
      </c>
      <c r="R507" s="315" t="s">
        <v>553</v>
      </c>
      <c r="S507" s="315">
        <v>10</v>
      </c>
      <c r="T507" s="315">
        <v>5</v>
      </c>
      <c r="U507" s="315">
        <v>0.7</v>
      </c>
      <c r="V507" s="315">
        <v>0.7</v>
      </c>
      <c r="W507" s="315">
        <v>0.7</v>
      </c>
      <c r="X507" s="313">
        <v>2000</v>
      </c>
      <c r="Y507" s="313" t="s">
        <v>540</v>
      </c>
      <c r="Z507" s="313">
        <v>0.2</v>
      </c>
      <c r="AA507" s="313" t="s">
        <v>541</v>
      </c>
      <c r="AB507" s="313" t="s">
        <v>542</v>
      </c>
      <c r="AC507" s="328">
        <v>0.85</v>
      </c>
      <c r="AD507" s="151"/>
      <c r="AE507" s="206"/>
    </row>
    <row r="508" spans="1:31" ht="15.75">
      <c r="A508" s="313" t="s">
        <v>650</v>
      </c>
      <c r="B508" s="313">
        <v>8</v>
      </c>
      <c r="C508" s="313">
        <v>612</v>
      </c>
      <c r="D508" s="313" t="s">
        <v>585</v>
      </c>
      <c r="E508" s="313">
        <v>1</v>
      </c>
      <c r="F508" s="314">
        <v>45495.741666666669</v>
      </c>
      <c r="G508" s="313">
        <v>1</v>
      </c>
      <c r="H508" s="313">
        <v>51.377400000000002</v>
      </c>
      <c r="I508" s="313">
        <v>7.4000199999999996</v>
      </c>
      <c r="J508" s="313">
        <v>-24.859287999999999</v>
      </c>
      <c r="K508" s="313">
        <v>-23.056650000000001</v>
      </c>
      <c r="L508" s="313">
        <v>1088.26</v>
      </c>
      <c r="M508" s="313">
        <v>66.500467999999998</v>
      </c>
      <c r="N508" s="313">
        <v>11749.103300000001</v>
      </c>
      <c r="O508" s="313">
        <v>11748.980600000001</v>
      </c>
      <c r="P508" s="315">
        <v>2100.7885900000001</v>
      </c>
      <c r="Q508" s="302" t="s">
        <v>12</v>
      </c>
      <c r="R508" s="315" t="s">
        <v>539</v>
      </c>
      <c r="S508" s="315">
        <v>10</v>
      </c>
      <c r="T508" s="315">
        <v>5</v>
      </c>
      <c r="U508" s="315">
        <v>0.7</v>
      </c>
      <c r="V508" s="315">
        <v>0.7</v>
      </c>
      <c r="W508" s="315">
        <v>0.7</v>
      </c>
      <c r="X508" s="313">
        <v>2000</v>
      </c>
      <c r="Y508" s="313" t="s">
        <v>540</v>
      </c>
      <c r="Z508" s="313">
        <v>0.2</v>
      </c>
      <c r="AA508" s="313" t="s">
        <v>541</v>
      </c>
      <c r="AB508" s="313" t="s">
        <v>542</v>
      </c>
      <c r="AC508" s="328">
        <v>0.85</v>
      </c>
      <c r="AD508" s="151"/>
      <c r="AE508" s="206"/>
    </row>
    <row r="509" spans="1:31" ht="15.75">
      <c r="A509" s="313" t="s">
        <v>820</v>
      </c>
      <c r="B509" s="313">
        <v>8</v>
      </c>
      <c r="C509" s="313">
        <v>612</v>
      </c>
      <c r="D509" s="313" t="s">
        <v>585</v>
      </c>
      <c r="E509" s="313">
        <v>1</v>
      </c>
      <c r="F509" s="314">
        <v>45495.744444444441</v>
      </c>
      <c r="G509" s="313">
        <v>1</v>
      </c>
      <c r="H509" s="313">
        <v>51.374099999999999</v>
      </c>
      <c r="I509" s="313">
        <v>7.3101200000000004</v>
      </c>
      <c r="J509" s="313">
        <v>-24.880718999999999</v>
      </c>
      <c r="K509" s="313">
        <v>-23.193093999999999</v>
      </c>
      <c r="L509" s="313">
        <v>1067.74</v>
      </c>
      <c r="M509" s="313">
        <v>68.000009000000006</v>
      </c>
      <c r="N509" s="313">
        <v>11748.857900000001</v>
      </c>
      <c r="O509" s="313">
        <v>11748.980600000001</v>
      </c>
      <c r="P509" s="315">
        <v>2100.7885900000001</v>
      </c>
      <c r="Q509" s="302" t="s">
        <v>12</v>
      </c>
      <c r="R509" s="315" t="s">
        <v>539</v>
      </c>
      <c r="S509" s="315">
        <v>10</v>
      </c>
      <c r="T509" s="315">
        <v>5</v>
      </c>
      <c r="U509" s="315">
        <v>0.7</v>
      </c>
      <c r="V509" s="315">
        <v>0.7</v>
      </c>
      <c r="W509" s="315">
        <v>0.7</v>
      </c>
      <c r="X509" s="313">
        <v>2000</v>
      </c>
      <c r="Y509" s="313" t="s">
        <v>540</v>
      </c>
      <c r="Z509" s="313">
        <v>0.2</v>
      </c>
      <c r="AA509" s="313" t="s">
        <v>541</v>
      </c>
      <c r="AB509" s="313" t="s">
        <v>542</v>
      </c>
      <c r="AC509" s="328">
        <v>0.85</v>
      </c>
      <c r="AD509" s="151"/>
      <c r="AE509" s="206"/>
    </row>
    <row r="510" spans="1:31" ht="15.75">
      <c r="A510" s="313" t="s">
        <v>651</v>
      </c>
      <c r="B510" s="313">
        <v>9</v>
      </c>
      <c r="C510" s="313">
        <v>613</v>
      </c>
      <c r="D510" s="313" t="s">
        <v>589</v>
      </c>
      <c r="E510" s="313">
        <v>1</v>
      </c>
      <c r="F510" s="314">
        <v>45495.747916666667</v>
      </c>
      <c r="G510" s="313">
        <v>1</v>
      </c>
      <c r="H510" s="313">
        <v>51.377400000000002</v>
      </c>
      <c r="I510" s="313">
        <v>7.1104000000000003</v>
      </c>
      <c r="J510" s="313">
        <v>-24.883987000000001</v>
      </c>
      <c r="K510" s="313">
        <v>-23.321994</v>
      </c>
      <c r="L510" s="313">
        <v>1078.1500000000001</v>
      </c>
      <c r="M510" s="313">
        <v>71.999367000000007</v>
      </c>
      <c r="N510" s="313">
        <v>11852.414699999999</v>
      </c>
      <c r="O510" s="313">
        <v>11812.912</v>
      </c>
      <c r="P510" s="315">
        <v>2112.0045700000001</v>
      </c>
      <c r="Q510" s="302" t="s">
        <v>12</v>
      </c>
      <c r="R510" s="315" t="s">
        <v>553</v>
      </c>
      <c r="S510" s="315">
        <v>10</v>
      </c>
      <c r="T510" s="315">
        <v>5</v>
      </c>
      <c r="U510" s="315">
        <v>0.7</v>
      </c>
      <c r="V510" s="315">
        <v>0.7</v>
      </c>
      <c r="W510" s="315">
        <v>0.7</v>
      </c>
      <c r="X510" s="313">
        <v>2000</v>
      </c>
      <c r="Y510" s="313" t="s">
        <v>540</v>
      </c>
      <c r="Z510" s="313">
        <v>0.2</v>
      </c>
      <c r="AA510" s="313" t="s">
        <v>541</v>
      </c>
      <c r="AB510" s="313" t="s">
        <v>542</v>
      </c>
      <c r="AC510" s="328">
        <v>0.85</v>
      </c>
      <c r="AD510" s="151"/>
      <c r="AE510" s="206"/>
    </row>
    <row r="511" spans="1:31" ht="15.75">
      <c r="A511" s="313" t="s">
        <v>652</v>
      </c>
      <c r="B511" s="313">
        <v>9</v>
      </c>
      <c r="C511" s="313">
        <v>613</v>
      </c>
      <c r="D511" s="313" t="s">
        <v>589</v>
      </c>
      <c r="E511" s="313">
        <v>1</v>
      </c>
      <c r="F511" s="314">
        <v>45495.750694444447</v>
      </c>
      <c r="G511" s="313">
        <v>1</v>
      </c>
      <c r="H511" s="313">
        <v>51.370800000000003</v>
      </c>
      <c r="I511" s="313">
        <v>7.1535799999999998</v>
      </c>
      <c r="J511" s="313">
        <v>-24.743956000000001</v>
      </c>
      <c r="K511" s="313">
        <v>-23.258163</v>
      </c>
      <c r="L511" s="313">
        <v>1101.49</v>
      </c>
      <c r="M511" s="313">
        <v>70.499700000000004</v>
      </c>
      <c r="N511" s="313">
        <v>11817.9961</v>
      </c>
      <c r="O511" s="313">
        <v>11812.912</v>
      </c>
      <c r="P511" s="315">
        <v>2112.0045700000001</v>
      </c>
      <c r="Q511" s="302" t="s">
        <v>12</v>
      </c>
      <c r="R511" s="315" t="s">
        <v>539</v>
      </c>
      <c r="S511" s="315">
        <v>10</v>
      </c>
      <c r="T511" s="315">
        <v>5</v>
      </c>
      <c r="U511" s="315">
        <v>0.7</v>
      </c>
      <c r="V511" s="315">
        <v>0.7</v>
      </c>
      <c r="W511" s="315">
        <v>0.7</v>
      </c>
      <c r="X511" s="313">
        <v>2000</v>
      </c>
      <c r="Y511" s="313" t="s">
        <v>540</v>
      </c>
      <c r="Z511" s="313">
        <v>0.2</v>
      </c>
      <c r="AA511" s="313" t="s">
        <v>541</v>
      </c>
      <c r="AB511" s="313" t="s">
        <v>542</v>
      </c>
      <c r="AC511" s="328">
        <v>0.85</v>
      </c>
      <c r="AD511" s="151"/>
      <c r="AE511" s="206"/>
    </row>
    <row r="512" spans="1:31" ht="15.75">
      <c r="A512" s="313" t="s">
        <v>653</v>
      </c>
      <c r="B512" s="313">
        <v>9</v>
      </c>
      <c r="C512" s="313">
        <v>613</v>
      </c>
      <c r="D512" s="313" t="s">
        <v>589</v>
      </c>
      <c r="E512" s="313">
        <v>1</v>
      </c>
      <c r="F512" s="314">
        <v>45495.753472222219</v>
      </c>
      <c r="G512" s="313">
        <v>1</v>
      </c>
      <c r="H512" s="313">
        <v>51.3675</v>
      </c>
      <c r="I512" s="313">
        <v>7.2295499999999997</v>
      </c>
      <c r="J512" s="313">
        <v>-24.891625000000001</v>
      </c>
      <c r="K512" s="313">
        <v>-23.298106000000001</v>
      </c>
      <c r="L512" s="313">
        <v>1063.3800000000001</v>
      </c>
      <c r="M512" s="313">
        <v>68.998819999999995</v>
      </c>
      <c r="N512" s="313">
        <v>11807.827799999999</v>
      </c>
      <c r="O512" s="313">
        <v>11812.912</v>
      </c>
      <c r="P512" s="315">
        <v>2112.0045700000001</v>
      </c>
      <c r="Q512" s="302" t="s">
        <v>12</v>
      </c>
      <c r="R512" s="315" t="s">
        <v>539</v>
      </c>
      <c r="S512" s="315">
        <v>10</v>
      </c>
      <c r="T512" s="315">
        <v>5</v>
      </c>
      <c r="U512" s="315">
        <v>0.7</v>
      </c>
      <c r="V512" s="315">
        <v>0.7</v>
      </c>
      <c r="W512" s="315">
        <v>0.7</v>
      </c>
      <c r="X512" s="313">
        <v>2000</v>
      </c>
      <c r="Y512" s="313" t="s">
        <v>540</v>
      </c>
      <c r="Z512" s="313">
        <v>0.2</v>
      </c>
      <c r="AA512" s="313" t="s">
        <v>541</v>
      </c>
      <c r="AB512" s="313" t="s">
        <v>542</v>
      </c>
      <c r="AC512" s="328">
        <v>0.85</v>
      </c>
      <c r="AD512" s="151"/>
      <c r="AE512" s="206"/>
    </row>
    <row r="513" spans="1:31" ht="15.75">
      <c r="A513" s="316" t="s">
        <v>654</v>
      </c>
      <c r="B513" s="316">
        <v>10</v>
      </c>
      <c r="C513" s="316" t="s">
        <v>776</v>
      </c>
      <c r="D513" s="316" t="s">
        <v>538</v>
      </c>
      <c r="E513" s="316">
        <v>1</v>
      </c>
      <c r="F513" s="317">
        <v>45495.756944444445</v>
      </c>
      <c r="G513" s="316">
        <v>1</v>
      </c>
      <c r="H513" s="316">
        <v>51.370800000000003</v>
      </c>
      <c r="I513" s="316">
        <v>7.05396</v>
      </c>
      <c r="J513" s="316">
        <v>-24.924256</v>
      </c>
      <c r="K513" s="316">
        <v>-23.565474999999999</v>
      </c>
      <c r="L513" s="316">
        <v>1063.71</v>
      </c>
      <c r="M513" s="316">
        <v>72.499539999999996</v>
      </c>
      <c r="N513" s="316">
        <v>11637.2315</v>
      </c>
      <c r="O513" s="316">
        <v>11634.331099999999</v>
      </c>
      <c r="P513" s="318">
        <v>2080.6747399999999</v>
      </c>
      <c r="Q513" s="302" t="s">
        <v>12</v>
      </c>
      <c r="R513" s="318" t="s">
        <v>553</v>
      </c>
      <c r="S513" s="315">
        <v>10</v>
      </c>
      <c r="T513" s="315">
        <v>5</v>
      </c>
      <c r="U513" s="315">
        <v>0.7</v>
      </c>
      <c r="V513" s="315">
        <v>0.7</v>
      </c>
      <c r="W513" s="315">
        <v>0.7</v>
      </c>
      <c r="X513" s="313">
        <v>2000</v>
      </c>
      <c r="Y513" s="313" t="s">
        <v>540</v>
      </c>
      <c r="Z513" s="313">
        <v>0.2</v>
      </c>
      <c r="AA513" s="313" t="s">
        <v>541</v>
      </c>
      <c r="AB513" s="313" t="s">
        <v>542</v>
      </c>
      <c r="AC513" s="328">
        <v>0.85</v>
      </c>
      <c r="AD513" s="151"/>
      <c r="AE513" s="206"/>
    </row>
    <row r="514" spans="1:31" ht="15.75">
      <c r="A514" s="316" t="s">
        <v>655</v>
      </c>
      <c r="B514" s="316">
        <v>10</v>
      </c>
      <c r="C514" s="316" t="s">
        <v>776</v>
      </c>
      <c r="D514" s="316" t="s">
        <v>538</v>
      </c>
      <c r="E514" s="316">
        <v>1</v>
      </c>
      <c r="F514" s="317">
        <v>45495.759722222225</v>
      </c>
      <c r="G514" s="316">
        <v>1</v>
      </c>
      <c r="H514" s="316">
        <v>51.377400000000002</v>
      </c>
      <c r="I514" s="316">
        <v>6.9185499999999998</v>
      </c>
      <c r="J514" s="316">
        <v>-25.013936999999999</v>
      </c>
      <c r="K514" s="316">
        <v>-23.211631000000001</v>
      </c>
      <c r="L514" s="316">
        <v>1066.95</v>
      </c>
      <c r="M514" s="316">
        <v>67.999300000000005</v>
      </c>
      <c r="N514" s="316">
        <v>11589.1142</v>
      </c>
      <c r="O514" s="316">
        <v>11634.331099999999</v>
      </c>
      <c r="P514" s="318">
        <v>2080.6747399999999</v>
      </c>
      <c r="Q514" s="302" t="s">
        <v>12</v>
      </c>
      <c r="R514" s="318" t="s">
        <v>553</v>
      </c>
      <c r="S514" s="315">
        <v>10</v>
      </c>
      <c r="T514" s="315">
        <v>5</v>
      </c>
      <c r="U514" s="315">
        <v>0.7</v>
      </c>
      <c r="V514" s="315">
        <v>0.7</v>
      </c>
      <c r="W514" s="315">
        <v>0.7</v>
      </c>
      <c r="X514" s="313">
        <v>2000</v>
      </c>
      <c r="Y514" s="313" t="s">
        <v>540</v>
      </c>
      <c r="Z514" s="313">
        <v>0.2</v>
      </c>
      <c r="AA514" s="313" t="s">
        <v>541</v>
      </c>
      <c r="AB514" s="313" t="s">
        <v>542</v>
      </c>
      <c r="AC514" s="328">
        <v>0.85</v>
      </c>
      <c r="AD514" s="151"/>
      <c r="AE514" s="206"/>
    </row>
    <row r="515" spans="1:31" ht="15.75">
      <c r="A515" s="316" t="s">
        <v>656</v>
      </c>
      <c r="B515" s="316">
        <v>10</v>
      </c>
      <c r="C515" s="316" t="s">
        <v>776</v>
      </c>
      <c r="D515" s="316" t="s">
        <v>538</v>
      </c>
      <c r="E515" s="316">
        <v>1</v>
      </c>
      <c r="F515" s="317">
        <v>45495.762499999997</v>
      </c>
      <c r="G515" s="316">
        <v>1</v>
      </c>
      <c r="H515" s="316">
        <v>51.374099999999999</v>
      </c>
      <c r="I515" s="316">
        <v>6.9967800000000002</v>
      </c>
      <c r="J515" s="316">
        <v>-24.939588000000001</v>
      </c>
      <c r="K515" s="316">
        <v>-23.516838</v>
      </c>
      <c r="L515" s="316">
        <v>1068.01</v>
      </c>
      <c r="M515" s="316">
        <v>76.999634</v>
      </c>
      <c r="N515" s="316">
        <v>11645.452600000001</v>
      </c>
      <c r="O515" s="316">
        <v>11634.331099999999</v>
      </c>
      <c r="P515" s="318">
        <v>2080.6747399999999</v>
      </c>
      <c r="Q515" s="302" t="s">
        <v>12</v>
      </c>
      <c r="R515" s="318" t="s">
        <v>539</v>
      </c>
      <c r="S515" s="315">
        <v>10</v>
      </c>
      <c r="T515" s="315">
        <v>5</v>
      </c>
      <c r="U515" s="315">
        <v>0.7</v>
      </c>
      <c r="V515" s="315">
        <v>0.7</v>
      </c>
      <c r="W515" s="315">
        <v>0.7</v>
      </c>
      <c r="X515" s="313">
        <v>2000</v>
      </c>
      <c r="Y515" s="313" t="s">
        <v>540</v>
      </c>
      <c r="Z515" s="313">
        <v>0.2</v>
      </c>
      <c r="AA515" s="313" t="s">
        <v>541</v>
      </c>
      <c r="AB515" s="313" t="s">
        <v>542</v>
      </c>
      <c r="AC515" s="328">
        <v>0.85</v>
      </c>
      <c r="AD515" s="151"/>
      <c r="AE515" s="206"/>
    </row>
    <row r="516" spans="1:31" ht="15.75">
      <c r="A516" s="316" t="s">
        <v>761</v>
      </c>
      <c r="B516" s="316">
        <v>10</v>
      </c>
      <c r="C516" s="316" t="s">
        <v>776</v>
      </c>
      <c r="D516" s="316" t="s">
        <v>538</v>
      </c>
      <c r="E516" s="316">
        <v>1</v>
      </c>
      <c r="F516" s="317">
        <v>45495.765277777777</v>
      </c>
      <c r="G516" s="316">
        <v>1</v>
      </c>
      <c r="H516" s="316">
        <v>51.377400000000002</v>
      </c>
      <c r="I516" s="316">
        <v>6.9863400000000002</v>
      </c>
      <c r="J516" s="316">
        <v>-25.024994</v>
      </c>
      <c r="K516" s="316">
        <v>-23.526712</v>
      </c>
      <c r="L516" s="316">
        <v>1058.75</v>
      </c>
      <c r="M516" s="316">
        <v>73.998616999999996</v>
      </c>
      <c r="N516" s="316">
        <v>11623.2096</v>
      </c>
      <c r="O516" s="316">
        <v>11634.331099999999</v>
      </c>
      <c r="P516" s="318">
        <v>2080.6747399999999</v>
      </c>
      <c r="Q516" s="302" t="s">
        <v>12</v>
      </c>
      <c r="R516" s="318" t="s">
        <v>539</v>
      </c>
      <c r="S516" s="315">
        <v>10</v>
      </c>
      <c r="T516" s="315">
        <v>5</v>
      </c>
      <c r="U516" s="315">
        <v>0.7</v>
      </c>
      <c r="V516" s="315">
        <v>0.7</v>
      </c>
      <c r="W516" s="315">
        <v>0.7</v>
      </c>
      <c r="X516" s="313">
        <v>2000</v>
      </c>
      <c r="Y516" s="313" t="s">
        <v>540</v>
      </c>
      <c r="Z516" s="313">
        <v>0.2</v>
      </c>
      <c r="AA516" s="313" t="s">
        <v>541</v>
      </c>
      <c r="AB516" s="313" t="s">
        <v>542</v>
      </c>
      <c r="AC516" s="328">
        <v>0.85</v>
      </c>
      <c r="AD516" s="151"/>
      <c r="AE516" s="206"/>
    </row>
    <row r="517" spans="1:31" ht="15.75">
      <c r="A517" s="313" t="s">
        <v>536</v>
      </c>
      <c r="B517" s="313" t="s">
        <v>537</v>
      </c>
      <c r="C517" s="313" t="s">
        <v>675</v>
      </c>
      <c r="D517" s="313" t="s">
        <v>538</v>
      </c>
      <c r="E517" s="313">
        <v>1</v>
      </c>
      <c r="F517" s="314">
        <v>45503.57916666667</v>
      </c>
      <c r="G517" s="313">
        <v>1</v>
      </c>
      <c r="H517" s="313">
        <v>51.370800000000003</v>
      </c>
      <c r="I517" s="313">
        <v>12.903499999999999</v>
      </c>
      <c r="J517" s="313">
        <v>-24.194706</v>
      </c>
      <c r="K517" s="313">
        <v>-22.318881000000001</v>
      </c>
      <c r="L517" s="313">
        <v>981.16300000000001</v>
      </c>
      <c r="M517" s="313">
        <v>66.001149999999996</v>
      </c>
      <c r="N517" s="313">
        <v>11293.244199999999</v>
      </c>
      <c r="O517" s="313">
        <v>11293.244199999999</v>
      </c>
      <c r="P517" s="315">
        <v>2020.8352199999999</v>
      </c>
      <c r="Q517" s="302" t="s">
        <v>12</v>
      </c>
      <c r="R517" s="315" t="s">
        <v>539</v>
      </c>
      <c r="S517" s="315">
        <v>10</v>
      </c>
      <c r="T517" s="315">
        <v>5</v>
      </c>
      <c r="U517" s="315">
        <v>0.7</v>
      </c>
      <c r="V517" s="315">
        <v>0.7</v>
      </c>
      <c r="W517" s="315">
        <v>0.7</v>
      </c>
      <c r="X517" s="313">
        <v>2000</v>
      </c>
      <c r="Y517" s="313" t="s">
        <v>540</v>
      </c>
      <c r="Z517" s="313">
        <v>0.2</v>
      </c>
      <c r="AA517" s="313" t="s">
        <v>541</v>
      </c>
      <c r="AB517" s="313" t="s">
        <v>542</v>
      </c>
      <c r="AC517" s="313">
        <v>220</v>
      </c>
      <c r="AD517" s="151"/>
      <c r="AE517" s="206"/>
    </row>
    <row r="518" spans="1:31" ht="15.75">
      <c r="A518" s="313" t="s">
        <v>543</v>
      </c>
      <c r="B518" s="313" t="s">
        <v>537</v>
      </c>
      <c r="C518" s="313" t="s">
        <v>675</v>
      </c>
      <c r="D518" s="313" t="s">
        <v>538</v>
      </c>
      <c r="E518" s="313">
        <v>1</v>
      </c>
      <c r="F518" s="314">
        <v>45503.581944444442</v>
      </c>
      <c r="G518" s="313">
        <v>1</v>
      </c>
      <c r="H518" s="313">
        <v>51.380699999999997</v>
      </c>
      <c r="I518" s="313">
        <v>14.2865</v>
      </c>
      <c r="J518" s="313">
        <v>-24.626512999999999</v>
      </c>
      <c r="K518" s="313">
        <v>-23.016781000000002</v>
      </c>
      <c r="L518" s="313">
        <v>988.82</v>
      </c>
      <c r="M518" s="313">
        <v>69.000566000000006</v>
      </c>
      <c r="N518" s="313">
        <v>11207.813399999999</v>
      </c>
      <c r="O518" s="313">
        <v>11207.813399999999</v>
      </c>
      <c r="P518" s="315">
        <v>2005.84744</v>
      </c>
      <c r="Q518" s="302" t="s">
        <v>12</v>
      </c>
      <c r="R518" s="315" t="s">
        <v>539</v>
      </c>
      <c r="S518" s="315">
        <v>10</v>
      </c>
      <c r="T518" s="315">
        <v>5</v>
      </c>
      <c r="U518" s="315">
        <v>0.7</v>
      </c>
      <c r="V518" s="315">
        <v>0.7</v>
      </c>
      <c r="W518" s="315">
        <v>0.7</v>
      </c>
      <c r="X518" s="313">
        <v>2000</v>
      </c>
      <c r="Y518" s="313" t="s">
        <v>540</v>
      </c>
      <c r="Z518" s="313">
        <v>0.2</v>
      </c>
      <c r="AA518" s="313" t="s">
        <v>541</v>
      </c>
      <c r="AB518" s="313" t="s">
        <v>542</v>
      </c>
      <c r="AC518" s="313">
        <v>220</v>
      </c>
      <c r="AD518" s="151"/>
      <c r="AE518" s="206"/>
    </row>
    <row r="519" spans="1:31" ht="15.75">
      <c r="A519" s="313" t="s">
        <v>544</v>
      </c>
      <c r="B519" s="313" t="s">
        <v>537</v>
      </c>
      <c r="C519" s="313" t="s">
        <v>675</v>
      </c>
      <c r="D519" s="313" t="s">
        <v>538</v>
      </c>
      <c r="E519" s="313">
        <v>1</v>
      </c>
      <c r="F519" s="314">
        <v>45503.584027777775</v>
      </c>
      <c r="G519" s="313">
        <v>1</v>
      </c>
      <c r="H519" s="313">
        <v>51.370800000000003</v>
      </c>
      <c r="I519" s="313">
        <v>13.6929</v>
      </c>
      <c r="J519" s="313">
        <v>-24.740281</v>
      </c>
      <c r="K519" s="313">
        <v>-23.121949999999998</v>
      </c>
      <c r="L519" s="313">
        <v>990.73800000000006</v>
      </c>
      <c r="M519" s="313">
        <v>69.500476000000006</v>
      </c>
      <c r="N519" s="313">
        <v>11195.4581</v>
      </c>
      <c r="O519" s="313">
        <v>11195.4581</v>
      </c>
      <c r="P519" s="315">
        <v>2003.67985</v>
      </c>
      <c r="Q519" s="302" t="s">
        <v>12</v>
      </c>
      <c r="R519" s="315" t="s">
        <v>539</v>
      </c>
      <c r="S519" s="315">
        <v>10</v>
      </c>
      <c r="T519" s="315">
        <v>5</v>
      </c>
      <c r="U519" s="315">
        <v>0.7</v>
      </c>
      <c r="V519" s="315">
        <v>0.7</v>
      </c>
      <c r="W519" s="315">
        <v>0.7</v>
      </c>
      <c r="X519" s="313">
        <v>2000</v>
      </c>
      <c r="Y519" s="313" t="s">
        <v>540</v>
      </c>
      <c r="Z519" s="313">
        <v>0.2</v>
      </c>
      <c r="AA519" s="313" t="s">
        <v>541</v>
      </c>
      <c r="AB519" s="313" t="s">
        <v>542</v>
      </c>
      <c r="AC519" s="313">
        <v>220</v>
      </c>
      <c r="AD519" s="151"/>
      <c r="AE519" s="206"/>
    </row>
    <row r="520" spans="1:31" ht="15.75">
      <c r="A520" s="313" t="s">
        <v>545</v>
      </c>
      <c r="B520" s="313" t="s">
        <v>537</v>
      </c>
      <c r="C520" s="313" t="s">
        <v>675</v>
      </c>
      <c r="D520" s="313" t="s">
        <v>538</v>
      </c>
      <c r="E520" s="313">
        <v>1</v>
      </c>
      <c r="F520" s="314">
        <v>45503.586805555555</v>
      </c>
      <c r="G520" s="313">
        <v>1</v>
      </c>
      <c r="H520" s="313">
        <v>51.374099999999999</v>
      </c>
      <c r="I520" s="313">
        <v>12.5282</v>
      </c>
      <c r="J520" s="313">
        <v>-24.816455999999999</v>
      </c>
      <c r="K520" s="313">
        <v>-23.016124999999999</v>
      </c>
      <c r="L520" s="313">
        <v>995.65700000000004</v>
      </c>
      <c r="M520" s="313">
        <v>65.499775999999997</v>
      </c>
      <c r="N520" s="313">
        <v>11234.871800000001</v>
      </c>
      <c r="O520" s="313">
        <v>11234.871800000001</v>
      </c>
      <c r="P520" s="315">
        <v>2010.59449</v>
      </c>
      <c r="Q520" s="302" t="s">
        <v>12</v>
      </c>
      <c r="R520" s="315" t="s">
        <v>539</v>
      </c>
      <c r="S520" s="315">
        <v>10</v>
      </c>
      <c r="T520" s="315">
        <v>5</v>
      </c>
      <c r="U520" s="315">
        <v>0.7</v>
      </c>
      <c r="V520" s="315">
        <v>0.7</v>
      </c>
      <c r="W520" s="315">
        <v>0.7</v>
      </c>
      <c r="X520" s="313">
        <v>2000</v>
      </c>
      <c r="Y520" s="313" t="s">
        <v>540</v>
      </c>
      <c r="Z520" s="313">
        <v>0.2</v>
      </c>
      <c r="AA520" s="313" t="s">
        <v>541</v>
      </c>
      <c r="AB520" s="313" t="s">
        <v>542</v>
      </c>
      <c r="AC520" s="313">
        <v>220</v>
      </c>
      <c r="AD520" s="151"/>
      <c r="AE520" s="206"/>
    </row>
    <row r="521" spans="1:31" ht="15.75">
      <c r="A521" s="313" t="s">
        <v>546</v>
      </c>
      <c r="B521" s="313" t="s">
        <v>537</v>
      </c>
      <c r="C521" s="313" t="s">
        <v>821</v>
      </c>
      <c r="D521" s="313" t="s">
        <v>538</v>
      </c>
      <c r="E521" s="313">
        <v>1</v>
      </c>
      <c r="F521" s="314">
        <v>45503.598611111112</v>
      </c>
      <c r="G521" s="313">
        <v>1</v>
      </c>
      <c r="H521" s="313">
        <v>51.3675</v>
      </c>
      <c r="I521" s="313">
        <v>12.067399999999999</v>
      </c>
      <c r="J521" s="313">
        <v>-24.950313000000001</v>
      </c>
      <c r="K521" s="313">
        <v>-23.070163000000001</v>
      </c>
      <c r="L521" s="313">
        <v>988.31</v>
      </c>
      <c r="M521" s="313">
        <v>65.999514000000005</v>
      </c>
      <c r="N521" s="313">
        <v>11189.4899</v>
      </c>
      <c r="O521" s="313">
        <v>11189.4899</v>
      </c>
      <c r="P521" s="315">
        <v>2002.6327900000001</v>
      </c>
      <c r="Q521" s="302" t="s">
        <v>12</v>
      </c>
      <c r="R521" s="315" t="s">
        <v>539</v>
      </c>
      <c r="S521" s="315">
        <v>10</v>
      </c>
      <c r="T521" s="315">
        <v>5</v>
      </c>
      <c r="U521" s="315">
        <v>0.7</v>
      </c>
      <c r="V521" s="315">
        <v>0.7</v>
      </c>
      <c r="W521" s="315">
        <v>0.7</v>
      </c>
      <c r="X521" s="313">
        <v>2000</v>
      </c>
      <c r="Y521" s="313" t="s">
        <v>540</v>
      </c>
      <c r="Z521" s="313">
        <v>0.2</v>
      </c>
      <c r="AA521" s="313" t="s">
        <v>541</v>
      </c>
      <c r="AB521" s="313" t="s">
        <v>542</v>
      </c>
      <c r="AC521" s="313">
        <v>220</v>
      </c>
      <c r="AD521" s="151"/>
      <c r="AE521" s="206"/>
    </row>
    <row r="522" spans="1:31" ht="15.75">
      <c r="A522" s="313" t="s">
        <v>547</v>
      </c>
      <c r="B522" s="313" t="s">
        <v>537</v>
      </c>
      <c r="C522" s="313" t="s">
        <v>821</v>
      </c>
      <c r="D522" s="313" t="s">
        <v>538</v>
      </c>
      <c r="E522" s="313">
        <v>1</v>
      </c>
      <c r="F522" s="314">
        <v>45503.600694444445</v>
      </c>
      <c r="G522" s="313">
        <v>1</v>
      </c>
      <c r="H522" s="313">
        <v>51.370800000000003</v>
      </c>
      <c r="I522" s="313">
        <v>11.8109</v>
      </c>
      <c r="J522" s="313">
        <v>-24.995481000000002</v>
      </c>
      <c r="K522" s="313">
        <v>-23.872043999999999</v>
      </c>
      <c r="L522" s="313">
        <v>998.37800000000004</v>
      </c>
      <c r="M522" s="313">
        <v>70.500367999999995</v>
      </c>
      <c r="N522" s="313">
        <v>11260.718999999999</v>
      </c>
      <c r="O522" s="313">
        <v>11260.718999999999</v>
      </c>
      <c r="P522" s="315">
        <v>2015.1290799999999</v>
      </c>
      <c r="Q522" s="302" t="s">
        <v>12</v>
      </c>
      <c r="R522" s="315" t="s">
        <v>539</v>
      </c>
      <c r="S522" s="315">
        <v>10</v>
      </c>
      <c r="T522" s="315">
        <v>5</v>
      </c>
      <c r="U522" s="315">
        <v>0.7</v>
      </c>
      <c r="V522" s="315">
        <v>0.7</v>
      </c>
      <c r="W522" s="315">
        <v>0.7</v>
      </c>
      <c r="X522" s="313">
        <v>2000</v>
      </c>
      <c r="Y522" s="313" t="s">
        <v>540</v>
      </c>
      <c r="Z522" s="313">
        <v>0.2</v>
      </c>
      <c r="AA522" s="313" t="s">
        <v>541</v>
      </c>
      <c r="AB522" s="313" t="s">
        <v>542</v>
      </c>
      <c r="AC522" s="313">
        <v>220</v>
      </c>
      <c r="AD522" s="151"/>
      <c r="AE522" s="206"/>
    </row>
    <row r="523" spans="1:31" ht="15.75">
      <c r="A523" s="313" t="s">
        <v>548</v>
      </c>
      <c r="B523" s="313" t="s">
        <v>537</v>
      </c>
      <c r="C523" s="313" t="s">
        <v>821</v>
      </c>
      <c r="D523" s="313" t="s">
        <v>538</v>
      </c>
      <c r="E523" s="313">
        <v>1</v>
      </c>
      <c r="F523" s="314">
        <v>45503.603472222225</v>
      </c>
      <c r="G523" s="313">
        <v>1</v>
      </c>
      <c r="H523" s="313">
        <v>51.374099999999999</v>
      </c>
      <c r="I523" s="313">
        <v>11.2385</v>
      </c>
      <c r="J523" s="313">
        <v>-24.950462999999999</v>
      </c>
      <c r="K523" s="313">
        <v>-23.929055999999999</v>
      </c>
      <c r="L523" s="313">
        <v>999.274</v>
      </c>
      <c r="M523" s="313">
        <v>77.000168000000002</v>
      </c>
      <c r="N523" s="313">
        <v>11273.250599999999</v>
      </c>
      <c r="O523" s="313">
        <v>11273.250599999999</v>
      </c>
      <c r="P523" s="315">
        <v>2017.3275900000001</v>
      </c>
      <c r="Q523" s="302" t="s">
        <v>12</v>
      </c>
      <c r="R523" s="315" t="s">
        <v>539</v>
      </c>
      <c r="S523" s="315">
        <v>10</v>
      </c>
      <c r="T523" s="315">
        <v>5</v>
      </c>
      <c r="U523" s="315">
        <v>0.7</v>
      </c>
      <c r="V523" s="315">
        <v>0.7</v>
      </c>
      <c r="W523" s="315">
        <v>0.7</v>
      </c>
      <c r="X523" s="313">
        <v>2000</v>
      </c>
      <c r="Y523" s="313" t="s">
        <v>540</v>
      </c>
      <c r="Z523" s="313">
        <v>0.2</v>
      </c>
      <c r="AA523" s="313" t="s">
        <v>541</v>
      </c>
      <c r="AB523" s="313" t="s">
        <v>542</v>
      </c>
      <c r="AC523" s="313">
        <v>220</v>
      </c>
      <c r="AD523" s="151"/>
      <c r="AE523" s="206"/>
    </row>
    <row r="524" spans="1:31" ht="15.75">
      <c r="A524" s="313" t="s">
        <v>549</v>
      </c>
      <c r="B524" s="313" t="s">
        <v>537</v>
      </c>
      <c r="C524" s="313" t="s">
        <v>821</v>
      </c>
      <c r="D524" s="313" t="s">
        <v>538</v>
      </c>
      <c r="E524" s="313">
        <v>1</v>
      </c>
      <c r="F524" s="314">
        <v>45503.615972222222</v>
      </c>
      <c r="G524" s="313">
        <v>1</v>
      </c>
      <c r="H524" s="313">
        <v>51.3675</v>
      </c>
      <c r="I524" s="313">
        <v>10.8894</v>
      </c>
      <c r="J524" s="313">
        <v>-24.988350000000001</v>
      </c>
      <c r="K524" s="313">
        <v>-23.556531</v>
      </c>
      <c r="L524" s="313">
        <v>998.69799999999998</v>
      </c>
      <c r="M524" s="313">
        <v>69.999789000000007</v>
      </c>
      <c r="N524" s="313">
        <v>11257.748100000001</v>
      </c>
      <c r="O524" s="313">
        <v>11257.748100000001</v>
      </c>
      <c r="P524" s="315">
        <v>2014.6078600000001</v>
      </c>
      <c r="Q524" s="302" t="s">
        <v>12</v>
      </c>
      <c r="R524" s="315" t="s">
        <v>539</v>
      </c>
      <c r="S524" s="315">
        <v>10</v>
      </c>
      <c r="T524" s="315">
        <v>5</v>
      </c>
      <c r="U524" s="315">
        <v>0.7</v>
      </c>
      <c r="V524" s="315">
        <v>0.7</v>
      </c>
      <c r="W524" s="315">
        <v>0.7</v>
      </c>
      <c r="X524" s="313">
        <v>2000</v>
      </c>
      <c r="Y524" s="313" t="s">
        <v>540</v>
      </c>
      <c r="Z524" s="313">
        <v>0.2</v>
      </c>
      <c r="AA524" s="313" t="s">
        <v>541</v>
      </c>
      <c r="AB524" s="313" t="s">
        <v>542</v>
      </c>
      <c r="AC524" s="313">
        <v>220</v>
      </c>
      <c r="AD524" s="151"/>
      <c r="AE524" s="206"/>
    </row>
    <row r="525" spans="1:31" ht="15.75">
      <c r="A525" s="313" t="s">
        <v>550</v>
      </c>
      <c r="B525" s="313" t="s">
        <v>551</v>
      </c>
      <c r="C525" s="313" t="s">
        <v>821</v>
      </c>
      <c r="D525" s="313" t="s">
        <v>538</v>
      </c>
      <c r="E525" s="313">
        <v>0.8</v>
      </c>
      <c r="F525" s="314">
        <v>45503.636111111111</v>
      </c>
      <c r="G525" s="313">
        <v>1</v>
      </c>
      <c r="H525" s="313">
        <v>51.374099999999999</v>
      </c>
      <c r="I525" s="313">
        <v>10.6889</v>
      </c>
      <c r="J525" s="313">
        <v>-24.779924999999999</v>
      </c>
      <c r="K525" s="313">
        <v>-23.340993999999998</v>
      </c>
      <c r="L525" s="313">
        <v>999.976</v>
      </c>
      <c r="M525" s="313">
        <v>63.999628000000001</v>
      </c>
      <c r="N525" s="313">
        <v>9102.8789300000008</v>
      </c>
      <c r="O525" s="313">
        <v>9201.5018299999992</v>
      </c>
      <c r="P525" s="315">
        <v>2070.3456999999999</v>
      </c>
      <c r="Q525" s="302" t="s">
        <v>12</v>
      </c>
      <c r="R525" s="315" t="s">
        <v>553</v>
      </c>
      <c r="S525" s="315">
        <v>10</v>
      </c>
      <c r="T525" s="315">
        <v>5</v>
      </c>
      <c r="U525" s="315">
        <v>0.7</v>
      </c>
      <c r="V525" s="315">
        <v>0.7</v>
      </c>
      <c r="W525" s="315">
        <v>0.7</v>
      </c>
      <c r="X525" s="313">
        <v>2000</v>
      </c>
      <c r="Y525" s="313" t="s">
        <v>540</v>
      </c>
      <c r="Z525" s="313">
        <v>0.2</v>
      </c>
      <c r="AA525" s="313" t="s">
        <v>541</v>
      </c>
      <c r="AB525" s="313" t="s">
        <v>542</v>
      </c>
      <c r="AC525" s="313">
        <v>220</v>
      </c>
      <c r="AD525" s="151"/>
      <c r="AE525" s="206"/>
    </row>
    <row r="526" spans="1:31" ht="15.75">
      <c r="A526" s="313" t="s">
        <v>554</v>
      </c>
      <c r="B526" s="313" t="s">
        <v>551</v>
      </c>
      <c r="C526" s="313" t="s">
        <v>821</v>
      </c>
      <c r="D526" s="313" t="s">
        <v>538</v>
      </c>
      <c r="E526" s="313">
        <v>0.8</v>
      </c>
      <c r="F526" s="314">
        <v>45503.638888888891</v>
      </c>
      <c r="G526" s="313">
        <v>1</v>
      </c>
      <c r="H526" s="313">
        <v>51.370800000000003</v>
      </c>
      <c r="I526" s="313">
        <v>9.6510499999999997</v>
      </c>
      <c r="J526" s="313">
        <v>-25.189806000000001</v>
      </c>
      <c r="K526" s="313">
        <v>-23.719000000000001</v>
      </c>
      <c r="L526" s="313">
        <v>1008.84</v>
      </c>
      <c r="M526" s="313">
        <v>65.499489999999994</v>
      </c>
      <c r="N526" s="313">
        <v>9194.7393100000008</v>
      </c>
      <c r="O526" s="313">
        <v>9201.5018299999992</v>
      </c>
      <c r="P526" s="315">
        <v>2070.3456999999999</v>
      </c>
      <c r="Q526" s="302" t="s">
        <v>12</v>
      </c>
      <c r="R526" s="315" t="s">
        <v>539</v>
      </c>
      <c r="S526" s="315">
        <v>10</v>
      </c>
      <c r="T526" s="315">
        <v>5</v>
      </c>
      <c r="U526" s="315">
        <v>0.7</v>
      </c>
      <c r="V526" s="315">
        <v>0.7</v>
      </c>
      <c r="W526" s="315">
        <v>0.7</v>
      </c>
      <c r="X526" s="313">
        <v>2000</v>
      </c>
      <c r="Y526" s="313" t="s">
        <v>540</v>
      </c>
      <c r="Z526" s="313">
        <v>0.2</v>
      </c>
      <c r="AA526" s="313" t="s">
        <v>541</v>
      </c>
      <c r="AB526" s="313" t="s">
        <v>542</v>
      </c>
      <c r="AC526" s="313">
        <v>220</v>
      </c>
      <c r="AD526" s="151"/>
      <c r="AE526" s="206"/>
    </row>
    <row r="527" spans="1:31" ht="15.75">
      <c r="A527" s="316" t="s">
        <v>555</v>
      </c>
      <c r="B527" s="316" t="s">
        <v>551</v>
      </c>
      <c r="C527" s="316" t="s">
        <v>821</v>
      </c>
      <c r="D527" s="316" t="s">
        <v>538</v>
      </c>
      <c r="E527" s="316">
        <v>0.8</v>
      </c>
      <c r="F527" s="317">
        <v>45503.64166666667</v>
      </c>
      <c r="G527" s="316">
        <v>1</v>
      </c>
      <c r="H527" s="316">
        <v>51.377400000000002</v>
      </c>
      <c r="I527" s="316">
        <v>8.5306099999999994</v>
      </c>
      <c r="J527" s="316">
        <v>-25.293199999999999</v>
      </c>
      <c r="K527" s="316">
        <v>-23.911087999999999</v>
      </c>
      <c r="L527" s="316">
        <v>1005.19</v>
      </c>
      <c r="M527" s="316">
        <v>67.999688000000006</v>
      </c>
      <c r="N527" s="316">
        <v>9208.2643499999995</v>
      </c>
      <c r="O527" s="316">
        <v>9201.5018299999992</v>
      </c>
      <c r="P527" s="318">
        <v>2070.3456999999999</v>
      </c>
      <c r="Q527" s="302" t="s">
        <v>12</v>
      </c>
      <c r="R527" s="315" t="s">
        <v>539</v>
      </c>
      <c r="S527" s="315">
        <v>10</v>
      </c>
      <c r="T527" s="315">
        <v>5</v>
      </c>
      <c r="U527" s="315">
        <v>0.7</v>
      </c>
      <c r="V527" s="315">
        <v>0.7</v>
      </c>
      <c r="W527" s="315">
        <v>0.7</v>
      </c>
      <c r="X527" s="313">
        <v>2000</v>
      </c>
      <c r="Y527" s="313" t="s">
        <v>540</v>
      </c>
      <c r="Z527" s="313">
        <v>0.2</v>
      </c>
      <c r="AA527" s="313" t="s">
        <v>541</v>
      </c>
      <c r="AB527" s="313" t="s">
        <v>542</v>
      </c>
      <c r="AC527" s="313">
        <v>220</v>
      </c>
      <c r="AD527" s="151"/>
      <c r="AE527" s="206"/>
    </row>
    <row r="528" spans="1:31" ht="15.75">
      <c r="A528" s="313" t="s">
        <v>557</v>
      </c>
      <c r="B528" s="313" t="s">
        <v>558</v>
      </c>
      <c r="C528" s="313" t="s">
        <v>821</v>
      </c>
      <c r="D528" s="313" t="s">
        <v>538</v>
      </c>
      <c r="E528" s="313">
        <v>1</v>
      </c>
      <c r="F528" s="314">
        <v>45503.644444444442</v>
      </c>
      <c r="G528" s="313">
        <v>1</v>
      </c>
      <c r="H528" s="313">
        <v>51.370800000000003</v>
      </c>
      <c r="I528" s="313">
        <v>8.0455100000000002</v>
      </c>
      <c r="J528" s="313">
        <v>-25.244363</v>
      </c>
      <c r="K528" s="313">
        <v>-23.941299999999998</v>
      </c>
      <c r="L528" s="313">
        <v>1057.28</v>
      </c>
      <c r="M528" s="313">
        <v>75.999938</v>
      </c>
      <c r="N528" s="313">
        <v>11583.096799999999</v>
      </c>
      <c r="O528" s="313">
        <v>11579.0319</v>
      </c>
      <c r="P528" s="315">
        <v>2070.3456999999999</v>
      </c>
      <c r="Q528" s="302" t="s">
        <v>12</v>
      </c>
      <c r="R528" s="315" t="s">
        <v>539</v>
      </c>
      <c r="S528" s="315">
        <v>10</v>
      </c>
      <c r="T528" s="315">
        <v>5</v>
      </c>
      <c r="U528" s="315">
        <v>0.7</v>
      </c>
      <c r="V528" s="315">
        <v>0.7</v>
      </c>
      <c r="W528" s="315">
        <v>0.7</v>
      </c>
      <c r="X528" s="313">
        <v>2000</v>
      </c>
      <c r="Y528" s="313" t="s">
        <v>540</v>
      </c>
      <c r="Z528" s="313">
        <v>0.2</v>
      </c>
      <c r="AA528" s="313" t="s">
        <v>541</v>
      </c>
      <c r="AB528" s="313" t="s">
        <v>542</v>
      </c>
      <c r="AC528" s="313">
        <v>220</v>
      </c>
      <c r="AD528" s="151"/>
      <c r="AE528" s="206"/>
    </row>
    <row r="529" spans="1:31" ht="15.75">
      <c r="A529" s="313" t="s">
        <v>559</v>
      </c>
      <c r="B529" s="313" t="s">
        <v>558</v>
      </c>
      <c r="C529" s="313" t="s">
        <v>821</v>
      </c>
      <c r="D529" s="313" t="s">
        <v>538</v>
      </c>
      <c r="E529" s="313">
        <v>1</v>
      </c>
      <c r="F529" s="314">
        <v>45503.647222222222</v>
      </c>
      <c r="G529" s="313">
        <v>1</v>
      </c>
      <c r="H529" s="313">
        <v>51.374099999999999</v>
      </c>
      <c r="I529" s="313">
        <v>7.8241300000000003</v>
      </c>
      <c r="J529" s="313">
        <v>-25.275569000000001</v>
      </c>
      <c r="K529" s="313">
        <v>-23.511713</v>
      </c>
      <c r="L529" s="313">
        <v>1066.8399999999999</v>
      </c>
      <c r="M529" s="313">
        <v>66.501407999999998</v>
      </c>
      <c r="N529" s="313">
        <v>11574.967000000001</v>
      </c>
      <c r="O529" s="313">
        <v>11579.0319</v>
      </c>
      <c r="P529" s="315">
        <v>2070.3456999999999</v>
      </c>
      <c r="Q529" s="302" t="s">
        <v>12</v>
      </c>
      <c r="R529" s="315" t="s">
        <v>539</v>
      </c>
      <c r="S529" s="315">
        <v>10</v>
      </c>
      <c r="T529" s="315">
        <v>5</v>
      </c>
      <c r="U529" s="315">
        <v>0.7</v>
      </c>
      <c r="V529" s="315">
        <v>0.7</v>
      </c>
      <c r="W529" s="315">
        <v>0.7</v>
      </c>
      <c r="X529" s="313">
        <v>2000</v>
      </c>
      <c r="Y529" s="313" t="s">
        <v>540</v>
      </c>
      <c r="Z529" s="313">
        <v>0.2</v>
      </c>
      <c r="AA529" s="313" t="s">
        <v>541</v>
      </c>
      <c r="AB529" s="313" t="s">
        <v>542</v>
      </c>
      <c r="AC529" s="313">
        <v>220</v>
      </c>
      <c r="AD529" s="151"/>
      <c r="AE529" s="206"/>
    </row>
    <row r="530" spans="1:31" ht="15.75">
      <c r="A530" s="313" t="s">
        <v>560</v>
      </c>
      <c r="B530" s="313" t="s">
        <v>561</v>
      </c>
      <c r="C530" s="313" t="s">
        <v>821</v>
      </c>
      <c r="D530" s="313" t="s">
        <v>538</v>
      </c>
      <c r="E530" s="313">
        <v>1.2</v>
      </c>
      <c r="F530" s="314">
        <v>45503.65</v>
      </c>
      <c r="G530" s="313">
        <v>1</v>
      </c>
      <c r="H530" s="313">
        <v>51.374099999999999</v>
      </c>
      <c r="I530" s="313">
        <v>7.4874599999999996</v>
      </c>
      <c r="J530" s="313">
        <v>-25.358675000000002</v>
      </c>
      <c r="K530" s="313">
        <v>-23.488156</v>
      </c>
      <c r="L530" s="313">
        <v>1093.5999999999999</v>
      </c>
      <c r="M530" s="313">
        <v>70.500810000000001</v>
      </c>
      <c r="N530" s="313">
        <v>13964.284100000001</v>
      </c>
      <c r="O530" s="313">
        <v>13950.856900000001</v>
      </c>
      <c r="P530" s="315">
        <v>2070.3456999999999</v>
      </c>
      <c r="Q530" s="302" t="s">
        <v>12</v>
      </c>
      <c r="R530" s="315" t="s">
        <v>539</v>
      </c>
      <c r="S530" s="315">
        <v>10</v>
      </c>
      <c r="T530" s="315">
        <v>5</v>
      </c>
      <c r="U530" s="315">
        <v>0.7</v>
      </c>
      <c r="V530" s="315">
        <v>0.7</v>
      </c>
      <c r="W530" s="315">
        <v>0.7</v>
      </c>
      <c r="X530" s="313">
        <v>2000</v>
      </c>
      <c r="Y530" s="313" t="s">
        <v>540</v>
      </c>
      <c r="Z530" s="313">
        <v>0.2</v>
      </c>
      <c r="AA530" s="313" t="s">
        <v>541</v>
      </c>
      <c r="AB530" s="313" t="s">
        <v>542</v>
      </c>
      <c r="AC530" s="313">
        <v>220</v>
      </c>
      <c r="AD530" s="151"/>
      <c r="AE530" s="206"/>
    </row>
    <row r="531" spans="1:31" ht="15.75">
      <c r="A531" s="313" t="s">
        <v>562</v>
      </c>
      <c r="B531" s="313" t="s">
        <v>561</v>
      </c>
      <c r="C531" s="313" t="s">
        <v>821</v>
      </c>
      <c r="D531" s="313" t="s">
        <v>538</v>
      </c>
      <c r="E531" s="313">
        <v>1.2</v>
      </c>
      <c r="F531" s="314">
        <v>45503.652777777781</v>
      </c>
      <c r="G531" s="313">
        <v>1</v>
      </c>
      <c r="H531" s="313">
        <v>51.370800000000003</v>
      </c>
      <c r="I531" s="313">
        <v>7.6797500000000003</v>
      </c>
      <c r="J531" s="313">
        <v>-25.256018999999998</v>
      </c>
      <c r="K531" s="313">
        <v>-23.801988000000001</v>
      </c>
      <c r="L531" s="313">
        <v>1113.01</v>
      </c>
      <c r="M531" s="313">
        <v>74.000527000000005</v>
      </c>
      <c r="N531" s="313">
        <v>13937.429700000001</v>
      </c>
      <c r="O531" s="313">
        <v>13950.856900000001</v>
      </c>
      <c r="P531" s="315">
        <v>2070.3456999999999</v>
      </c>
      <c r="Q531" s="302" t="s">
        <v>12</v>
      </c>
      <c r="R531" s="315" t="s">
        <v>539</v>
      </c>
      <c r="S531" s="315">
        <v>10</v>
      </c>
      <c r="T531" s="315">
        <v>5</v>
      </c>
      <c r="U531" s="315">
        <v>0.7</v>
      </c>
      <c r="V531" s="315">
        <v>0.7</v>
      </c>
      <c r="W531" s="315">
        <v>0.7</v>
      </c>
      <c r="X531" s="313">
        <v>2000</v>
      </c>
      <c r="Y531" s="313" t="s">
        <v>540</v>
      </c>
      <c r="Z531" s="313">
        <v>0.2</v>
      </c>
      <c r="AA531" s="313" t="s">
        <v>541</v>
      </c>
      <c r="AB531" s="313" t="s">
        <v>542</v>
      </c>
      <c r="AC531" s="313">
        <v>220</v>
      </c>
      <c r="AD531" s="151"/>
      <c r="AE531" s="206"/>
    </row>
    <row r="532" spans="1:31" ht="15.75">
      <c r="A532" s="313" t="s">
        <v>563</v>
      </c>
      <c r="B532" s="313">
        <v>2</v>
      </c>
      <c r="C532" s="313">
        <v>599</v>
      </c>
      <c r="D532" s="313" t="s">
        <v>564</v>
      </c>
      <c r="E532" s="313">
        <v>1</v>
      </c>
      <c r="F532" s="314">
        <v>45503.65625</v>
      </c>
      <c r="G532" s="313">
        <v>1</v>
      </c>
      <c r="H532" s="313">
        <v>51.374099999999999</v>
      </c>
      <c r="I532" s="313">
        <v>7.21706</v>
      </c>
      <c r="J532" s="313">
        <v>-25.327774999999999</v>
      </c>
      <c r="K532" s="313">
        <v>-24.050725</v>
      </c>
      <c r="L532" s="313">
        <v>1065.45</v>
      </c>
      <c r="M532" s="313">
        <v>74.499690999999999</v>
      </c>
      <c r="N532" s="313">
        <v>11721.9169</v>
      </c>
      <c r="O532" s="313">
        <v>11634.6173</v>
      </c>
      <c r="P532" s="315">
        <v>2080.3696500000001</v>
      </c>
      <c r="Q532" s="302" t="s">
        <v>12</v>
      </c>
      <c r="R532" s="315" t="s">
        <v>553</v>
      </c>
      <c r="S532" s="315">
        <v>10</v>
      </c>
      <c r="T532" s="315">
        <v>5</v>
      </c>
      <c r="U532" s="315">
        <v>0.7</v>
      </c>
      <c r="V532" s="315">
        <v>0.7</v>
      </c>
      <c r="W532" s="315">
        <v>0.7</v>
      </c>
      <c r="X532" s="313">
        <v>2000</v>
      </c>
      <c r="Y532" s="313" t="s">
        <v>540</v>
      </c>
      <c r="Z532" s="313">
        <v>0.2</v>
      </c>
      <c r="AA532" s="313" t="s">
        <v>541</v>
      </c>
      <c r="AB532" s="313" t="s">
        <v>542</v>
      </c>
      <c r="AC532" s="313">
        <v>220</v>
      </c>
      <c r="AD532" s="151"/>
      <c r="AE532" s="206"/>
    </row>
    <row r="533" spans="1:31" ht="15.75">
      <c r="A533" s="313" t="s">
        <v>565</v>
      </c>
      <c r="B533" s="313">
        <v>2</v>
      </c>
      <c r="C533" s="313">
        <v>599</v>
      </c>
      <c r="D533" s="313" t="s">
        <v>564</v>
      </c>
      <c r="E533" s="313">
        <v>1</v>
      </c>
      <c r="F533" s="314">
        <v>45503.65902777778</v>
      </c>
      <c r="G533" s="313">
        <v>1</v>
      </c>
      <c r="H533" s="313">
        <v>51.370800000000003</v>
      </c>
      <c r="I533" s="313">
        <v>6.7382200000000001</v>
      </c>
      <c r="J533" s="313">
        <v>-25.227868999999998</v>
      </c>
      <c r="K533" s="313">
        <v>-23.601012000000001</v>
      </c>
      <c r="L533" s="313">
        <v>1046.44</v>
      </c>
      <c r="M533" s="313">
        <v>71.999741999999998</v>
      </c>
      <c r="N533" s="313">
        <v>11685.4732</v>
      </c>
      <c r="O533" s="313">
        <v>11634.6173</v>
      </c>
      <c r="P533" s="315">
        <v>2080.3696500000001</v>
      </c>
      <c r="Q533" s="302" t="s">
        <v>12</v>
      </c>
      <c r="R533" s="315" t="s">
        <v>553</v>
      </c>
      <c r="S533" s="315">
        <v>10</v>
      </c>
      <c r="T533" s="315">
        <v>5</v>
      </c>
      <c r="U533" s="315">
        <v>0.7</v>
      </c>
      <c r="V533" s="315">
        <v>0.7</v>
      </c>
      <c r="W533" s="315">
        <v>0.7</v>
      </c>
      <c r="X533" s="313">
        <v>2000</v>
      </c>
      <c r="Y533" s="313" t="s">
        <v>540</v>
      </c>
      <c r="Z533" s="313">
        <v>0.2</v>
      </c>
      <c r="AA533" s="313" t="s">
        <v>541</v>
      </c>
      <c r="AB533" s="313" t="s">
        <v>542</v>
      </c>
      <c r="AC533" s="313">
        <v>220</v>
      </c>
      <c r="AD533" s="151"/>
      <c r="AE533" s="206"/>
    </row>
    <row r="534" spans="1:31" ht="15.75">
      <c r="A534" s="313" t="s">
        <v>566</v>
      </c>
      <c r="B534" s="313">
        <v>2</v>
      </c>
      <c r="C534" s="313">
        <v>599</v>
      </c>
      <c r="D534" s="313" t="s">
        <v>564</v>
      </c>
      <c r="E534" s="313">
        <v>1</v>
      </c>
      <c r="F534" s="314">
        <v>45503.661805555559</v>
      </c>
      <c r="G534" s="313">
        <v>1</v>
      </c>
      <c r="H534" s="313">
        <v>51.374099999999999</v>
      </c>
      <c r="I534" s="313">
        <v>6.6424799999999999</v>
      </c>
      <c r="J534" s="313">
        <v>-25.294906000000001</v>
      </c>
      <c r="K534" s="313">
        <v>-23.768975000000001</v>
      </c>
      <c r="L534" s="313">
        <v>1055.3599999999999</v>
      </c>
      <c r="M534" s="313">
        <v>73.999965000000003</v>
      </c>
      <c r="N534" s="313">
        <v>11520.260399999999</v>
      </c>
      <c r="O534" s="313">
        <v>11634.6173</v>
      </c>
      <c r="P534" s="315">
        <v>2080.3696500000001</v>
      </c>
      <c r="Q534" s="302" t="s">
        <v>12</v>
      </c>
      <c r="R534" s="315" t="s">
        <v>553</v>
      </c>
      <c r="S534" s="315">
        <v>10</v>
      </c>
      <c r="T534" s="315">
        <v>5</v>
      </c>
      <c r="U534" s="315">
        <v>0.7</v>
      </c>
      <c r="V534" s="315">
        <v>0.7</v>
      </c>
      <c r="W534" s="315">
        <v>0.7</v>
      </c>
      <c r="X534" s="313">
        <v>2000</v>
      </c>
      <c r="Y534" s="313" t="s">
        <v>540</v>
      </c>
      <c r="Z534" s="313">
        <v>0.2</v>
      </c>
      <c r="AA534" s="313" t="s">
        <v>541</v>
      </c>
      <c r="AB534" s="313" t="s">
        <v>542</v>
      </c>
      <c r="AC534" s="313">
        <v>220</v>
      </c>
      <c r="AD534" s="151"/>
      <c r="AE534" s="206"/>
    </row>
    <row r="535" spans="1:31" ht="15.75">
      <c r="A535" s="313" t="s">
        <v>822</v>
      </c>
      <c r="B535" s="313">
        <v>2</v>
      </c>
      <c r="C535" s="313">
        <v>599</v>
      </c>
      <c r="D535" s="313" t="s">
        <v>564</v>
      </c>
      <c r="E535" s="313">
        <v>1</v>
      </c>
      <c r="F535" s="314">
        <v>45503.664583333331</v>
      </c>
      <c r="G535" s="313">
        <v>1</v>
      </c>
      <c r="H535" s="313">
        <v>51.374099999999999</v>
      </c>
      <c r="I535" s="313">
        <v>6.7362599999999997</v>
      </c>
      <c r="J535" s="313">
        <v>-25.351825000000002</v>
      </c>
      <c r="K535" s="313">
        <v>-23.820256000000001</v>
      </c>
      <c r="L535" s="313">
        <v>1037.98</v>
      </c>
      <c r="M535" s="313">
        <v>74.500153999999995</v>
      </c>
      <c r="N535" s="313">
        <v>11633.7114</v>
      </c>
      <c r="O535" s="313">
        <v>11634.6173</v>
      </c>
      <c r="P535" s="315">
        <v>2080.3696500000001</v>
      </c>
      <c r="Q535" s="302" t="s">
        <v>12</v>
      </c>
      <c r="R535" s="315" t="s">
        <v>539</v>
      </c>
      <c r="S535" s="315">
        <v>10</v>
      </c>
      <c r="T535" s="315">
        <v>5</v>
      </c>
      <c r="U535" s="315">
        <v>0.7</v>
      </c>
      <c r="V535" s="315">
        <v>0.7</v>
      </c>
      <c r="W535" s="315">
        <v>0.7</v>
      </c>
      <c r="X535" s="313">
        <v>2000</v>
      </c>
      <c r="Y535" s="313" t="s">
        <v>540</v>
      </c>
      <c r="Z535" s="313">
        <v>0.2</v>
      </c>
      <c r="AA535" s="313" t="s">
        <v>541</v>
      </c>
      <c r="AB535" s="313" t="s">
        <v>542</v>
      </c>
      <c r="AC535" s="313">
        <v>220</v>
      </c>
      <c r="AD535" s="151"/>
      <c r="AE535" s="206"/>
    </row>
    <row r="536" spans="1:31" ht="15.75">
      <c r="A536" s="313" t="s">
        <v>823</v>
      </c>
      <c r="B536" s="313">
        <v>2</v>
      </c>
      <c r="C536" s="313">
        <v>599</v>
      </c>
      <c r="D536" s="313" t="s">
        <v>564</v>
      </c>
      <c r="E536" s="313">
        <v>1</v>
      </c>
      <c r="F536" s="314">
        <v>45503.668055555558</v>
      </c>
      <c r="G536" s="313">
        <v>1</v>
      </c>
      <c r="H536" s="313">
        <v>51.374099999999999</v>
      </c>
      <c r="I536" s="313">
        <v>6.71225</v>
      </c>
      <c r="J536" s="313">
        <v>-25.273399999999999</v>
      </c>
      <c r="K536" s="313">
        <v>-23.734638</v>
      </c>
      <c r="L536" s="313">
        <v>1044.4000000000001</v>
      </c>
      <c r="M536" s="313">
        <v>73.000658000000001</v>
      </c>
      <c r="N536" s="313">
        <v>11635.5232</v>
      </c>
      <c r="O536" s="313">
        <v>11634.6173</v>
      </c>
      <c r="P536" s="315">
        <v>2080.3696500000001</v>
      </c>
      <c r="Q536" s="302" t="s">
        <v>12</v>
      </c>
      <c r="R536" s="315" t="s">
        <v>539</v>
      </c>
      <c r="S536" s="315">
        <v>10</v>
      </c>
      <c r="T536" s="315">
        <v>5</v>
      </c>
      <c r="U536" s="315">
        <v>0.7</v>
      </c>
      <c r="V536" s="315">
        <v>0.7</v>
      </c>
      <c r="W536" s="315">
        <v>0.7</v>
      </c>
      <c r="X536" s="313">
        <v>2000</v>
      </c>
      <c r="Y536" s="313" t="s">
        <v>540</v>
      </c>
      <c r="Z536" s="313">
        <v>0.2</v>
      </c>
      <c r="AA536" s="313" t="s">
        <v>541</v>
      </c>
      <c r="AB536" s="313" t="s">
        <v>542</v>
      </c>
      <c r="AC536" s="313">
        <v>220</v>
      </c>
      <c r="AD536" s="151"/>
      <c r="AE536" s="206"/>
    </row>
    <row r="537" spans="1:31" ht="15.75">
      <c r="A537" s="313" t="s">
        <v>567</v>
      </c>
      <c r="B537" s="313">
        <v>3</v>
      </c>
      <c r="C537" s="313">
        <v>600</v>
      </c>
      <c r="D537" s="313" t="s">
        <v>568</v>
      </c>
      <c r="E537" s="313">
        <v>1</v>
      </c>
      <c r="F537" s="314">
        <v>45503.671527777777</v>
      </c>
      <c r="G537" s="313">
        <v>1</v>
      </c>
      <c r="H537" s="313">
        <v>51.374099999999999</v>
      </c>
      <c r="I537" s="313">
        <v>6.5268499999999996</v>
      </c>
      <c r="J537" s="313">
        <v>-25.260086999999999</v>
      </c>
      <c r="K537" s="313">
        <v>-23.358162</v>
      </c>
      <c r="L537" s="313">
        <v>1051.97</v>
      </c>
      <c r="M537" s="313">
        <v>68.499453000000003</v>
      </c>
      <c r="N537" s="313">
        <v>11626.231299999999</v>
      </c>
      <c r="O537" s="313">
        <v>11654.501</v>
      </c>
      <c r="P537" s="315">
        <v>2083.8367400000002</v>
      </c>
      <c r="Q537" s="302" t="s">
        <v>12</v>
      </c>
      <c r="R537" s="315" t="s">
        <v>553</v>
      </c>
      <c r="S537" s="315">
        <v>10</v>
      </c>
      <c r="T537" s="315">
        <v>5</v>
      </c>
      <c r="U537" s="315">
        <v>0.7</v>
      </c>
      <c r="V537" s="315">
        <v>0.7</v>
      </c>
      <c r="W537" s="315">
        <v>0.7</v>
      </c>
      <c r="X537" s="313">
        <v>2000</v>
      </c>
      <c r="Y537" s="313" t="s">
        <v>540</v>
      </c>
      <c r="Z537" s="313">
        <v>0.2</v>
      </c>
      <c r="AA537" s="313" t="s">
        <v>541</v>
      </c>
      <c r="AB537" s="313" t="s">
        <v>542</v>
      </c>
      <c r="AC537" s="313">
        <v>220</v>
      </c>
      <c r="AD537" s="151"/>
      <c r="AE537" s="206"/>
    </row>
    <row r="538" spans="1:31" ht="15.75">
      <c r="A538" s="313" t="s">
        <v>569</v>
      </c>
      <c r="B538" s="313">
        <v>3</v>
      </c>
      <c r="C538" s="313">
        <v>600</v>
      </c>
      <c r="D538" s="313" t="s">
        <v>568</v>
      </c>
      <c r="E538" s="313">
        <v>1</v>
      </c>
      <c r="F538" s="314">
        <v>45503.674305555556</v>
      </c>
      <c r="G538" s="313">
        <v>1</v>
      </c>
      <c r="H538" s="313">
        <v>51.370800000000003</v>
      </c>
      <c r="I538" s="313">
        <v>6.4897600000000004</v>
      </c>
      <c r="J538" s="313">
        <v>-25.318413</v>
      </c>
      <c r="K538" s="313">
        <v>-24.006969000000002</v>
      </c>
      <c r="L538" s="313">
        <v>1028.23</v>
      </c>
      <c r="M538" s="313">
        <v>76.000100000000003</v>
      </c>
      <c r="N538" s="313">
        <v>11674.8562</v>
      </c>
      <c r="O538" s="313">
        <v>11654.501</v>
      </c>
      <c r="P538" s="315">
        <v>2083.8367400000002</v>
      </c>
      <c r="Q538" s="302" t="s">
        <v>12</v>
      </c>
      <c r="R538" s="315" t="s">
        <v>553</v>
      </c>
      <c r="S538" s="315">
        <v>10</v>
      </c>
      <c r="T538" s="315">
        <v>5</v>
      </c>
      <c r="U538" s="315">
        <v>0.7</v>
      </c>
      <c r="V538" s="315">
        <v>0.7</v>
      </c>
      <c r="W538" s="315">
        <v>0.7</v>
      </c>
      <c r="X538" s="313">
        <v>2000</v>
      </c>
      <c r="Y538" s="313" t="s">
        <v>540</v>
      </c>
      <c r="Z538" s="313">
        <v>0.2</v>
      </c>
      <c r="AA538" s="313" t="s">
        <v>541</v>
      </c>
      <c r="AB538" s="313" t="s">
        <v>542</v>
      </c>
      <c r="AC538" s="313">
        <v>220</v>
      </c>
      <c r="AD538" s="151"/>
      <c r="AE538" s="206"/>
    </row>
    <row r="539" spans="1:31" ht="15.75">
      <c r="A539" s="313" t="s">
        <v>789</v>
      </c>
      <c r="B539" s="313">
        <v>3</v>
      </c>
      <c r="C539" s="313">
        <v>600</v>
      </c>
      <c r="D539" s="313" t="s">
        <v>568</v>
      </c>
      <c r="E539" s="313">
        <v>1</v>
      </c>
      <c r="F539" s="314">
        <v>45503.677083333336</v>
      </c>
      <c r="G539" s="313">
        <v>1</v>
      </c>
      <c r="H539" s="313">
        <v>51.374099999999999</v>
      </c>
      <c r="I539" s="313">
        <v>6.2948500000000003</v>
      </c>
      <c r="J539" s="313">
        <v>-25.436461999999999</v>
      </c>
      <c r="K539" s="313">
        <v>-23.029949999999999</v>
      </c>
      <c r="L539" s="313">
        <v>1026.3</v>
      </c>
      <c r="M539" s="313">
        <v>66.499712000000002</v>
      </c>
      <c r="N539" s="313">
        <v>11553.253199999999</v>
      </c>
      <c r="O539" s="313">
        <v>11654.501</v>
      </c>
      <c r="P539" s="315">
        <v>2083.8367400000002</v>
      </c>
      <c r="Q539" s="302" t="s">
        <v>12</v>
      </c>
      <c r="R539" s="315" t="s">
        <v>553</v>
      </c>
      <c r="S539" s="315">
        <v>10</v>
      </c>
      <c r="T539" s="315">
        <v>5</v>
      </c>
      <c r="U539" s="315">
        <v>0.7</v>
      </c>
      <c r="V539" s="315">
        <v>0.7</v>
      </c>
      <c r="W539" s="315">
        <v>0.7</v>
      </c>
      <c r="X539" s="313">
        <v>2000</v>
      </c>
      <c r="Y539" s="313" t="s">
        <v>540</v>
      </c>
      <c r="Z539" s="313">
        <v>0.2</v>
      </c>
      <c r="AA539" s="313" t="s">
        <v>541</v>
      </c>
      <c r="AB539" s="313" t="s">
        <v>542</v>
      </c>
      <c r="AC539" s="313">
        <v>220</v>
      </c>
      <c r="AD539" s="151"/>
      <c r="AE539" s="206"/>
    </row>
    <row r="540" spans="1:31" ht="15.75">
      <c r="A540" s="313" t="s">
        <v>790</v>
      </c>
      <c r="B540" s="313">
        <v>3</v>
      </c>
      <c r="C540" s="313">
        <v>600</v>
      </c>
      <c r="D540" s="313" t="s">
        <v>568</v>
      </c>
      <c r="E540" s="313">
        <v>1</v>
      </c>
      <c r="F540" s="314">
        <v>45503.679861111108</v>
      </c>
      <c r="G540" s="313">
        <v>1</v>
      </c>
      <c r="H540" s="313">
        <v>51.370800000000003</v>
      </c>
      <c r="I540" s="313">
        <v>6.5242599999999999</v>
      </c>
      <c r="J540" s="313">
        <v>-25.458200000000001</v>
      </c>
      <c r="K540" s="313">
        <v>-23.923324999999998</v>
      </c>
      <c r="L540" s="313">
        <v>1054.3399999999999</v>
      </c>
      <c r="M540" s="313">
        <v>75.002474000000007</v>
      </c>
      <c r="N540" s="313">
        <v>11644.9018</v>
      </c>
      <c r="O540" s="313">
        <v>11654.501</v>
      </c>
      <c r="P540" s="315">
        <v>2083.8367400000002</v>
      </c>
      <c r="Q540" s="302" t="s">
        <v>12</v>
      </c>
      <c r="R540" s="315" t="s">
        <v>539</v>
      </c>
      <c r="S540" s="315">
        <v>10</v>
      </c>
      <c r="T540" s="315">
        <v>5</v>
      </c>
      <c r="U540" s="315">
        <v>0.7</v>
      </c>
      <c r="V540" s="315">
        <v>0.7</v>
      </c>
      <c r="W540" s="315">
        <v>0.7</v>
      </c>
      <c r="X540" s="313">
        <v>2000</v>
      </c>
      <c r="Y540" s="313" t="s">
        <v>540</v>
      </c>
      <c r="Z540" s="313">
        <v>0.2</v>
      </c>
      <c r="AA540" s="313" t="s">
        <v>541</v>
      </c>
      <c r="AB540" s="313" t="s">
        <v>542</v>
      </c>
      <c r="AC540" s="313">
        <v>220</v>
      </c>
      <c r="AD540" s="151"/>
      <c r="AE540" s="206"/>
    </row>
    <row r="541" spans="1:31" ht="15.75">
      <c r="A541" s="313" t="s">
        <v>791</v>
      </c>
      <c r="B541" s="313">
        <v>3</v>
      </c>
      <c r="C541" s="313">
        <v>600</v>
      </c>
      <c r="D541" s="313" t="s">
        <v>568</v>
      </c>
      <c r="E541" s="313">
        <v>1</v>
      </c>
      <c r="F541" s="314">
        <v>45503.682638888888</v>
      </c>
      <c r="G541" s="313">
        <v>1</v>
      </c>
      <c r="H541" s="313">
        <v>51.377400000000002</v>
      </c>
      <c r="I541" s="313">
        <v>6.5520899999999997</v>
      </c>
      <c r="J541" s="313">
        <v>-25.456030999999999</v>
      </c>
      <c r="K541" s="313">
        <v>-23.672737999999999</v>
      </c>
      <c r="L541" s="313">
        <v>1049.1500000000001</v>
      </c>
      <c r="M541" s="313">
        <v>74.000228000000007</v>
      </c>
      <c r="N541" s="313">
        <v>11664.100200000001</v>
      </c>
      <c r="O541" s="313">
        <v>11654.501</v>
      </c>
      <c r="P541" s="315">
        <v>2083.8367400000002</v>
      </c>
      <c r="Q541" s="302" t="s">
        <v>12</v>
      </c>
      <c r="R541" s="315" t="s">
        <v>539</v>
      </c>
      <c r="S541" s="315">
        <v>10</v>
      </c>
      <c r="T541" s="315">
        <v>5</v>
      </c>
      <c r="U541" s="315">
        <v>0.7</v>
      </c>
      <c r="V541" s="315">
        <v>0.7</v>
      </c>
      <c r="W541" s="315">
        <v>0.7</v>
      </c>
      <c r="X541" s="313">
        <v>2000</v>
      </c>
      <c r="Y541" s="313" t="s">
        <v>540</v>
      </c>
      <c r="Z541" s="313">
        <v>0.2</v>
      </c>
      <c r="AA541" s="313" t="s">
        <v>541</v>
      </c>
      <c r="AB541" s="313" t="s">
        <v>542</v>
      </c>
      <c r="AC541" s="313">
        <v>220</v>
      </c>
      <c r="AD541" s="151"/>
      <c r="AE541" s="206"/>
    </row>
    <row r="542" spans="1:31" ht="15.75">
      <c r="A542" s="313" t="s">
        <v>570</v>
      </c>
      <c r="B542" s="313">
        <v>4</v>
      </c>
      <c r="C542" s="313">
        <v>547</v>
      </c>
      <c r="D542" s="313" t="s">
        <v>571</v>
      </c>
      <c r="E542" s="313">
        <v>1</v>
      </c>
      <c r="F542" s="314">
        <v>45503.686111111114</v>
      </c>
      <c r="G542" s="313">
        <v>1</v>
      </c>
      <c r="H542" s="313">
        <v>51.370800000000003</v>
      </c>
      <c r="I542" s="313">
        <v>6.4802799999999996</v>
      </c>
      <c r="J542" s="313">
        <v>-25.370743999999998</v>
      </c>
      <c r="K542" s="313">
        <v>-23.951561999999999</v>
      </c>
      <c r="L542" s="313">
        <v>1044.5</v>
      </c>
      <c r="M542" s="313">
        <v>74.000321</v>
      </c>
      <c r="N542" s="313">
        <v>11641.787399999999</v>
      </c>
      <c r="O542" s="313">
        <v>11643.966899999999</v>
      </c>
      <c r="P542" s="315">
        <v>2081.99991</v>
      </c>
      <c r="Q542" s="302" t="s">
        <v>12</v>
      </c>
      <c r="R542" s="315" t="s">
        <v>553</v>
      </c>
      <c r="S542" s="315">
        <v>10</v>
      </c>
      <c r="T542" s="315">
        <v>5</v>
      </c>
      <c r="U542" s="315">
        <v>0.7</v>
      </c>
      <c r="V542" s="315">
        <v>0.7</v>
      </c>
      <c r="W542" s="315">
        <v>0.7</v>
      </c>
      <c r="X542" s="313">
        <v>2000</v>
      </c>
      <c r="Y542" s="313" t="s">
        <v>540</v>
      </c>
      <c r="Z542" s="313">
        <v>0.2</v>
      </c>
      <c r="AA542" s="313" t="s">
        <v>541</v>
      </c>
      <c r="AB542" s="313" t="s">
        <v>542</v>
      </c>
      <c r="AC542" s="313">
        <v>220</v>
      </c>
      <c r="AD542" s="151"/>
      <c r="AE542" s="206"/>
    </row>
    <row r="543" spans="1:31" ht="15.75">
      <c r="A543" s="313" t="s">
        <v>572</v>
      </c>
      <c r="B543" s="313">
        <v>4</v>
      </c>
      <c r="C543" s="313">
        <v>547</v>
      </c>
      <c r="D543" s="313" t="s">
        <v>571</v>
      </c>
      <c r="E543" s="313">
        <v>1</v>
      </c>
      <c r="F543" s="314">
        <v>45503.688888888886</v>
      </c>
      <c r="G543" s="313">
        <v>1</v>
      </c>
      <c r="H543" s="313">
        <v>51.370800000000003</v>
      </c>
      <c r="I543" s="313">
        <v>6.9528600000000003</v>
      </c>
      <c r="J543" s="313">
        <v>-25.482330999999999</v>
      </c>
      <c r="K543" s="313">
        <v>-23.794637999999999</v>
      </c>
      <c r="L543" s="313">
        <v>1074.81</v>
      </c>
      <c r="M543" s="313">
        <v>68.999960000000002</v>
      </c>
      <c r="N543" s="313">
        <v>11783.694600000001</v>
      </c>
      <c r="O543" s="313">
        <v>11643.966899999999</v>
      </c>
      <c r="P543" s="315">
        <v>2081.99991</v>
      </c>
      <c r="Q543" s="302" t="s">
        <v>12</v>
      </c>
      <c r="R543" s="315" t="s">
        <v>553</v>
      </c>
      <c r="S543" s="315">
        <v>10</v>
      </c>
      <c r="T543" s="315">
        <v>5</v>
      </c>
      <c r="U543" s="315">
        <v>0.7</v>
      </c>
      <c r="V543" s="315">
        <v>0.7</v>
      </c>
      <c r="W543" s="315">
        <v>0.7</v>
      </c>
      <c r="X543" s="313">
        <v>2000</v>
      </c>
      <c r="Y543" s="313" t="s">
        <v>540</v>
      </c>
      <c r="Z543" s="313">
        <v>0.2</v>
      </c>
      <c r="AA543" s="313" t="s">
        <v>541</v>
      </c>
      <c r="AB543" s="313" t="s">
        <v>542</v>
      </c>
      <c r="AC543" s="313">
        <v>220</v>
      </c>
      <c r="AD543" s="151"/>
      <c r="AE543" s="206"/>
    </row>
    <row r="544" spans="1:31" ht="15.75">
      <c r="A544" s="313" t="s">
        <v>573</v>
      </c>
      <c r="B544" s="313">
        <v>4</v>
      </c>
      <c r="C544" s="313">
        <v>547</v>
      </c>
      <c r="D544" s="313" t="s">
        <v>571</v>
      </c>
      <c r="E544" s="313">
        <v>1</v>
      </c>
      <c r="F544" s="314">
        <v>45503.691666666666</v>
      </c>
      <c r="G544" s="313">
        <v>1</v>
      </c>
      <c r="H544" s="313">
        <v>51.374099999999999</v>
      </c>
      <c r="I544" s="313">
        <v>6.6596700000000002</v>
      </c>
      <c r="J544" s="313">
        <v>-25.409519</v>
      </c>
      <c r="K544" s="313">
        <v>-23.891318999999999</v>
      </c>
      <c r="L544" s="313">
        <v>1094.57</v>
      </c>
      <c r="M544" s="313">
        <v>71.999332999999993</v>
      </c>
      <c r="N544" s="313">
        <v>11653.816999999999</v>
      </c>
      <c r="O544" s="313">
        <v>11643.966899999999</v>
      </c>
      <c r="P544" s="315">
        <v>2081.99991</v>
      </c>
      <c r="Q544" s="302" t="s">
        <v>12</v>
      </c>
      <c r="R544" s="315" t="s">
        <v>539</v>
      </c>
      <c r="S544" s="315">
        <v>10</v>
      </c>
      <c r="T544" s="315">
        <v>5</v>
      </c>
      <c r="U544" s="315">
        <v>0.7</v>
      </c>
      <c r="V544" s="315">
        <v>0.7</v>
      </c>
      <c r="W544" s="315">
        <v>0.7</v>
      </c>
      <c r="X544" s="313">
        <v>2000</v>
      </c>
      <c r="Y544" s="313" t="s">
        <v>540</v>
      </c>
      <c r="Z544" s="313">
        <v>0.2</v>
      </c>
      <c r="AA544" s="313" t="s">
        <v>541</v>
      </c>
      <c r="AB544" s="313" t="s">
        <v>542</v>
      </c>
      <c r="AC544" s="313">
        <v>220</v>
      </c>
      <c r="AD544" s="151"/>
      <c r="AE544" s="206"/>
    </row>
    <row r="545" spans="1:31" ht="15.75">
      <c r="A545" s="313" t="s">
        <v>824</v>
      </c>
      <c r="B545" s="313">
        <v>4</v>
      </c>
      <c r="C545" s="313">
        <v>547</v>
      </c>
      <c r="D545" s="313" t="s">
        <v>571</v>
      </c>
      <c r="E545" s="313">
        <v>1</v>
      </c>
      <c r="F545" s="314">
        <v>45503.694444444445</v>
      </c>
      <c r="G545" s="313">
        <v>1</v>
      </c>
      <c r="H545" s="313">
        <v>51.374099999999999</v>
      </c>
      <c r="I545" s="313">
        <v>6.5522200000000002</v>
      </c>
      <c r="J545" s="313">
        <v>-25.4087</v>
      </c>
      <c r="K545" s="313">
        <v>-23.413525</v>
      </c>
      <c r="L545" s="313">
        <v>1039.9000000000001</v>
      </c>
      <c r="M545" s="313">
        <v>70.500095999999999</v>
      </c>
      <c r="N545" s="313">
        <v>11634.1167</v>
      </c>
      <c r="O545" s="313">
        <v>11643.966899999999</v>
      </c>
      <c r="P545" s="315">
        <v>2081.99991</v>
      </c>
      <c r="Q545" s="302" t="s">
        <v>12</v>
      </c>
      <c r="R545" s="315" t="s">
        <v>539</v>
      </c>
      <c r="S545" s="315">
        <v>10</v>
      </c>
      <c r="T545" s="315">
        <v>5</v>
      </c>
      <c r="U545" s="315">
        <v>0.7</v>
      </c>
      <c r="V545" s="315">
        <v>0.7</v>
      </c>
      <c r="W545" s="315">
        <v>0.7</v>
      </c>
      <c r="X545" s="313">
        <v>2000</v>
      </c>
      <c r="Y545" s="313" t="s">
        <v>540</v>
      </c>
      <c r="Z545" s="313">
        <v>0.2</v>
      </c>
      <c r="AA545" s="313" t="s">
        <v>541</v>
      </c>
      <c r="AB545" s="313" t="s">
        <v>542</v>
      </c>
      <c r="AC545" s="313">
        <v>220</v>
      </c>
      <c r="AD545" s="151"/>
      <c r="AE545" s="206"/>
    </row>
    <row r="546" spans="1:31" ht="15.75">
      <c r="A546" s="313" t="s">
        <v>574</v>
      </c>
      <c r="B546" s="313">
        <v>5</v>
      </c>
      <c r="C546" s="313">
        <v>548</v>
      </c>
      <c r="D546" s="313" t="s">
        <v>575</v>
      </c>
      <c r="E546" s="313">
        <v>1</v>
      </c>
      <c r="F546" s="314">
        <v>45503.697916666664</v>
      </c>
      <c r="G546" s="313">
        <v>1</v>
      </c>
      <c r="H546" s="313">
        <v>51.374099999999999</v>
      </c>
      <c r="I546" s="313">
        <v>6.3306300000000002</v>
      </c>
      <c r="J546" s="313">
        <v>-25.505606</v>
      </c>
      <c r="K546" s="313">
        <v>-24.187863</v>
      </c>
      <c r="L546" s="313">
        <v>1053.8399999999999</v>
      </c>
      <c r="M546" s="313">
        <v>76.499744000000007</v>
      </c>
      <c r="N546" s="313">
        <v>11658.7997</v>
      </c>
      <c r="O546" s="313">
        <v>11657.9182</v>
      </c>
      <c r="P546" s="315">
        <v>2084.4325899999999</v>
      </c>
      <c r="Q546" s="302" t="s">
        <v>12</v>
      </c>
      <c r="R546" s="315" t="s">
        <v>539</v>
      </c>
      <c r="S546" s="315">
        <v>10</v>
      </c>
      <c r="T546" s="315">
        <v>5</v>
      </c>
      <c r="U546" s="315">
        <v>0.7</v>
      </c>
      <c r="V546" s="315">
        <v>0.7</v>
      </c>
      <c r="W546" s="315">
        <v>0.7</v>
      </c>
      <c r="X546" s="313">
        <v>2000</v>
      </c>
      <c r="Y546" s="313" t="s">
        <v>540</v>
      </c>
      <c r="Z546" s="313">
        <v>0.2</v>
      </c>
      <c r="AA546" s="313" t="s">
        <v>541</v>
      </c>
      <c r="AB546" s="313" t="s">
        <v>542</v>
      </c>
      <c r="AC546" s="313">
        <v>220</v>
      </c>
      <c r="AD546" s="151"/>
      <c r="AE546" s="206"/>
    </row>
    <row r="547" spans="1:31" ht="15.75">
      <c r="A547" s="313" t="s">
        <v>576</v>
      </c>
      <c r="B547" s="313">
        <v>5</v>
      </c>
      <c r="C547" s="313">
        <v>548</v>
      </c>
      <c r="D547" s="313" t="s">
        <v>575</v>
      </c>
      <c r="E547" s="313">
        <v>1</v>
      </c>
      <c r="F547" s="314">
        <v>45503.700694444444</v>
      </c>
      <c r="G547" s="313">
        <v>1</v>
      </c>
      <c r="H547" s="313">
        <v>51.374099999999999</v>
      </c>
      <c r="I547" s="313">
        <v>6.2855800000000004</v>
      </c>
      <c r="J547" s="313">
        <v>-25.4542</v>
      </c>
      <c r="K547" s="313">
        <v>-23.405625000000001</v>
      </c>
      <c r="L547" s="313">
        <v>1049.58</v>
      </c>
      <c r="M547" s="313">
        <v>69.001351</v>
      </c>
      <c r="N547" s="313">
        <v>11657.0368</v>
      </c>
      <c r="O547" s="313">
        <v>11657.9182</v>
      </c>
      <c r="P547" s="315">
        <v>2084.4325899999999</v>
      </c>
      <c r="Q547" s="302" t="s">
        <v>12</v>
      </c>
      <c r="R547" s="315" t="s">
        <v>539</v>
      </c>
      <c r="S547" s="315">
        <v>10</v>
      </c>
      <c r="T547" s="315">
        <v>5</v>
      </c>
      <c r="U547" s="315">
        <v>0.7</v>
      </c>
      <c r="V547" s="315">
        <v>0.7</v>
      </c>
      <c r="W547" s="315">
        <v>0.7</v>
      </c>
      <c r="X547" s="313">
        <v>2000</v>
      </c>
      <c r="Y547" s="313" t="s">
        <v>540</v>
      </c>
      <c r="Z547" s="313">
        <v>0.2</v>
      </c>
      <c r="AA547" s="313" t="s">
        <v>541</v>
      </c>
      <c r="AB547" s="313" t="s">
        <v>542</v>
      </c>
      <c r="AC547" s="313">
        <v>220</v>
      </c>
      <c r="AD547" s="151"/>
      <c r="AE547" s="206"/>
    </row>
    <row r="548" spans="1:31" ht="15.75">
      <c r="A548" s="313" t="s">
        <v>578</v>
      </c>
      <c r="B548" s="313">
        <v>6</v>
      </c>
      <c r="C548" s="313" t="s">
        <v>821</v>
      </c>
      <c r="D548" s="313" t="s">
        <v>538</v>
      </c>
      <c r="E548" s="313">
        <v>1</v>
      </c>
      <c r="F548" s="314">
        <v>45503.70416666667</v>
      </c>
      <c r="G548" s="313">
        <v>1</v>
      </c>
      <c r="H548" s="313">
        <v>51.374099999999999</v>
      </c>
      <c r="I548" s="313">
        <v>6.4009799999999997</v>
      </c>
      <c r="J548" s="313">
        <v>-25.421455999999999</v>
      </c>
      <c r="K548" s="313">
        <v>-23.458400000000001</v>
      </c>
      <c r="L548" s="313">
        <v>1049.4100000000001</v>
      </c>
      <c r="M548" s="313">
        <v>68.499989999999997</v>
      </c>
      <c r="N548" s="313">
        <v>11527.401900000001</v>
      </c>
      <c r="O548" s="313">
        <v>0</v>
      </c>
      <c r="P548" s="315">
        <v>0</v>
      </c>
      <c r="Q548" s="302" t="s">
        <v>280</v>
      </c>
      <c r="R548" s="315" t="s">
        <v>607</v>
      </c>
      <c r="S548" s="315">
        <v>10</v>
      </c>
      <c r="T548" s="315">
        <v>5</v>
      </c>
      <c r="U548" s="315">
        <v>0.7</v>
      </c>
      <c r="V548" s="315">
        <v>0.7</v>
      </c>
      <c r="W548" s="315">
        <v>0.7</v>
      </c>
      <c r="X548" s="313">
        <v>2000</v>
      </c>
      <c r="Y548" s="313" t="s">
        <v>540</v>
      </c>
      <c r="Z548" s="313">
        <v>0.2</v>
      </c>
      <c r="AA548" s="313" t="s">
        <v>541</v>
      </c>
      <c r="AB548" s="313" t="s">
        <v>542</v>
      </c>
      <c r="AC548" s="313">
        <v>220</v>
      </c>
      <c r="AD548" s="151"/>
      <c r="AE548" s="206"/>
    </row>
    <row r="549" spans="1:31" ht="15.75">
      <c r="A549" s="313" t="s">
        <v>580</v>
      </c>
      <c r="B549" s="313">
        <v>6</v>
      </c>
      <c r="C549" s="313" t="s">
        <v>821</v>
      </c>
      <c r="D549" s="313" t="s">
        <v>538</v>
      </c>
      <c r="E549" s="313">
        <v>1</v>
      </c>
      <c r="F549" s="314">
        <v>45503.706944444442</v>
      </c>
      <c r="G549" s="313">
        <v>1</v>
      </c>
      <c r="H549" s="313">
        <v>51.374099999999999</v>
      </c>
      <c r="I549" s="313">
        <v>6.71549</v>
      </c>
      <c r="J549" s="313">
        <v>-25.407581</v>
      </c>
      <c r="K549" s="313">
        <v>-24.124124999999999</v>
      </c>
      <c r="L549" s="313">
        <v>1048.23</v>
      </c>
      <c r="M549" s="313">
        <v>77.499393999999995</v>
      </c>
      <c r="N549" s="313">
        <v>11579.7297</v>
      </c>
      <c r="O549" s="313">
        <v>0</v>
      </c>
      <c r="P549" s="315">
        <v>0</v>
      </c>
      <c r="Q549" s="302" t="s">
        <v>280</v>
      </c>
      <c r="R549" s="315" t="s">
        <v>607</v>
      </c>
      <c r="S549" s="315">
        <v>10</v>
      </c>
      <c r="T549" s="315">
        <v>5</v>
      </c>
      <c r="U549" s="315">
        <v>0.7</v>
      </c>
      <c r="V549" s="315">
        <v>0.7</v>
      </c>
      <c r="W549" s="315">
        <v>0.7</v>
      </c>
      <c r="X549" s="313">
        <v>2000</v>
      </c>
      <c r="Y549" s="313" t="s">
        <v>540</v>
      </c>
      <c r="Z549" s="313">
        <v>0.2</v>
      </c>
      <c r="AA549" s="313" t="s">
        <v>541</v>
      </c>
      <c r="AB549" s="313" t="s">
        <v>542</v>
      </c>
      <c r="AC549" s="313">
        <v>220</v>
      </c>
      <c r="AD549" s="151"/>
      <c r="AE549" s="206"/>
    </row>
    <row r="550" spans="1:31" ht="15.75">
      <c r="A550" s="313" t="s">
        <v>825</v>
      </c>
      <c r="B550" s="313">
        <v>6</v>
      </c>
      <c r="C550" s="313" t="s">
        <v>821</v>
      </c>
      <c r="D550" s="313" t="s">
        <v>538</v>
      </c>
      <c r="E550" s="313">
        <v>1</v>
      </c>
      <c r="F550" s="314">
        <v>45503.709722222222</v>
      </c>
      <c r="G550" s="313">
        <v>1</v>
      </c>
      <c r="H550" s="313">
        <v>51.377400000000002</v>
      </c>
      <c r="I550" s="313">
        <v>6.8284700000000003</v>
      </c>
      <c r="J550" s="313">
        <v>-25.458306</v>
      </c>
      <c r="K550" s="313">
        <v>-23.998913000000002</v>
      </c>
      <c r="L550" s="313">
        <v>1054.79</v>
      </c>
      <c r="M550" s="313">
        <v>74.500767999999994</v>
      </c>
      <c r="N550" s="313">
        <v>11618.692999999999</v>
      </c>
      <c r="O550" s="313">
        <v>0</v>
      </c>
      <c r="P550" s="315">
        <v>0</v>
      </c>
      <c r="Q550" s="302" t="s">
        <v>280</v>
      </c>
      <c r="R550" s="315" t="s">
        <v>607</v>
      </c>
      <c r="S550" s="315">
        <v>10</v>
      </c>
      <c r="T550" s="315">
        <v>5</v>
      </c>
      <c r="U550" s="315">
        <v>0.7</v>
      </c>
      <c r="V550" s="315">
        <v>0.7</v>
      </c>
      <c r="W550" s="315">
        <v>0.7</v>
      </c>
      <c r="X550" s="313">
        <v>2000</v>
      </c>
      <c r="Y550" s="313" t="s">
        <v>540</v>
      </c>
      <c r="Z550" s="313">
        <v>0.2</v>
      </c>
      <c r="AA550" s="313" t="s">
        <v>541</v>
      </c>
      <c r="AB550" s="313" t="s">
        <v>542</v>
      </c>
      <c r="AC550" s="313">
        <v>220</v>
      </c>
      <c r="AD550" s="151"/>
      <c r="AE550" s="206"/>
    </row>
    <row r="551" spans="1:31" ht="15.75">
      <c r="A551" s="313" t="s">
        <v>826</v>
      </c>
      <c r="B551" s="313">
        <v>6</v>
      </c>
      <c r="C551" s="313" t="s">
        <v>821</v>
      </c>
      <c r="D551" s="313" t="s">
        <v>538</v>
      </c>
      <c r="E551" s="313">
        <v>1</v>
      </c>
      <c r="F551" s="314">
        <v>45503.712500000001</v>
      </c>
      <c r="G551" s="313">
        <v>1</v>
      </c>
      <c r="H551" s="313">
        <v>51.377400000000002</v>
      </c>
      <c r="I551" s="313">
        <v>6.5159200000000004</v>
      </c>
      <c r="J551" s="313">
        <v>-25.383431000000002</v>
      </c>
      <c r="K551" s="313">
        <v>-23.782250000000001</v>
      </c>
      <c r="L551" s="313">
        <v>1051.19</v>
      </c>
      <c r="M551" s="313">
        <v>72.500411</v>
      </c>
      <c r="N551" s="313">
        <v>11520.9097</v>
      </c>
      <c r="O551" s="313">
        <v>0</v>
      </c>
      <c r="P551" s="315">
        <v>0</v>
      </c>
      <c r="Q551" s="302" t="s">
        <v>280</v>
      </c>
      <c r="R551" s="315" t="s">
        <v>607</v>
      </c>
      <c r="S551" s="315">
        <v>10</v>
      </c>
      <c r="T551" s="315">
        <v>5</v>
      </c>
      <c r="U551" s="315">
        <v>0.7</v>
      </c>
      <c r="V551" s="315">
        <v>0.7</v>
      </c>
      <c r="W551" s="315">
        <v>0.7</v>
      </c>
      <c r="X551" s="313">
        <v>2000</v>
      </c>
      <c r="Y551" s="313" t="s">
        <v>540</v>
      </c>
      <c r="Z551" s="313">
        <v>0.2</v>
      </c>
      <c r="AA551" s="313" t="s">
        <v>541</v>
      </c>
      <c r="AB551" s="313" t="s">
        <v>542</v>
      </c>
      <c r="AC551" s="313">
        <v>220</v>
      </c>
      <c r="AD551" s="151"/>
      <c r="AE551" s="206"/>
    </row>
    <row r="552" spans="1:31" ht="15.75">
      <c r="A552" s="313" t="s">
        <v>827</v>
      </c>
      <c r="B552" s="313">
        <v>6</v>
      </c>
      <c r="C552" s="313" t="s">
        <v>821</v>
      </c>
      <c r="D552" s="313" t="s">
        <v>538</v>
      </c>
      <c r="E552" s="313">
        <v>1</v>
      </c>
      <c r="F552" s="314">
        <v>45503.715277777781</v>
      </c>
      <c r="G552" s="313">
        <v>1</v>
      </c>
      <c r="H552" s="313">
        <v>51.377400000000002</v>
      </c>
      <c r="I552" s="313">
        <v>6.81088</v>
      </c>
      <c r="J552" s="313">
        <v>-25.229962</v>
      </c>
      <c r="K552" s="313">
        <v>-23.664930999999999</v>
      </c>
      <c r="L552" s="313">
        <v>1060.04</v>
      </c>
      <c r="M552" s="313">
        <v>69.000705999999994</v>
      </c>
      <c r="N552" s="313">
        <v>11595.9118</v>
      </c>
      <c r="O552" s="313">
        <v>0</v>
      </c>
      <c r="P552" s="315">
        <v>0</v>
      </c>
      <c r="Q552" s="302" t="s">
        <v>280</v>
      </c>
      <c r="R552" s="315" t="s">
        <v>607</v>
      </c>
      <c r="S552" s="315">
        <v>10</v>
      </c>
      <c r="T552" s="315">
        <v>5</v>
      </c>
      <c r="U552" s="315">
        <v>0.7</v>
      </c>
      <c r="V552" s="315">
        <v>0.7</v>
      </c>
      <c r="W552" s="315">
        <v>0.7</v>
      </c>
      <c r="X552" s="313">
        <v>2000</v>
      </c>
      <c r="Y552" s="313" t="s">
        <v>540</v>
      </c>
      <c r="Z552" s="313">
        <v>0.2</v>
      </c>
      <c r="AA552" s="313" t="s">
        <v>541</v>
      </c>
      <c r="AB552" s="313" t="s">
        <v>542</v>
      </c>
      <c r="AC552" s="313">
        <v>220</v>
      </c>
      <c r="AD552" s="151"/>
      <c r="AE552" s="206"/>
    </row>
    <row r="553" spans="1:31" ht="15.75">
      <c r="A553" s="313" t="s">
        <v>828</v>
      </c>
      <c r="B553" s="313">
        <v>6</v>
      </c>
      <c r="C553" s="313" t="s">
        <v>821</v>
      </c>
      <c r="D553" s="313" t="s">
        <v>538</v>
      </c>
      <c r="E553" s="313">
        <v>1</v>
      </c>
      <c r="F553" s="314">
        <v>45503.718055555553</v>
      </c>
      <c r="G553" s="313">
        <v>2</v>
      </c>
      <c r="H553" s="313">
        <v>51.370800000000003</v>
      </c>
      <c r="I553" s="313">
        <v>6.7078199999999999</v>
      </c>
      <c r="J553" s="313">
        <v>-25.387412999999999</v>
      </c>
      <c r="K553" s="313">
        <v>-23.633918999999999</v>
      </c>
      <c r="L553" s="313">
        <v>1065.9000000000001</v>
      </c>
      <c r="M553" s="313">
        <v>70.499487999999999</v>
      </c>
      <c r="N553" s="313">
        <v>11565.156199999999</v>
      </c>
      <c r="O553" s="313">
        <v>0</v>
      </c>
      <c r="P553" s="315">
        <v>0</v>
      </c>
      <c r="Q553" s="302" t="s">
        <v>280</v>
      </c>
      <c r="R553" s="315" t="s">
        <v>607</v>
      </c>
      <c r="S553" s="315">
        <v>10</v>
      </c>
      <c r="T553" s="315">
        <v>5</v>
      </c>
      <c r="U553" s="315">
        <v>0.7</v>
      </c>
      <c r="V553" s="315">
        <v>0.7</v>
      </c>
      <c r="W553" s="315">
        <v>0.7</v>
      </c>
      <c r="X553" s="313">
        <v>2000</v>
      </c>
      <c r="Y553" s="313" t="s">
        <v>540</v>
      </c>
      <c r="Z553" s="313">
        <v>0.2</v>
      </c>
      <c r="AA553" s="313" t="s">
        <v>541</v>
      </c>
      <c r="AB553" s="313" t="s">
        <v>542</v>
      </c>
      <c r="AC553" s="313">
        <v>220</v>
      </c>
      <c r="AD553" s="151"/>
      <c r="AE553" s="206"/>
    </row>
    <row r="554" spans="1:31" ht="15.75">
      <c r="A554" s="313" t="s">
        <v>829</v>
      </c>
      <c r="B554" s="313">
        <v>6</v>
      </c>
      <c r="C554" s="313" t="s">
        <v>821</v>
      </c>
      <c r="D554" s="313" t="s">
        <v>538</v>
      </c>
      <c r="E554" s="313">
        <v>1</v>
      </c>
      <c r="F554" s="314">
        <v>45503.720833333333</v>
      </c>
      <c r="G554" s="313">
        <v>2</v>
      </c>
      <c r="H554" s="313">
        <v>51.377400000000002</v>
      </c>
      <c r="I554" s="313">
        <v>6.5570399999999998</v>
      </c>
      <c r="J554" s="313">
        <v>-25.400444</v>
      </c>
      <c r="K554" s="313">
        <v>-23.381319000000001</v>
      </c>
      <c r="L554" s="313">
        <v>1051.75</v>
      </c>
      <c r="M554" s="313">
        <v>68.001375999999993</v>
      </c>
      <c r="N554" s="313">
        <v>11467.3159</v>
      </c>
      <c r="O554" s="313">
        <v>0</v>
      </c>
      <c r="P554" s="315">
        <v>0</v>
      </c>
      <c r="Q554" s="302" t="s">
        <v>280</v>
      </c>
      <c r="R554" s="315" t="s">
        <v>607</v>
      </c>
      <c r="S554" s="315">
        <v>10</v>
      </c>
      <c r="T554" s="315">
        <v>5</v>
      </c>
      <c r="U554" s="315">
        <v>0.7</v>
      </c>
      <c r="V554" s="315">
        <v>0.7</v>
      </c>
      <c r="W554" s="315">
        <v>0.7</v>
      </c>
      <c r="X554" s="313">
        <v>2000</v>
      </c>
      <c r="Y554" s="313" t="s">
        <v>540</v>
      </c>
      <c r="Z554" s="313">
        <v>0.2</v>
      </c>
      <c r="AA554" s="313" t="s">
        <v>541</v>
      </c>
      <c r="AB554" s="313" t="s">
        <v>542</v>
      </c>
      <c r="AC554" s="313">
        <v>220</v>
      </c>
      <c r="AD554" s="151"/>
      <c r="AE554" s="206"/>
    </row>
    <row r="555" spans="1:31" ht="15.75">
      <c r="A555" s="313" t="s">
        <v>830</v>
      </c>
      <c r="B555" s="313">
        <v>6</v>
      </c>
      <c r="C555" s="313" t="s">
        <v>821</v>
      </c>
      <c r="D555" s="313" t="s">
        <v>538</v>
      </c>
      <c r="E555" s="313">
        <v>1</v>
      </c>
      <c r="F555" s="314">
        <v>45503.723611111112</v>
      </c>
      <c r="G555" s="313">
        <v>2</v>
      </c>
      <c r="H555" s="313">
        <v>51.370800000000003</v>
      </c>
      <c r="I555" s="313">
        <v>6.3788799999999997</v>
      </c>
      <c r="J555" s="313">
        <v>-25.424975</v>
      </c>
      <c r="K555" s="313">
        <v>-23.912075000000002</v>
      </c>
      <c r="L555" s="313">
        <v>1053.56</v>
      </c>
      <c r="M555" s="313">
        <v>73.999345000000005</v>
      </c>
      <c r="N555" s="313">
        <v>11565.9807</v>
      </c>
      <c r="O555" s="313">
        <v>0</v>
      </c>
      <c r="P555" s="315">
        <v>0</v>
      </c>
      <c r="Q555" s="302" t="s">
        <v>280</v>
      </c>
      <c r="R555" s="315" t="s">
        <v>607</v>
      </c>
      <c r="S555" s="315">
        <v>10</v>
      </c>
      <c r="T555" s="315">
        <v>5</v>
      </c>
      <c r="U555" s="315">
        <v>0.7</v>
      </c>
      <c r="V555" s="315">
        <v>0.7</v>
      </c>
      <c r="W555" s="315">
        <v>0.7</v>
      </c>
      <c r="X555" s="313">
        <v>2000</v>
      </c>
      <c r="Y555" s="313" t="s">
        <v>540</v>
      </c>
      <c r="Z555" s="313">
        <v>0.2</v>
      </c>
      <c r="AA555" s="313" t="s">
        <v>541</v>
      </c>
      <c r="AB555" s="313" t="s">
        <v>542</v>
      </c>
      <c r="AC555" s="313">
        <v>220</v>
      </c>
      <c r="AD555" s="151"/>
      <c r="AE555" s="206"/>
    </row>
    <row r="556" spans="1:31" ht="15.75">
      <c r="A556" s="313" t="s">
        <v>831</v>
      </c>
      <c r="B556" s="313">
        <v>6</v>
      </c>
      <c r="C556" s="313" t="s">
        <v>821</v>
      </c>
      <c r="D556" s="313" t="s">
        <v>538</v>
      </c>
      <c r="E556" s="313">
        <v>1</v>
      </c>
      <c r="F556" s="314">
        <v>45503.726388888892</v>
      </c>
      <c r="G556" s="313">
        <v>2</v>
      </c>
      <c r="H556" s="313">
        <v>51.370800000000003</v>
      </c>
      <c r="I556" s="313">
        <v>6.8872200000000001</v>
      </c>
      <c r="J556" s="313">
        <v>-25.427206000000002</v>
      </c>
      <c r="K556" s="313">
        <v>-24.003043999999999</v>
      </c>
      <c r="L556" s="313">
        <v>1100.53</v>
      </c>
      <c r="M556" s="313">
        <v>73.499222000000003</v>
      </c>
      <c r="N556" s="313">
        <v>11591.279200000001</v>
      </c>
      <c r="O556" s="313">
        <v>0</v>
      </c>
      <c r="P556" s="315">
        <v>0</v>
      </c>
      <c r="Q556" s="302" t="s">
        <v>280</v>
      </c>
      <c r="R556" s="315" t="s">
        <v>607</v>
      </c>
      <c r="S556" s="315">
        <v>10</v>
      </c>
      <c r="T556" s="315">
        <v>5</v>
      </c>
      <c r="U556" s="315">
        <v>0.7</v>
      </c>
      <c r="V556" s="315">
        <v>0.7</v>
      </c>
      <c r="W556" s="315">
        <v>0.7</v>
      </c>
      <c r="X556" s="313">
        <v>2000</v>
      </c>
      <c r="Y556" s="313" t="s">
        <v>540</v>
      </c>
      <c r="Z556" s="313">
        <v>0.2</v>
      </c>
      <c r="AA556" s="313" t="s">
        <v>541</v>
      </c>
      <c r="AB556" s="313" t="s">
        <v>542</v>
      </c>
      <c r="AC556" s="313">
        <v>220</v>
      </c>
      <c r="AD556" s="151"/>
      <c r="AE556" s="206"/>
    </row>
    <row r="557" spans="1:31" ht="15.75">
      <c r="A557" s="313" t="s">
        <v>832</v>
      </c>
      <c r="B557" s="313">
        <v>6</v>
      </c>
      <c r="C557" s="313" t="s">
        <v>821</v>
      </c>
      <c r="D557" s="313" t="s">
        <v>538</v>
      </c>
      <c r="E557" s="313">
        <v>1</v>
      </c>
      <c r="F557" s="314">
        <v>45503.729166666664</v>
      </c>
      <c r="G557" s="313">
        <v>2</v>
      </c>
      <c r="H557" s="313">
        <v>51.374099999999999</v>
      </c>
      <c r="I557" s="313">
        <v>6.7974399999999999</v>
      </c>
      <c r="J557" s="313">
        <v>-25.500143999999999</v>
      </c>
      <c r="K557" s="313">
        <v>-23.884937000000001</v>
      </c>
      <c r="L557" s="313">
        <v>1056.6600000000001</v>
      </c>
      <c r="M557" s="313">
        <v>70.499770999999996</v>
      </c>
      <c r="N557" s="313">
        <v>11561.024600000001</v>
      </c>
      <c r="O557" s="313">
        <v>0</v>
      </c>
      <c r="P557" s="315">
        <v>0</v>
      </c>
      <c r="Q557" s="302" t="s">
        <v>280</v>
      </c>
      <c r="R557" s="315" t="s">
        <v>607</v>
      </c>
      <c r="S557" s="315">
        <v>10</v>
      </c>
      <c r="T557" s="315">
        <v>5</v>
      </c>
      <c r="U557" s="315">
        <v>0.7</v>
      </c>
      <c r="V557" s="315">
        <v>0.7</v>
      </c>
      <c r="W557" s="315">
        <v>0.7</v>
      </c>
      <c r="X557" s="313">
        <v>2000</v>
      </c>
      <c r="Y557" s="313" t="s">
        <v>540</v>
      </c>
      <c r="Z557" s="313">
        <v>0.2</v>
      </c>
      <c r="AA557" s="313" t="s">
        <v>541</v>
      </c>
      <c r="AB557" s="313" t="s">
        <v>542</v>
      </c>
      <c r="AC557" s="313">
        <v>220</v>
      </c>
      <c r="AD557" s="151"/>
      <c r="AE557" s="206"/>
    </row>
    <row r="558" spans="1:31" ht="15.75">
      <c r="A558" s="313" t="s">
        <v>833</v>
      </c>
      <c r="B558" s="313" t="s">
        <v>551</v>
      </c>
      <c r="C558" s="313"/>
      <c r="D558" s="313" t="s">
        <v>538</v>
      </c>
      <c r="E558" s="313">
        <v>0.8</v>
      </c>
      <c r="F558" s="314">
        <v>45503.734722222223</v>
      </c>
      <c r="G558" s="313">
        <v>1</v>
      </c>
      <c r="H558" s="313">
        <v>51.374099999999999</v>
      </c>
      <c r="I558" s="313">
        <v>6.6401700000000003</v>
      </c>
      <c r="J558" s="313">
        <v>-25.373562</v>
      </c>
      <c r="K558" s="313">
        <v>-24.026831000000001</v>
      </c>
      <c r="L558" s="313">
        <v>994.03099999999995</v>
      </c>
      <c r="M558" s="313">
        <v>65.999784000000005</v>
      </c>
      <c r="N558" s="313">
        <v>9231.9860800000006</v>
      </c>
      <c r="O558" s="313">
        <v>9177.49503</v>
      </c>
      <c r="P558" s="315">
        <v>2070.3456999999999</v>
      </c>
      <c r="Q558" s="302" t="s">
        <v>12</v>
      </c>
      <c r="R558" s="315" t="s">
        <v>553</v>
      </c>
      <c r="S558" s="315">
        <v>10</v>
      </c>
      <c r="T558" s="315">
        <v>5</v>
      </c>
      <c r="U558" s="315">
        <v>0.7</v>
      </c>
      <c r="V558" s="315">
        <v>0.7</v>
      </c>
      <c r="W558" s="315">
        <v>0.7</v>
      </c>
      <c r="X558" s="313">
        <v>2000</v>
      </c>
      <c r="Y558" s="313" t="s">
        <v>540</v>
      </c>
      <c r="Z558" s="313">
        <v>0.2</v>
      </c>
      <c r="AA558" s="313" t="s">
        <v>541</v>
      </c>
      <c r="AB558" s="313" t="s">
        <v>542</v>
      </c>
      <c r="AC558" s="313">
        <v>220</v>
      </c>
      <c r="AD558" s="151"/>
      <c r="AE558" s="206"/>
    </row>
    <row r="559" spans="1:31" ht="15.75">
      <c r="A559" s="313" t="s">
        <v>834</v>
      </c>
      <c r="B559" s="313" t="s">
        <v>551</v>
      </c>
      <c r="C559" s="313"/>
      <c r="D559" s="313" t="s">
        <v>538</v>
      </c>
      <c r="E559" s="313">
        <v>0.8</v>
      </c>
      <c r="F559" s="314">
        <v>45503.737500000003</v>
      </c>
      <c r="G559" s="313">
        <v>1</v>
      </c>
      <c r="H559" s="313">
        <v>51.370800000000003</v>
      </c>
      <c r="I559" s="313">
        <v>6.4932699999999999</v>
      </c>
      <c r="J559" s="313">
        <v>-25.461044000000001</v>
      </c>
      <c r="K559" s="313">
        <v>-23.900562000000001</v>
      </c>
      <c r="L559" s="313">
        <v>986.279</v>
      </c>
      <c r="M559" s="313">
        <v>67.500095999999999</v>
      </c>
      <c r="N559" s="313">
        <v>9186.1694100000004</v>
      </c>
      <c r="O559" s="313">
        <v>9177.49503</v>
      </c>
      <c r="P559" s="315">
        <v>2070.3456999999999</v>
      </c>
      <c r="Q559" s="302" t="s">
        <v>12</v>
      </c>
      <c r="R559" s="315" t="s">
        <v>539</v>
      </c>
      <c r="S559" s="315">
        <v>10</v>
      </c>
      <c r="T559" s="315">
        <v>5</v>
      </c>
      <c r="U559" s="315">
        <v>0.7</v>
      </c>
      <c r="V559" s="315">
        <v>0.7</v>
      </c>
      <c r="W559" s="315">
        <v>0.7</v>
      </c>
      <c r="X559" s="313">
        <v>2000</v>
      </c>
      <c r="Y559" s="313" t="s">
        <v>540</v>
      </c>
      <c r="Z559" s="313">
        <v>0.2</v>
      </c>
      <c r="AA559" s="313" t="s">
        <v>541</v>
      </c>
      <c r="AB559" s="313" t="s">
        <v>542</v>
      </c>
      <c r="AC559" s="313">
        <v>220</v>
      </c>
      <c r="AD559" s="151"/>
      <c r="AE559" s="206"/>
    </row>
    <row r="560" spans="1:31" ht="15.75">
      <c r="A560" s="313" t="s">
        <v>835</v>
      </c>
      <c r="B560" s="313" t="s">
        <v>551</v>
      </c>
      <c r="C560" s="313"/>
      <c r="D560" s="313" t="s">
        <v>538</v>
      </c>
      <c r="E560" s="313">
        <v>0.8</v>
      </c>
      <c r="F560" s="314">
        <v>45503.740277777775</v>
      </c>
      <c r="G560" s="313">
        <v>1</v>
      </c>
      <c r="H560" s="313">
        <v>51.377400000000002</v>
      </c>
      <c r="I560" s="313">
        <v>6.4893799999999997</v>
      </c>
      <c r="J560" s="313">
        <v>-25.434837999999999</v>
      </c>
      <c r="K560" s="313">
        <v>-23.824037000000001</v>
      </c>
      <c r="L560" s="313">
        <v>990.10299999999995</v>
      </c>
      <c r="M560" s="313">
        <v>65.499343999999994</v>
      </c>
      <c r="N560" s="313">
        <v>9168.8206599999994</v>
      </c>
      <c r="O560" s="313">
        <v>9177.49503</v>
      </c>
      <c r="P560" s="315">
        <v>2070.3456999999999</v>
      </c>
      <c r="Q560" s="302" t="s">
        <v>12</v>
      </c>
      <c r="R560" s="315" t="s">
        <v>539</v>
      </c>
      <c r="S560" s="315">
        <v>10</v>
      </c>
      <c r="T560" s="315">
        <v>5</v>
      </c>
      <c r="U560" s="315">
        <v>0.7</v>
      </c>
      <c r="V560" s="315">
        <v>0.7</v>
      </c>
      <c r="W560" s="315">
        <v>0.7</v>
      </c>
      <c r="X560" s="313">
        <v>2000</v>
      </c>
      <c r="Y560" s="313" t="s">
        <v>540</v>
      </c>
      <c r="Z560" s="313">
        <v>0.2</v>
      </c>
      <c r="AA560" s="313" t="s">
        <v>541</v>
      </c>
      <c r="AB560" s="313" t="s">
        <v>542</v>
      </c>
      <c r="AC560" s="313">
        <v>220</v>
      </c>
      <c r="AD560" s="151"/>
      <c r="AE560" s="206"/>
    </row>
    <row r="561" spans="1:31" ht="15.75">
      <c r="A561" s="313" t="s">
        <v>836</v>
      </c>
      <c r="B561" s="313" t="s">
        <v>558</v>
      </c>
      <c r="C561" s="313"/>
      <c r="D561" s="313" t="s">
        <v>538</v>
      </c>
      <c r="E561" s="313">
        <v>1</v>
      </c>
      <c r="F561" s="314">
        <v>45503.743055555555</v>
      </c>
      <c r="G561" s="313">
        <v>1</v>
      </c>
      <c r="H561" s="313">
        <v>51.374099999999999</v>
      </c>
      <c r="I561" s="313">
        <v>6.5145499999999998</v>
      </c>
      <c r="J561" s="313">
        <v>-25.465906</v>
      </c>
      <c r="K561" s="313">
        <v>-23.772731</v>
      </c>
      <c r="L561" s="313">
        <v>1074.45</v>
      </c>
      <c r="M561" s="313">
        <v>72.499959000000004</v>
      </c>
      <c r="N561" s="313">
        <v>11523.5154</v>
      </c>
      <c r="O561" s="313">
        <v>0</v>
      </c>
      <c r="P561" s="315">
        <v>2070.3456999999999</v>
      </c>
      <c r="Q561" s="302" t="s">
        <v>280</v>
      </c>
      <c r="R561" s="315" t="s">
        <v>607</v>
      </c>
      <c r="S561" s="315">
        <v>10</v>
      </c>
      <c r="T561" s="315">
        <v>5</v>
      </c>
      <c r="U561" s="315">
        <v>0.7</v>
      </c>
      <c r="V561" s="315">
        <v>0.7</v>
      </c>
      <c r="W561" s="315">
        <v>0.7</v>
      </c>
      <c r="X561" s="313">
        <v>2000</v>
      </c>
      <c r="Y561" s="313" t="s">
        <v>540</v>
      </c>
      <c r="Z561" s="313">
        <v>0.2</v>
      </c>
      <c r="AA561" s="313" t="s">
        <v>541</v>
      </c>
      <c r="AB561" s="313" t="s">
        <v>542</v>
      </c>
      <c r="AC561" s="313">
        <v>220</v>
      </c>
      <c r="AD561" s="151"/>
      <c r="AE561" s="206"/>
    </row>
    <row r="562" spans="1:31" ht="15.75">
      <c r="A562" s="313" t="s">
        <v>837</v>
      </c>
      <c r="B562" s="313" t="s">
        <v>558</v>
      </c>
      <c r="C562" s="313"/>
      <c r="D562" s="313" t="s">
        <v>538</v>
      </c>
      <c r="E562" s="313">
        <v>1</v>
      </c>
      <c r="F562" s="314">
        <v>45503.745833333334</v>
      </c>
      <c r="G562" s="313">
        <v>1</v>
      </c>
      <c r="H562" s="313">
        <v>51.380699999999997</v>
      </c>
      <c r="I562" s="313">
        <v>6.5157299999999996</v>
      </c>
      <c r="J562" s="313">
        <v>-25.397475</v>
      </c>
      <c r="K562" s="313">
        <v>-23.566386999999999</v>
      </c>
      <c r="L562" s="313">
        <v>1058.6400000000001</v>
      </c>
      <c r="M562" s="313">
        <v>69.000417999999996</v>
      </c>
      <c r="N562" s="313">
        <v>11461.7781</v>
      </c>
      <c r="O562" s="313">
        <v>0</v>
      </c>
      <c r="P562" s="315">
        <v>2070.3456999999999</v>
      </c>
      <c r="Q562" s="302" t="s">
        <v>280</v>
      </c>
      <c r="R562" s="315" t="s">
        <v>607</v>
      </c>
      <c r="S562" s="315">
        <v>10</v>
      </c>
      <c r="T562" s="315">
        <v>5</v>
      </c>
      <c r="U562" s="315">
        <v>0.7</v>
      </c>
      <c r="V562" s="315">
        <v>0.7</v>
      </c>
      <c r="W562" s="315">
        <v>0.7</v>
      </c>
      <c r="X562" s="313">
        <v>2000</v>
      </c>
      <c r="Y562" s="313" t="s">
        <v>540</v>
      </c>
      <c r="Z562" s="313">
        <v>0.2</v>
      </c>
      <c r="AA562" s="313" t="s">
        <v>541</v>
      </c>
      <c r="AB562" s="313" t="s">
        <v>542</v>
      </c>
      <c r="AC562" s="313">
        <v>220</v>
      </c>
      <c r="AD562" s="151"/>
      <c r="AE562" s="206"/>
    </row>
    <row r="563" spans="1:31" ht="15.75">
      <c r="A563" s="313" t="s">
        <v>838</v>
      </c>
      <c r="B563" s="313" t="s">
        <v>558</v>
      </c>
      <c r="C563" s="313"/>
      <c r="D563" s="313" t="s">
        <v>538</v>
      </c>
      <c r="E563" s="313">
        <v>1</v>
      </c>
      <c r="F563" s="314">
        <v>45503.748611111114</v>
      </c>
      <c r="G563" s="313">
        <v>1</v>
      </c>
      <c r="H563" s="313">
        <v>51.3675</v>
      </c>
      <c r="I563" s="313">
        <v>6.5540500000000002</v>
      </c>
      <c r="J563" s="313">
        <v>-25.302350000000001</v>
      </c>
      <c r="K563" s="313">
        <v>-23.630355999999999</v>
      </c>
      <c r="L563" s="313">
        <v>1057.6600000000001</v>
      </c>
      <c r="M563" s="313">
        <v>73.999932999999999</v>
      </c>
      <c r="N563" s="313">
        <v>11545.151900000001</v>
      </c>
      <c r="O563" s="313">
        <v>0</v>
      </c>
      <c r="P563" s="315">
        <v>2070.3456999999999</v>
      </c>
      <c r="Q563" s="302" t="s">
        <v>280</v>
      </c>
      <c r="R563" s="315" t="s">
        <v>607</v>
      </c>
      <c r="S563" s="315">
        <v>10</v>
      </c>
      <c r="T563" s="315">
        <v>5</v>
      </c>
      <c r="U563" s="315">
        <v>0.7</v>
      </c>
      <c r="V563" s="315">
        <v>0.7</v>
      </c>
      <c r="W563" s="315">
        <v>0.7</v>
      </c>
      <c r="X563" s="313">
        <v>2000</v>
      </c>
      <c r="Y563" s="313" t="s">
        <v>540</v>
      </c>
      <c r="Z563" s="313">
        <v>0.2</v>
      </c>
      <c r="AA563" s="313" t="s">
        <v>541</v>
      </c>
      <c r="AB563" s="313" t="s">
        <v>542</v>
      </c>
      <c r="AC563" s="313">
        <v>220</v>
      </c>
      <c r="AD563" s="151"/>
      <c r="AE563" s="206"/>
    </row>
    <row r="564" spans="1:31" ht="15.75">
      <c r="A564" s="313" t="s">
        <v>839</v>
      </c>
      <c r="B564" s="313" t="s">
        <v>558</v>
      </c>
      <c r="C564" s="313"/>
      <c r="D564" s="313" t="s">
        <v>538</v>
      </c>
      <c r="E564" s="313">
        <v>1</v>
      </c>
      <c r="F564" s="314">
        <v>45503.751388888886</v>
      </c>
      <c r="G564" s="313">
        <v>1</v>
      </c>
      <c r="H564" s="313">
        <v>51.374099999999999</v>
      </c>
      <c r="I564" s="313">
        <v>6.4763599999999997</v>
      </c>
      <c r="J564" s="313">
        <v>-25.369368999999999</v>
      </c>
      <c r="K564" s="313">
        <v>-23.517688</v>
      </c>
      <c r="L564" s="313">
        <v>1067.51</v>
      </c>
      <c r="M564" s="313">
        <v>67.501288000000002</v>
      </c>
      <c r="N564" s="313">
        <v>11514.293900000001</v>
      </c>
      <c r="O564" s="313">
        <v>0</v>
      </c>
      <c r="P564" s="315">
        <v>2070.3456999999999</v>
      </c>
      <c r="Q564" s="302" t="s">
        <v>280</v>
      </c>
      <c r="R564" s="315" t="s">
        <v>607</v>
      </c>
      <c r="S564" s="315">
        <v>10</v>
      </c>
      <c r="T564" s="315">
        <v>5</v>
      </c>
      <c r="U564" s="315">
        <v>0.7</v>
      </c>
      <c r="V564" s="315">
        <v>0.7</v>
      </c>
      <c r="W564" s="315">
        <v>0.7</v>
      </c>
      <c r="X564" s="313">
        <v>2000</v>
      </c>
      <c r="Y564" s="313" t="s">
        <v>540</v>
      </c>
      <c r="Z564" s="313">
        <v>0.2</v>
      </c>
      <c r="AA564" s="313" t="s">
        <v>541</v>
      </c>
      <c r="AB564" s="313" t="s">
        <v>542</v>
      </c>
      <c r="AC564" s="313">
        <v>220</v>
      </c>
      <c r="AD564" s="151"/>
      <c r="AE564" s="206"/>
    </row>
    <row r="565" spans="1:31" ht="15.75">
      <c r="A565" s="313" t="s">
        <v>840</v>
      </c>
      <c r="B565" s="313" t="s">
        <v>558</v>
      </c>
      <c r="C565" s="313"/>
      <c r="D565" s="313" t="s">
        <v>538</v>
      </c>
      <c r="E565" s="313">
        <v>1</v>
      </c>
      <c r="F565" s="314">
        <v>45503.754166666666</v>
      </c>
      <c r="G565" s="313">
        <v>1</v>
      </c>
      <c r="H565" s="313">
        <v>51.377400000000002</v>
      </c>
      <c r="I565" s="313">
        <v>6.5142899999999999</v>
      </c>
      <c r="J565" s="313">
        <v>-25.498331</v>
      </c>
      <c r="K565" s="313">
        <v>-23.724299999999999</v>
      </c>
      <c r="L565" s="313">
        <v>1051.78</v>
      </c>
      <c r="M565" s="313">
        <v>69.999651</v>
      </c>
      <c r="N565" s="313">
        <v>11542.7876</v>
      </c>
      <c r="O565" s="313">
        <v>0</v>
      </c>
      <c r="P565" s="315">
        <v>2070.3456999999999</v>
      </c>
      <c r="Q565" s="302" t="s">
        <v>280</v>
      </c>
      <c r="R565" s="315" t="s">
        <v>607</v>
      </c>
      <c r="S565" s="315">
        <v>10</v>
      </c>
      <c r="T565" s="315">
        <v>5</v>
      </c>
      <c r="U565" s="315">
        <v>0.7</v>
      </c>
      <c r="V565" s="315">
        <v>0.7</v>
      </c>
      <c r="W565" s="315">
        <v>0.7</v>
      </c>
      <c r="X565" s="313">
        <v>2000</v>
      </c>
      <c r="Y565" s="313" t="s">
        <v>540</v>
      </c>
      <c r="Z565" s="313">
        <v>0.2</v>
      </c>
      <c r="AA565" s="313" t="s">
        <v>541</v>
      </c>
      <c r="AB565" s="313" t="s">
        <v>542</v>
      </c>
      <c r="AC565" s="313">
        <v>220</v>
      </c>
      <c r="AD565" s="151"/>
      <c r="AE565" s="206"/>
    </row>
    <row r="566" spans="1:31" ht="15.75">
      <c r="A566" s="316" t="s">
        <v>841</v>
      </c>
      <c r="B566" s="316" t="s">
        <v>558</v>
      </c>
      <c r="C566" s="316"/>
      <c r="D566" s="316" t="s">
        <v>538</v>
      </c>
      <c r="E566" s="316">
        <v>1</v>
      </c>
      <c r="F566" s="317">
        <v>45503.756944444445</v>
      </c>
      <c r="G566" s="316">
        <v>2</v>
      </c>
      <c r="H566" s="316">
        <v>51.3675</v>
      </c>
      <c r="I566" s="316">
        <v>6.5870300000000004</v>
      </c>
      <c r="J566" s="316">
        <v>-25.469013</v>
      </c>
      <c r="K566" s="316">
        <v>-23.675450000000001</v>
      </c>
      <c r="L566" s="316">
        <v>1055.7</v>
      </c>
      <c r="M566" s="316">
        <v>69.501294999999999</v>
      </c>
      <c r="N566" s="316">
        <v>11522.8966</v>
      </c>
      <c r="O566" s="316">
        <v>11533.245699999999</v>
      </c>
      <c r="P566" s="318">
        <v>2070.3456999999999</v>
      </c>
      <c r="Q566" s="302" t="s">
        <v>12</v>
      </c>
      <c r="R566" s="315" t="s">
        <v>539</v>
      </c>
      <c r="S566" s="315">
        <v>10</v>
      </c>
      <c r="T566" s="315">
        <v>5</v>
      </c>
      <c r="U566" s="315">
        <v>0.7</v>
      </c>
      <c r="V566" s="315">
        <v>0.7</v>
      </c>
      <c r="W566" s="315">
        <v>0.7</v>
      </c>
      <c r="X566" s="313">
        <v>2000</v>
      </c>
      <c r="Y566" s="313" t="s">
        <v>540</v>
      </c>
      <c r="Z566" s="313">
        <v>0.2</v>
      </c>
      <c r="AA566" s="313" t="s">
        <v>541</v>
      </c>
      <c r="AB566" s="313" t="s">
        <v>542</v>
      </c>
      <c r="AC566" s="313">
        <v>220</v>
      </c>
      <c r="AD566" s="151"/>
      <c r="AE566" s="206"/>
    </row>
    <row r="567" spans="1:31" ht="15.75">
      <c r="A567" s="313" t="s">
        <v>842</v>
      </c>
      <c r="B567" s="313" t="s">
        <v>558</v>
      </c>
      <c r="C567" s="313"/>
      <c r="D567" s="313" t="s">
        <v>538</v>
      </c>
      <c r="E567" s="313">
        <v>1</v>
      </c>
      <c r="F567" s="314">
        <v>45503.759722222225</v>
      </c>
      <c r="G567" s="313">
        <v>2</v>
      </c>
      <c r="H567" s="313">
        <v>51.377400000000002</v>
      </c>
      <c r="I567" s="313">
        <v>6.54941</v>
      </c>
      <c r="J567" s="313">
        <v>-25.445588000000001</v>
      </c>
      <c r="K567" s="313">
        <v>-23.757981000000001</v>
      </c>
      <c r="L567" s="313">
        <v>1066.1400000000001</v>
      </c>
      <c r="M567" s="313">
        <v>72.000066000000004</v>
      </c>
      <c r="N567" s="313">
        <v>11543.5949</v>
      </c>
      <c r="O567" s="313">
        <v>11533.245699999999</v>
      </c>
      <c r="P567" s="315">
        <v>2070.3456999999999</v>
      </c>
      <c r="Q567" s="302" t="s">
        <v>12</v>
      </c>
      <c r="R567" s="315" t="s">
        <v>539</v>
      </c>
      <c r="S567" s="315">
        <v>10</v>
      </c>
      <c r="T567" s="315">
        <v>5</v>
      </c>
      <c r="U567" s="315">
        <v>0.7</v>
      </c>
      <c r="V567" s="315">
        <v>0.7</v>
      </c>
      <c r="W567" s="315">
        <v>0.7</v>
      </c>
      <c r="X567" s="313">
        <v>2000</v>
      </c>
      <c r="Y567" s="313" t="s">
        <v>540</v>
      </c>
      <c r="Z567" s="313">
        <v>0.2</v>
      </c>
      <c r="AA567" s="313" t="s">
        <v>541</v>
      </c>
      <c r="AB567" s="313" t="s">
        <v>542</v>
      </c>
      <c r="AC567" s="313">
        <v>220</v>
      </c>
      <c r="AD567" s="151"/>
      <c r="AE567" s="206"/>
    </row>
    <row r="568" spans="1:31" ht="15.75">
      <c r="A568" s="313" t="s">
        <v>843</v>
      </c>
      <c r="B568" s="313" t="s">
        <v>561</v>
      </c>
      <c r="C568" s="313"/>
      <c r="D568" s="313" t="s">
        <v>538</v>
      </c>
      <c r="E568" s="313">
        <v>1.2</v>
      </c>
      <c r="F568" s="314">
        <v>45503.763194444444</v>
      </c>
      <c r="G568" s="313">
        <v>1</v>
      </c>
      <c r="H568" s="313">
        <v>51.377400000000002</v>
      </c>
      <c r="I568" s="313">
        <v>7.0414500000000002</v>
      </c>
      <c r="J568" s="313">
        <v>-25.418288</v>
      </c>
      <c r="K568" s="313">
        <v>-22.977112999999999</v>
      </c>
      <c r="L568" s="313">
        <v>1097.07</v>
      </c>
      <c r="M568" s="313">
        <v>66.001030999999998</v>
      </c>
      <c r="N568" s="313">
        <v>13882.6878</v>
      </c>
      <c r="O568" s="313">
        <v>13884.977000000001</v>
      </c>
      <c r="P568" s="315">
        <v>2070.3456999999999</v>
      </c>
      <c r="Q568" s="302" t="s">
        <v>12</v>
      </c>
      <c r="R568" s="315" t="s">
        <v>539</v>
      </c>
      <c r="S568" s="315">
        <v>10</v>
      </c>
      <c r="T568" s="315">
        <v>5</v>
      </c>
      <c r="U568" s="315">
        <v>0.7</v>
      </c>
      <c r="V568" s="315">
        <v>0.7</v>
      </c>
      <c r="W568" s="315">
        <v>0.7</v>
      </c>
      <c r="X568" s="313">
        <v>2000</v>
      </c>
      <c r="Y568" s="313" t="s">
        <v>540</v>
      </c>
      <c r="Z568" s="313">
        <v>0.2</v>
      </c>
      <c r="AA568" s="313" t="s">
        <v>541</v>
      </c>
      <c r="AB568" s="313" t="s">
        <v>542</v>
      </c>
      <c r="AC568" s="313">
        <v>220</v>
      </c>
      <c r="AD568" s="151"/>
      <c r="AE568" s="206"/>
    </row>
    <row r="569" spans="1:31" ht="15.75">
      <c r="A569" s="313" t="s">
        <v>844</v>
      </c>
      <c r="B569" s="313" t="s">
        <v>561</v>
      </c>
      <c r="C569" s="313"/>
      <c r="D569" s="313" t="s">
        <v>538</v>
      </c>
      <c r="E569" s="313">
        <v>1.2</v>
      </c>
      <c r="F569" s="314">
        <v>45503.765972222223</v>
      </c>
      <c r="G569" s="313">
        <v>1</v>
      </c>
      <c r="H569" s="313">
        <v>51.374099999999999</v>
      </c>
      <c r="I569" s="313">
        <v>7.21007</v>
      </c>
      <c r="J569" s="313">
        <v>-25.356774999999999</v>
      </c>
      <c r="K569" s="313">
        <v>-23.133044000000002</v>
      </c>
      <c r="L569" s="313">
        <v>1104.6500000000001</v>
      </c>
      <c r="M569" s="313">
        <v>67.499911999999995</v>
      </c>
      <c r="N569" s="313">
        <v>13887.2662</v>
      </c>
      <c r="O569" s="313">
        <v>13884.977000000001</v>
      </c>
      <c r="P569" s="315">
        <v>2070.3456999999999</v>
      </c>
      <c r="Q569" s="302" t="s">
        <v>12</v>
      </c>
      <c r="R569" s="315" t="s">
        <v>539</v>
      </c>
      <c r="S569" s="315">
        <v>10</v>
      </c>
      <c r="T569" s="315">
        <v>5</v>
      </c>
      <c r="U569" s="315">
        <v>0.7</v>
      </c>
      <c r="V569" s="315">
        <v>0.7</v>
      </c>
      <c r="W569" s="315">
        <v>0.7</v>
      </c>
      <c r="X569" s="313">
        <v>2000</v>
      </c>
      <c r="Y569" s="313" t="s">
        <v>540</v>
      </c>
      <c r="Z569" s="313">
        <v>0.2</v>
      </c>
      <c r="AA569" s="313" t="s">
        <v>541</v>
      </c>
      <c r="AB569" s="313" t="s">
        <v>542</v>
      </c>
      <c r="AC569" s="313">
        <v>220</v>
      </c>
      <c r="AD569" s="151"/>
      <c r="AE569" s="206"/>
    </row>
    <row r="570" spans="1:31" ht="15.75">
      <c r="A570" s="313" t="s">
        <v>584</v>
      </c>
      <c r="B570" s="313">
        <v>2</v>
      </c>
      <c r="C570" s="313"/>
      <c r="D570" s="313" t="s">
        <v>538</v>
      </c>
      <c r="E570" s="313">
        <v>1</v>
      </c>
      <c r="F570" s="314">
        <v>45503.768750000003</v>
      </c>
      <c r="G570" s="313">
        <v>1</v>
      </c>
      <c r="H570" s="313">
        <v>51.370800000000003</v>
      </c>
      <c r="I570" s="313">
        <v>7.0948900000000004</v>
      </c>
      <c r="J570" s="313">
        <v>-25.415444000000001</v>
      </c>
      <c r="K570" s="313">
        <v>-23.660781</v>
      </c>
      <c r="L570" s="313">
        <v>1064.73</v>
      </c>
      <c r="M570" s="313">
        <v>68.001025999999996</v>
      </c>
      <c r="N570" s="313">
        <v>11541.578299999999</v>
      </c>
      <c r="O570" s="313">
        <v>11540.433800000001</v>
      </c>
      <c r="P570" s="315">
        <v>2071.84593</v>
      </c>
      <c r="Q570" s="302" t="s">
        <v>12</v>
      </c>
      <c r="R570" s="315" t="s">
        <v>539</v>
      </c>
      <c r="S570" s="315">
        <v>10</v>
      </c>
      <c r="T570" s="315">
        <v>5</v>
      </c>
      <c r="U570" s="315">
        <v>0.7</v>
      </c>
      <c r="V570" s="315">
        <v>0.7</v>
      </c>
      <c r="W570" s="315">
        <v>0.7</v>
      </c>
      <c r="X570" s="313">
        <v>2000</v>
      </c>
      <c r="Y570" s="313" t="s">
        <v>540</v>
      </c>
      <c r="Z570" s="313">
        <v>0.2</v>
      </c>
      <c r="AA570" s="313" t="s">
        <v>541</v>
      </c>
      <c r="AB570" s="313" t="s">
        <v>542</v>
      </c>
      <c r="AC570" s="313">
        <v>220</v>
      </c>
      <c r="AD570" s="151"/>
      <c r="AE570" s="206"/>
    </row>
    <row r="571" spans="1:31" ht="15.75">
      <c r="A571" s="316" t="s">
        <v>586</v>
      </c>
      <c r="B571" s="316">
        <v>2</v>
      </c>
      <c r="C571" s="316"/>
      <c r="D571" s="316" t="s">
        <v>538</v>
      </c>
      <c r="E571" s="316">
        <v>1</v>
      </c>
      <c r="F571" s="317">
        <v>45503.771527777775</v>
      </c>
      <c r="G571" s="316">
        <v>1</v>
      </c>
      <c r="H571" s="316">
        <v>51.370800000000003</v>
      </c>
      <c r="I571" s="316">
        <v>6.9315800000000003</v>
      </c>
      <c r="J571" s="316">
        <v>-25.286349999999999</v>
      </c>
      <c r="K571" s="316">
        <v>-23.750724999999999</v>
      </c>
      <c r="L571" s="316">
        <v>1068.3599999999999</v>
      </c>
      <c r="M571" s="316">
        <v>70.998625000000004</v>
      </c>
      <c r="N571" s="316">
        <v>11539.2893</v>
      </c>
      <c r="O571" s="316">
        <v>11540.433800000001</v>
      </c>
      <c r="P571" s="318">
        <v>2071.84593</v>
      </c>
      <c r="Q571" s="302" t="s">
        <v>12</v>
      </c>
      <c r="R571" s="315" t="s">
        <v>539</v>
      </c>
      <c r="S571" s="315">
        <v>10</v>
      </c>
      <c r="T571" s="315">
        <v>5</v>
      </c>
      <c r="U571" s="315">
        <v>0.7</v>
      </c>
      <c r="V571" s="315">
        <v>0.7</v>
      </c>
      <c r="W571" s="315">
        <v>0.7</v>
      </c>
      <c r="X571" s="313">
        <v>2000</v>
      </c>
      <c r="Y571" s="313" t="s">
        <v>540</v>
      </c>
      <c r="Z571" s="313">
        <v>0.2</v>
      </c>
      <c r="AA571" s="313" t="s">
        <v>541</v>
      </c>
      <c r="AB571" s="313" t="s">
        <v>542</v>
      </c>
      <c r="AC571" s="313">
        <v>220</v>
      </c>
      <c r="AD571" s="151"/>
      <c r="AE571" s="206"/>
    </row>
    <row r="572" spans="1:31" ht="15.75">
      <c r="A572" s="329"/>
      <c r="B572" s="329"/>
      <c r="C572" s="329"/>
      <c r="D572" s="329"/>
      <c r="E572" s="329"/>
      <c r="F572" s="330"/>
      <c r="G572" s="329"/>
      <c r="H572" s="329"/>
      <c r="I572" s="329"/>
      <c r="J572" s="329"/>
      <c r="K572" s="329"/>
      <c r="L572" s="329"/>
      <c r="M572" s="329"/>
      <c r="N572" s="329"/>
      <c r="O572" s="329"/>
      <c r="P572" s="331"/>
      <c r="Q572" s="332"/>
      <c r="R572" s="332"/>
      <c r="S572" s="331"/>
      <c r="T572" s="331"/>
      <c r="U572" s="333"/>
      <c r="V572" s="333"/>
      <c r="W572" s="333"/>
      <c r="X572" s="328"/>
      <c r="Y572" s="328"/>
      <c r="Z572" s="328"/>
      <c r="AA572" s="328"/>
      <c r="AB572" s="328"/>
      <c r="AC572" s="328"/>
      <c r="AD572" s="151"/>
      <c r="AE572" s="206"/>
    </row>
    <row r="573" spans="1:31" ht="15.75">
      <c r="A573" s="329"/>
      <c r="B573" s="329"/>
      <c r="C573" s="329"/>
      <c r="D573" s="329"/>
      <c r="E573" s="329"/>
      <c r="F573" s="330"/>
      <c r="G573" s="329"/>
      <c r="H573" s="329"/>
      <c r="I573" s="329"/>
      <c r="J573" s="329"/>
      <c r="K573" s="329"/>
      <c r="L573" s="329"/>
      <c r="M573" s="329"/>
      <c r="N573" s="329"/>
      <c r="O573" s="329"/>
      <c r="P573" s="331"/>
      <c r="Q573" s="332"/>
      <c r="R573" s="332"/>
      <c r="S573" s="331"/>
      <c r="T573" s="331"/>
      <c r="U573" s="333"/>
      <c r="V573" s="333"/>
      <c r="W573" s="333"/>
      <c r="X573" s="328"/>
      <c r="Y573" s="328"/>
      <c r="Z573" s="328"/>
      <c r="AA573" s="328"/>
      <c r="AB573" s="328"/>
      <c r="AC573" s="328"/>
      <c r="AD573" s="151"/>
      <c r="AE573" s="206"/>
    </row>
    <row r="574" spans="1:31" ht="15.75">
      <c r="A574" s="329"/>
      <c r="B574" s="329"/>
      <c r="C574" s="329"/>
      <c r="D574" s="329"/>
      <c r="E574" s="329"/>
      <c r="F574" s="330"/>
      <c r="G574" s="329"/>
      <c r="H574" s="329"/>
      <c r="I574" s="329"/>
      <c r="J574" s="329"/>
      <c r="K574" s="329"/>
      <c r="L574" s="329"/>
      <c r="M574" s="329"/>
      <c r="N574" s="329"/>
      <c r="O574" s="329"/>
      <c r="P574" s="331"/>
      <c r="Q574" s="332"/>
      <c r="R574" s="332"/>
      <c r="S574" s="331"/>
      <c r="T574" s="331"/>
      <c r="U574" s="333"/>
      <c r="V574" s="333"/>
      <c r="W574" s="333"/>
      <c r="X574" s="328"/>
      <c r="Y574" s="328"/>
      <c r="Z574" s="328"/>
      <c r="AA574" s="328"/>
      <c r="AB574" s="328"/>
      <c r="AC574" s="328"/>
      <c r="AD574" s="151"/>
      <c r="AE574" s="206"/>
    </row>
    <row r="575" spans="1:31" ht="15.75">
      <c r="A575" s="329"/>
      <c r="B575" s="329"/>
      <c r="C575" s="329"/>
      <c r="D575" s="329"/>
      <c r="E575" s="329"/>
      <c r="F575" s="330"/>
      <c r="G575" s="329"/>
      <c r="H575" s="329"/>
      <c r="I575" s="329"/>
      <c r="J575" s="329"/>
      <c r="K575" s="329"/>
      <c r="L575" s="329"/>
      <c r="M575" s="329"/>
      <c r="N575" s="329"/>
      <c r="O575" s="329"/>
      <c r="P575" s="331"/>
      <c r="Q575" s="332"/>
      <c r="R575" s="332"/>
      <c r="S575" s="331"/>
      <c r="T575" s="331"/>
      <c r="U575" s="333"/>
      <c r="V575" s="333"/>
      <c r="W575" s="333"/>
      <c r="X575" s="328"/>
      <c r="Y575" s="328"/>
      <c r="Z575" s="328"/>
      <c r="AA575" s="328"/>
      <c r="AB575" s="328"/>
      <c r="AC575" s="328"/>
      <c r="AD575" s="151"/>
      <c r="AE575" s="206"/>
    </row>
    <row r="576" spans="1:31" ht="15.75">
      <c r="A576" s="329"/>
      <c r="B576" s="329"/>
      <c r="C576" s="329"/>
      <c r="D576" s="329"/>
      <c r="E576" s="329"/>
      <c r="F576" s="330"/>
      <c r="G576" s="329"/>
      <c r="H576" s="329"/>
      <c r="I576" s="329"/>
      <c r="J576" s="329"/>
      <c r="K576" s="329"/>
      <c r="L576" s="329"/>
      <c r="M576" s="329"/>
      <c r="N576" s="329"/>
      <c r="O576" s="329"/>
      <c r="P576" s="331"/>
      <c r="Q576" s="332"/>
      <c r="R576" s="332"/>
      <c r="S576" s="331"/>
      <c r="T576" s="331"/>
      <c r="U576" s="333"/>
      <c r="V576" s="333"/>
      <c r="W576" s="333"/>
      <c r="X576" s="328"/>
      <c r="Y576" s="328"/>
      <c r="Z576" s="328"/>
      <c r="AA576" s="328"/>
      <c r="AB576" s="328"/>
      <c r="AC576" s="328"/>
      <c r="AD576" s="151"/>
      <c r="AE576" s="206"/>
    </row>
    <row r="577" spans="1:31" ht="15.75">
      <c r="A577" s="329"/>
      <c r="B577" s="329"/>
      <c r="C577" s="329"/>
      <c r="D577" s="329"/>
      <c r="E577" s="329"/>
      <c r="F577" s="330"/>
      <c r="G577" s="329"/>
      <c r="H577" s="329"/>
      <c r="I577" s="329"/>
      <c r="J577" s="329"/>
      <c r="K577" s="329"/>
      <c r="L577" s="329"/>
      <c r="M577" s="329"/>
      <c r="N577" s="329"/>
      <c r="O577" s="329"/>
      <c r="P577" s="331"/>
      <c r="Q577" s="332"/>
      <c r="R577" s="332"/>
      <c r="S577" s="331"/>
      <c r="T577" s="331"/>
      <c r="U577" s="333"/>
      <c r="V577" s="333"/>
      <c r="W577" s="333"/>
      <c r="X577" s="328"/>
      <c r="Y577" s="328"/>
      <c r="Z577" s="328"/>
      <c r="AA577" s="328"/>
      <c r="AB577" s="328"/>
      <c r="AC577" s="328"/>
      <c r="AD577" s="151"/>
      <c r="AE577" s="206"/>
    </row>
    <row r="578" spans="1:31" ht="15.75">
      <c r="A578" s="329"/>
      <c r="B578" s="329"/>
      <c r="C578" s="329"/>
      <c r="D578" s="329"/>
      <c r="E578" s="329"/>
      <c r="F578" s="330"/>
      <c r="G578" s="329"/>
      <c r="H578" s="329"/>
      <c r="I578" s="329"/>
      <c r="J578" s="329"/>
      <c r="K578" s="329"/>
      <c r="L578" s="329"/>
      <c r="M578" s="329"/>
      <c r="N578" s="329"/>
      <c r="O578" s="329"/>
      <c r="P578" s="331"/>
      <c r="Q578" s="332"/>
      <c r="R578" s="332"/>
      <c r="S578" s="331"/>
      <c r="T578" s="331"/>
      <c r="U578" s="333"/>
      <c r="V578" s="333"/>
      <c r="W578" s="333"/>
      <c r="X578" s="328"/>
      <c r="Y578" s="328"/>
      <c r="Z578" s="328"/>
      <c r="AA578" s="328"/>
      <c r="AB578" s="328"/>
      <c r="AC578" s="328"/>
      <c r="AD578" s="151"/>
      <c r="AE578" s="206"/>
    </row>
    <row r="579" spans="1:31" ht="15.75">
      <c r="A579" s="329"/>
      <c r="B579" s="329"/>
      <c r="C579" s="329"/>
      <c r="D579" s="329"/>
      <c r="E579" s="329"/>
      <c r="F579" s="330"/>
      <c r="G579" s="329"/>
      <c r="H579" s="329"/>
      <c r="I579" s="329"/>
      <c r="J579" s="329"/>
      <c r="K579" s="329"/>
      <c r="L579" s="329"/>
      <c r="M579" s="329"/>
      <c r="N579" s="329"/>
      <c r="O579" s="329"/>
      <c r="P579" s="331"/>
      <c r="Q579" s="332"/>
      <c r="R579" s="332"/>
      <c r="S579" s="331"/>
      <c r="T579" s="331"/>
      <c r="U579" s="333"/>
      <c r="V579" s="333"/>
      <c r="W579" s="333"/>
      <c r="X579" s="328"/>
      <c r="Y579" s="328"/>
      <c r="Z579" s="328"/>
      <c r="AA579" s="328"/>
      <c r="AB579" s="328"/>
      <c r="AC579" s="328"/>
      <c r="AD579" s="151"/>
      <c r="AE579" s="206"/>
    </row>
    <row r="580" spans="1:31" ht="15.75">
      <c r="A580" s="329"/>
      <c r="B580" s="329"/>
      <c r="C580" s="329"/>
      <c r="D580" s="329"/>
      <c r="E580" s="329"/>
      <c r="F580" s="330"/>
      <c r="G580" s="329"/>
      <c r="H580" s="329"/>
      <c r="I580" s="329"/>
      <c r="J580" s="329"/>
      <c r="K580" s="329"/>
      <c r="L580" s="329"/>
      <c r="M580" s="329"/>
      <c r="N580" s="329"/>
      <c r="O580" s="329"/>
      <c r="P580" s="331"/>
      <c r="Q580" s="332"/>
      <c r="R580" s="332"/>
      <c r="S580" s="331"/>
      <c r="T580" s="331"/>
      <c r="U580" s="333"/>
      <c r="V580" s="333"/>
      <c r="W580" s="333"/>
      <c r="X580" s="328"/>
      <c r="Y580" s="328"/>
      <c r="Z580" s="328"/>
      <c r="AA580" s="328"/>
      <c r="AB580" s="328"/>
      <c r="AC580" s="328"/>
      <c r="AD580" s="151"/>
      <c r="AE580" s="206"/>
    </row>
    <row r="581" spans="1:31" ht="15.75">
      <c r="A581" s="329"/>
      <c r="B581" s="329"/>
      <c r="C581" s="329"/>
      <c r="D581" s="329"/>
      <c r="E581" s="329"/>
      <c r="F581" s="330"/>
      <c r="G581" s="329"/>
      <c r="H581" s="329"/>
      <c r="I581" s="329"/>
      <c r="J581" s="329"/>
      <c r="K581" s="329"/>
      <c r="L581" s="329"/>
      <c r="M581" s="329"/>
      <c r="N581" s="329"/>
      <c r="O581" s="329"/>
      <c r="P581" s="331"/>
      <c r="Q581" s="332"/>
      <c r="R581" s="332"/>
      <c r="S581" s="331"/>
      <c r="T581" s="331"/>
      <c r="U581" s="333"/>
      <c r="V581" s="333"/>
      <c r="W581" s="333"/>
      <c r="X581" s="328"/>
      <c r="Y581" s="328"/>
      <c r="Z581" s="328"/>
      <c r="AA581" s="328"/>
      <c r="AB581" s="328"/>
      <c r="AC581" s="328"/>
      <c r="AD581" s="151"/>
      <c r="AE581" s="206"/>
    </row>
    <row r="582" spans="1:31" ht="15.75">
      <c r="A582" s="329"/>
      <c r="B582" s="329"/>
      <c r="C582" s="329"/>
      <c r="D582" s="329"/>
      <c r="E582" s="329"/>
      <c r="F582" s="330"/>
      <c r="G582" s="329"/>
      <c r="H582" s="329"/>
      <c r="I582" s="329"/>
      <c r="J582" s="329"/>
      <c r="K582" s="329"/>
      <c r="L582" s="329"/>
      <c r="M582" s="329"/>
      <c r="N582" s="329"/>
      <c r="O582" s="329"/>
      <c r="P582" s="331"/>
      <c r="Q582" s="332"/>
      <c r="R582" s="332"/>
      <c r="S582" s="331"/>
      <c r="T582" s="331"/>
      <c r="U582" s="333"/>
      <c r="V582" s="333"/>
      <c r="W582" s="333"/>
      <c r="X582" s="328"/>
      <c r="Y582" s="328"/>
      <c r="Z582" s="328"/>
      <c r="AA582" s="328"/>
      <c r="AB582" s="328"/>
      <c r="AC582" s="328"/>
      <c r="AD582" s="151"/>
      <c r="AE582" s="206"/>
    </row>
    <row r="583" spans="1:31" ht="15.75">
      <c r="A583" s="329"/>
      <c r="B583" s="329"/>
      <c r="C583" s="329"/>
      <c r="D583" s="329"/>
      <c r="E583" s="329"/>
      <c r="F583" s="330"/>
      <c r="G583" s="329"/>
      <c r="H583" s="329"/>
      <c r="I583" s="329"/>
      <c r="J583" s="329"/>
      <c r="K583" s="329"/>
      <c r="L583" s="329"/>
      <c r="M583" s="329"/>
      <c r="N583" s="329"/>
      <c r="O583" s="329"/>
      <c r="P583" s="331"/>
      <c r="Q583" s="332"/>
      <c r="R583" s="332"/>
      <c r="S583" s="331"/>
      <c r="T583" s="331"/>
      <c r="U583" s="333"/>
      <c r="V583" s="333"/>
      <c r="W583" s="333"/>
      <c r="X583" s="328"/>
      <c r="Y583" s="328"/>
      <c r="Z583" s="328"/>
      <c r="AA583" s="328"/>
      <c r="AB583" s="328"/>
      <c r="AC583" s="328"/>
      <c r="AD583" s="151"/>
      <c r="AE583" s="206"/>
    </row>
    <row r="584" spans="1:31" ht="15.75">
      <c r="A584" s="329"/>
      <c r="B584" s="329"/>
      <c r="C584" s="329"/>
      <c r="D584" s="329"/>
      <c r="E584" s="329"/>
      <c r="F584" s="330"/>
      <c r="G584" s="329"/>
      <c r="H584" s="329"/>
      <c r="I584" s="329"/>
      <c r="J584" s="329"/>
      <c r="K584" s="329"/>
      <c r="L584" s="329"/>
      <c r="M584" s="329"/>
      <c r="N584" s="329"/>
      <c r="O584" s="329"/>
      <c r="P584" s="331"/>
      <c r="Q584" s="332"/>
      <c r="R584" s="332"/>
      <c r="S584" s="331"/>
      <c r="T584" s="331"/>
      <c r="U584" s="333"/>
      <c r="V584" s="333"/>
      <c r="W584" s="333"/>
      <c r="X584" s="328"/>
      <c r="Y584" s="328"/>
      <c r="Z584" s="328"/>
      <c r="AA584" s="328"/>
      <c r="AB584" s="328"/>
      <c r="AC584" s="328"/>
      <c r="AD584" s="151"/>
      <c r="AE584" s="206"/>
    </row>
    <row r="585" spans="1:31" ht="15.75">
      <c r="A585" s="329"/>
      <c r="B585" s="329"/>
      <c r="C585" s="329"/>
      <c r="D585" s="329"/>
      <c r="E585" s="329"/>
      <c r="F585" s="330"/>
      <c r="G585" s="329"/>
      <c r="H585" s="329"/>
      <c r="I585" s="329"/>
      <c r="J585" s="329"/>
      <c r="K585" s="329"/>
      <c r="L585" s="329"/>
      <c r="M585" s="329"/>
      <c r="N585" s="329"/>
      <c r="O585" s="329"/>
      <c r="P585" s="331"/>
      <c r="Q585" s="332"/>
      <c r="R585" s="332"/>
      <c r="S585" s="331"/>
      <c r="T585" s="331"/>
      <c r="U585" s="333"/>
      <c r="V585" s="333"/>
      <c r="W585" s="333"/>
      <c r="X585" s="328"/>
      <c r="Y585" s="328"/>
      <c r="Z585" s="328"/>
      <c r="AA585" s="328"/>
      <c r="AB585" s="328"/>
      <c r="AC585" s="328"/>
      <c r="AD585" s="151"/>
      <c r="AE585" s="206"/>
    </row>
    <row r="586" spans="1:31" ht="15.75">
      <c r="A586" s="329"/>
      <c r="B586" s="329"/>
      <c r="C586" s="329"/>
      <c r="D586" s="329"/>
      <c r="E586" s="329"/>
      <c r="F586" s="330"/>
      <c r="G586" s="329"/>
      <c r="H586" s="329"/>
      <c r="I586" s="329"/>
      <c r="J586" s="329"/>
      <c r="K586" s="329"/>
      <c r="L586" s="329"/>
      <c r="M586" s="329"/>
      <c r="N586" s="329"/>
      <c r="O586" s="329"/>
      <c r="P586" s="331"/>
      <c r="Q586" s="332"/>
      <c r="R586" s="332"/>
      <c r="S586" s="331"/>
      <c r="T586" s="331"/>
      <c r="U586" s="333"/>
      <c r="V586" s="333"/>
      <c r="W586" s="333"/>
      <c r="X586" s="328"/>
      <c r="Y586" s="328"/>
      <c r="Z586" s="328"/>
      <c r="AA586" s="328"/>
      <c r="AB586" s="328"/>
      <c r="AC586" s="328"/>
      <c r="AD586" s="151"/>
      <c r="AE586" s="206"/>
    </row>
    <row r="587" spans="1:31" ht="15.75">
      <c r="A587" s="329"/>
      <c r="B587" s="329"/>
      <c r="C587" s="329"/>
      <c r="D587" s="329"/>
      <c r="E587" s="329"/>
      <c r="F587" s="330"/>
      <c r="G587" s="329"/>
      <c r="H587" s="329"/>
      <c r="I587" s="329"/>
      <c r="J587" s="329"/>
      <c r="K587" s="329"/>
      <c r="L587" s="329"/>
      <c r="M587" s="329"/>
      <c r="N587" s="329"/>
      <c r="O587" s="329"/>
      <c r="P587" s="331"/>
      <c r="Q587" s="332"/>
      <c r="R587" s="332"/>
      <c r="S587" s="331"/>
      <c r="T587" s="331"/>
      <c r="U587" s="333"/>
      <c r="V587" s="333"/>
      <c r="W587" s="333"/>
      <c r="X587" s="328"/>
      <c r="Y587" s="328"/>
      <c r="Z587" s="328"/>
      <c r="AA587" s="328"/>
      <c r="AB587" s="328"/>
      <c r="AC587" s="328"/>
      <c r="AD587" s="151"/>
      <c r="AE587" s="206"/>
    </row>
    <row r="588" spans="1:31" ht="15.75">
      <c r="A588" s="329"/>
      <c r="B588" s="329"/>
      <c r="C588" s="329"/>
      <c r="D588" s="329"/>
      <c r="E588" s="329"/>
      <c r="F588" s="330"/>
      <c r="G588" s="329"/>
      <c r="H588" s="329"/>
      <c r="I588" s="329"/>
      <c r="J588" s="329"/>
      <c r="K588" s="329"/>
      <c r="L588" s="329"/>
      <c r="M588" s="329"/>
      <c r="N588" s="329"/>
      <c r="O588" s="329"/>
      <c r="P588" s="331"/>
      <c r="Q588" s="332"/>
      <c r="R588" s="332"/>
      <c r="S588" s="331"/>
      <c r="T588" s="331"/>
      <c r="U588" s="333"/>
      <c r="V588" s="333"/>
      <c r="W588" s="333"/>
      <c r="X588" s="328"/>
      <c r="Y588" s="328"/>
      <c r="Z588" s="328"/>
      <c r="AA588" s="328"/>
      <c r="AB588" s="328"/>
      <c r="AC588" s="328"/>
      <c r="AD588" s="151"/>
      <c r="AE588" s="206"/>
    </row>
    <row r="589" spans="1:31" ht="15.75">
      <c r="A589" s="329"/>
      <c r="B589" s="329"/>
      <c r="C589" s="329"/>
      <c r="D589" s="329"/>
      <c r="E589" s="329"/>
      <c r="F589" s="330"/>
      <c r="G589" s="329"/>
      <c r="H589" s="329"/>
      <c r="I589" s="329"/>
      <c r="J589" s="329"/>
      <c r="K589" s="329"/>
      <c r="L589" s="329"/>
      <c r="M589" s="329"/>
      <c r="N589" s="329"/>
      <c r="O589" s="329"/>
      <c r="P589" s="331"/>
      <c r="Q589" s="332"/>
      <c r="R589" s="332"/>
      <c r="S589" s="331"/>
      <c r="T589" s="331"/>
      <c r="U589" s="333"/>
      <c r="V589" s="333"/>
      <c r="W589" s="333"/>
      <c r="X589" s="328"/>
      <c r="Y589" s="328"/>
      <c r="Z589" s="328"/>
      <c r="AA589" s="328"/>
      <c r="AB589" s="328"/>
      <c r="AC589" s="328"/>
      <c r="AD589" s="151"/>
      <c r="AE589" s="206"/>
    </row>
    <row r="590" spans="1:31" ht="15.75">
      <c r="A590" s="329"/>
      <c r="B590" s="329"/>
      <c r="C590" s="329"/>
      <c r="D590" s="329"/>
      <c r="E590" s="329"/>
      <c r="F590" s="330"/>
      <c r="G590" s="329"/>
      <c r="H590" s="329"/>
      <c r="I590" s="329"/>
      <c r="J590" s="329"/>
      <c r="K590" s="329"/>
      <c r="L590" s="329"/>
      <c r="M590" s="329"/>
      <c r="N590" s="329"/>
      <c r="O590" s="329"/>
      <c r="P590" s="331"/>
      <c r="Q590" s="332"/>
      <c r="R590" s="332"/>
      <c r="S590" s="331"/>
      <c r="T590" s="331"/>
      <c r="U590" s="333"/>
      <c r="V590" s="333"/>
      <c r="W590" s="333"/>
      <c r="X590" s="328"/>
      <c r="Y590" s="328"/>
      <c r="Z590" s="328"/>
      <c r="AA590" s="328"/>
      <c r="AB590" s="328"/>
      <c r="AC590" s="328"/>
      <c r="AD590" s="151"/>
      <c r="AE590" s="206"/>
    </row>
    <row r="591" spans="1:31" ht="15.75">
      <c r="A591" s="329"/>
      <c r="B591" s="329"/>
      <c r="C591" s="329"/>
      <c r="D591" s="329"/>
      <c r="E591" s="329"/>
      <c r="F591" s="330"/>
      <c r="G591" s="329"/>
      <c r="H591" s="329"/>
      <c r="I591" s="329"/>
      <c r="J591" s="329"/>
      <c r="K591" s="329"/>
      <c r="L591" s="329"/>
      <c r="M591" s="329"/>
      <c r="N591" s="329"/>
      <c r="O591" s="329"/>
      <c r="P591" s="331"/>
      <c r="Q591" s="332"/>
      <c r="R591" s="332"/>
      <c r="S591" s="331"/>
      <c r="T591" s="331"/>
      <c r="U591" s="333"/>
      <c r="V591" s="333"/>
      <c r="W591" s="333"/>
      <c r="X591" s="328"/>
      <c r="Y591" s="328"/>
      <c r="Z591" s="328"/>
      <c r="AA591" s="328"/>
      <c r="AB591" s="328"/>
      <c r="AC591" s="328"/>
      <c r="AD591" s="151"/>
      <c r="AE591" s="206"/>
    </row>
    <row r="592" spans="1:31" ht="15.75">
      <c r="A592" s="329"/>
      <c r="B592" s="329"/>
      <c r="C592" s="329"/>
      <c r="D592" s="329"/>
      <c r="E592" s="329"/>
      <c r="F592" s="330"/>
      <c r="G592" s="329"/>
      <c r="H592" s="329"/>
      <c r="I592" s="329"/>
      <c r="J592" s="329"/>
      <c r="K592" s="329"/>
      <c r="L592" s="329"/>
      <c r="M592" s="329"/>
      <c r="N592" s="329"/>
      <c r="O592" s="329"/>
      <c r="P592" s="331"/>
      <c r="Q592" s="332"/>
      <c r="R592" s="332"/>
      <c r="S592" s="331"/>
      <c r="T592" s="331"/>
      <c r="U592" s="333"/>
      <c r="V592" s="333"/>
      <c r="W592" s="333"/>
      <c r="X592" s="328"/>
      <c r="Y592" s="328"/>
      <c r="Z592" s="328"/>
      <c r="AA592" s="328"/>
      <c r="AB592" s="328"/>
      <c r="AC592" s="328"/>
      <c r="AD592" s="151"/>
      <c r="AE592" s="206"/>
    </row>
    <row r="593" spans="1:31" ht="15.75">
      <c r="A593" s="329"/>
      <c r="B593" s="329"/>
      <c r="C593" s="329"/>
      <c r="D593" s="329"/>
      <c r="E593" s="329"/>
      <c r="F593" s="330"/>
      <c r="G593" s="329"/>
      <c r="H593" s="329"/>
      <c r="I593" s="329"/>
      <c r="J593" s="329"/>
      <c r="K593" s="329"/>
      <c r="L593" s="329"/>
      <c r="M593" s="329"/>
      <c r="N593" s="329"/>
      <c r="O593" s="329"/>
      <c r="P593" s="331"/>
      <c r="Q593" s="332"/>
      <c r="R593" s="332"/>
      <c r="S593" s="331"/>
      <c r="T593" s="331"/>
      <c r="U593" s="333"/>
      <c r="V593" s="333"/>
      <c r="W593" s="333"/>
      <c r="X593" s="328"/>
      <c r="Y593" s="328"/>
      <c r="Z593" s="328"/>
      <c r="AA593" s="328"/>
      <c r="AB593" s="328"/>
      <c r="AC593" s="328"/>
      <c r="AD593" s="151"/>
      <c r="AE593" s="206"/>
    </row>
    <row r="594" spans="1:31" ht="15.75">
      <c r="A594" s="329"/>
      <c r="B594" s="329"/>
      <c r="C594" s="329"/>
      <c r="D594" s="329"/>
      <c r="E594" s="329"/>
      <c r="F594" s="330"/>
      <c r="G594" s="329"/>
      <c r="H594" s="329"/>
      <c r="I594" s="329"/>
      <c r="J594" s="329"/>
      <c r="K594" s="329"/>
      <c r="L594" s="329"/>
      <c r="M594" s="329"/>
      <c r="N594" s="329"/>
      <c r="O594" s="329"/>
      <c r="P594" s="331"/>
      <c r="Q594" s="332"/>
      <c r="R594" s="332"/>
      <c r="S594" s="331"/>
      <c r="T594" s="331"/>
      <c r="U594" s="333"/>
      <c r="V594" s="333"/>
      <c r="W594" s="333"/>
      <c r="X594" s="328"/>
      <c r="Y594" s="328"/>
      <c r="Z594" s="328"/>
      <c r="AA594" s="328"/>
      <c r="AB594" s="328"/>
      <c r="AC594" s="328"/>
      <c r="AD594" s="151"/>
      <c r="AE594" s="206"/>
    </row>
    <row r="595" spans="1:31" ht="15.75">
      <c r="A595" s="329"/>
      <c r="B595" s="329"/>
      <c r="C595" s="329"/>
      <c r="D595" s="329"/>
      <c r="E595" s="329"/>
      <c r="F595" s="330"/>
      <c r="G595" s="329"/>
      <c r="H595" s="329"/>
      <c r="I595" s="329"/>
      <c r="J595" s="329"/>
      <c r="K595" s="329"/>
      <c r="L595" s="329"/>
      <c r="M595" s="329"/>
      <c r="N595" s="329"/>
      <c r="O595" s="329"/>
      <c r="P595" s="331"/>
      <c r="Q595" s="332"/>
      <c r="R595" s="332"/>
      <c r="S595" s="331"/>
      <c r="T595" s="331"/>
      <c r="U595" s="333"/>
      <c r="V595" s="333"/>
      <c r="W595" s="333"/>
      <c r="X595" s="328"/>
      <c r="Y595" s="328"/>
      <c r="Z595" s="328"/>
      <c r="AA595" s="328"/>
      <c r="AB595" s="328"/>
      <c r="AC595" s="328"/>
      <c r="AD595" s="151"/>
      <c r="AE595" s="206"/>
    </row>
    <row r="596" spans="1:31" ht="15.75">
      <c r="A596" s="329"/>
      <c r="B596" s="329"/>
      <c r="C596" s="329"/>
      <c r="D596" s="329"/>
      <c r="E596" s="329"/>
      <c r="F596" s="330"/>
      <c r="G596" s="329"/>
      <c r="H596" s="329"/>
      <c r="I596" s="329"/>
      <c r="J596" s="329"/>
      <c r="K596" s="329"/>
      <c r="L596" s="329"/>
      <c r="M596" s="329"/>
      <c r="N596" s="329"/>
      <c r="O596" s="329"/>
      <c r="P596" s="331"/>
      <c r="Q596" s="332"/>
      <c r="R596" s="332"/>
      <c r="S596" s="331"/>
      <c r="T596" s="331"/>
      <c r="U596" s="333" t="s">
        <v>539</v>
      </c>
      <c r="V596" s="333">
        <v>15</v>
      </c>
      <c r="W596" s="333">
        <v>5</v>
      </c>
      <c r="X596" s="328">
        <v>0.7</v>
      </c>
      <c r="Y596" s="328">
        <v>0.7</v>
      </c>
      <c r="Z596" s="328">
        <v>0.7</v>
      </c>
      <c r="AA596" s="328">
        <v>1700</v>
      </c>
      <c r="AB596" s="328" t="s">
        <v>612</v>
      </c>
      <c r="AC596" s="328">
        <v>0.85</v>
      </c>
      <c r="AD596" s="151"/>
      <c r="AE596" s="206"/>
    </row>
    <row r="597" spans="1:31" ht="15.75">
      <c r="A597" s="329"/>
      <c r="B597" s="329"/>
      <c r="C597" s="329"/>
      <c r="D597" s="329"/>
      <c r="E597" s="329"/>
      <c r="F597" s="330"/>
      <c r="G597" s="329"/>
      <c r="H597" s="329"/>
      <c r="I597" s="329"/>
      <c r="J597" s="329"/>
      <c r="K597" s="329"/>
      <c r="L597" s="329"/>
      <c r="M597" s="329"/>
      <c r="N597" s="329"/>
      <c r="O597" s="329"/>
      <c r="P597" s="331"/>
      <c r="Q597" s="332"/>
      <c r="R597" s="332"/>
      <c r="S597" s="331"/>
      <c r="T597" s="331"/>
      <c r="U597" s="333" t="s">
        <v>539</v>
      </c>
      <c r="V597" s="333">
        <v>15</v>
      </c>
      <c r="W597" s="333">
        <v>5</v>
      </c>
      <c r="X597" s="328">
        <v>0.7</v>
      </c>
      <c r="Y597" s="328">
        <v>0.7</v>
      </c>
      <c r="Z597" s="328">
        <v>0.7</v>
      </c>
      <c r="AA597" s="328">
        <v>1700</v>
      </c>
      <c r="AB597" s="328" t="s">
        <v>612</v>
      </c>
      <c r="AC597" s="328">
        <v>0.85</v>
      </c>
      <c r="AD597" s="151"/>
      <c r="AE597" s="206"/>
    </row>
    <row r="598" spans="1:31" ht="15.75">
      <c r="A598" s="329"/>
      <c r="B598" s="329"/>
      <c r="C598" s="329"/>
      <c r="D598" s="329"/>
      <c r="E598" s="329"/>
      <c r="F598" s="330"/>
      <c r="G598" s="329"/>
      <c r="H598" s="329"/>
      <c r="I598" s="329"/>
      <c r="J598" s="329"/>
      <c r="K598" s="329"/>
      <c r="L598" s="329"/>
      <c r="M598" s="329"/>
      <c r="N598" s="329"/>
      <c r="O598" s="329"/>
      <c r="P598" s="331"/>
      <c r="Q598" s="332"/>
      <c r="R598" s="332"/>
      <c r="S598" s="331"/>
      <c r="T598" s="331"/>
      <c r="U598" s="333" t="s">
        <v>539</v>
      </c>
      <c r="V598" s="333">
        <v>15</v>
      </c>
      <c r="W598" s="333">
        <v>5</v>
      </c>
      <c r="X598" s="328">
        <v>0.7</v>
      </c>
      <c r="Y598" s="328">
        <v>0.7</v>
      </c>
      <c r="Z598" s="328">
        <v>0.7</v>
      </c>
      <c r="AA598" s="328">
        <v>1700</v>
      </c>
      <c r="AB598" s="328" t="s">
        <v>612</v>
      </c>
      <c r="AC598" s="328">
        <v>0.85</v>
      </c>
      <c r="AD598" s="151"/>
      <c r="AE598" s="206"/>
    </row>
    <row r="599" spans="1:31" ht="15.75">
      <c r="A599" s="329"/>
      <c r="B599" s="329"/>
      <c r="C599" s="329"/>
      <c r="D599" s="329"/>
      <c r="E599" s="329"/>
      <c r="F599" s="330"/>
      <c r="G599" s="329"/>
      <c r="H599" s="329"/>
      <c r="I599" s="329"/>
      <c r="J599" s="329"/>
      <c r="K599" s="329"/>
      <c r="L599" s="329"/>
      <c r="M599" s="329"/>
      <c r="N599" s="329"/>
      <c r="O599" s="329"/>
      <c r="P599" s="331"/>
      <c r="Q599" s="332"/>
      <c r="R599" s="332"/>
      <c r="S599" s="331"/>
      <c r="T599" s="331"/>
      <c r="U599" s="333" t="s">
        <v>539</v>
      </c>
      <c r="V599" s="333">
        <v>15</v>
      </c>
      <c r="W599" s="333">
        <v>5</v>
      </c>
      <c r="X599" s="328">
        <v>0.7</v>
      </c>
      <c r="Y599" s="328">
        <v>0.7</v>
      </c>
      <c r="Z599" s="328">
        <v>0.7</v>
      </c>
      <c r="AA599" s="328">
        <v>1700</v>
      </c>
      <c r="AB599" s="328" t="s">
        <v>612</v>
      </c>
      <c r="AC599" s="328">
        <v>0.85</v>
      </c>
      <c r="AD599" s="151"/>
      <c r="AE599" s="206"/>
    </row>
    <row r="600" spans="1:31" ht="15.75">
      <c r="A600" s="329"/>
      <c r="B600" s="329"/>
      <c r="C600" s="329"/>
      <c r="D600" s="329"/>
      <c r="E600" s="329"/>
      <c r="F600" s="330"/>
      <c r="G600" s="329"/>
      <c r="H600" s="329"/>
      <c r="I600" s="329"/>
      <c r="J600" s="329"/>
      <c r="K600" s="329"/>
      <c r="L600" s="329"/>
      <c r="M600" s="329"/>
      <c r="N600" s="329"/>
      <c r="O600" s="329"/>
      <c r="P600" s="331"/>
      <c r="Q600" s="332"/>
      <c r="R600" s="332"/>
      <c r="S600" s="331"/>
      <c r="T600" s="331"/>
      <c r="U600" s="333" t="s">
        <v>539</v>
      </c>
      <c r="V600" s="333">
        <v>15</v>
      </c>
      <c r="W600" s="333">
        <v>5</v>
      </c>
      <c r="X600" s="328">
        <v>0.7</v>
      </c>
      <c r="Y600" s="328">
        <v>0.7</v>
      </c>
      <c r="Z600" s="328">
        <v>0.7</v>
      </c>
      <c r="AA600" s="328">
        <v>1700</v>
      </c>
      <c r="AB600" s="328" t="s">
        <v>612</v>
      </c>
      <c r="AC600" s="328">
        <v>0.85</v>
      </c>
      <c r="AD600" s="151"/>
      <c r="AE600" s="206"/>
    </row>
    <row r="601" spans="1:31" ht="15.75">
      <c r="A601" s="329"/>
      <c r="B601" s="329"/>
      <c r="C601" s="329"/>
      <c r="D601" s="329"/>
      <c r="E601" s="329"/>
      <c r="F601" s="330"/>
      <c r="G601" s="329"/>
      <c r="H601" s="329"/>
      <c r="I601" s="329"/>
      <c r="J601" s="329"/>
      <c r="K601" s="329"/>
      <c r="L601" s="329"/>
      <c r="M601" s="329"/>
      <c r="N601" s="329"/>
      <c r="O601" s="329"/>
      <c r="P601" s="331"/>
      <c r="Q601" s="332"/>
      <c r="R601" s="332"/>
      <c r="S601" s="331"/>
      <c r="T601" s="331"/>
      <c r="U601" s="333" t="s">
        <v>553</v>
      </c>
      <c r="V601" s="333">
        <v>15</v>
      </c>
      <c r="W601" s="333">
        <v>5</v>
      </c>
      <c r="X601" s="328">
        <v>0.7</v>
      </c>
      <c r="Y601" s="328">
        <v>0.7</v>
      </c>
      <c r="Z601" s="328">
        <v>0.7</v>
      </c>
      <c r="AA601" s="328">
        <v>1700</v>
      </c>
      <c r="AB601" s="328" t="s">
        <v>612</v>
      </c>
      <c r="AC601" s="328">
        <v>0.85</v>
      </c>
      <c r="AD601" s="151"/>
      <c r="AE601" s="206"/>
    </row>
    <row r="602" spans="1:31" ht="15.75">
      <c r="A602" s="329"/>
      <c r="B602" s="329"/>
      <c r="C602" s="329"/>
      <c r="D602" s="329"/>
      <c r="E602" s="329"/>
      <c r="F602" s="330"/>
      <c r="G602" s="329"/>
      <c r="H602" s="329"/>
      <c r="I602" s="329"/>
      <c r="J602" s="329"/>
      <c r="K602" s="329"/>
      <c r="L602" s="329"/>
      <c r="M602" s="329"/>
      <c r="N602" s="329"/>
      <c r="O602" s="329"/>
      <c r="P602" s="331"/>
      <c r="Q602" s="332"/>
      <c r="R602" s="332"/>
      <c r="S602" s="331"/>
      <c r="T602" s="331"/>
      <c r="U602" s="333" t="s">
        <v>553</v>
      </c>
      <c r="V602" s="333">
        <v>15</v>
      </c>
      <c r="W602" s="333">
        <v>5</v>
      </c>
      <c r="X602" s="328">
        <v>0.7</v>
      </c>
      <c r="Y602" s="328">
        <v>0.7</v>
      </c>
      <c r="Z602" s="328">
        <v>0.7</v>
      </c>
      <c r="AA602" s="328">
        <v>1700</v>
      </c>
      <c r="AB602" s="328" t="s">
        <v>612</v>
      </c>
      <c r="AC602" s="328">
        <v>0.85</v>
      </c>
      <c r="AD602" s="151"/>
      <c r="AE602" s="206"/>
    </row>
    <row r="603" spans="1:31" ht="15.75">
      <c r="A603" s="329"/>
      <c r="B603" s="329"/>
      <c r="C603" s="329"/>
      <c r="D603" s="329"/>
      <c r="E603" s="329"/>
      <c r="F603" s="330"/>
      <c r="G603" s="329"/>
      <c r="H603" s="329"/>
      <c r="I603" s="329"/>
      <c r="J603" s="329"/>
      <c r="K603" s="329"/>
      <c r="L603" s="329"/>
      <c r="M603" s="329"/>
      <c r="N603" s="329"/>
      <c r="O603" s="329"/>
      <c r="P603" s="331"/>
      <c r="Q603" s="332"/>
      <c r="R603" s="332"/>
      <c r="S603" s="331"/>
      <c r="T603" s="331"/>
      <c r="U603" s="333" t="s">
        <v>539</v>
      </c>
      <c r="V603" s="333">
        <v>15</v>
      </c>
      <c r="W603" s="333">
        <v>5</v>
      </c>
      <c r="X603" s="328">
        <v>0.7</v>
      </c>
      <c r="Y603" s="328">
        <v>0.7</v>
      </c>
      <c r="Z603" s="328">
        <v>0.7</v>
      </c>
      <c r="AA603" s="328">
        <v>1700</v>
      </c>
      <c r="AB603" s="328" t="s">
        <v>612</v>
      </c>
      <c r="AC603" s="328">
        <v>0.85</v>
      </c>
      <c r="AD603" s="151"/>
      <c r="AE603" s="206"/>
    </row>
    <row r="604" spans="1:31" ht="15.75">
      <c r="A604" s="329"/>
      <c r="B604" s="329"/>
      <c r="C604" s="329"/>
      <c r="D604" s="329"/>
      <c r="E604" s="329"/>
      <c r="F604" s="330"/>
      <c r="G604" s="329"/>
      <c r="H604" s="329"/>
      <c r="I604" s="329"/>
      <c r="J604" s="329"/>
      <c r="K604" s="329"/>
      <c r="L604" s="329"/>
      <c r="M604" s="329"/>
      <c r="N604" s="329"/>
      <c r="O604" s="329"/>
      <c r="P604" s="331"/>
      <c r="Q604" s="332"/>
      <c r="R604" s="332"/>
      <c r="S604" s="331"/>
      <c r="T604" s="331"/>
      <c r="U604" s="333" t="s">
        <v>539</v>
      </c>
      <c r="V604" s="333">
        <v>15</v>
      </c>
      <c r="W604" s="333">
        <v>5</v>
      </c>
      <c r="X604" s="328">
        <v>0.7</v>
      </c>
      <c r="Y604" s="328">
        <v>0.7</v>
      </c>
      <c r="Z604" s="328">
        <v>0.7</v>
      </c>
      <c r="AA604" s="328">
        <v>1700</v>
      </c>
      <c r="AB604" s="328" t="s">
        <v>612</v>
      </c>
      <c r="AC604" s="328">
        <v>0.85</v>
      </c>
      <c r="AD604" s="151"/>
      <c r="AE604" s="206"/>
    </row>
    <row r="605" spans="1:31" ht="15.75">
      <c r="A605" s="329"/>
      <c r="B605" s="329"/>
      <c r="C605" s="329"/>
      <c r="D605" s="329"/>
      <c r="E605" s="329"/>
      <c r="F605" s="330"/>
      <c r="G605" s="329"/>
      <c r="H605" s="329"/>
      <c r="I605" s="329"/>
      <c r="J605" s="329"/>
      <c r="K605" s="329"/>
      <c r="L605" s="329"/>
      <c r="M605" s="329"/>
      <c r="N605" s="329"/>
      <c r="O605" s="329"/>
      <c r="P605" s="331"/>
      <c r="Q605" s="332"/>
      <c r="R605" s="332"/>
      <c r="S605" s="331"/>
      <c r="T605" s="331"/>
      <c r="U605" s="333" t="s">
        <v>539</v>
      </c>
      <c r="V605" s="333">
        <v>15</v>
      </c>
      <c r="W605" s="333">
        <v>5</v>
      </c>
      <c r="X605" s="328">
        <v>0.7</v>
      </c>
      <c r="Y605" s="328">
        <v>0.7</v>
      </c>
      <c r="Z605" s="328">
        <v>0.7</v>
      </c>
      <c r="AA605" s="328">
        <v>1700</v>
      </c>
      <c r="AB605" s="328" t="s">
        <v>612</v>
      </c>
      <c r="AC605" s="328">
        <v>0.85</v>
      </c>
      <c r="AD605" s="151"/>
      <c r="AE605" s="206"/>
    </row>
    <row r="606" spans="1:31" ht="15.75">
      <c r="A606" s="329"/>
      <c r="B606" s="329"/>
      <c r="C606" s="329"/>
      <c r="D606" s="329"/>
      <c r="E606" s="329"/>
      <c r="F606" s="330"/>
      <c r="G606" s="329"/>
      <c r="H606" s="329"/>
      <c r="I606" s="329"/>
      <c r="J606" s="329"/>
      <c r="K606" s="329"/>
      <c r="L606" s="329"/>
      <c r="M606" s="329"/>
      <c r="N606" s="329"/>
      <c r="O606" s="329"/>
      <c r="P606" s="331"/>
      <c r="Q606" s="332"/>
      <c r="R606" s="332"/>
      <c r="S606" s="331"/>
      <c r="T606" s="331"/>
      <c r="U606" s="333" t="s">
        <v>539</v>
      </c>
      <c r="V606" s="333">
        <v>15</v>
      </c>
      <c r="W606" s="333">
        <v>5</v>
      </c>
      <c r="X606" s="328">
        <v>0.7</v>
      </c>
      <c r="Y606" s="328">
        <v>0.7</v>
      </c>
      <c r="Z606" s="328">
        <v>0.7</v>
      </c>
      <c r="AA606" s="328">
        <v>1700</v>
      </c>
      <c r="AB606" s="328" t="s">
        <v>612</v>
      </c>
      <c r="AC606" s="328">
        <v>0.85</v>
      </c>
      <c r="AD606" s="151"/>
      <c r="AE606" s="206"/>
    </row>
    <row r="607" spans="1:31" ht="15" customHeight="1">
      <c r="A607" s="329"/>
      <c r="B607" s="329"/>
      <c r="C607" s="329"/>
      <c r="D607" s="329"/>
      <c r="E607" s="329"/>
      <c r="F607" s="330"/>
      <c r="G607" s="329"/>
      <c r="H607" s="329"/>
      <c r="I607" s="329"/>
      <c r="J607" s="329"/>
      <c r="K607" s="329"/>
      <c r="L607" s="329"/>
      <c r="M607" s="329"/>
      <c r="N607" s="329"/>
      <c r="O607" s="329"/>
      <c r="P607" s="331"/>
      <c r="Q607" s="332"/>
      <c r="R607" s="332"/>
      <c r="S607" s="331"/>
      <c r="T607" s="331"/>
      <c r="U607" s="333" t="s">
        <v>539</v>
      </c>
      <c r="V607" s="333">
        <v>15</v>
      </c>
      <c r="W607" s="333">
        <v>5</v>
      </c>
      <c r="X607" s="328">
        <v>0.7</v>
      </c>
      <c r="Y607" s="328">
        <v>0.7</v>
      </c>
      <c r="Z607" s="328">
        <v>0.7</v>
      </c>
      <c r="AA607" s="328">
        <v>1700</v>
      </c>
      <c r="AB607" s="328" t="s">
        <v>612</v>
      </c>
      <c r="AC607" s="328">
        <v>0.85</v>
      </c>
      <c r="AD607" s="156"/>
      <c r="AE607" s="334"/>
    </row>
    <row r="608" spans="1:31" ht="15" customHeight="1">
      <c r="A608" s="329"/>
      <c r="B608" s="329"/>
      <c r="C608" s="329"/>
      <c r="D608" s="329"/>
      <c r="E608" s="329"/>
      <c r="F608" s="330"/>
      <c r="G608" s="329"/>
      <c r="H608" s="329"/>
      <c r="I608" s="329"/>
      <c r="J608" s="329"/>
      <c r="K608" s="329"/>
      <c r="L608" s="329"/>
      <c r="M608" s="329"/>
      <c r="N608" s="329"/>
      <c r="O608" s="329"/>
      <c r="P608" s="331"/>
      <c r="Q608" s="332"/>
      <c r="R608" s="332"/>
      <c r="S608" s="331"/>
      <c r="T608" s="331"/>
      <c r="U608" s="333" t="s">
        <v>539</v>
      </c>
      <c r="V608" s="333">
        <v>15</v>
      </c>
      <c r="W608" s="333">
        <v>5</v>
      </c>
      <c r="X608" s="328">
        <v>0.7</v>
      </c>
      <c r="Y608" s="328">
        <v>0.7</v>
      </c>
      <c r="Z608" s="328">
        <v>0.7</v>
      </c>
      <c r="AA608" s="328">
        <v>1700</v>
      </c>
      <c r="AB608" s="328" t="s">
        <v>612</v>
      </c>
      <c r="AC608" s="328">
        <v>0.85</v>
      </c>
      <c r="AD608" s="156"/>
      <c r="AE608" s="334"/>
    </row>
    <row r="609" spans="1:31" ht="15" customHeight="1">
      <c r="A609" s="329"/>
      <c r="B609" s="329"/>
      <c r="C609" s="329"/>
      <c r="D609" s="329"/>
      <c r="E609" s="329"/>
      <c r="F609" s="330"/>
      <c r="G609" s="329"/>
      <c r="H609" s="329"/>
      <c r="I609" s="329"/>
      <c r="J609" s="329"/>
      <c r="K609" s="329"/>
      <c r="L609" s="329"/>
      <c r="M609" s="329"/>
      <c r="N609" s="329"/>
      <c r="O609" s="329"/>
      <c r="P609" s="331"/>
      <c r="Q609" s="332"/>
      <c r="R609" s="332"/>
      <c r="S609" s="331"/>
      <c r="T609" s="331"/>
      <c r="U609" s="333" t="s">
        <v>553</v>
      </c>
      <c r="V609" s="333">
        <v>15</v>
      </c>
      <c r="W609" s="333">
        <v>5</v>
      </c>
      <c r="X609" s="328">
        <v>0.7</v>
      </c>
      <c r="Y609" s="328">
        <v>0.7</v>
      </c>
      <c r="Z609" s="328">
        <v>0.7</v>
      </c>
      <c r="AA609" s="328">
        <v>1700</v>
      </c>
      <c r="AB609" s="328" t="s">
        <v>612</v>
      </c>
      <c r="AC609" s="328">
        <v>0.85</v>
      </c>
      <c r="AD609" s="156"/>
      <c r="AE609" s="334"/>
    </row>
    <row r="610" spans="1:31" ht="15" customHeight="1">
      <c r="A610" s="329"/>
      <c r="B610" s="329"/>
      <c r="C610" s="329"/>
      <c r="D610" s="329"/>
      <c r="E610" s="329"/>
      <c r="F610" s="330"/>
      <c r="G610" s="329"/>
      <c r="H610" s="329"/>
      <c r="I610" s="329"/>
      <c r="J610" s="329"/>
      <c r="K610" s="329"/>
      <c r="L610" s="329"/>
      <c r="M610" s="329"/>
      <c r="N610" s="329"/>
      <c r="O610" s="329"/>
      <c r="P610" s="331"/>
      <c r="Q610" s="332"/>
      <c r="R610" s="332"/>
      <c r="S610" s="331"/>
      <c r="T610" s="331"/>
      <c r="U610" s="333" t="s">
        <v>553</v>
      </c>
      <c r="V610" s="333">
        <v>15</v>
      </c>
      <c r="W610" s="333">
        <v>5</v>
      </c>
      <c r="X610" s="328">
        <v>0.7</v>
      </c>
      <c r="Y610" s="328">
        <v>0.7</v>
      </c>
      <c r="Z610" s="328">
        <v>0.7</v>
      </c>
      <c r="AA610" s="328">
        <v>1700</v>
      </c>
      <c r="AB610" s="328" t="s">
        <v>612</v>
      </c>
      <c r="AC610" s="328">
        <v>0.85</v>
      </c>
      <c r="AD610" s="156"/>
      <c r="AE610" s="334"/>
    </row>
    <row r="611" spans="1:31" ht="15" customHeight="1">
      <c r="A611" s="329"/>
      <c r="B611" s="329"/>
      <c r="C611" s="329"/>
      <c r="D611" s="329"/>
      <c r="E611" s="329"/>
      <c r="F611" s="330"/>
      <c r="G611" s="329"/>
      <c r="H611" s="329"/>
      <c r="I611" s="329"/>
      <c r="J611" s="329"/>
      <c r="K611" s="329"/>
      <c r="L611" s="329"/>
      <c r="M611" s="329"/>
      <c r="N611" s="329"/>
      <c r="O611" s="329"/>
      <c r="P611" s="331"/>
      <c r="Q611" s="332"/>
      <c r="R611" s="332"/>
      <c r="S611" s="331"/>
      <c r="T611" s="331"/>
      <c r="U611" s="333" t="s">
        <v>539</v>
      </c>
      <c r="V611" s="333">
        <v>15</v>
      </c>
      <c r="W611" s="333">
        <v>5</v>
      </c>
      <c r="X611" s="328">
        <v>0.7</v>
      </c>
      <c r="Y611" s="328">
        <v>0.7</v>
      </c>
      <c r="Z611" s="328">
        <v>0.7</v>
      </c>
      <c r="AA611" s="328">
        <v>1700</v>
      </c>
      <c r="AB611" s="328" t="s">
        <v>612</v>
      </c>
      <c r="AC611" s="328">
        <v>0.85</v>
      </c>
      <c r="AD611" s="156"/>
      <c r="AE611" s="334"/>
    </row>
    <row r="612" spans="1:31" ht="15" customHeight="1">
      <c r="A612" s="329"/>
      <c r="B612" s="329"/>
      <c r="C612" s="329"/>
      <c r="D612" s="329"/>
      <c r="E612" s="329"/>
      <c r="F612" s="330"/>
      <c r="G612" s="329"/>
      <c r="H612" s="329"/>
      <c r="I612" s="329"/>
      <c r="J612" s="329"/>
      <c r="K612" s="329"/>
      <c r="L612" s="329"/>
      <c r="M612" s="329"/>
      <c r="N612" s="329"/>
      <c r="O612" s="329"/>
      <c r="P612" s="331"/>
      <c r="Q612" s="332"/>
      <c r="R612" s="332"/>
      <c r="S612" s="331"/>
      <c r="T612" s="331"/>
      <c r="U612" s="333" t="s">
        <v>539</v>
      </c>
      <c r="V612" s="333">
        <v>15</v>
      </c>
      <c r="W612" s="333">
        <v>5</v>
      </c>
      <c r="X612" s="328">
        <v>0.7</v>
      </c>
      <c r="Y612" s="328">
        <v>0.7</v>
      </c>
      <c r="Z612" s="328">
        <v>0.7</v>
      </c>
      <c r="AA612" s="328">
        <v>1700</v>
      </c>
      <c r="AB612" s="328" t="s">
        <v>612</v>
      </c>
      <c r="AC612" s="328">
        <v>0.85</v>
      </c>
      <c r="AD612" s="156"/>
      <c r="AE612" s="334"/>
    </row>
    <row r="613" spans="1:31" ht="15" customHeight="1">
      <c r="A613" s="329"/>
      <c r="B613" s="329"/>
      <c r="C613" s="329"/>
      <c r="D613" s="329"/>
      <c r="E613" s="329"/>
      <c r="F613" s="330"/>
      <c r="G613" s="329"/>
      <c r="H613" s="329"/>
      <c r="I613" s="329"/>
      <c r="J613" s="329"/>
      <c r="K613" s="329"/>
      <c r="L613" s="329"/>
      <c r="M613" s="329"/>
      <c r="N613" s="329"/>
      <c r="O613" s="329"/>
      <c r="P613" s="331"/>
      <c r="Q613" s="332"/>
      <c r="R613" s="332"/>
      <c r="S613" s="331"/>
      <c r="T613" s="331"/>
      <c r="U613" s="333" t="s">
        <v>539</v>
      </c>
      <c r="V613" s="333">
        <v>15</v>
      </c>
      <c r="W613" s="333">
        <v>5</v>
      </c>
      <c r="X613" s="328">
        <v>0.7</v>
      </c>
      <c r="Y613" s="328">
        <v>0.7</v>
      </c>
      <c r="Z613" s="328">
        <v>0.7</v>
      </c>
      <c r="AA613" s="328">
        <v>1700</v>
      </c>
      <c r="AB613" s="328" t="s">
        <v>612</v>
      </c>
      <c r="AC613" s="328">
        <v>0.85</v>
      </c>
      <c r="AD613" s="156"/>
      <c r="AE613" s="334"/>
    </row>
    <row r="614" spans="1:31" ht="15" customHeight="1">
      <c r="A614" s="329"/>
      <c r="B614" s="329"/>
      <c r="C614" s="329"/>
      <c r="D614" s="329"/>
      <c r="E614" s="329"/>
      <c r="F614" s="330"/>
      <c r="G614" s="329"/>
      <c r="H614" s="329"/>
      <c r="I614" s="329"/>
      <c r="J614" s="329"/>
      <c r="K614" s="329"/>
      <c r="L614" s="329"/>
      <c r="M614" s="329"/>
      <c r="N614" s="329"/>
      <c r="O614" s="329"/>
      <c r="P614" s="331"/>
      <c r="Q614" s="332"/>
      <c r="R614" s="332"/>
      <c r="S614" s="331"/>
      <c r="T614" s="331"/>
      <c r="U614" s="333" t="s">
        <v>539</v>
      </c>
      <c r="V614" s="333">
        <v>15</v>
      </c>
      <c r="W614" s="333">
        <v>5</v>
      </c>
      <c r="X614" s="328">
        <v>0.7</v>
      </c>
      <c r="Y614" s="328">
        <v>0.7</v>
      </c>
      <c r="Z614" s="328">
        <v>0.7</v>
      </c>
      <c r="AA614" s="328">
        <v>1700</v>
      </c>
      <c r="AB614" s="328" t="s">
        <v>612</v>
      </c>
      <c r="AC614" s="328">
        <v>0.85</v>
      </c>
      <c r="AD614" s="156"/>
      <c r="AE614" s="334"/>
    </row>
    <row r="615" spans="1:31" ht="15" customHeight="1">
      <c r="A615" s="329"/>
      <c r="B615" s="329"/>
      <c r="C615" s="329"/>
      <c r="D615" s="329"/>
      <c r="E615" s="329"/>
      <c r="F615" s="330"/>
      <c r="G615" s="329"/>
      <c r="H615" s="329"/>
      <c r="I615" s="329"/>
      <c r="J615" s="329"/>
      <c r="K615" s="329"/>
      <c r="L615" s="329"/>
      <c r="M615" s="329"/>
      <c r="N615" s="329"/>
      <c r="O615" s="329"/>
      <c r="P615" s="331"/>
      <c r="Q615" s="332"/>
      <c r="R615" s="332"/>
      <c r="S615" s="331"/>
      <c r="T615" s="331"/>
      <c r="U615" s="333" t="s">
        <v>539</v>
      </c>
      <c r="V615" s="333">
        <v>15</v>
      </c>
      <c r="W615" s="333">
        <v>5</v>
      </c>
      <c r="X615" s="328">
        <v>0.7</v>
      </c>
      <c r="Y615" s="328">
        <v>0.7</v>
      </c>
      <c r="Z615" s="328">
        <v>0.7</v>
      </c>
      <c r="AA615" s="328">
        <v>1700</v>
      </c>
      <c r="AB615" s="328" t="s">
        <v>612</v>
      </c>
      <c r="AC615" s="328">
        <v>0.85</v>
      </c>
      <c r="AD615" s="156"/>
      <c r="AE615" s="334"/>
    </row>
    <row r="616" spans="1:31" ht="15" customHeight="1">
      <c r="A616" s="329"/>
      <c r="B616" s="329"/>
      <c r="C616" s="329"/>
      <c r="D616" s="329"/>
      <c r="E616" s="329"/>
      <c r="F616" s="330"/>
      <c r="G616" s="329"/>
      <c r="H616" s="329"/>
      <c r="I616" s="329"/>
      <c r="J616" s="329"/>
      <c r="K616" s="329"/>
      <c r="L616" s="329"/>
      <c r="M616" s="329"/>
      <c r="N616" s="329"/>
      <c r="O616" s="329"/>
      <c r="P616" s="331"/>
      <c r="Q616" s="332"/>
      <c r="R616" s="332"/>
      <c r="S616" s="331"/>
      <c r="T616" s="331"/>
      <c r="U616" s="333" t="s">
        <v>539</v>
      </c>
      <c r="V616" s="333">
        <v>15</v>
      </c>
      <c r="W616" s="333">
        <v>5</v>
      </c>
      <c r="X616" s="328">
        <v>0.7</v>
      </c>
      <c r="Y616" s="328">
        <v>0.7</v>
      </c>
      <c r="Z616" s="328">
        <v>0.7</v>
      </c>
      <c r="AA616" s="328">
        <v>1700</v>
      </c>
      <c r="AB616" s="328" t="s">
        <v>612</v>
      </c>
      <c r="AC616" s="328">
        <v>0.85</v>
      </c>
      <c r="AD616" s="156"/>
      <c r="AE616" s="334"/>
    </row>
    <row r="617" spans="1:31" ht="15" customHeight="1">
      <c r="A617" s="329"/>
      <c r="B617" s="329"/>
      <c r="C617" s="329"/>
      <c r="D617" s="329"/>
      <c r="E617" s="329"/>
      <c r="F617" s="330"/>
      <c r="G617" s="329"/>
      <c r="H617" s="329"/>
      <c r="I617" s="329"/>
      <c r="J617" s="329"/>
      <c r="K617" s="329"/>
      <c r="L617" s="329"/>
      <c r="M617" s="329"/>
      <c r="N617" s="329"/>
      <c r="O617" s="329"/>
      <c r="P617" s="331"/>
      <c r="Q617" s="332"/>
      <c r="R617" s="332"/>
      <c r="S617" s="331"/>
      <c r="T617" s="331"/>
      <c r="U617" s="333" t="s">
        <v>539</v>
      </c>
      <c r="V617" s="333">
        <v>15</v>
      </c>
      <c r="W617" s="333">
        <v>5</v>
      </c>
      <c r="X617" s="328">
        <v>0.7</v>
      </c>
      <c r="Y617" s="328">
        <v>0.7</v>
      </c>
      <c r="Z617" s="328">
        <v>0.7</v>
      </c>
      <c r="AA617" s="328">
        <v>1700</v>
      </c>
      <c r="AB617" s="328" t="s">
        <v>612</v>
      </c>
      <c r="AC617" s="328">
        <v>0.85</v>
      </c>
      <c r="AD617" s="156"/>
      <c r="AE617" s="334"/>
    </row>
    <row r="618" spans="1:31" ht="15" customHeight="1">
      <c r="A618" s="329"/>
      <c r="B618" s="329"/>
      <c r="C618" s="329"/>
      <c r="D618" s="329"/>
      <c r="E618" s="329"/>
      <c r="F618" s="330"/>
      <c r="G618" s="329"/>
      <c r="H618" s="329"/>
      <c r="I618" s="329"/>
      <c r="J618" s="329"/>
      <c r="K618" s="329"/>
      <c r="L618" s="329"/>
      <c r="M618" s="329"/>
      <c r="N618" s="329"/>
      <c r="O618" s="329"/>
      <c r="P618" s="331"/>
      <c r="Q618" s="332"/>
      <c r="R618" s="332"/>
      <c r="S618" s="331"/>
      <c r="T618" s="331"/>
      <c r="U618" s="333" t="s">
        <v>539</v>
      </c>
      <c r="V618" s="333">
        <v>15</v>
      </c>
      <c r="W618" s="333">
        <v>5</v>
      </c>
      <c r="X618" s="328">
        <v>0.7</v>
      </c>
      <c r="Y618" s="328">
        <v>0.7</v>
      </c>
      <c r="Z618" s="328">
        <v>0.7</v>
      </c>
      <c r="AA618" s="328">
        <v>1700</v>
      </c>
      <c r="AB618" s="328" t="s">
        <v>612</v>
      </c>
      <c r="AC618" s="328">
        <v>0.85</v>
      </c>
      <c r="AD618" s="156"/>
      <c r="AE618" s="334"/>
    </row>
    <row r="619" spans="1:31" ht="15" customHeight="1">
      <c r="A619" s="329"/>
      <c r="B619" s="329"/>
      <c r="C619" s="329"/>
      <c r="D619" s="329"/>
      <c r="E619" s="329"/>
      <c r="F619" s="330"/>
      <c r="G619" s="329"/>
      <c r="H619" s="329"/>
      <c r="I619" s="329"/>
      <c r="J619" s="329"/>
      <c r="K619" s="329"/>
      <c r="L619" s="329"/>
      <c r="M619" s="329"/>
      <c r="N619" s="329"/>
      <c r="O619" s="329"/>
      <c r="P619" s="331"/>
      <c r="Q619" s="332"/>
      <c r="R619" s="332"/>
      <c r="S619" s="331"/>
      <c r="T619" s="331"/>
      <c r="U619" s="333" t="s">
        <v>539</v>
      </c>
      <c r="V619" s="333">
        <v>15</v>
      </c>
      <c r="W619" s="333">
        <v>5</v>
      </c>
      <c r="X619" s="328">
        <v>0.7</v>
      </c>
      <c r="Y619" s="328">
        <v>0.7</v>
      </c>
      <c r="Z619" s="328">
        <v>0.7</v>
      </c>
      <c r="AA619" s="328">
        <v>1700</v>
      </c>
      <c r="AB619" s="328" t="s">
        <v>612</v>
      </c>
      <c r="AC619" s="328">
        <v>0.85</v>
      </c>
      <c r="AD619" s="156"/>
      <c r="AE619" s="334"/>
    </row>
    <row r="620" spans="1:31" ht="15" customHeight="1">
      <c r="A620" s="329"/>
      <c r="B620" s="329"/>
      <c r="C620" s="329"/>
      <c r="D620" s="329"/>
      <c r="E620" s="329"/>
      <c r="F620" s="330"/>
      <c r="G620" s="329"/>
      <c r="H620" s="329"/>
      <c r="I620" s="329"/>
      <c r="J620" s="329"/>
      <c r="K620" s="329"/>
      <c r="L620" s="329"/>
      <c r="M620" s="329"/>
      <c r="N620" s="329"/>
      <c r="O620" s="329"/>
      <c r="P620" s="331"/>
      <c r="Q620" s="332"/>
      <c r="R620" s="332"/>
      <c r="S620" s="331"/>
      <c r="T620" s="331"/>
      <c r="U620" s="333" t="s">
        <v>607</v>
      </c>
      <c r="V620" s="333">
        <v>15</v>
      </c>
      <c r="W620" s="333">
        <v>5</v>
      </c>
      <c r="X620" s="328">
        <v>0.7</v>
      </c>
      <c r="Y620" s="328">
        <v>0.7</v>
      </c>
      <c r="Z620" s="328">
        <v>0.7</v>
      </c>
      <c r="AA620" s="328">
        <v>1700</v>
      </c>
      <c r="AB620" s="328" t="s">
        <v>612</v>
      </c>
      <c r="AC620" s="328">
        <v>0.85</v>
      </c>
      <c r="AD620" s="156"/>
      <c r="AE620" s="334"/>
    </row>
    <row r="621" spans="1:31" ht="15" customHeight="1">
      <c r="A621" s="329"/>
      <c r="B621" s="329"/>
      <c r="C621" s="329"/>
      <c r="D621" s="329"/>
      <c r="E621" s="329"/>
      <c r="F621" s="330"/>
      <c r="G621" s="329"/>
      <c r="H621" s="329"/>
      <c r="I621" s="329"/>
      <c r="J621" s="329"/>
      <c r="K621" s="329"/>
      <c r="L621" s="329"/>
      <c r="M621" s="329"/>
      <c r="N621" s="329"/>
      <c r="O621" s="329"/>
      <c r="P621" s="331"/>
      <c r="Q621" s="332"/>
      <c r="R621" s="332"/>
      <c r="S621" s="331"/>
      <c r="T621" s="331"/>
      <c r="U621" s="333" t="s">
        <v>607</v>
      </c>
      <c r="V621" s="333">
        <v>15</v>
      </c>
      <c r="W621" s="333">
        <v>5</v>
      </c>
      <c r="X621" s="328">
        <v>0.7</v>
      </c>
      <c r="Y621" s="328">
        <v>0.7</v>
      </c>
      <c r="Z621" s="328">
        <v>0.7</v>
      </c>
      <c r="AA621" s="328">
        <v>1700</v>
      </c>
      <c r="AB621" s="328" t="s">
        <v>612</v>
      </c>
      <c r="AC621" s="328">
        <v>0.85</v>
      </c>
      <c r="AD621" s="156"/>
      <c r="AE621" s="334"/>
    </row>
    <row r="622" spans="1:31" ht="15" customHeight="1">
      <c r="A622" s="329"/>
      <c r="B622" s="329"/>
      <c r="C622" s="329"/>
      <c r="D622" s="329"/>
      <c r="E622" s="329"/>
      <c r="F622" s="330"/>
      <c r="G622" s="329"/>
      <c r="H622" s="329"/>
      <c r="I622" s="329"/>
      <c r="J622" s="329"/>
      <c r="K622" s="329"/>
      <c r="L622" s="329"/>
      <c r="M622" s="329"/>
      <c r="N622" s="329"/>
      <c r="O622" s="329"/>
      <c r="P622" s="331"/>
      <c r="Q622" s="332"/>
      <c r="R622" s="332"/>
      <c r="S622" s="331"/>
      <c r="T622" s="331"/>
      <c r="U622" s="333" t="s">
        <v>607</v>
      </c>
      <c r="V622" s="333">
        <v>15</v>
      </c>
      <c r="W622" s="333">
        <v>5</v>
      </c>
      <c r="X622" s="328">
        <v>0.7</v>
      </c>
      <c r="Y622" s="328">
        <v>0.7</v>
      </c>
      <c r="Z622" s="328">
        <v>0.7</v>
      </c>
      <c r="AA622" s="328">
        <v>1700</v>
      </c>
      <c r="AB622" s="328" t="s">
        <v>612</v>
      </c>
      <c r="AC622" s="328">
        <v>0.85</v>
      </c>
      <c r="AD622" s="156"/>
      <c r="AE622" s="334"/>
    </row>
    <row r="623" spans="1:31" ht="15" customHeight="1">
      <c r="A623" s="329"/>
      <c r="B623" s="329"/>
      <c r="C623" s="329"/>
      <c r="D623" s="329"/>
      <c r="E623" s="329"/>
      <c r="F623" s="330"/>
      <c r="G623" s="329"/>
      <c r="H623" s="329"/>
      <c r="I623" s="329"/>
      <c r="J623" s="329"/>
      <c r="K623" s="329"/>
      <c r="L623" s="329"/>
      <c r="M623" s="329"/>
      <c r="N623" s="329"/>
      <c r="O623" s="329"/>
      <c r="P623" s="331"/>
      <c r="Q623" s="332"/>
      <c r="R623" s="332"/>
      <c r="S623" s="331"/>
      <c r="T623" s="331"/>
      <c r="U623" s="333" t="s">
        <v>607</v>
      </c>
      <c r="V623" s="333">
        <v>15</v>
      </c>
      <c r="W623" s="333">
        <v>5</v>
      </c>
      <c r="X623" s="328">
        <v>0.7</v>
      </c>
      <c r="Y623" s="328">
        <v>0.7</v>
      </c>
      <c r="Z623" s="328">
        <v>0.7</v>
      </c>
      <c r="AA623" s="328">
        <v>1700</v>
      </c>
      <c r="AB623" s="328" t="s">
        <v>612</v>
      </c>
      <c r="AC623" s="328">
        <v>0.85</v>
      </c>
      <c r="AD623" s="156"/>
      <c r="AE623" s="334"/>
    </row>
    <row r="624" spans="1:31" ht="15" customHeight="1">
      <c r="A624" s="329"/>
      <c r="B624" s="329"/>
      <c r="C624" s="329"/>
      <c r="D624" s="329"/>
      <c r="E624" s="329"/>
      <c r="F624" s="330"/>
      <c r="G624" s="329"/>
      <c r="H624" s="329"/>
      <c r="I624" s="329"/>
      <c r="J624" s="329"/>
      <c r="K624" s="329"/>
      <c r="L624" s="329"/>
      <c r="M624" s="329"/>
      <c r="N624" s="329"/>
      <c r="O624" s="329"/>
      <c r="P624" s="331"/>
      <c r="Q624" s="332"/>
      <c r="R624" s="332"/>
      <c r="S624" s="331"/>
      <c r="T624" s="331"/>
      <c r="U624" s="333" t="s">
        <v>607</v>
      </c>
      <c r="V624" s="333">
        <v>15</v>
      </c>
      <c r="W624" s="333">
        <v>5</v>
      </c>
      <c r="X624" s="328">
        <v>0.7</v>
      </c>
      <c r="Y624" s="328">
        <v>0.7</v>
      </c>
      <c r="Z624" s="328">
        <v>0.7</v>
      </c>
      <c r="AA624" s="328">
        <v>1700</v>
      </c>
      <c r="AB624" s="328" t="s">
        <v>612</v>
      </c>
      <c r="AC624" s="328">
        <v>0.85</v>
      </c>
      <c r="AD624" s="156"/>
      <c r="AE624" s="334"/>
    </row>
    <row r="625" spans="1:31" ht="15" customHeight="1">
      <c r="A625" s="329"/>
      <c r="B625" s="329"/>
      <c r="C625" s="329"/>
      <c r="D625" s="329"/>
      <c r="E625" s="329"/>
      <c r="F625" s="330"/>
      <c r="G625" s="329"/>
      <c r="H625" s="329"/>
      <c r="I625" s="329"/>
      <c r="J625" s="329"/>
      <c r="K625" s="329"/>
      <c r="L625" s="329"/>
      <c r="M625" s="329"/>
      <c r="N625" s="329"/>
      <c r="O625" s="329"/>
      <c r="P625" s="331"/>
      <c r="Q625" s="332"/>
      <c r="R625" s="332"/>
      <c r="S625" s="331"/>
      <c r="T625" s="331"/>
      <c r="U625" s="333" t="s">
        <v>539</v>
      </c>
      <c r="V625" s="333">
        <v>15</v>
      </c>
      <c r="W625" s="333">
        <v>5</v>
      </c>
      <c r="X625" s="328">
        <v>0.7</v>
      </c>
      <c r="Y625" s="328">
        <v>0.7</v>
      </c>
      <c r="Z625" s="328">
        <v>0.7</v>
      </c>
      <c r="AA625" s="328">
        <v>1700</v>
      </c>
      <c r="AB625" s="328" t="s">
        <v>612</v>
      </c>
      <c r="AC625" s="328">
        <v>0.85</v>
      </c>
      <c r="AD625" s="156"/>
      <c r="AE625" s="334"/>
    </row>
    <row r="626" spans="1:31" ht="15" customHeight="1">
      <c r="A626" s="329"/>
      <c r="B626" s="329"/>
      <c r="C626" s="329"/>
      <c r="D626" s="329"/>
      <c r="E626" s="329"/>
      <c r="F626" s="330"/>
      <c r="G626" s="329"/>
      <c r="H626" s="329"/>
      <c r="I626" s="329"/>
      <c r="J626" s="329"/>
      <c r="K626" s="329"/>
      <c r="L626" s="329"/>
      <c r="M626" s="329"/>
      <c r="N626" s="329"/>
      <c r="O626" s="329"/>
      <c r="P626" s="331"/>
      <c r="Q626" s="332"/>
      <c r="R626" s="332"/>
      <c r="S626" s="331"/>
      <c r="T626" s="331"/>
      <c r="U626" s="333" t="s">
        <v>539</v>
      </c>
      <c r="V626" s="333">
        <v>15</v>
      </c>
      <c r="W626" s="333">
        <v>5</v>
      </c>
      <c r="X626" s="328">
        <v>0.7</v>
      </c>
      <c r="Y626" s="328">
        <v>0.7</v>
      </c>
      <c r="Z626" s="328">
        <v>0.7</v>
      </c>
      <c r="AA626" s="328">
        <v>1700</v>
      </c>
      <c r="AB626" s="328" t="s">
        <v>612</v>
      </c>
      <c r="AC626" s="328">
        <v>0.85</v>
      </c>
      <c r="AD626" s="156"/>
      <c r="AE626" s="334"/>
    </row>
    <row r="627" spans="1:31" ht="15" customHeight="1">
      <c r="A627" s="329"/>
      <c r="B627" s="329"/>
      <c r="C627" s="329"/>
      <c r="D627" s="329"/>
      <c r="E627" s="329"/>
      <c r="F627" s="330"/>
      <c r="G627" s="329"/>
      <c r="H627" s="329"/>
      <c r="I627" s="329"/>
      <c r="J627" s="329"/>
      <c r="K627" s="329"/>
      <c r="L627" s="329"/>
      <c r="M627" s="329"/>
      <c r="N627" s="329"/>
      <c r="O627" s="329"/>
      <c r="P627" s="331"/>
      <c r="Q627" s="332"/>
      <c r="R627" s="332"/>
      <c r="S627" s="331"/>
      <c r="T627" s="331"/>
      <c r="U627" s="333" t="s">
        <v>539</v>
      </c>
      <c r="V627" s="333">
        <v>15</v>
      </c>
      <c r="W627" s="333">
        <v>5</v>
      </c>
      <c r="X627" s="328">
        <v>0.7</v>
      </c>
      <c r="Y627" s="328">
        <v>0.7</v>
      </c>
      <c r="Z627" s="328">
        <v>0.7</v>
      </c>
      <c r="AA627" s="328">
        <v>1700</v>
      </c>
      <c r="AB627" s="328" t="s">
        <v>612</v>
      </c>
      <c r="AC627" s="328">
        <v>0.85</v>
      </c>
      <c r="AD627" s="156"/>
      <c r="AE627" s="334"/>
    </row>
    <row r="628" spans="1:31" ht="15" customHeight="1">
      <c r="A628" s="329"/>
      <c r="B628" s="329"/>
      <c r="C628" s="329"/>
      <c r="D628" s="329"/>
      <c r="E628" s="329"/>
      <c r="F628" s="330"/>
      <c r="G628" s="329"/>
      <c r="H628" s="329"/>
      <c r="I628" s="329"/>
      <c r="J628" s="329"/>
      <c r="K628" s="329"/>
      <c r="L628" s="329"/>
      <c r="M628" s="329"/>
      <c r="N628" s="329"/>
      <c r="O628" s="329"/>
      <c r="P628" s="331"/>
      <c r="Q628" s="332"/>
      <c r="R628" s="332"/>
      <c r="S628" s="331"/>
      <c r="T628" s="331"/>
      <c r="U628" s="333" t="s">
        <v>539</v>
      </c>
      <c r="V628" s="333">
        <v>15</v>
      </c>
      <c r="W628" s="333">
        <v>5</v>
      </c>
      <c r="X628" s="328">
        <v>0.7</v>
      </c>
      <c r="Y628" s="328">
        <v>0.7</v>
      </c>
      <c r="Z628" s="328">
        <v>0.7</v>
      </c>
      <c r="AA628" s="328">
        <v>1700</v>
      </c>
      <c r="AB628" s="328" t="s">
        <v>612</v>
      </c>
      <c r="AC628" s="328">
        <v>0.85</v>
      </c>
      <c r="AD628" s="156"/>
      <c r="AE628" s="334"/>
    </row>
    <row r="629" spans="1:31" ht="15" customHeight="1">
      <c r="A629" s="329"/>
      <c r="B629" s="329"/>
      <c r="C629" s="329"/>
      <c r="D629" s="329"/>
      <c r="E629" s="329"/>
      <c r="F629" s="330"/>
      <c r="G629" s="329"/>
      <c r="H629" s="329"/>
      <c r="I629" s="329"/>
      <c r="J629" s="329"/>
      <c r="K629" s="329"/>
      <c r="L629" s="329"/>
      <c r="M629" s="329"/>
      <c r="N629" s="329"/>
      <c r="O629" s="329"/>
      <c r="P629" s="331"/>
      <c r="Q629" s="332"/>
      <c r="R629" s="332"/>
      <c r="S629" s="331"/>
      <c r="T629" s="331"/>
      <c r="U629" s="333" t="s">
        <v>539</v>
      </c>
      <c r="V629" s="333">
        <v>15</v>
      </c>
      <c r="W629" s="333">
        <v>5</v>
      </c>
      <c r="X629" s="328">
        <v>0.7</v>
      </c>
      <c r="Y629" s="328">
        <v>0.7</v>
      </c>
      <c r="Z629" s="328">
        <v>0.7</v>
      </c>
      <c r="AA629" s="328">
        <v>1700</v>
      </c>
      <c r="AB629" s="328" t="s">
        <v>612</v>
      </c>
      <c r="AC629" s="328">
        <v>0.85</v>
      </c>
      <c r="AD629" s="156"/>
      <c r="AE629" s="334"/>
    </row>
    <row r="630" spans="1:31" ht="15" customHeight="1">
      <c r="A630" s="329"/>
      <c r="B630" s="329"/>
      <c r="C630" s="329"/>
      <c r="D630" s="329"/>
      <c r="E630" s="329"/>
      <c r="F630" s="330"/>
      <c r="G630" s="329"/>
      <c r="H630" s="329"/>
      <c r="I630" s="329"/>
      <c r="J630" s="329"/>
      <c r="K630" s="329"/>
      <c r="L630" s="329"/>
      <c r="M630" s="329"/>
      <c r="N630" s="329"/>
      <c r="O630" s="329"/>
      <c r="P630" s="331"/>
      <c r="Q630" s="332"/>
      <c r="R630" s="332"/>
      <c r="S630" s="331"/>
      <c r="T630" s="331"/>
      <c r="U630" s="333" t="s">
        <v>553</v>
      </c>
      <c r="V630" s="333">
        <v>15</v>
      </c>
      <c r="W630" s="333">
        <v>5</v>
      </c>
      <c r="X630" s="328">
        <v>0.7</v>
      </c>
      <c r="Y630" s="328">
        <v>0.7</v>
      </c>
      <c r="Z630" s="328">
        <v>0.7</v>
      </c>
      <c r="AA630" s="328">
        <v>1700</v>
      </c>
      <c r="AB630" s="328" t="s">
        <v>612</v>
      </c>
      <c r="AC630" s="328">
        <v>0.85</v>
      </c>
      <c r="AD630" s="156"/>
      <c r="AE630" s="334"/>
    </row>
    <row r="631" spans="1:31" ht="15" customHeight="1">
      <c r="A631" s="329"/>
      <c r="B631" s="329"/>
      <c r="C631" s="329"/>
      <c r="D631" s="329"/>
      <c r="E631" s="329"/>
      <c r="F631" s="330"/>
      <c r="G631" s="329"/>
      <c r="H631" s="329"/>
      <c r="I631" s="329"/>
      <c r="J631" s="329"/>
      <c r="K631" s="329"/>
      <c r="L631" s="329"/>
      <c r="M631" s="329"/>
      <c r="N631" s="329"/>
      <c r="O631" s="329"/>
      <c r="P631" s="331"/>
      <c r="Q631" s="332"/>
      <c r="R631" s="332"/>
      <c r="S631" s="331"/>
      <c r="T631" s="331"/>
      <c r="U631" s="333" t="s">
        <v>553</v>
      </c>
      <c r="V631" s="333">
        <v>15</v>
      </c>
      <c r="W631" s="333">
        <v>5</v>
      </c>
      <c r="X631" s="328">
        <v>0.7</v>
      </c>
      <c r="Y631" s="328">
        <v>0.7</v>
      </c>
      <c r="Z631" s="328">
        <v>0.7</v>
      </c>
      <c r="AA631" s="328">
        <v>1700</v>
      </c>
      <c r="AB631" s="328" t="s">
        <v>612</v>
      </c>
      <c r="AC631" s="328">
        <v>0.85</v>
      </c>
      <c r="AD631" s="156"/>
      <c r="AE631" s="334"/>
    </row>
    <row r="632" spans="1:31" ht="15" customHeight="1">
      <c r="A632" s="329"/>
      <c r="B632" s="329"/>
      <c r="C632" s="329"/>
      <c r="D632" s="329"/>
      <c r="E632" s="329"/>
      <c r="F632" s="330"/>
      <c r="G632" s="329"/>
      <c r="H632" s="329"/>
      <c r="I632" s="329"/>
      <c r="J632" s="329"/>
      <c r="K632" s="329"/>
      <c r="L632" s="329"/>
      <c r="M632" s="329"/>
      <c r="N632" s="329"/>
      <c r="O632" s="329"/>
      <c r="P632" s="331"/>
      <c r="Q632" s="332"/>
      <c r="R632" s="332"/>
      <c r="S632" s="331"/>
      <c r="T632" s="331"/>
      <c r="U632" s="333" t="s">
        <v>539</v>
      </c>
      <c r="V632" s="333">
        <v>15</v>
      </c>
      <c r="W632" s="333">
        <v>5</v>
      </c>
      <c r="X632" s="328">
        <v>0.7</v>
      </c>
      <c r="Y632" s="328">
        <v>0.7</v>
      </c>
      <c r="Z632" s="328">
        <v>0.7</v>
      </c>
      <c r="AA632" s="328">
        <v>1700</v>
      </c>
      <c r="AB632" s="328" t="s">
        <v>612</v>
      </c>
      <c r="AC632" s="328">
        <v>0.85</v>
      </c>
      <c r="AD632" s="156"/>
      <c r="AE632" s="334"/>
    </row>
    <row r="633" spans="1:31" ht="15" customHeight="1">
      <c r="A633" s="329"/>
      <c r="B633" s="329"/>
      <c r="C633" s="329"/>
      <c r="D633" s="329"/>
      <c r="E633" s="329"/>
      <c r="F633" s="330"/>
      <c r="G633" s="329"/>
      <c r="H633" s="329"/>
      <c r="I633" s="329"/>
      <c r="J633" s="329"/>
      <c r="K633" s="329"/>
      <c r="L633" s="329"/>
      <c r="M633" s="329"/>
      <c r="N633" s="329"/>
      <c r="O633" s="329"/>
      <c r="P633" s="331"/>
      <c r="Q633" s="332"/>
      <c r="R633" s="332"/>
      <c r="S633" s="331"/>
      <c r="T633" s="331"/>
      <c r="U633" s="333" t="s">
        <v>539</v>
      </c>
      <c r="V633" s="333">
        <v>15</v>
      </c>
      <c r="W633" s="333">
        <v>5</v>
      </c>
      <c r="X633" s="328">
        <v>0.7</v>
      </c>
      <c r="Y633" s="328">
        <v>0.7</v>
      </c>
      <c r="Z633" s="328">
        <v>0.7</v>
      </c>
      <c r="AA633" s="328">
        <v>1700</v>
      </c>
      <c r="AB633" s="328" t="s">
        <v>612</v>
      </c>
      <c r="AC633" s="328">
        <v>0.85</v>
      </c>
      <c r="AD633" s="156"/>
      <c r="AE633" s="334"/>
    </row>
    <row r="634" spans="1:31" ht="15" customHeight="1">
      <c r="A634" s="329"/>
      <c r="B634" s="329"/>
      <c r="C634" s="329"/>
      <c r="D634" s="329"/>
      <c r="E634" s="329"/>
      <c r="F634" s="330"/>
      <c r="G634" s="329"/>
      <c r="H634" s="329"/>
      <c r="I634" s="329"/>
      <c r="J634" s="329"/>
      <c r="K634" s="329"/>
      <c r="L634" s="329"/>
      <c r="M634" s="329"/>
      <c r="N634" s="329"/>
      <c r="O634" s="329"/>
      <c r="P634" s="331"/>
      <c r="Q634" s="332"/>
      <c r="R634" s="332"/>
      <c r="S634" s="331"/>
      <c r="T634" s="331"/>
      <c r="U634" s="333" t="s">
        <v>539</v>
      </c>
      <c r="V634" s="333">
        <v>15</v>
      </c>
      <c r="W634" s="333">
        <v>5</v>
      </c>
      <c r="X634" s="328">
        <v>0.7</v>
      </c>
      <c r="Y634" s="328">
        <v>0.7</v>
      </c>
      <c r="Z634" s="328">
        <v>0.7</v>
      </c>
      <c r="AA634" s="328">
        <v>1700</v>
      </c>
      <c r="AB634" s="328" t="s">
        <v>612</v>
      </c>
      <c r="AC634" s="328">
        <v>0.85</v>
      </c>
      <c r="AD634" s="156"/>
      <c r="AE634" s="334"/>
    </row>
    <row r="635" spans="1:31" ht="15" customHeight="1">
      <c r="A635" s="329"/>
      <c r="B635" s="329"/>
      <c r="C635" s="329"/>
      <c r="D635" s="329"/>
      <c r="E635" s="329"/>
      <c r="F635" s="330"/>
      <c r="G635" s="329"/>
      <c r="H635" s="329"/>
      <c r="I635" s="329"/>
      <c r="J635" s="329"/>
      <c r="K635" s="329"/>
      <c r="L635" s="329"/>
      <c r="M635" s="329"/>
      <c r="N635" s="329"/>
      <c r="O635" s="329"/>
      <c r="P635" s="331"/>
      <c r="Q635" s="332"/>
      <c r="R635" s="332"/>
      <c r="S635" s="331"/>
      <c r="T635" s="331"/>
      <c r="U635" s="333" t="s">
        <v>539</v>
      </c>
      <c r="V635" s="333">
        <v>15</v>
      </c>
      <c r="W635" s="333">
        <v>5</v>
      </c>
      <c r="X635" s="328">
        <v>0.7</v>
      </c>
      <c r="Y635" s="328">
        <v>0.7</v>
      </c>
      <c r="Z635" s="328">
        <v>0.7</v>
      </c>
      <c r="AA635" s="328">
        <v>1700</v>
      </c>
      <c r="AB635" s="328" t="s">
        <v>612</v>
      </c>
      <c r="AC635" s="328">
        <v>0.85</v>
      </c>
      <c r="AD635" s="156"/>
      <c r="AE635" s="334"/>
    </row>
    <row r="636" spans="1:31" ht="15" customHeight="1">
      <c r="A636" s="329"/>
      <c r="B636" s="329"/>
      <c r="C636" s="329"/>
      <c r="D636" s="329"/>
      <c r="E636" s="329"/>
      <c r="F636" s="330"/>
      <c r="G636" s="329"/>
      <c r="H636" s="329"/>
      <c r="I636" s="329"/>
      <c r="J636" s="329"/>
      <c r="K636" s="329"/>
      <c r="L636" s="329"/>
      <c r="M636" s="329"/>
      <c r="N636" s="329"/>
      <c r="O636" s="329"/>
      <c r="P636" s="331"/>
      <c r="Q636" s="332"/>
      <c r="R636" s="332"/>
      <c r="S636" s="331"/>
      <c r="T636" s="331"/>
      <c r="U636" s="333" t="s">
        <v>539</v>
      </c>
      <c r="V636" s="333">
        <v>15</v>
      </c>
      <c r="W636" s="333">
        <v>5</v>
      </c>
      <c r="X636" s="328">
        <v>0.7</v>
      </c>
      <c r="Y636" s="328">
        <v>0.7</v>
      </c>
      <c r="Z636" s="328">
        <v>0.7</v>
      </c>
      <c r="AA636" s="328">
        <v>1700</v>
      </c>
      <c r="AB636" s="328" t="s">
        <v>612</v>
      </c>
      <c r="AC636" s="328">
        <v>0.85</v>
      </c>
      <c r="AD636" s="156"/>
      <c r="AE636" s="334"/>
    </row>
    <row r="637" spans="1:31" ht="15" customHeight="1">
      <c r="A637" s="329"/>
      <c r="B637" s="329"/>
      <c r="C637" s="329"/>
      <c r="D637" s="329"/>
      <c r="E637" s="329"/>
      <c r="F637" s="330"/>
      <c r="G637" s="329"/>
      <c r="H637" s="329"/>
      <c r="I637" s="329"/>
      <c r="J637" s="329"/>
      <c r="K637" s="329"/>
      <c r="L637" s="329"/>
      <c r="M637" s="329"/>
      <c r="N637" s="329"/>
      <c r="O637" s="329"/>
      <c r="P637" s="331"/>
      <c r="Q637" s="332"/>
      <c r="R637" s="332"/>
      <c r="S637" s="331"/>
      <c r="T637" s="331"/>
      <c r="U637" s="333" t="s">
        <v>553</v>
      </c>
      <c r="V637" s="333">
        <v>15</v>
      </c>
      <c r="W637" s="333">
        <v>5</v>
      </c>
      <c r="X637" s="328">
        <v>0.7</v>
      </c>
      <c r="Y637" s="328">
        <v>0.7</v>
      </c>
      <c r="Z637" s="328">
        <v>0.7</v>
      </c>
      <c r="AA637" s="328">
        <v>1700</v>
      </c>
      <c r="AB637" s="328" t="s">
        <v>612</v>
      </c>
      <c r="AC637" s="328">
        <v>0.85</v>
      </c>
      <c r="AD637" s="156"/>
      <c r="AE637" s="334"/>
    </row>
    <row r="638" spans="1:31" ht="15" customHeight="1">
      <c r="A638" s="329"/>
      <c r="B638" s="329"/>
      <c r="C638" s="329"/>
      <c r="D638" s="329"/>
      <c r="E638" s="329"/>
      <c r="F638" s="330"/>
      <c r="G638" s="329"/>
      <c r="H638" s="329"/>
      <c r="I638" s="329"/>
      <c r="J638" s="329"/>
      <c r="K638" s="329"/>
      <c r="L638" s="329"/>
      <c r="M638" s="329"/>
      <c r="N638" s="329"/>
      <c r="O638" s="329"/>
      <c r="P638" s="331"/>
      <c r="Q638" s="332"/>
      <c r="R638" s="332"/>
      <c r="S638" s="331"/>
      <c r="T638" s="331"/>
      <c r="U638" s="333" t="s">
        <v>539</v>
      </c>
      <c r="V638" s="333">
        <v>15</v>
      </c>
      <c r="W638" s="333">
        <v>5</v>
      </c>
      <c r="X638" s="328">
        <v>0.7</v>
      </c>
      <c r="Y638" s="328">
        <v>0.7</v>
      </c>
      <c r="Z638" s="328">
        <v>0.7</v>
      </c>
      <c r="AA638" s="328">
        <v>1700</v>
      </c>
      <c r="AB638" s="328" t="s">
        <v>612</v>
      </c>
      <c r="AC638" s="328">
        <v>0.85</v>
      </c>
      <c r="AD638" s="156"/>
      <c r="AE638" s="334"/>
    </row>
    <row r="639" spans="1:31" ht="15" customHeight="1">
      <c r="A639" s="329"/>
      <c r="B639" s="329"/>
      <c r="C639" s="329"/>
      <c r="D639" s="329"/>
      <c r="E639" s="329"/>
      <c r="F639" s="330"/>
      <c r="G639" s="329"/>
      <c r="H639" s="329"/>
      <c r="I639" s="329"/>
      <c r="J639" s="329"/>
      <c r="K639" s="329"/>
      <c r="L639" s="329"/>
      <c r="M639" s="329"/>
      <c r="N639" s="329"/>
      <c r="O639" s="329"/>
      <c r="P639" s="331"/>
      <c r="Q639" s="332"/>
      <c r="R639" s="332"/>
      <c r="S639" s="331"/>
      <c r="T639" s="331"/>
      <c r="U639" s="333" t="s">
        <v>553</v>
      </c>
      <c r="V639" s="333">
        <v>15</v>
      </c>
      <c r="W639" s="333">
        <v>5</v>
      </c>
      <c r="X639" s="328">
        <v>0.7</v>
      </c>
      <c r="Y639" s="328">
        <v>0.7</v>
      </c>
      <c r="Z639" s="328">
        <v>0.7</v>
      </c>
      <c r="AA639" s="328">
        <v>1700</v>
      </c>
      <c r="AB639" s="328" t="s">
        <v>612</v>
      </c>
      <c r="AC639" s="328">
        <v>0.85</v>
      </c>
      <c r="AD639" s="156"/>
      <c r="AE639" s="334"/>
    </row>
    <row r="640" spans="1:31" ht="15" customHeight="1">
      <c r="A640" s="329"/>
      <c r="B640" s="329"/>
      <c r="C640" s="329"/>
      <c r="D640" s="329"/>
      <c r="E640" s="329"/>
      <c r="F640" s="330"/>
      <c r="G640" s="329"/>
      <c r="H640" s="329"/>
      <c r="I640" s="329"/>
      <c r="J640" s="329"/>
      <c r="K640" s="329"/>
      <c r="L640" s="329"/>
      <c r="M640" s="329"/>
      <c r="N640" s="329"/>
      <c r="O640" s="329"/>
      <c r="P640" s="331"/>
      <c r="Q640" s="332"/>
      <c r="R640" s="332"/>
      <c r="S640" s="331"/>
      <c r="T640" s="331"/>
      <c r="U640" s="333" t="s">
        <v>539</v>
      </c>
      <c r="V640" s="333">
        <v>15</v>
      </c>
      <c r="W640" s="333">
        <v>5</v>
      </c>
      <c r="X640" s="328">
        <v>0.7</v>
      </c>
      <c r="Y640" s="328">
        <v>0.7</v>
      </c>
      <c r="Z640" s="328">
        <v>0.7</v>
      </c>
      <c r="AA640" s="328">
        <v>1700</v>
      </c>
      <c r="AB640" s="328" t="s">
        <v>612</v>
      </c>
      <c r="AC640" s="328">
        <v>0.85</v>
      </c>
      <c r="AD640" s="156"/>
      <c r="AE640" s="334"/>
    </row>
    <row r="641" spans="1:31" ht="15" customHeight="1">
      <c r="A641" s="329"/>
      <c r="B641" s="329"/>
      <c r="C641" s="329"/>
      <c r="D641" s="329"/>
      <c r="E641" s="329"/>
      <c r="F641" s="330"/>
      <c r="G641" s="329"/>
      <c r="H641" s="329"/>
      <c r="I641" s="329"/>
      <c r="J641" s="329"/>
      <c r="K641" s="329"/>
      <c r="L641" s="329"/>
      <c r="M641" s="329"/>
      <c r="N641" s="329"/>
      <c r="O641" s="329"/>
      <c r="P641" s="331"/>
      <c r="Q641" s="332"/>
      <c r="R641" s="332"/>
      <c r="S641" s="331"/>
      <c r="T641" s="331"/>
      <c r="U641" s="333" t="s">
        <v>553</v>
      </c>
      <c r="V641" s="333">
        <v>15</v>
      </c>
      <c r="W641" s="333">
        <v>5</v>
      </c>
      <c r="X641" s="328">
        <v>0.7</v>
      </c>
      <c r="Y641" s="328">
        <v>0.7</v>
      </c>
      <c r="Z641" s="328">
        <v>0.7</v>
      </c>
      <c r="AA641" s="328">
        <v>1700</v>
      </c>
      <c r="AB641" s="328" t="s">
        <v>612</v>
      </c>
      <c r="AC641" s="328">
        <v>0.85</v>
      </c>
      <c r="AD641" s="156"/>
      <c r="AE641" s="334"/>
    </row>
    <row r="642" spans="1:31" ht="15" customHeight="1">
      <c r="A642" s="329"/>
      <c r="B642" s="329"/>
      <c r="C642" s="329"/>
      <c r="D642" s="329"/>
      <c r="E642" s="329"/>
      <c r="F642" s="330"/>
      <c r="G642" s="329"/>
      <c r="H642" s="329"/>
      <c r="I642" s="329"/>
      <c r="J642" s="329"/>
      <c r="K642" s="329"/>
      <c r="L642" s="329"/>
      <c r="M642" s="329"/>
      <c r="N642" s="329"/>
      <c r="O642" s="329"/>
      <c r="P642" s="331"/>
      <c r="Q642" s="332"/>
      <c r="R642" s="332"/>
      <c r="S642" s="331"/>
      <c r="T642" s="331"/>
      <c r="U642" s="333" t="s">
        <v>539</v>
      </c>
      <c r="V642" s="333">
        <v>15</v>
      </c>
      <c r="W642" s="333">
        <v>5</v>
      </c>
      <c r="X642" s="328">
        <v>0.7</v>
      </c>
      <c r="Y642" s="328">
        <v>0.7</v>
      </c>
      <c r="Z642" s="328">
        <v>0.7</v>
      </c>
      <c r="AA642" s="328">
        <v>1700</v>
      </c>
      <c r="AB642" s="328" t="s">
        <v>612</v>
      </c>
      <c r="AC642" s="328">
        <v>0.85</v>
      </c>
      <c r="AD642" s="156"/>
      <c r="AE642" s="334"/>
    </row>
    <row r="643" spans="1:31" ht="15" customHeight="1">
      <c r="A643" s="329"/>
      <c r="B643" s="329"/>
      <c r="C643" s="329"/>
      <c r="D643" s="329"/>
      <c r="E643" s="329"/>
      <c r="F643" s="330"/>
      <c r="G643" s="329"/>
      <c r="H643" s="329"/>
      <c r="I643" s="329"/>
      <c r="J643" s="329"/>
      <c r="K643" s="329"/>
      <c r="L643" s="329"/>
      <c r="M643" s="329"/>
      <c r="N643" s="329"/>
      <c r="O643" s="329"/>
      <c r="P643" s="331"/>
      <c r="Q643" s="332"/>
      <c r="R643" s="332"/>
      <c r="S643" s="331"/>
      <c r="T643" s="331"/>
      <c r="U643" s="333" t="s">
        <v>539</v>
      </c>
      <c r="V643" s="333">
        <v>15</v>
      </c>
      <c r="W643" s="333">
        <v>5</v>
      </c>
      <c r="X643" s="328">
        <v>0.7</v>
      </c>
      <c r="Y643" s="328">
        <v>0.7</v>
      </c>
      <c r="Z643" s="328">
        <v>0.7</v>
      </c>
      <c r="AA643" s="328">
        <v>1700</v>
      </c>
      <c r="AB643" s="328" t="s">
        <v>612</v>
      </c>
      <c r="AC643" s="328">
        <v>0.85</v>
      </c>
      <c r="AD643" s="156"/>
      <c r="AE643" s="334"/>
    </row>
    <row r="644" spans="1:31" ht="15" customHeight="1">
      <c r="A644" s="329"/>
      <c r="B644" s="329"/>
      <c r="C644" s="329"/>
      <c r="D644" s="329"/>
      <c r="E644" s="329"/>
      <c r="F644" s="330"/>
      <c r="G644" s="329"/>
      <c r="H644" s="329"/>
      <c r="I644" s="329"/>
      <c r="J644" s="329"/>
      <c r="K644" s="329"/>
      <c r="L644" s="329"/>
      <c r="M644" s="329"/>
      <c r="N644" s="329"/>
      <c r="O644" s="329"/>
      <c r="P644" s="331"/>
      <c r="Q644" s="332"/>
      <c r="R644" s="332"/>
      <c r="S644" s="331"/>
      <c r="T644" s="331"/>
      <c r="U644" s="333" t="s">
        <v>539</v>
      </c>
      <c r="V644" s="333">
        <v>15</v>
      </c>
      <c r="W644" s="333">
        <v>5</v>
      </c>
      <c r="X644" s="328">
        <v>0.7</v>
      </c>
      <c r="Y644" s="328">
        <v>0.7</v>
      </c>
      <c r="Z644" s="328">
        <v>0.7</v>
      </c>
      <c r="AA644" s="328">
        <v>1700</v>
      </c>
      <c r="AB644" s="328" t="s">
        <v>612</v>
      </c>
      <c r="AC644" s="328">
        <v>0.85</v>
      </c>
      <c r="AD644" s="156"/>
      <c r="AE644" s="334"/>
    </row>
    <row r="645" spans="1:31" ht="15" customHeight="1">
      <c r="A645" s="329"/>
      <c r="B645" s="329"/>
      <c r="C645" s="329"/>
      <c r="D645" s="329"/>
      <c r="E645" s="329"/>
      <c r="F645" s="330"/>
      <c r="G645" s="329"/>
      <c r="H645" s="329"/>
      <c r="I645" s="329"/>
      <c r="J645" s="329"/>
      <c r="K645" s="329"/>
      <c r="L645" s="329"/>
      <c r="M645" s="329"/>
      <c r="N645" s="329"/>
      <c r="O645" s="329"/>
      <c r="P645" s="331"/>
      <c r="Q645" s="332"/>
      <c r="R645" s="332"/>
      <c r="S645" s="331"/>
      <c r="T645" s="331"/>
      <c r="U645" s="333" t="s">
        <v>553</v>
      </c>
      <c r="V645" s="333">
        <v>15</v>
      </c>
      <c r="W645" s="333">
        <v>5</v>
      </c>
      <c r="X645" s="328">
        <v>0.7</v>
      </c>
      <c r="Y645" s="328">
        <v>0.7</v>
      </c>
      <c r="Z645" s="328">
        <v>0.7</v>
      </c>
      <c r="AA645" s="328">
        <v>1700</v>
      </c>
      <c r="AB645" s="328" t="s">
        <v>612</v>
      </c>
      <c r="AC645" s="328">
        <v>0.85</v>
      </c>
      <c r="AD645" s="156"/>
      <c r="AE645" s="334"/>
    </row>
    <row r="646" spans="1:31" ht="15" customHeight="1">
      <c r="A646" s="329"/>
      <c r="B646" s="329"/>
      <c r="C646" s="329"/>
      <c r="D646" s="329"/>
      <c r="E646" s="329"/>
      <c r="F646" s="330"/>
      <c r="G646" s="329"/>
      <c r="H646" s="329"/>
      <c r="I646" s="329"/>
      <c r="J646" s="329"/>
      <c r="K646" s="329"/>
      <c r="L646" s="329"/>
      <c r="M646" s="329"/>
      <c r="N646" s="329"/>
      <c r="O646" s="329"/>
      <c r="P646" s="331"/>
      <c r="Q646" s="332"/>
      <c r="R646" s="332"/>
      <c r="S646" s="331"/>
      <c r="T646" s="331"/>
      <c r="U646" s="333" t="s">
        <v>539</v>
      </c>
      <c r="V646" s="333">
        <v>15</v>
      </c>
      <c r="W646" s="333">
        <v>5</v>
      </c>
      <c r="X646" s="328">
        <v>0.7</v>
      </c>
      <c r="Y646" s="328">
        <v>0.7</v>
      </c>
      <c r="Z646" s="328">
        <v>0.7</v>
      </c>
      <c r="AA646" s="328">
        <v>1700</v>
      </c>
      <c r="AB646" s="328" t="s">
        <v>612</v>
      </c>
      <c r="AC646" s="328">
        <v>0.85</v>
      </c>
      <c r="AD646" s="156"/>
      <c r="AE646" s="334"/>
    </row>
    <row r="647" spans="1:31" ht="15" customHeight="1">
      <c r="A647" s="329"/>
      <c r="B647" s="329"/>
      <c r="C647" s="329"/>
      <c r="D647" s="329"/>
      <c r="E647" s="329"/>
      <c r="F647" s="330"/>
      <c r="G647" s="329"/>
      <c r="H647" s="329"/>
      <c r="I647" s="329"/>
      <c r="J647" s="329"/>
      <c r="K647" s="329"/>
      <c r="L647" s="329"/>
      <c r="M647" s="329"/>
      <c r="N647" s="329"/>
      <c r="O647" s="329"/>
      <c r="P647" s="331"/>
      <c r="Q647" s="332"/>
      <c r="R647" s="332"/>
      <c r="S647" s="331"/>
      <c r="T647" s="331"/>
      <c r="U647" s="333" t="s">
        <v>539</v>
      </c>
      <c r="V647" s="333">
        <v>15</v>
      </c>
      <c r="W647" s="333">
        <v>5</v>
      </c>
      <c r="X647" s="328">
        <v>0.7</v>
      </c>
      <c r="Y647" s="328">
        <v>0.7</v>
      </c>
      <c r="Z647" s="328">
        <v>0.7</v>
      </c>
      <c r="AA647" s="328">
        <v>1700</v>
      </c>
      <c r="AB647" s="328" t="s">
        <v>612</v>
      </c>
      <c r="AC647" s="328">
        <v>0.85</v>
      </c>
      <c r="AD647" s="156"/>
      <c r="AE647" s="334"/>
    </row>
    <row r="648" spans="1:31" ht="15" customHeight="1">
      <c r="A648" s="329"/>
      <c r="B648" s="329"/>
      <c r="C648" s="329"/>
      <c r="D648" s="329"/>
      <c r="E648" s="329"/>
      <c r="F648" s="330"/>
      <c r="G648" s="329"/>
      <c r="H648" s="329"/>
      <c r="I648" s="329"/>
      <c r="J648" s="329"/>
      <c r="K648" s="329"/>
      <c r="L648" s="329"/>
      <c r="M648" s="329"/>
      <c r="N648" s="329"/>
      <c r="O648" s="329"/>
      <c r="P648" s="331"/>
      <c r="Q648" s="332"/>
      <c r="R648" s="332"/>
      <c r="S648" s="331"/>
      <c r="T648" s="331"/>
      <c r="U648" s="333" t="s">
        <v>539</v>
      </c>
      <c r="V648" s="333">
        <v>15</v>
      </c>
      <c r="W648" s="333">
        <v>5</v>
      </c>
      <c r="X648" s="328">
        <v>0.7</v>
      </c>
      <c r="Y648" s="328">
        <v>0.7</v>
      </c>
      <c r="Z648" s="328">
        <v>0.7</v>
      </c>
      <c r="AA648" s="328">
        <v>1700</v>
      </c>
      <c r="AB648" s="328" t="s">
        <v>612</v>
      </c>
      <c r="AC648" s="328">
        <v>0.85</v>
      </c>
      <c r="AD648" s="156"/>
      <c r="AE648" s="334"/>
    </row>
    <row r="649" spans="1:31" ht="15" customHeight="1">
      <c r="A649" s="329"/>
      <c r="B649" s="329"/>
      <c r="C649" s="329"/>
      <c r="D649" s="329"/>
      <c r="E649" s="329"/>
      <c r="F649" s="330"/>
      <c r="G649" s="329"/>
      <c r="H649" s="329"/>
      <c r="I649" s="329"/>
      <c r="J649" s="329"/>
      <c r="K649" s="329"/>
      <c r="L649" s="329"/>
      <c r="M649" s="329"/>
      <c r="N649" s="329"/>
      <c r="O649" s="329"/>
      <c r="P649" s="331"/>
      <c r="Q649" s="332"/>
      <c r="R649" s="332"/>
      <c r="S649" s="331"/>
      <c r="T649" s="331"/>
      <c r="U649" s="333" t="s">
        <v>607</v>
      </c>
      <c r="V649" s="333">
        <v>15</v>
      </c>
      <c r="W649" s="333">
        <v>5</v>
      </c>
      <c r="X649" s="328">
        <v>0.7</v>
      </c>
      <c r="Y649" s="328">
        <v>0.7</v>
      </c>
      <c r="Z649" s="328">
        <v>0.7</v>
      </c>
      <c r="AA649" s="328">
        <v>1700</v>
      </c>
      <c r="AB649" s="328" t="s">
        <v>612</v>
      </c>
      <c r="AC649" s="328">
        <v>0.85</v>
      </c>
      <c r="AD649" s="156"/>
      <c r="AE649" s="334"/>
    </row>
    <row r="650" spans="1:31" ht="15" customHeight="1">
      <c r="A650" s="329"/>
      <c r="B650" s="329"/>
      <c r="C650" s="329"/>
      <c r="D650" s="329"/>
      <c r="E650" s="329"/>
      <c r="F650" s="330"/>
      <c r="G650" s="329"/>
      <c r="H650" s="329"/>
      <c r="I650" s="329"/>
      <c r="J650" s="329"/>
      <c r="K650" s="329"/>
      <c r="L650" s="329"/>
      <c r="M650" s="329"/>
      <c r="N650" s="329"/>
      <c r="O650" s="329"/>
      <c r="P650" s="331"/>
      <c r="Q650" s="332"/>
      <c r="R650" s="332"/>
      <c r="S650" s="331"/>
      <c r="T650" s="331"/>
      <c r="U650" s="333" t="s">
        <v>607</v>
      </c>
      <c r="V650" s="333">
        <v>15</v>
      </c>
      <c r="W650" s="333">
        <v>5</v>
      </c>
      <c r="X650" s="328">
        <v>0.7</v>
      </c>
      <c r="Y650" s="328">
        <v>0.7</v>
      </c>
      <c r="Z650" s="328">
        <v>0.7</v>
      </c>
      <c r="AA650" s="328">
        <v>1700</v>
      </c>
      <c r="AB650" s="328" t="s">
        <v>612</v>
      </c>
      <c r="AC650" s="328">
        <v>0.85</v>
      </c>
      <c r="AD650" s="156"/>
      <c r="AE650" s="334"/>
    </row>
    <row r="651" spans="1:31" ht="15" customHeight="1">
      <c r="A651" s="329"/>
      <c r="B651" s="329"/>
      <c r="C651" s="329"/>
      <c r="D651" s="329"/>
      <c r="E651" s="329"/>
      <c r="F651" s="330"/>
      <c r="G651" s="329"/>
      <c r="H651" s="329"/>
      <c r="I651" s="329"/>
      <c r="J651" s="329"/>
      <c r="K651" s="329"/>
      <c r="L651" s="329"/>
      <c r="M651" s="329"/>
      <c r="N651" s="329"/>
      <c r="O651" s="329"/>
      <c r="P651" s="331"/>
      <c r="Q651" s="332"/>
      <c r="R651" s="332"/>
      <c r="S651" s="331"/>
      <c r="T651" s="331"/>
      <c r="U651" s="333" t="s">
        <v>607</v>
      </c>
      <c r="V651" s="333">
        <v>15</v>
      </c>
      <c r="W651" s="333">
        <v>5</v>
      </c>
      <c r="X651" s="328">
        <v>0.7</v>
      </c>
      <c r="Y651" s="328">
        <v>0.7</v>
      </c>
      <c r="Z651" s="328">
        <v>0.7</v>
      </c>
      <c r="AA651" s="328">
        <v>1700</v>
      </c>
      <c r="AB651" s="328" t="s">
        <v>612</v>
      </c>
      <c r="AC651" s="328">
        <v>0.85</v>
      </c>
      <c r="AD651" s="156"/>
      <c r="AE651" s="334"/>
    </row>
    <row r="652" spans="1:31" ht="15" customHeight="1">
      <c r="A652" s="329"/>
      <c r="B652" s="329"/>
      <c r="C652" s="329"/>
      <c r="D652" s="329"/>
      <c r="E652" s="329"/>
      <c r="F652" s="330"/>
      <c r="G652" s="329"/>
      <c r="H652" s="329"/>
      <c r="I652" s="329"/>
      <c r="J652" s="329"/>
      <c r="K652" s="329"/>
      <c r="L652" s="329"/>
      <c r="M652" s="329"/>
      <c r="N652" s="329"/>
      <c r="O652" s="329"/>
      <c r="P652" s="331"/>
      <c r="Q652" s="332"/>
      <c r="R652" s="332"/>
      <c r="S652" s="331"/>
      <c r="T652" s="331"/>
      <c r="U652" s="333" t="s">
        <v>607</v>
      </c>
      <c r="V652" s="333">
        <v>15</v>
      </c>
      <c r="W652" s="333">
        <v>5</v>
      </c>
      <c r="X652" s="328">
        <v>0.7</v>
      </c>
      <c r="Y652" s="328">
        <v>0.7</v>
      </c>
      <c r="Z652" s="328">
        <v>0.7</v>
      </c>
      <c r="AA652" s="328">
        <v>1700</v>
      </c>
      <c r="AB652" s="328" t="s">
        <v>612</v>
      </c>
      <c r="AC652" s="328">
        <v>0.85</v>
      </c>
      <c r="AD652" s="156"/>
      <c r="AE652" s="334"/>
    </row>
    <row r="653" spans="1:31" ht="15" customHeight="1">
      <c r="A653" s="329"/>
      <c r="B653" s="329"/>
      <c r="C653" s="329"/>
      <c r="D653" s="329"/>
      <c r="E653" s="329"/>
      <c r="F653" s="330"/>
      <c r="G653" s="329"/>
      <c r="H653" s="329"/>
      <c r="I653" s="329"/>
      <c r="J653" s="329"/>
      <c r="K653" s="329"/>
      <c r="L653" s="329"/>
      <c r="M653" s="329"/>
      <c r="N653" s="329"/>
      <c r="O653" s="329"/>
      <c r="P653" s="331"/>
      <c r="Q653" s="332"/>
      <c r="R653" s="332"/>
      <c r="S653" s="331"/>
      <c r="T653" s="331"/>
      <c r="U653" s="333" t="s">
        <v>607</v>
      </c>
      <c r="V653" s="333">
        <v>15</v>
      </c>
      <c r="W653" s="333">
        <v>5</v>
      </c>
      <c r="X653" s="328">
        <v>0.7</v>
      </c>
      <c r="Y653" s="328">
        <v>0.7</v>
      </c>
      <c r="Z653" s="328">
        <v>0.7</v>
      </c>
      <c r="AA653" s="328">
        <v>1700</v>
      </c>
      <c r="AB653" s="328" t="s">
        <v>612</v>
      </c>
      <c r="AC653" s="328">
        <v>0.85</v>
      </c>
      <c r="AD653" s="156"/>
      <c r="AE653" s="334"/>
    </row>
    <row r="654" spans="1:31" ht="15" customHeight="1">
      <c r="A654" s="329"/>
      <c r="B654" s="329"/>
      <c r="C654" s="329"/>
      <c r="D654" s="329"/>
      <c r="E654" s="329"/>
      <c r="F654" s="330"/>
      <c r="G654" s="329"/>
      <c r="H654" s="329"/>
      <c r="I654" s="329"/>
      <c r="J654" s="329"/>
      <c r="K654" s="329"/>
      <c r="L654" s="329"/>
      <c r="M654" s="329"/>
      <c r="N654" s="329"/>
      <c r="O654" s="329"/>
      <c r="P654" s="331"/>
      <c r="Q654" s="332"/>
      <c r="R654" s="332"/>
      <c r="S654" s="331"/>
      <c r="T654" s="331"/>
      <c r="U654" s="333" t="s">
        <v>539</v>
      </c>
      <c r="V654" s="333">
        <v>15</v>
      </c>
      <c r="W654" s="333">
        <v>5</v>
      </c>
      <c r="X654" s="328">
        <v>0.7</v>
      </c>
      <c r="Y654" s="328">
        <v>0.7</v>
      </c>
      <c r="Z654" s="328">
        <v>0.7</v>
      </c>
      <c r="AA654" s="328">
        <v>1700</v>
      </c>
      <c r="AB654" s="328" t="s">
        <v>612</v>
      </c>
      <c r="AC654" s="328">
        <v>0.85</v>
      </c>
      <c r="AD654" s="156"/>
      <c r="AE654" s="334"/>
    </row>
    <row r="655" spans="1:31" ht="15" customHeight="1">
      <c r="A655" s="329"/>
      <c r="B655" s="329"/>
      <c r="C655" s="329"/>
      <c r="D655" s="329"/>
      <c r="E655" s="329"/>
      <c r="F655" s="330"/>
      <c r="G655" s="329"/>
      <c r="H655" s="329"/>
      <c r="I655" s="329"/>
      <c r="J655" s="329"/>
      <c r="K655" s="329"/>
      <c r="L655" s="329"/>
      <c r="M655" s="329"/>
      <c r="N655" s="329"/>
      <c r="O655" s="329"/>
      <c r="P655" s="331"/>
      <c r="Q655" s="332"/>
      <c r="R655" s="332"/>
      <c r="S655" s="331"/>
      <c r="T655" s="331"/>
      <c r="U655" s="333" t="s">
        <v>553</v>
      </c>
      <c r="V655" s="333">
        <v>15</v>
      </c>
      <c r="W655" s="333">
        <v>5</v>
      </c>
      <c r="X655" s="328">
        <v>0.7</v>
      </c>
      <c r="Y655" s="328">
        <v>0.7</v>
      </c>
      <c r="Z655" s="328">
        <v>0.7</v>
      </c>
      <c r="AA655" s="328">
        <v>1700</v>
      </c>
      <c r="AB655" s="328" t="s">
        <v>612</v>
      </c>
      <c r="AC655" s="328">
        <v>0.85</v>
      </c>
      <c r="AD655" s="156"/>
      <c r="AE655" s="334"/>
    </row>
    <row r="656" spans="1:31" ht="15" customHeight="1">
      <c r="A656" s="329"/>
      <c r="B656" s="329"/>
      <c r="C656" s="329"/>
      <c r="D656" s="329"/>
      <c r="E656" s="329"/>
      <c r="F656" s="330"/>
      <c r="G656" s="329"/>
      <c r="H656" s="329"/>
      <c r="I656" s="329"/>
      <c r="J656" s="329"/>
      <c r="K656" s="329"/>
      <c r="L656" s="329"/>
      <c r="M656" s="329"/>
      <c r="N656" s="329"/>
      <c r="O656" s="329"/>
      <c r="P656" s="331"/>
      <c r="Q656" s="332"/>
      <c r="R656" s="332"/>
      <c r="S656" s="331"/>
      <c r="T656" s="331"/>
      <c r="U656" s="333" t="s">
        <v>539</v>
      </c>
      <c r="V656" s="333">
        <v>15</v>
      </c>
      <c r="W656" s="333">
        <v>5</v>
      </c>
      <c r="X656" s="328">
        <v>0.7</v>
      </c>
      <c r="Y656" s="328">
        <v>0.7</v>
      </c>
      <c r="Z656" s="328">
        <v>0.7</v>
      </c>
      <c r="AA656" s="328">
        <v>1700</v>
      </c>
      <c r="AB656" s="328" t="s">
        <v>612</v>
      </c>
      <c r="AC656" s="328">
        <v>0.85</v>
      </c>
      <c r="AD656" s="156"/>
      <c r="AE656" s="334"/>
    </row>
    <row r="657" spans="1:31" ht="15" customHeight="1">
      <c r="A657" s="329"/>
      <c r="B657" s="329"/>
      <c r="C657" s="329"/>
      <c r="D657" s="329"/>
      <c r="E657" s="329"/>
      <c r="F657" s="330"/>
      <c r="G657" s="329"/>
      <c r="H657" s="329"/>
      <c r="I657" s="329"/>
      <c r="J657" s="329"/>
      <c r="K657" s="329"/>
      <c r="L657" s="329"/>
      <c r="M657" s="329"/>
      <c r="N657" s="329"/>
      <c r="O657" s="329"/>
      <c r="P657" s="331"/>
      <c r="Q657" s="332"/>
      <c r="R657" s="332"/>
      <c r="S657" s="331"/>
      <c r="T657" s="331"/>
      <c r="U657" s="333" t="s">
        <v>553</v>
      </c>
      <c r="V657" s="333">
        <v>15</v>
      </c>
      <c r="W657" s="333">
        <v>5</v>
      </c>
      <c r="X657" s="328">
        <v>0.7</v>
      </c>
      <c r="Y657" s="328">
        <v>0.7</v>
      </c>
      <c r="Z657" s="328">
        <v>0.7</v>
      </c>
      <c r="AA657" s="328">
        <v>1700</v>
      </c>
      <c r="AB657" s="328" t="s">
        <v>612</v>
      </c>
      <c r="AC657" s="328">
        <v>0.85</v>
      </c>
      <c r="AD657" s="156"/>
      <c r="AE657" s="334"/>
    </row>
    <row r="658" spans="1:31" ht="15" customHeight="1">
      <c r="A658" s="329"/>
      <c r="B658" s="329"/>
      <c r="C658" s="329"/>
      <c r="D658" s="329"/>
      <c r="E658" s="329"/>
      <c r="F658" s="330"/>
      <c r="G658" s="329"/>
      <c r="H658" s="329"/>
      <c r="I658" s="329"/>
      <c r="J658" s="329"/>
      <c r="K658" s="329"/>
      <c r="L658" s="329"/>
      <c r="M658" s="329"/>
      <c r="N658" s="329"/>
      <c r="O658" s="329"/>
      <c r="P658" s="331"/>
      <c r="Q658" s="332"/>
      <c r="R658" s="332"/>
      <c r="S658" s="331"/>
      <c r="T658" s="331"/>
      <c r="U658" s="333" t="s">
        <v>539</v>
      </c>
      <c r="V658" s="333">
        <v>15</v>
      </c>
      <c r="W658" s="333">
        <v>5</v>
      </c>
      <c r="X658" s="328">
        <v>0.7</v>
      </c>
      <c r="Y658" s="328">
        <v>0.7</v>
      </c>
      <c r="Z658" s="328">
        <v>0.7</v>
      </c>
      <c r="AA658" s="328">
        <v>1700</v>
      </c>
      <c r="AB658" s="328" t="s">
        <v>612</v>
      </c>
      <c r="AC658" s="328">
        <v>0.85</v>
      </c>
      <c r="AD658" s="156"/>
      <c r="AE658" s="334"/>
    </row>
    <row r="659" spans="1:31" ht="15" customHeight="1">
      <c r="A659" s="329"/>
      <c r="B659" s="329"/>
      <c r="C659" s="329"/>
      <c r="D659" s="329"/>
      <c r="E659" s="329"/>
      <c r="F659" s="330"/>
      <c r="G659" s="329"/>
      <c r="H659" s="329"/>
      <c r="I659" s="329"/>
      <c r="J659" s="329"/>
      <c r="K659" s="329"/>
      <c r="L659" s="329"/>
      <c r="M659" s="329"/>
      <c r="N659" s="329"/>
      <c r="O659" s="329"/>
      <c r="P659" s="331"/>
      <c r="Q659" s="332"/>
      <c r="R659" s="332"/>
      <c r="S659" s="331"/>
      <c r="T659" s="331"/>
      <c r="U659" s="333" t="s">
        <v>539</v>
      </c>
      <c r="V659" s="333">
        <v>15</v>
      </c>
      <c r="W659" s="333">
        <v>5</v>
      </c>
      <c r="X659" s="328">
        <v>0.7</v>
      </c>
      <c r="Y659" s="328">
        <v>0.7</v>
      </c>
      <c r="Z659" s="328">
        <v>0.7</v>
      </c>
      <c r="AA659" s="328">
        <v>1700</v>
      </c>
      <c r="AB659" s="328" t="s">
        <v>612</v>
      </c>
      <c r="AC659" s="328">
        <v>0.85</v>
      </c>
      <c r="AD659" s="156"/>
      <c r="AE659" s="334"/>
    </row>
    <row r="660" spans="1:31" ht="15" customHeight="1">
      <c r="A660" s="329"/>
      <c r="B660" s="329"/>
      <c r="C660" s="329"/>
      <c r="D660" s="329"/>
      <c r="E660" s="329"/>
      <c r="F660" s="330"/>
      <c r="G660" s="329"/>
      <c r="H660" s="329"/>
      <c r="I660" s="329"/>
      <c r="J660" s="329"/>
      <c r="K660" s="329"/>
      <c r="L660" s="329"/>
      <c r="M660" s="329"/>
      <c r="N660" s="329"/>
      <c r="O660" s="329"/>
      <c r="P660" s="331"/>
      <c r="Q660" s="332"/>
      <c r="R660" s="332"/>
      <c r="S660" s="331"/>
      <c r="T660" s="331"/>
      <c r="U660" s="333" t="s">
        <v>539</v>
      </c>
      <c r="V660" s="333">
        <v>15</v>
      </c>
      <c r="W660" s="333">
        <v>5</v>
      </c>
      <c r="X660" s="328">
        <v>0.7</v>
      </c>
      <c r="Y660" s="328">
        <v>0.7</v>
      </c>
      <c r="Z660" s="328">
        <v>0.7</v>
      </c>
      <c r="AA660" s="328">
        <v>1700</v>
      </c>
      <c r="AB660" s="328" t="s">
        <v>612</v>
      </c>
      <c r="AC660" s="328">
        <v>0.85</v>
      </c>
      <c r="AD660" s="156"/>
      <c r="AE660" s="334"/>
    </row>
    <row r="661" spans="1:31" ht="15" customHeight="1">
      <c r="A661" s="329"/>
      <c r="B661" s="329"/>
      <c r="C661" s="329"/>
      <c r="D661" s="329"/>
      <c r="E661" s="329"/>
      <c r="F661" s="330"/>
      <c r="G661" s="329"/>
      <c r="H661" s="329"/>
      <c r="I661" s="329"/>
      <c r="J661" s="329"/>
      <c r="K661" s="329"/>
      <c r="L661" s="329"/>
      <c r="M661" s="329"/>
      <c r="N661" s="329"/>
      <c r="O661" s="329"/>
      <c r="P661" s="331"/>
      <c r="Q661" s="332"/>
      <c r="R661" s="332"/>
      <c r="S661" s="331"/>
      <c r="T661" s="331"/>
      <c r="U661" s="333" t="s">
        <v>553</v>
      </c>
      <c r="V661" s="333">
        <v>15</v>
      </c>
      <c r="W661" s="333">
        <v>5</v>
      </c>
      <c r="X661" s="328">
        <v>0.7</v>
      </c>
      <c r="Y661" s="328">
        <v>0.7</v>
      </c>
      <c r="Z661" s="328">
        <v>0.7</v>
      </c>
      <c r="AA661" s="328">
        <v>1700</v>
      </c>
      <c r="AB661" s="328" t="s">
        <v>612</v>
      </c>
      <c r="AC661" s="328">
        <v>0.85</v>
      </c>
      <c r="AD661" s="156"/>
      <c r="AE661" s="334"/>
    </row>
    <row r="662" spans="1:31" ht="15" customHeight="1">
      <c r="A662" s="329"/>
      <c r="B662" s="329"/>
      <c r="C662" s="329"/>
      <c r="D662" s="329"/>
      <c r="E662" s="329"/>
      <c r="F662" s="330"/>
      <c r="G662" s="329"/>
      <c r="H662" s="329"/>
      <c r="I662" s="329"/>
      <c r="J662" s="329"/>
      <c r="K662" s="329"/>
      <c r="L662" s="329"/>
      <c r="M662" s="329"/>
      <c r="N662" s="329"/>
      <c r="O662" s="329"/>
      <c r="P662" s="331"/>
      <c r="Q662" s="332"/>
      <c r="R662" s="332"/>
      <c r="S662" s="331"/>
      <c r="T662" s="331"/>
      <c r="U662" s="333" t="s">
        <v>553</v>
      </c>
      <c r="V662" s="333">
        <v>15</v>
      </c>
      <c r="W662" s="333">
        <v>5</v>
      </c>
      <c r="X662" s="328">
        <v>0.7</v>
      </c>
      <c r="Y662" s="328">
        <v>0.7</v>
      </c>
      <c r="Z662" s="328">
        <v>0.7</v>
      </c>
      <c r="AA662" s="328">
        <v>1700</v>
      </c>
      <c r="AB662" s="328" t="s">
        <v>612</v>
      </c>
      <c r="AC662" s="328">
        <v>0.85</v>
      </c>
      <c r="AD662" s="156"/>
      <c r="AE662" s="334"/>
    </row>
    <row r="663" spans="1:31" ht="15" customHeight="1">
      <c r="A663" s="329"/>
      <c r="B663" s="329"/>
      <c r="C663" s="329"/>
      <c r="D663" s="329"/>
      <c r="E663" s="329"/>
      <c r="F663" s="330"/>
      <c r="G663" s="329"/>
      <c r="H663" s="329"/>
      <c r="I663" s="329"/>
      <c r="J663" s="329"/>
      <c r="K663" s="329"/>
      <c r="L663" s="329"/>
      <c r="M663" s="329"/>
      <c r="N663" s="329"/>
      <c r="O663" s="329"/>
      <c r="P663" s="331"/>
      <c r="Q663" s="332"/>
      <c r="R663" s="332"/>
      <c r="S663" s="331"/>
      <c r="T663" s="331"/>
      <c r="U663" s="333" t="s">
        <v>539</v>
      </c>
      <c r="V663" s="333">
        <v>15</v>
      </c>
      <c r="W663" s="333">
        <v>5</v>
      </c>
      <c r="X663" s="328">
        <v>0.7</v>
      </c>
      <c r="Y663" s="328">
        <v>0.7</v>
      </c>
      <c r="Z663" s="328">
        <v>0.7</v>
      </c>
      <c r="AA663" s="328">
        <v>1700</v>
      </c>
      <c r="AB663" s="328" t="s">
        <v>612</v>
      </c>
      <c r="AC663" s="328">
        <v>0.85</v>
      </c>
      <c r="AD663" s="156"/>
      <c r="AE663" s="334"/>
    </row>
    <row r="664" spans="1:31" ht="15" customHeight="1">
      <c r="A664" s="329"/>
      <c r="B664" s="329"/>
      <c r="C664" s="329"/>
      <c r="D664" s="329"/>
      <c r="E664" s="329"/>
      <c r="F664" s="330"/>
      <c r="G664" s="329"/>
      <c r="H664" s="329"/>
      <c r="I664" s="329"/>
      <c r="J664" s="329"/>
      <c r="K664" s="329"/>
      <c r="L664" s="329"/>
      <c r="M664" s="329"/>
      <c r="N664" s="329"/>
      <c r="O664" s="329"/>
      <c r="P664" s="331"/>
      <c r="Q664" s="332"/>
      <c r="R664" s="332"/>
      <c r="S664" s="331"/>
      <c r="T664" s="331"/>
      <c r="U664" s="333" t="s">
        <v>539</v>
      </c>
      <c r="V664" s="333">
        <v>15</v>
      </c>
      <c r="W664" s="333">
        <v>5</v>
      </c>
      <c r="X664" s="328">
        <v>0.7</v>
      </c>
      <c r="Y664" s="328">
        <v>0.7</v>
      </c>
      <c r="Z664" s="328">
        <v>0.7</v>
      </c>
      <c r="AA664" s="328">
        <v>1700</v>
      </c>
      <c r="AB664" s="328" t="s">
        <v>612</v>
      </c>
      <c r="AC664" s="328">
        <v>0.85</v>
      </c>
      <c r="AD664" s="156"/>
      <c r="AE664" s="334"/>
    </row>
    <row r="665" spans="1:31" ht="15" customHeight="1">
      <c r="A665" s="329"/>
      <c r="B665" s="329"/>
      <c r="C665" s="329"/>
      <c r="D665" s="329"/>
      <c r="E665" s="329"/>
      <c r="F665" s="330"/>
      <c r="G665" s="329"/>
      <c r="H665" s="329"/>
      <c r="I665" s="329"/>
      <c r="J665" s="329"/>
      <c r="K665" s="329"/>
      <c r="L665" s="329"/>
      <c r="M665" s="329"/>
      <c r="N665" s="329"/>
      <c r="O665" s="329"/>
      <c r="P665" s="331"/>
      <c r="Q665" s="332"/>
      <c r="R665" s="332"/>
      <c r="S665" s="331"/>
      <c r="T665" s="331"/>
      <c r="U665" s="333" t="s">
        <v>539</v>
      </c>
      <c r="V665" s="333">
        <v>15</v>
      </c>
      <c r="W665" s="333">
        <v>5</v>
      </c>
      <c r="X665" s="328">
        <v>0.7</v>
      </c>
      <c r="Y665" s="328">
        <v>0.7</v>
      </c>
      <c r="Z665" s="328">
        <v>0.7</v>
      </c>
      <c r="AA665" s="328">
        <v>1700</v>
      </c>
      <c r="AB665" s="328" t="s">
        <v>612</v>
      </c>
      <c r="AC665" s="328">
        <v>0.85</v>
      </c>
      <c r="AD665" s="156"/>
      <c r="AE665" s="334"/>
    </row>
    <row r="666" spans="1:31" ht="15" customHeight="1">
      <c r="A666" s="329"/>
      <c r="B666" s="329"/>
      <c r="C666" s="329"/>
      <c r="D666" s="329"/>
      <c r="E666" s="329"/>
      <c r="F666" s="330"/>
      <c r="G666" s="329"/>
      <c r="H666" s="329"/>
      <c r="I666" s="329"/>
      <c r="J666" s="329"/>
      <c r="K666" s="329"/>
      <c r="L666" s="329"/>
      <c r="M666" s="329"/>
      <c r="N666" s="329"/>
      <c r="O666" s="329"/>
      <c r="P666" s="331"/>
      <c r="Q666" s="332"/>
      <c r="R666" s="332"/>
      <c r="S666" s="331"/>
      <c r="T666" s="331"/>
      <c r="U666" s="333" t="s">
        <v>539</v>
      </c>
      <c r="V666" s="333">
        <v>15</v>
      </c>
      <c r="W666" s="333">
        <v>5</v>
      </c>
      <c r="X666" s="328">
        <v>0.7</v>
      </c>
      <c r="Y666" s="328">
        <v>0.7</v>
      </c>
      <c r="Z666" s="328">
        <v>0.7</v>
      </c>
      <c r="AA666" s="328">
        <v>1700</v>
      </c>
      <c r="AB666" s="328" t="s">
        <v>612</v>
      </c>
      <c r="AC666" s="328">
        <v>0.85</v>
      </c>
      <c r="AD666" s="156"/>
      <c r="AE666" s="334"/>
    </row>
    <row r="667" spans="1:31" ht="15" customHeight="1">
      <c r="A667" s="329"/>
      <c r="B667" s="329"/>
      <c r="C667" s="329"/>
      <c r="D667" s="329"/>
      <c r="E667" s="329"/>
      <c r="F667" s="330"/>
      <c r="G667" s="329"/>
      <c r="H667" s="329"/>
      <c r="I667" s="329"/>
      <c r="J667" s="329"/>
      <c r="K667" s="329"/>
      <c r="L667" s="329"/>
      <c r="M667" s="329"/>
      <c r="N667" s="329"/>
      <c r="O667" s="329"/>
      <c r="P667" s="331"/>
      <c r="Q667" s="332"/>
      <c r="R667" s="332"/>
      <c r="S667" s="331"/>
      <c r="T667" s="331"/>
      <c r="U667" s="333" t="s">
        <v>539</v>
      </c>
      <c r="V667" s="333">
        <v>15</v>
      </c>
      <c r="W667" s="333">
        <v>5</v>
      </c>
      <c r="X667" s="328">
        <v>0.7</v>
      </c>
      <c r="Y667" s="328">
        <v>0.7</v>
      </c>
      <c r="Z667" s="328">
        <v>0.7</v>
      </c>
      <c r="AA667" s="328">
        <v>1700</v>
      </c>
      <c r="AB667" s="328" t="s">
        <v>612</v>
      </c>
      <c r="AC667" s="328">
        <v>0.85</v>
      </c>
      <c r="AD667" s="156"/>
      <c r="AE667" s="334"/>
    </row>
    <row r="668" spans="1:31" ht="15" customHeight="1">
      <c r="A668" s="329"/>
      <c r="B668" s="329"/>
      <c r="C668" s="329"/>
      <c r="D668" s="329"/>
      <c r="E668" s="329"/>
      <c r="F668" s="330"/>
      <c r="G668" s="329"/>
      <c r="H668" s="329"/>
      <c r="I668" s="329"/>
      <c r="J668" s="329"/>
      <c r="K668" s="329"/>
      <c r="L668" s="329"/>
      <c r="M668" s="329"/>
      <c r="N668" s="329"/>
      <c r="O668" s="329"/>
      <c r="P668" s="331"/>
      <c r="Q668" s="332"/>
      <c r="R668" s="332"/>
      <c r="S668" s="331"/>
      <c r="T668" s="331"/>
      <c r="U668" s="333" t="s">
        <v>539</v>
      </c>
      <c r="V668" s="333">
        <v>15</v>
      </c>
      <c r="W668" s="333">
        <v>5</v>
      </c>
      <c r="X668" s="328">
        <v>0.7</v>
      </c>
      <c r="Y668" s="328">
        <v>0.7</v>
      </c>
      <c r="Z668" s="328">
        <v>0.7</v>
      </c>
      <c r="AA668" s="328">
        <v>1700</v>
      </c>
      <c r="AB668" s="328" t="s">
        <v>612</v>
      </c>
      <c r="AC668" s="328">
        <v>0.85</v>
      </c>
      <c r="AD668" s="156"/>
      <c r="AE668" s="334"/>
    </row>
    <row r="669" spans="1:31" ht="15" customHeight="1">
      <c r="A669" s="329"/>
      <c r="B669" s="329"/>
      <c r="C669" s="329"/>
      <c r="D669" s="329"/>
      <c r="E669" s="329"/>
      <c r="F669" s="330"/>
      <c r="G669" s="329"/>
      <c r="H669" s="329"/>
      <c r="I669" s="329"/>
      <c r="J669" s="329"/>
      <c r="K669" s="329"/>
      <c r="L669" s="329"/>
      <c r="M669" s="329"/>
      <c r="N669" s="329"/>
      <c r="O669" s="329"/>
      <c r="P669" s="331"/>
      <c r="Q669" s="332"/>
      <c r="R669" s="332"/>
      <c r="S669" s="331"/>
      <c r="T669" s="331"/>
      <c r="U669" s="333" t="s">
        <v>553</v>
      </c>
      <c r="V669" s="333">
        <v>15</v>
      </c>
      <c r="W669" s="333">
        <v>5</v>
      </c>
      <c r="X669" s="328">
        <v>0.7</v>
      </c>
      <c r="Y669" s="328">
        <v>0.7</v>
      </c>
      <c r="Z669" s="328">
        <v>0.7</v>
      </c>
      <c r="AA669" s="328">
        <v>1700</v>
      </c>
      <c r="AB669" s="328" t="s">
        <v>612</v>
      </c>
      <c r="AC669" s="328">
        <v>0.85</v>
      </c>
      <c r="AD669" s="156"/>
      <c r="AE669" s="334"/>
    </row>
    <row r="670" spans="1:31" ht="15" customHeight="1">
      <c r="A670" s="329"/>
      <c r="B670" s="329"/>
      <c r="C670" s="329"/>
      <c r="D670" s="329"/>
      <c r="E670" s="329"/>
      <c r="F670" s="330"/>
      <c r="G670" s="329"/>
      <c r="H670" s="329"/>
      <c r="I670" s="329"/>
      <c r="J670" s="329"/>
      <c r="K670" s="329"/>
      <c r="L670" s="329"/>
      <c r="M670" s="329"/>
      <c r="N670" s="329"/>
      <c r="O670" s="329"/>
      <c r="P670" s="331"/>
      <c r="Q670" s="332"/>
      <c r="R670" s="332"/>
      <c r="S670" s="331"/>
      <c r="T670" s="331"/>
      <c r="U670" s="333" t="s">
        <v>539</v>
      </c>
      <c r="V670" s="333">
        <v>15</v>
      </c>
      <c r="W670" s="333">
        <v>5</v>
      </c>
      <c r="X670" s="328">
        <v>0.7</v>
      </c>
      <c r="Y670" s="328">
        <v>0.7</v>
      </c>
      <c r="Z670" s="328">
        <v>0.7</v>
      </c>
      <c r="AA670" s="328">
        <v>1700</v>
      </c>
      <c r="AB670" s="328" t="s">
        <v>612</v>
      </c>
      <c r="AC670" s="328">
        <v>0.85</v>
      </c>
      <c r="AD670" s="156"/>
      <c r="AE670" s="334"/>
    </row>
    <row r="671" spans="1:31" ht="15" customHeight="1">
      <c r="A671" s="329"/>
      <c r="B671" s="329"/>
      <c r="C671" s="329"/>
      <c r="D671" s="329"/>
      <c r="E671" s="329"/>
      <c r="F671" s="330"/>
      <c r="G671" s="329"/>
      <c r="H671" s="329"/>
      <c r="I671" s="329"/>
      <c r="J671" s="329"/>
      <c r="K671" s="329"/>
      <c r="L671" s="329"/>
      <c r="M671" s="329"/>
      <c r="N671" s="329"/>
      <c r="O671" s="329"/>
      <c r="P671" s="331"/>
      <c r="Q671" s="332"/>
      <c r="R671" s="332"/>
      <c r="S671" s="331"/>
      <c r="T671" s="331"/>
      <c r="U671" s="333" t="s">
        <v>539</v>
      </c>
      <c r="V671" s="333">
        <v>15</v>
      </c>
      <c r="W671" s="333">
        <v>5</v>
      </c>
      <c r="X671" s="328">
        <v>0.7</v>
      </c>
      <c r="Y671" s="328">
        <v>0.7</v>
      </c>
      <c r="Z671" s="328">
        <v>0.7</v>
      </c>
      <c r="AA671" s="328">
        <v>1700</v>
      </c>
      <c r="AB671" s="328" t="s">
        <v>612</v>
      </c>
      <c r="AC671" s="328">
        <v>0.85</v>
      </c>
      <c r="AD671" s="156"/>
      <c r="AE671" s="334"/>
    </row>
    <row r="672" spans="1:31" ht="15" customHeight="1">
      <c r="A672" s="329"/>
      <c r="B672" s="329"/>
      <c r="C672" s="329"/>
      <c r="D672" s="329"/>
      <c r="E672" s="329"/>
      <c r="F672" s="330"/>
      <c r="G672" s="329"/>
      <c r="H672" s="329"/>
      <c r="I672" s="329"/>
      <c r="J672" s="329"/>
      <c r="K672" s="329"/>
      <c r="L672" s="329"/>
      <c r="M672" s="329"/>
      <c r="N672" s="329"/>
      <c r="O672" s="329"/>
      <c r="P672" s="331"/>
      <c r="Q672" s="332"/>
      <c r="R672" s="332"/>
      <c r="S672" s="331"/>
      <c r="T672" s="331"/>
      <c r="U672" s="333" t="s">
        <v>539</v>
      </c>
      <c r="V672" s="333">
        <v>15</v>
      </c>
      <c r="W672" s="333">
        <v>5</v>
      </c>
      <c r="X672" s="328">
        <v>0.7</v>
      </c>
      <c r="Y672" s="328">
        <v>0.7</v>
      </c>
      <c r="Z672" s="328">
        <v>0.7</v>
      </c>
      <c r="AA672" s="328">
        <v>1700</v>
      </c>
      <c r="AB672" s="328" t="s">
        <v>612</v>
      </c>
      <c r="AC672" s="328">
        <v>0.85</v>
      </c>
      <c r="AD672" s="156"/>
      <c r="AE672" s="334"/>
    </row>
    <row r="673" spans="1:31" ht="15" customHeight="1">
      <c r="A673" s="329"/>
      <c r="B673" s="329"/>
      <c r="C673" s="329"/>
      <c r="D673" s="329"/>
      <c r="E673" s="329"/>
      <c r="F673" s="330"/>
      <c r="G673" s="329"/>
      <c r="H673" s="329"/>
      <c r="I673" s="329"/>
      <c r="J673" s="329"/>
      <c r="K673" s="329"/>
      <c r="L673" s="329"/>
      <c r="M673" s="329"/>
      <c r="N673" s="329"/>
      <c r="O673" s="329"/>
      <c r="P673" s="331"/>
      <c r="Q673" s="332"/>
      <c r="R673" s="332"/>
      <c r="S673" s="331"/>
      <c r="T673" s="331"/>
      <c r="U673" s="333" t="s">
        <v>539</v>
      </c>
      <c r="V673" s="333">
        <v>15</v>
      </c>
      <c r="W673" s="333">
        <v>5</v>
      </c>
      <c r="X673" s="328">
        <v>0.7</v>
      </c>
      <c r="Y673" s="328">
        <v>0.7</v>
      </c>
      <c r="Z673" s="328">
        <v>0.7</v>
      </c>
      <c r="AA673" s="328">
        <v>1700</v>
      </c>
      <c r="AB673" s="328" t="s">
        <v>612</v>
      </c>
      <c r="AC673" s="328">
        <v>0.85</v>
      </c>
      <c r="AD673" s="156"/>
      <c r="AE673" s="334"/>
    </row>
    <row r="674" spans="1:31" ht="15" customHeight="1">
      <c r="A674" s="329"/>
      <c r="B674" s="329"/>
      <c r="C674" s="329"/>
      <c r="D674" s="329"/>
      <c r="E674" s="329"/>
      <c r="F674" s="330"/>
      <c r="G674" s="329"/>
      <c r="H674" s="329"/>
      <c r="I674" s="329"/>
      <c r="J674" s="329"/>
      <c r="K674" s="329"/>
      <c r="L674" s="329"/>
      <c r="M674" s="329"/>
      <c r="N674" s="329"/>
      <c r="O674" s="329"/>
      <c r="P674" s="331"/>
      <c r="Q674" s="332"/>
      <c r="R674" s="332"/>
      <c r="S674" s="331"/>
      <c r="T674" s="331"/>
      <c r="U674" s="333" t="s">
        <v>539</v>
      </c>
      <c r="V674" s="333">
        <v>15</v>
      </c>
      <c r="W674" s="333">
        <v>5</v>
      </c>
      <c r="X674" s="328">
        <v>0.7</v>
      </c>
      <c r="Y674" s="328">
        <v>0.7</v>
      </c>
      <c r="Z674" s="328">
        <v>0.7</v>
      </c>
      <c r="AA674" s="328">
        <v>1700</v>
      </c>
      <c r="AB674" s="328" t="s">
        <v>612</v>
      </c>
      <c r="AC674" s="328">
        <v>0.85</v>
      </c>
      <c r="AD674" s="156"/>
      <c r="AE674" s="334"/>
    </row>
    <row r="675" spans="1:31" ht="15" customHeight="1">
      <c r="A675" s="329"/>
      <c r="B675" s="329"/>
      <c r="C675" s="329"/>
      <c r="D675" s="329"/>
      <c r="E675" s="329"/>
      <c r="F675" s="330"/>
      <c r="G675" s="329"/>
      <c r="H675" s="329"/>
      <c r="I675" s="329"/>
      <c r="J675" s="329"/>
      <c r="K675" s="329"/>
      <c r="L675" s="329"/>
      <c r="M675" s="329"/>
      <c r="N675" s="329"/>
      <c r="O675" s="329"/>
      <c r="P675" s="331"/>
      <c r="Q675" s="332"/>
      <c r="R675" s="332"/>
      <c r="S675" s="331"/>
      <c r="T675" s="331"/>
      <c r="U675" s="333" t="s">
        <v>539</v>
      </c>
      <c r="V675" s="333">
        <v>15</v>
      </c>
      <c r="W675" s="333">
        <v>5</v>
      </c>
      <c r="X675" s="328">
        <v>0.7</v>
      </c>
      <c r="Y675" s="328">
        <v>0.7</v>
      </c>
      <c r="Z675" s="328">
        <v>0.7</v>
      </c>
      <c r="AA675" s="328">
        <v>1700</v>
      </c>
      <c r="AB675" s="328" t="s">
        <v>612</v>
      </c>
      <c r="AC675" s="328">
        <v>0.85</v>
      </c>
      <c r="AD675" s="156"/>
      <c r="AE675" s="334"/>
    </row>
    <row r="676" spans="1:31" ht="15" customHeight="1">
      <c r="A676" s="329"/>
      <c r="B676" s="329"/>
      <c r="C676" s="329"/>
      <c r="D676" s="329"/>
      <c r="E676" s="329"/>
      <c r="F676" s="330"/>
      <c r="G676" s="329"/>
      <c r="H676" s="329"/>
      <c r="I676" s="329"/>
      <c r="J676" s="329"/>
      <c r="K676" s="329"/>
      <c r="L676" s="329"/>
      <c r="M676" s="329"/>
      <c r="N676" s="329"/>
      <c r="O676" s="329"/>
      <c r="P676" s="331"/>
      <c r="Q676" s="332"/>
      <c r="R676" s="332"/>
      <c r="S676" s="331"/>
      <c r="T676" s="331"/>
      <c r="U676" s="333" t="s">
        <v>539</v>
      </c>
      <c r="V676" s="333">
        <v>15</v>
      </c>
      <c r="W676" s="333">
        <v>5</v>
      </c>
      <c r="X676" s="328">
        <v>0.7</v>
      </c>
      <c r="Y676" s="328">
        <v>0.7</v>
      </c>
      <c r="Z676" s="328">
        <v>0.7</v>
      </c>
      <c r="AA676" s="328">
        <v>1700</v>
      </c>
      <c r="AB676" s="328" t="s">
        <v>612</v>
      </c>
      <c r="AC676" s="328">
        <v>0.85</v>
      </c>
      <c r="AD676" s="156"/>
      <c r="AE676" s="334"/>
    </row>
    <row r="677" spans="1:31" ht="15" customHeight="1">
      <c r="A677" s="329"/>
      <c r="B677" s="329"/>
      <c r="C677" s="329"/>
      <c r="D677" s="329"/>
      <c r="E677" s="329"/>
      <c r="F677" s="330"/>
      <c r="G677" s="329"/>
      <c r="H677" s="329"/>
      <c r="I677" s="329"/>
      <c r="J677" s="329"/>
      <c r="K677" s="329"/>
      <c r="L677" s="329"/>
      <c r="M677" s="329"/>
      <c r="N677" s="329"/>
      <c r="O677" s="329"/>
      <c r="P677" s="331"/>
      <c r="Q677" s="332"/>
      <c r="R677" s="332"/>
      <c r="S677" s="331"/>
      <c r="T677" s="331"/>
      <c r="U677" s="333" t="s">
        <v>539</v>
      </c>
      <c r="V677" s="333">
        <v>15</v>
      </c>
      <c r="W677" s="333">
        <v>5</v>
      </c>
      <c r="X677" s="328">
        <v>0.7</v>
      </c>
      <c r="Y677" s="328">
        <v>0.7</v>
      </c>
      <c r="Z677" s="328">
        <v>0.7</v>
      </c>
      <c r="AA677" s="328">
        <v>1700</v>
      </c>
      <c r="AB677" s="328" t="s">
        <v>612</v>
      </c>
      <c r="AC677" s="328">
        <v>0.85</v>
      </c>
      <c r="AD677" s="156"/>
      <c r="AE677" s="334"/>
    </row>
    <row r="678" spans="1:31" ht="15" customHeight="1">
      <c r="A678" s="329"/>
      <c r="B678" s="329"/>
      <c r="C678" s="329"/>
      <c r="D678" s="329"/>
      <c r="E678" s="329"/>
      <c r="F678" s="330"/>
      <c r="G678" s="329"/>
      <c r="H678" s="329"/>
      <c r="I678" s="329"/>
      <c r="J678" s="329"/>
      <c r="K678" s="329"/>
      <c r="L678" s="329"/>
      <c r="M678" s="329"/>
      <c r="N678" s="329"/>
      <c r="O678" s="329"/>
      <c r="P678" s="331"/>
      <c r="Q678" s="332"/>
      <c r="R678" s="332"/>
      <c r="S678" s="331"/>
      <c r="T678" s="331"/>
      <c r="U678" s="333" t="s">
        <v>539</v>
      </c>
      <c r="V678" s="333">
        <v>15</v>
      </c>
      <c r="W678" s="333">
        <v>5</v>
      </c>
      <c r="X678" s="328">
        <v>0.7</v>
      </c>
      <c r="Y678" s="328">
        <v>0.7</v>
      </c>
      <c r="Z678" s="328">
        <v>0.7</v>
      </c>
      <c r="AA678" s="328">
        <v>1700</v>
      </c>
      <c r="AB678" s="328" t="s">
        <v>612</v>
      </c>
      <c r="AC678" s="328">
        <v>0.85</v>
      </c>
      <c r="AD678" s="156"/>
      <c r="AE678" s="334"/>
    </row>
    <row r="679" spans="1:31" ht="15" customHeight="1">
      <c r="A679" s="329"/>
      <c r="B679" s="329"/>
      <c r="C679" s="329"/>
      <c r="D679" s="329"/>
      <c r="E679" s="329"/>
      <c r="F679" s="330"/>
      <c r="G679" s="329"/>
      <c r="H679" s="329"/>
      <c r="I679" s="329"/>
      <c r="J679" s="329"/>
      <c r="K679" s="329"/>
      <c r="L679" s="329"/>
      <c r="M679" s="329"/>
      <c r="N679" s="329"/>
      <c r="O679" s="329"/>
      <c r="P679" s="331"/>
      <c r="Q679" s="332"/>
      <c r="R679" s="332"/>
      <c r="S679" s="331"/>
      <c r="T679" s="331"/>
      <c r="U679" s="333" t="s">
        <v>539</v>
      </c>
      <c r="V679" s="333">
        <v>15</v>
      </c>
      <c r="W679" s="333">
        <v>5</v>
      </c>
      <c r="X679" s="328">
        <v>0.7</v>
      </c>
      <c r="Y679" s="328">
        <v>0.7</v>
      </c>
      <c r="Z679" s="328">
        <v>0.7</v>
      </c>
      <c r="AA679" s="328">
        <v>1700</v>
      </c>
      <c r="AB679" s="328" t="s">
        <v>612</v>
      </c>
      <c r="AC679" s="328">
        <v>0.85</v>
      </c>
      <c r="AD679" s="156"/>
      <c r="AE679" s="334"/>
    </row>
    <row r="680" spans="1:31" ht="15" customHeight="1">
      <c r="A680" s="329"/>
      <c r="B680" s="329"/>
      <c r="C680" s="329"/>
      <c r="D680" s="329"/>
      <c r="E680" s="329"/>
      <c r="F680" s="330"/>
      <c r="G680" s="329"/>
      <c r="H680" s="329"/>
      <c r="I680" s="329"/>
      <c r="J680" s="329"/>
      <c r="K680" s="329"/>
      <c r="L680" s="329"/>
      <c r="M680" s="329"/>
      <c r="N680" s="329"/>
      <c r="O680" s="329"/>
      <c r="P680" s="331"/>
      <c r="Q680" s="332"/>
      <c r="R680" s="332"/>
      <c r="S680" s="331"/>
      <c r="T680" s="331"/>
      <c r="U680" s="333" t="s">
        <v>539</v>
      </c>
      <c r="V680" s="333">
        <v>15</v>
      </c>
      <c r="W680" s="333">
        <v>5</v>
      </c>
      <c r="X680" s="328">
        <v>0.7</v>
      </c>
      <c r="Y680" s="328">
        <v>0.7</v>
      </c>
      <c r="Z680" s="328">
        <v>0.7</v>
      </c>
      <c r="AA680" s="328">
        <v>1700</v>
      </c>
      <c r="AB680" s="328" t="s">
        <v>612</v>
      </c>
      <c r="AC680" s="328">
        <v>0.85</v>
      </c>
      <c r="AD680" s="156"/>
      <c r="AE680" s="334"/>
    </row>
    <row r="681" spans="1:31" ht="15" customHeight="1">
      <c r="A681" s="329"/>
      <c r="B681" s="329"/>
      <c r="C681" s="329"/>
      <c r="D681" s="329"/>
      <c r="E681" s="329"/>
      <c r="F681" s="330"/>
      <c r="G681" s="329"/>
      <c r="H681" s="329"/>
      <c r="I681" s="329"/>
      <c r="J681" s="329"/>
      <c r="K681" s="329"/>
      <c r="L681" s="329"/>
      <c r="M681" s="329"/>
      <c r="N681" s="329"/>
      <c r="O681" s="329"/>
      <c r="P681" s="331"/>
      <c r="Q681" s="332"/>
      <c r="R681" s="332"/>
      <c r="S681" s="331"/>
      <c r="T681" s="331"/>
      <c r="U681" s="333" t="s">
        <v>539</v>
      </c>
      <c r="V681" s="333">
        <v>15</v>
      </c>
      <c r="W681" s="333">
        <v>5</v>
      </c>
      <c r="X681" s="328">
        <v>0.7</v>
      </c>
      <c r="Y681" s="328">
        <v>0.7</v>
      </c>
      <c r="Z681" s="328">
        <v>0.7</v>
      </c>
      <c r="AA681" s="328">
        <v>1700</v>
      </c>
      <c r="AB681" s="328" t="s">
        <v>612</v>
      </c>
      <c r="AC681" s="328">
        <v>0.85</v>
      </c>
      <c r="AD681" s="156"/>
      <c r="AE681" s="334"/>
    </row>
    <row r="682" spans="1:31" ht="15" customHeight="1">
      <c r="A682" s="329"/>
      <c r="B682" s="329"/>
      <c r="C682" s="329"/>
      <c r="D682" s="329"/>
      <c r="E682" s="329"/>
      <c r="F682" s="330"/>
      <c r="G682" s="329"/>
      <c r="H682" s="329"/>
      <c r="I682" s="329"/>
      <c r="J682" s="329"/>
      <c r="K682" s="329"/>
      <c r="L682" s="329"/>
      <c r="M682" s="329"/>
      <c r="N682" s="329"/>
      <c r="O682" s="329"/>
      <c r="P682" s="331"/>
      <c r="Q682" s="332"/>
      <c r="R682" s="332"/>
      <c r="S682" s="331"/>
      <c r="T682" s="331"/>
      <c r="U682" s="333" t="s">
        <v>539</v>
      </c>
      <c r="V682" s="333">
        <v>15</v>
      </c>
      <c r="W682" s="333">
        <v>5</v>
      </c>
      <c r="X682" s="328">
        <v>0.7</v>
      </c>
      <c r="Y682" s="328">
        <v>0.7</v>
      </c>
      <c r="Z682" s="328">
        <v>0.7</v>
      </c>
      <c r="AA682" s="328">
        <v>1700</v>
      </c>
      <c r="AB682" s="328" t="s">
        <v>612</v>
      </c>
      <c r="AC682" s="328">
        <v>0.85</v>
      </c>
      <c r="AD682" s="156"/>
      <c r="AE682" s="334"/>
    </row>
    <row r="683" spans="1:31" ht="15" customHeight="1">
      <c r="A683" s="329"/>
      <c r="B683" s="329"/>
      <c r="C683" s="329"/>
      <c r="D683" s="329"/>
      <c r="E683" s="329"/>
      <c r="F683" s="330"/>
      <c r="G683" s="329"/>
      <c r="H683" s="329"/>
      <c r="I683" s="329"/>
      <c r="J683" s="329"/>
      <c r="K683" s="329"/>
      <c r="L683" s="329"/>
      <c r="M683" s="329"/>
      <c r="N683" s="329"/>
      <c r="O683" s="329"/>
      <c r="P683" s="331"/>
      <c r="Q683" s="332"/>
      <c r="R683" s="332"/>
      <c r="S683" s="331"/>
      <c r="T683" s="331"/>
      <c r="U683" s="333" t="s">
        <v>539</v>
      </c>
      <c r="V683" s="333">
        <v>15</v>
      </c>
      <c r="W683" s="333">
        <v>5</v>
      </c>
      <c r="X683" s="328">
        <v>0.7</v>
      </c>
      <c r="Y683" s="328">
        <v>0.7</v>
      </c>
      <c r="Z683" s="328">
        <v>0.7</v>
      </c>
      <c r="AA683" s="328">
        <v>1700</v>
      </c>
      <c r="AB683" s="328" t="s">
        <v>612</v>
      </c>
      <c r="AC683" s="328">
        <v>0.85</v>
      </c>
      <c r="AD683" s="156"/>
      <c r="AE683" s="334"/>
    </row>
    <row r="684" spans="1:31" ht="15" customHeight="1">
      <c r="A684" s="329"/>
      <c r="B684" s="329"/>
      <c r="C684" s="329"/>
      <c r="D684" s="329"/>
      <c r="E684" s="329"/>
      <c r="F684" s="330"/>
      <c r="G684" s="329"/>
      <c r="H684" s="329"/>
      <c r="I684" s="329"/>
      <c r="J684" s="329"/>
      <c r="K684" s="329"/>
      <c r="L684" s="329"/>
      <c r="M684" s="329"/>
      <c r="N684" s="329"/>
      <c r="O684" s="329"/>
      <c r="P684" s="331"/>
      <c r="Q684" s="332"/>
      <c r="R684" s="332"/>
      <c r="S684" s="331"/>
      <c r="T684" s="331"/>
      <c r="U684" s="333" t="s">
        <v>539</v>
      </c>
      <c r="V684" s="333">
        <v>15</v>
      </c>
      <c r="W684" s="333">
        <v>5</v>
      </c>
      <c r="X684" s="328">
        <v>0.7</v>
      </c>
      <c r="Y684" s="328">
        <v>0.7</v>
      </c>
      <c r="Z684" s="328">
        <v>0.7</v>
      </c>
      <c r="AA684" s="328">
        <v>1700</v>
      </c>
      <c r="AB684" s="328" t="s">
        <v>612</v>
      </c>
      <c r="AC684" s="328">
        <v>0.85</v>
      </c>
      <c r="AD684" s="156"/>
      <c r="AE684" s="334"/>
    </row>
    <row r="685" spans="1:31" ht="15" customHeight="1">
      <c r="A685" s="329"/>
      <c r="B685" s="329"/>
      <c r="C685" s="329"/>
      <c r="D685" s="329"/>
      <c r="E685" s="329"/>
      <c r="F685" s="330"/>
      <c r="G685" s="329"/>
      <c r="H685" s="329"/>
      <c r="I685" s="329"/>
      <c r="J685" s="329"/>
      <c r="K685" s="329"/>
      <c r="L685" s="329"/>
      <c r="M685" s="329"/>
      <c r="N685" s="329"/>
      <c r="O685" s="329"/>
      <c r="P685" s="331"/>
      <c r="Q685" s="332"/>
      <c r="R685" s="332"/>
      <c r="S685" s="331"/>
      <c r="T685" s="331"/>
      <c r="U685" s="333" t="s">
        <v>539</v>
      </c>
      <c r="V685" s="333">
        <v>15</v>
      </c>
      <c r="W685" s="333">
        <v>5</v>
      </c>
      <c r="X685" s="328">
        <v>0.7</v>
      </c>
      <c r="Y685" s="328">
        <v>0.7</v>
      </c>
      <c r="Z685" s="328">
        <v>0.7</v>
      </c>
      <c r="AA685" s="328">
        <v>1700</v>
      </c>
      <c r="AB685" s="328" t="s">
        <v>612</v>
      </c>
      <c r="AC685" s="328">
        <v>0.85</v>
      </c>
      <c r="AD685" s="156"/>
      <c r="AE685" s="334"/>
    </row>
    <row r="686" spans="1:31" ht="15" customHeight="1">
      <c r="A686" s="329"/>
      <c r="B686" s="329"/>
      <c r="C686" s="329"/>
      <c r="D686" s="329"/>
      <c r="E686" s="329"/>
      <c r="F686" s="330"/>
      <c r="G686" s="329"/>
      <c r="H686" s="329"/>
      <c r="I686" s="329"/>
      <c r="J686" s="329"/>
      <c r="K686" s="329"/>
      <c r="L686" s="329"/>
      <c r="M686" s="329"/>
      <c r="N686" s="329"/>
      <c r="O686" s="329"/>
      <c r="P686" s="331"/>
      <c r="Q686" s="335"/>
      <c r="R686" s="335"/>
      <c r="S686" s="331"/>
      <c r="T686" s="331"/>
      <c r="U686" s="333" t="s">
        <v>553</v>
      </c>
      <c r="V686" s="333">
        <v>15</v>
      </c>
      <c r="W686" s="333">
        <v>5</v>
      </c>
      <c r="X686" s="328">
        <v>0.7</v>
      </c>
      <c r="Y686" s="328">
        <v>0.7</v>
      </c>
      <c r="Z686" s="328">
        <v>0.7</v>
      </c>
      <c r="AA686" s="328">
        <v>1700</v>
      </c>
      <c r="AB686" s="328" t="s">
        <v>612</v>
      </c>
      <c r="AC686" s="328">
        <v>0.85</v>
      </c>
      <c r="AD686" s="156"/>
      <c r="AE686" s="334"/>
    </row>
    <row r="687" spans="1:31" ht="15" customHeight="1">
      <c r="A687" s="329"/>
      <c r="B687" s="329"/>
      <c r="C687" s="329"/>
      <c r="D687" s="329"/>
      <c r="E687" s="329"/>
      <c r="F687" s="330"/>
      <c r="G687" s="329"/>
      <c r="H687" s="329"/>
      <c r="I687" s="329"/>
      <c r="J687" s="329"/>
      <c r="K687" s="329"/>
      <c r="L687" s="329"/>
      <c r="M687" s="329"/>
      <c r="N687" s="329"/>
      <c r="O687" s="329"/>
      <c r="P687" s="331"/>
      <c r="Q687" s="335"/>
      <c r="R687" s="335"/>
      <c r="S687" s="331"/>
      <c r="T687" s="331"/>
      <c r="U687" s="333" t="s">
        <v>539</v>
      </c>
      <c r="V687" s="333">
        <v>15</v>
      </c>
      <c r="W687" s="333">
        <v>5</v>
      </c>
      <c r="X687" s="328">
        <v>0.7</v>
      </c>
      <c r="Y687" s="328">
        <v>0.7</v>
      </c>
      <c r="Z687" s="328">
        <v>0.7</v>
      </c>
      <c r="AA687" s="328">
        <v>1700</v>
      </c>
      <c r="AB687" s="328" t="s">
        <v>612</v>
      </c>
      <c r="AC687" s="328">
        <v>0.85</v>
      </c>
      <c r="AD687" s="156"/>
      <c r="AE687" s="334"/>
    </row>
    <row r="688" spans="1:31" ht="15" customHeight="1">
      <c r="A688" s="329"/>
      <c r="B688" s="329"/>
      <c r="C688" s="329"/>
      <c r="D688" s="329"/>
      <c r="E688" s="329"/>
      <c r="F688" s="330"/>
      <c r="G688" s="329"/>
      <c r="H688" s="329"/>
      <c r="I688" s="329"/>
      <c r="J688" s="329"/>
      <c r="K688" s="329"/>
      <c r="L688" s="329"/>
      <c r="M688" s="329"/>
      <c r="N688" s="329"/>
      <c r="O688" s="329"/>
      <c r="P688" s="331"/>
      <c r="Q688" s="335"/>
      <c r="R688" s="335"/>
      <c r="S688" s="331"/>
      <c r="T688" s="331"/>
      <c r="U688" s="333" t="s">
        <v>539</v>
      </c>
      <c r="V688" s="333">
        <v>15</v>
      </c>
      <c r="W688" s="333">
        <v>5</v>
      </c>
      <c r="X688" s="328">
        <v>0.7</v>
      </c>
      <c r="Y688" s="328">
        <v>0.7</v>
      </c>
      <c r="Z688" s="328">
        <v>0.7</v>
      </c>
      <c r="AA688" s="328">
        <v>1700</v>
      </c>
      <c r="AB688" s="328" t="s">
        <v>612</v>
      </c>
      <c r="AC688" s="328">
        <v>0.85</v>
      </c>
      <c r="AD688" s="156"/>
      <c r="AE688" s="334"/>
    </row>
    <row r="689" spans="1:31" ht="15" customHeight="1">
      <c r="A689" s="329"/>
      <c r="B689" s="329"/>
      <c r="C689" s="329"/>
      <c r="D689" s="329"/>
      <c r="E689" s="329"/>
      <c r="F689" s="330"/>
      <c r="G689" s="329"/>
      <c r="H689" s="329"/>
      <c r="I689" s="329"/>
      <c r="J689" s="329"/>
      <c r="K689" s="329"/>
      <c r="L689" s="329"/>
      <c r="M689" s="329"/>
      <c r="N689" s="329"/>
      <c r="O689" s="329"/>
      <c r="P689" s="331"/>
      <c r="Q689" s="335"/>
      <c r="R689" s="335"/>
      <c r="S689" s="331"/>
      <c r="T689" s="331"/>
      <c r="U689" s="333" t="s">
        <v>539</v>
      </c>
      <c r="V689" s="333">
        <v>15</v>
      </c>
      <c r="W689" s="333">
        <v>5</v>
      </c>
      <c r="X689" s="328">
        <v>0.7</v>
      </c>
      <c r="Y689" s="328">
        <v>0.7</v>
      </c>
      <c r="Z689" s="328">
        <v>0.7</v>
      </c>
      <c r="AA689" s="328">
        <v>1700</v>
      </c>
      <c r="AB689" s="328" t="s">
        <v>612</v>
      </c>
      <c r="AC689" s="328">
        <v>0.85</v>
      </c>
      <c r="AD689" s="156"/>
      <c r="AE689" s="334"/>
    </row>
    <row r="690" spans="1:31" ht="15" customHeight="1">
      <c r="A690" s="329"/>
      <c r="B690" s="329"/>
      <c r="C690" s="329"/>
      <c r="D690" s="329"/>
      <c r="E690" s="329"/>
      <c r="F690" s="330"/>
      <c r="G690" s="329"/>
      <c r="H690" s="329"/>
      <c r="I690" s="329"/>
      <c r="J690" s="329"/>
      <c r="K690" s="329"/>
      <c r="L690" s="329"/>
      <c r="M690" s="329"/>
      <c r="N690" s="329"/>
      <c r="O690" s="329"/>
      <c r="P690" s="331"/>
      <c r="Q690" s="335"/>
      <c r="R690" s="335"/>
      <c r="S690" s="331"/>
      <c r="T690" s="331"/>
      <c r="U690" s="333" t="s">
        <v>539</v>
      </c>
      <c r="V690" s="333">
        <v>15</v>
      </c>
      <c r="W690" s="333">
        <v>5</v>
      </c>
      <c r="X690" s="328">
        <v>0.7</v>
      </c>
      <c r="Y690" s="328">
        <v>0.7</v>
      </c>
      <c r="Z690" s="328">
        <v>0.7</v>
      </c>
      <c r="AA690" s="328">
        <v>1700</v>
      </c>
      <c r="AB690" s="328" t="s">
        <v>612</v>
      </c>
      <c r="AC690" s="328">
        <v>0.85</v>
      </c>
      <c r="AD690" s="156"/>
      <c r="AE690" s="334"/>
    </row>
    <row r="691" spans="1:31" ht="15" customHeight="1">
      <c r="A691" s="329"/>
      <c r="B691" s="329"/>
      <c r="C691" s="329"/>
      <c r="D691" s="329"/>
      <c r="E691" s="329"/>
      <c r="F691" s="330"/>
      <c r="G691" s="329"/>
      <c r="H691" s="329"/>
      <c r="I691" s="329"/>
      <c r="J691" s="329"/>
      <c r="K691" s="329"/>
      <c r="L691" s="329"/>
      <c r="M691" s="329"/>
      <c r="N691" s="329"/>
      <c r="O691" s="329"/>
      <c r="P691" s="331"/>
      <c r="Q691" s="335"/>
      <c r="R691" s="335"/>
      <c r="S691" s="331"/>
      <c r="T691" s="331"/>
      <c r="U691" s="333" t="s">
        <v>539</v>
      </c>
      <c r="V691" s="333">
        <v>15</v>
      </c>
      <c r="W691" s="333">
        <v>5</v>
      </c>
      <c r="X691" s="328">
        <v>0.7</v>
      </c>
      <c r="Y691" s="328">
        <v>0.7</v>
      </c>
      <c r="Z691" s="328">
        <v>0.7</v>
      </c>
      <c r="AA691" s="328">
        <v>1700</v>
      </c>
      <c r="AB691" s="328" t="s">
        <v>612</v>
      </c>
      <c r="AC691" s="328">
        <v>0.85</v>
      </c>
      <c r="AD691" s="156"/>
      <c r="AE691" s="334"/>
    </row>
    <row r="692" spans="1:31" ht="15" customHeight="1">
      <c r="A692" s="329"/>
      <c r="B692" s="329"/>
      <c r="C692" s="329"/>
      <c r="D692" s="329"/>
      <c r="E692" s="329"/>
      <c r="F692" s="330"/>
      <c r="G692" s="329"/>
      <c r="H692" s="329"/>
      <c r="I692" s="329"/>
      <c r="J692" s="329"/>
      <c r="K692" s="329"/>
      <c r="L692" s="329"/>
      <c r="M692" s="329"/>
      <c r="N692" s="329"/>
      <c r="O692" s="329"/>
      <c r="P692" s="331"/>
      <c r="Q692" s="335"/>
      <c r="R692" s="335"/>
      <c r="S692" s="331"/>
      <c r="T692" s="331"/>
      <c r="U692" s="333" t="s">
        <v>539</v>
      </c>
      <c r="V692" s="333">
        <v>15</v>
      </c>
      <c r="W692" s="333">
        <v>5</v>
      </c>
      <c r="X692" s="328">
        <v>0.7</v>
      </c>
      <c r="Y692" s="328">
        <v>0.7</v>
      </c>
      <c r="Z692" s="328">
        <v>0.7</v>
      </c>
      <c r="AA692" s="328">
        <v>1700</v>
      </c>
      <c r="AB692" s="328" t="s">
        <v>612</v>
      </c>
      <c r="AC692" s="328">
        <v>0.85</v>
      </c>
      <c r="AD692" s="156"/>
      <c r="AE692" s="334"/>
    </row>
    <row r="693" spans="1:31" ht="15" customHeight="1">
      <c r="A693" s="329"/>
      <c r="B693" s="329"/>
      <c r="C693" s="329"/>
      <c r="D693" s="329"/>
      <c r="E693" s="329"/>
      <c r="F693" s="330"/>
      <c r="G693" s="329"/>
      <c r="H693" s="329"/>
      <c r="I693" s="329"/>
      <c r="J693" s="329"/>
      <c r="K693" s="329"/>
      <c r="L693" s="329"/>
      <c r="M693" s="329"/>
      <c r="N693" s="329"/>
      <c r="O693" s="329"/>
      <c r="P693" s="331"/>
      <c r="Q693" s="335"/>
      <c r="R693" s="335"/>
      <c r="S693" s="331"/>
      <c r="T693" s="331"/>
      <c r="U693" s="333" t="s">
        <v>539</v>
      </c>
      <c r="V693" s="333">
        <v>15</v>
      </c>
      <c r="W693" s="333">
        <v>5</v>
      </c>
      <c r="X693" s="328">
        <v>0.7</v>
      </c>
      <c r="Y693" s="328">
        <v>0.7</v>
      </c>
      <c r="Z693" s="328">
        <v>0.7</v>
      </c>
      <c r="AA693" s="328">
        <v>1700</v>
      </c>
      <c r="AB693" s="328" t="s">
        <v>612</v>
      </c>
      <c r="AC693" s="328">
        <v>0.85</v>
      </c>
      <c r="AD693" s="156"/>
      <c r="AE693" s="334"/>
    </row>
    <row r="694" spans="1:31" ht="15" customHeight="1">
      <c r="A694" s="329"/>
      <c r="B694" s="329"/>
      <c r="C694" s="329"/>
      <c r="D694" s="329"/>
      <c r="E694" s="329"/>
      <c r="F694" s="330"/>
      <c r="G694" s="329"/>
      <c r="H694" s="329"/>
      <c r="I694" s="329"/>
      <c r="J694" s="329"/>
      <c r="K694" s="329"/>
      <c r="L694" s="329"/>
      <c r="M694" s="329"/>
      <c r="N694" s="329"/>
      <c r="O694" s="329"/>
      <c r="P694" s="331"/>
      <c r="Q694" s="335"/>
      <c r="R694" s="335"/>
      <c r="S694" s="331"/>
      <c r="T694" s="331"/>
      <c r="U694" s="333" t="s">
        <v>539</v>
      </c>
      <c r="V694" s="333">
        <v>15</v>
      </c>
      <c r="W694" s="333">
        <v>5</v>
      </c>
      <c r="X694" s="328">
        <v>0.7</v>
      </c>
      <c r="Y694" s="328">
        <v>0.7</v>
      </c>
      <c r="Z694" s="328">
        <v>0.7</v>
      </c>
      <c r="AA694" s="328">
        <v>1700</v>
      </c>
      <c r="AB694" s="328" t="s">
        <v>612</v>
      </c>
      <c r="AC694" s="328">
        <v>0.85</v>
      </c>
      <c r="AD694" s="156"/>
      <c r="AE694" s="334"/>
    </row>
    <row r="695" spans="1:31" ht="15" customHeight="1">
      <c r="A695" s="329"/>
      <c r="B695" s="329"/>
      <c r="C695" s="329"/>
      <c r="D695" s="329"/>
      <c r="E695" s="329"/>
      <c r="F695" s="330"/>
      <c r="G695" s="329"/>
      <c r="H695" s="329"/>
      <c r="I695" s="329"/>
      <c r="J695" s="329"/>
      <c r="K695" s="329"/>
      <c r="L695" s="329"/>
      <c r="M695" s="329"/>
      <c r="N695" s="329"/>
      <c r="O695" s="329"/>
      <c r="P695" s="331"/>
      <c r="Q695" s="335"/>
      <c r="R695" s="335"/>
      <c r="S695" s="331"/>
      <c r="T695" s="331"/>
      <c r="U695" s="333" t="s">
        <v>539</v>
      </c>
      <c r="V695" s="333">
        <v>15</v>
      </c>
      <c r="W695" s="333">
        <v>5</v>
      </c>
      <c r="X695" s="328">
        <v>0.7</v>
      </c>
      <c r="Y695" s="328">
        <v>0.7</v>
      </c>
      <c r="Z695" s="328">
        <v>0.7</v>
      </c>
      <c r="AA695" s="328">
        <v>1700</v>
      </c>
      <c r="AB695" s="328" t="s">
        <v>612</v>
      </c>
      <c r="AC695" s="328">
        <v>0.85</v>
      </c>
      <c r="AD695" s="156"/>
      <c r="AE695" s="334"/>
    </row>
    <row r="696" spans="1:31" ht="15" customHeight="1">
      <c r="A696" s="329"/>
      <c r="B696" s="329"/>
      <c r="C696" s="329"/>
      <c r="D696" s="329"/>
      <c r="E696" s="329"/>
      <c r="F696" s="330"/>
      <c r="G696" s="329"/>
      <c r="H696" s="329"/>
      <c r="I696" s="329"/>
      <c r="J696" s="329"/>
      <c r="K696" s="329"/>
      <c r="L696" s="329"/>
      <c r="M696" s="329"/>
      <c r="N696" s="329"/>
      <c r="O696" s="329"/>
      <c r="P696" s="331"/>
      <c r="Q696" s="332"/>
      <c r="R696" s="332"/>
      <c r="S696" s="331"/>
      <c r="T696" s="331"/>
      <c r="U696" s="333" t="s">
        <v>539</v>
      </c>
      <c r="V696" s="333">
        <v>15</v>
      </c>
      <c r="W696" s="333">
        <v>5</v>
      </c>
      <c r="X696" s="328">
        <v>0.7</v>
      </c>
      <c r="Y696" s="328">
        <v>0.7</v>
      </c>
      <c r="Z696" s="328">
        <v>0.7</v>
      </c>
      <c r="AA696" s="328">
        <v>1700</v>
      </c>
      <c r="AB696" s="328" t="s">
        <v>612</v>
      </c>
      <c r="AC696" s="328">
        <v>0.85</v>
      </c>
      <c r="AD696" s="156"/>
      <c r="AE696" s="334"/>
    </row>
    <row r="697" spans="1:31" ht="15" customHeight="1">
      <c r="A697" s="329"/>
      <c r="B697" s="329"/>
      <c r="C697" s="329"/>
      <c r="D697" s="329"/>
      <c r="E697" s="329"/>
      <c r="F697" s="330"/>
      <c r="G697" s="329"/>
      <c r="H697" s="329"/>
      <c r="I697" s="329"/>
      <c r="J697" s="329"/>
      <c r="K697" s="329"/>
      <c r="L697" s="329"/>
      <c r="M697" s="329"/>
      <c r="N697" s="329"/>
      <c r="O697" s="329"/>
      <c r="P697" s="331"/>
      <c r="Q697" s="332"/>
      <c r="R697" s="332"/>
      <c r="S697" s="331"/>
      <c r="T697" s="331"/>
      <c r="U697" s="333" t="s">
        <v>539</v>
      </c>
      <c r="V697" s="333">
        <v>15</v>
      </c>
      <c r="W697" s="333">
        <v>5</v>
      </c>
      <c r="X697" s="328">
        <v>0.7</v>
      </c>
      <c r="Y697" s="328">
        <v>0.7</v>
      </c>
      <c r="Z697" s="328">
        <v>0.7</v>
      </c>
      <c r="AA697" s="328">
        <v>1700</v>
      </c>
      <c r="AB697" s="328" t="s">
        <v>612</v>
      </c>
      <c r="AC697" s="328">
        <v>0.85</v>
      </c>
      <c r="AD697" s="156"/>
      <c r="AE697" s="334"/>
    </row>
    <row r="698" spans="1:31" ht="15" customHeight="1">
      <c r="A698" s="329"/>
      <c r="B698" s="329"/>
      <c r="C698" s="329"/>
      <c r="D698" s="329"/>
      <c r="E698" s="329"/>
      <c r="F698" s="330"/>
      <c r="G698" s="329"/>
      <c r="H698" s="329"/>
      <c r="I698" s="329"/>
      <c r="J698" s="329"/>
      <c r="K698" s="329"/>
      <c r="L698" s="329"/>
      <c r="M698" s="329"/>
      <c r="N698" s="329"/>
      <c r="O698" s="329"/>
      <c r="P698" s="331"/>
      <c r="Q698" s="332"/>
      <c r="R698" s="332"/>
      <c r="S698" s="331"/>
      <c r="T698" s="331"/>
      <c r="U698" s="333" t="s">
        <v>553</v>
      </c>
      <c r="V698" s="333">
        <v>15</v>
      </c>
      <c r="W698" s="333">
        <v>5</v>
      </c>
      <c r="X698" s="328">
        <v>0.7</v>
      </c>
      <c r="Y698" s="328">
        <v>0.7</v>
      </c>
      <c r="Z698" s="328">
        <v>0.7</v>
      </c>
      <c r="AA698" s="328">
        <v>1700</v>
      </c>
      <c r="AB698" s="328" t="s">
        <v>612</v>
      </c>
      <c r="AC698" s="328">
        <v>0.85</v>
      </c>
      <c r="AD698" s="156"/>
      <c r="AE698" s="334"/>
    </row>
    <row r="699" spans="1:31" ht="15" customHeight="1">
      <c r="A699" s="329"/>
      <c r="B699" s="329"/>
      <c r="C699" s="329"/>
      <c r="D699" s="329"/>
      <c r="E699" s="329"/>
      <c r="F699" s="330"/>
      <c r="G699" s="329"/>
      <c r="H699" s="329"/>
      <c r="I699" s="329"/>
      <c r="J699" s="329"/>
      <c r="K699" s="329"/>
      <c r="L699" s="329"/>
      <c r="M699" s="329"/>
      <c r="N699" s="329"/>
      <c r="O699" s="329"/>
      <c r="P699" s="331"/>
      <c r="Q699" s="332"/>
      <c r="R699" s="332"/>
      <c r="S699" s="331"/>
      <c r="T699" s="331"/>
      <c r="U699" s="333" t="s">
        <v>539</v>
      </c>
      <c r="V699" s="333">
        <v>15</v>
      </c>
      <c r="W699" s="333">
        <v>5</v>
      </c>
      <c r="X699" s="328">
        <v>0.7</v>
      </c>
      <c r="Y699" s="328">
        <v>0.7</v>
      </c>
      <c r="Z699" s="328">
        <v>0.7</v>
      </c>
      <c r="AA699" s="328">
        <v>1700</v>
      </c>
      <c r="AB699" s="328" t="s">
        <v>612</v>
      </c>
      <c r="AC699" s="328">
        <v>0.85</v>
      </c>
      <c r="AD699" s="156"/>
      <c r="AE699" s="334"/>
    </row>
    <row r="700" spans="1:31" ht="15" customHeight="1">
      <c r="A700" s="329"/>
      <c r="B700" s="329"/>
      <c r="C700" s="329"/>
      <c r="D700" s="329"/>
      <c r="E700" s="329"/>
      <c r="F700" s="330"/>
      <c r="G700" s="329"/>
      <c r="H700" s="329"/>
      <c r="I700" s="329"/>
      <c r="J700" s="329"/>
      <c r="K700" s="329"/>
      <c r="L700" s="329"/>
      <c r="M700" s="329"/>
      <c r="N700" s="329"/>
      <c r="O700" s="329"/>
      <c r="P700" s="331"/>
      <c r="Q700" s="332"/>
      <c r="R700" s="332"/>
      <c r="S700" s="331"/>
      <c r="T700" s="331"/>
      <c r="U700" s="333" t="s">
        <v>539</v>
      </c>
      <c r="V700" s="333">
        <v>15</v>
      </c>
      <c r="W700" s="333">
        <v>5</v>
      </c>
      <c r="X700" s="328">
        <v>0.7</v>
      </c>
      <c r="Y700" s="328">
        <v>0.7</v>
      </c>
      <c r="Z700" s="328">
        <v>0.7</v>
      </c>
      <c r="AA700" s="328">
        <v>1700</v>
      </c>
      <c r="AB700" s="328" t="s">
        <v>612</v>
      </c>
      <c r="AC700" s="328">
        <v>0.85</v>
      </c>
      <c r="AD700" s="156"/>
      <c r="AE700" s="334"/>
    </row>
    <row r="701" spans="1:31" ht="15" customHeight="1">
      <c r="A701" s="329"/>
      <c r="B701" s="329"/>
      <c r="C701" s="329"/>
      <c r="D701" s="329"/>
      <c r="E701" s="329"/>
      <c r="F701" s="330"/>
      <c r="G701" s="329"/>
      <c r="H701" s="329"/>
      <c r="I701" s="329"/>
      <c r="J701" s="329"/>
      <c r="K701" s="329"/>
      <c r="L701" s="329"/>
      <c r="M701" s="329"/>
      <c r="N701" s="329"/>
      <c r="O701" s="329"/>
      <c r="P701" s="331"/>
      <c r="Q701" s="332"/>
      <c r="R701" s="332"/>
      <c r="S701" s="331"/>
      <c r="T701" s="331"/>
      <c r="U701" s="333" t="s">
        <v>539</v>
      </c>
      <c r="V701" s="333">
        <v>15</v>
      </c>
      <c r="W701" s="333">
        <v>5</v>
      </c>
      <c r="X701" s="328">
        <v>0.7</v>
      </c>
      <c r="Y701" s="328">
        <v>0.7</v>
      </c>
      <c r="Z701" s="328">
        <v>0.7</v>
      </c>
      <c r="AA701" s="328">
        <v>1700</v>
      </c>
      <c r="AB701" s="328" t="s">
        <v>612</v>
      </c>
      <c r="AC701" s="328">
        <v>0.85</v>
      </c>
      <c r="AD701" s="156"/>
      <c r="AE701" s="334"/>
    </row>
    <row r="702" spans="1:31" ht="15" customHeight="1">
      <c r="A702" s="329"/>
      <c r="B702" s="329"/>
      <c r="C702" s="329"/>
      <c r="D702" s="329"/>
      <c r="E702" s="329"/>
      <c r="F702" s="330"/>
      <c r="G702" s="329"/>
      <c r="H702" s="329"/>
      <c r="I702" s="329"/>
      <c r="J702" s="329"/>
      <c r="K702" s="329"/>
      <c r="L702" s="329"/>
      <c r="M702" s="329"/>
      <c r="N702" s="329"/>
      <c r="O702" s="329"/>
      <c r="P702" s="331"/>
      <c r="Q702" s="332"/>
      <c r="R702" s="332"/>
      <c r="S702" s="331"/>
      <c r="T702" s="331"/>
      <c r="U702" s="333" t="s">
        <v>539</v>
      </c>
      <c r="V702" s="333">
        <v>15</v>
      </c>
      <c r="W702" s="333">
        <v>5</v>
      </c>
      <c r="X702" s="328">
        <v>0.7</v>
      </c>
      <c r="Y702" s="328">
        <v>0.7</v>
      </c>
      <c r="Z702" s="328">
        <v>0.7</v>
      </c>
      <c r="AA702" s="328">
        <v>1700</v>
      </c>
      <c r="AB702" s="328" t="s">
        <v>612</v>
      </c>
      <c r="AC702" s="328">
        <v>0.85</v>
      </c>
      <c r="AD702" s="156"/>
      <c r="AE702" s="334"/>
    </row>
    <row r="703" spans="1:31" ht="15" customHeight="1">
      <c r="A703" s="329"/>
      <c r="B703" s="329"/>
      <c r="C703" s="329"/>
      <c r="D703" s="329"/>
      <c r="E703" s="329"/>
      <c r="F703" s="330"/>
      <c r="G703" s="329"/>
      <c r="H703" s="329"/>
      <c r="I703" s="329"/>
      <c r="J703" s="329"/>
      <c r="K703" s="329"/>
      <c r="L703" s="329"/>
      <c r="M703" s="329"/>
      <c r="N703" s="329"/>
      <c r="O703" s="329"/>
      <c r="P703" s="331"/>
      <c r="Q703" s="332"/>
      <c r="R703" s="332"/>
      <c r="S703" s="331"/>
      <c r="T703" s="331"/>
      <c r="U703" s="333" t="s">
        <v>539</v>
      </c>
      <c r="V703" s="333">
        <v>15</v>
      </c>
      <c r="W703" s="333">
        <v>5</v>
      </c>
      <c r="X703" s="328">
        <v>0.7</v>
      </c>
      <c r="Y703" s="328">
        <v>0.7</v>
      </c>
      <c r="Z703" s="328">
        <v>0.7</v>
      </c>
      <c r="AA703" s="328">
        <v>1700</v>
      </c>
      <c r="AB703" s="328" t="s">
        <v>612</v>
      </c>
      <c r="AC703" s="328">
        <v>0.85</v>
      </c>
      <c r="AD703" s="156"/>
      <c r="AE703" s="334"/>
    </row>
    <row r="704" spans="1:31" ht="15" customHeight="1">
      <c r="A704" s="329"/>
      <c r="B704" s="329"/>
      <c r="C704" s="329"/>
      <c r="D704" s="329"/>
      <c r="E704" s="329"/>
      <c r="F704" s="330"/>
      <c r="G704" s="329"/>
      <c r="H704" s="329"/>
      <c r="I704" s="329"/>
      <c r="J704" s="329"/>
      <c r="K704" s="329"/>
      <c r="L704" s="329"/>
      <c r="M704" s="329"/>
      <c r="N704" s="329"/>
      <c r="O704" s="329"/>
      <c r="P704" s="331"/>
      <c r="Q704" s="332"/>
      <c r="R704" s="332"/>
      <c r="S704" s="331"/>
      <c r="T704" s="331"/>
      <c r="U704" s="333" t="s">
        <v>539</v>
      </c>
      <c r="V704" s="333">
        <v>15</v>
      </c>
      <c r="W704" s="333">
        <v>5</v>
      </c>
      <c r="X704" s="328">
        <v>0.7</v>
      </c>
      <c r="Y704" s="328">
        <v>0.7</v>
      </c>
      <c r="Z704" s="328">
        <v>0.7</v>
      </c>
      <c r="AA704" s="328">
        <v>1700</v>
      </c>
      <c r="AB704" s="328" t="s">
        <v>612</v>
      </c>
      <c r="AC704" s="328">
        <v>0.85</v>
      </c>
      <c r="AD704" s="156"/>
      <c r="AE704" s="334"/>
    </row>
    <row r="705" spans="1:31" ht="15" customHeight="1">
      <c r="A705" s="329"/>
      <c r="B705" s="329"/>
      <c r="C705" s="329"/>
      <c r="D705" s="329"/>
      <c r="E705" s="329"/>
      <c r="F705" s="330"/>
      <c r="G705" s="329"/>
      <c r="H705" s="329"/>
      <c r="I705" s="329"/>
      <c r="J705" s="329"/>
      <c r="K705" s="329"/>
      <c r="L705" s="329"/>
      <c r="M705" s="329"/>
      <c r="N705" s="329"/>
      <c r="O705" s="329"/>
      <c r="P705" s="331"/>
      <c r="Q705" s="332"/>
      <c r="R705" s="332"/>
      <c r="S705" s="331"/>
      <c r="T705" s="331"/>
      <c r="U705" s="333" t="s">
        <v>539</v>
      </c>
      <c r="V705" s="333">
        <v>15</v>
      </c>
      <c r="W705" s="333">
        <v>5</v>
      </c>
      <c r="X705" s="328">
        <v>0.7</v>
      </c>
      <c r="Y705" s="328">
        <v>0.7</v>
      </c>
      <c r="Z705" s="328">
        <v>0.7</v>
      </c>
      <c r="AA705" s="328">
        <v>1700</v>
      </c>
      <c r="AB705" s="328" t="s">
        <v>612</v>
      </c>
      <c r="AC705" s="328">
        <v>0.85</v>
      </c>
      <c r="AD705" s="156"/>
      <c r="AE705" s="334"/>
    </row>
    <row r="706" spans="1:31" ht="15" customHeight="1">
      <c r="A706" s="329"/>
      <c r="B706" s="329"/>
      <c r="C706" s="329"/>
      <c r="D706" s="329"/>
      <c r="E706" s="329"/>
      <c r="F706" s="330"/>
      <c r="G706" s="329"/>
      <c r="H706" s="329"/>
      <c r="I706" s="329"/>
      <c r="J706" s="329"/>
      <c r="K706" s="329"/>
      <c r="L706" s="329"/>
      <c r="M706" s="329"/>
      <c r="N706" s="329"/>
      <c r="O706" s="329"/>
      <c r="P706" s="331"/>
      <c r="Q706" s="332"/>
      <c r="R706" s="332"/>
      <c r="S706" s="331"/>
      <c r="T706" s="331"/>
      <c r="U706" s="333" t="s">
        <v>539</v>
      </c>
      <c r="V706" s="333">
        <v>15</v>
      </c>
      <c r="W706" s="333">
        <v>5</v>
      </c>
      <c r="X706" s="328">
        <v>0.7</v>
      </c>
      <c r="Y706" s="328">
        <v>0.7</v>
      </c>
      <c r="Z706" s="328">
        <v>0.7</v>
      </c>
      <c r="AA706" s="328">
        <v>1700</v>
      </c>
      <c r="AB706" s="328" t="s">
        <v>612</v>
      </c>
      <c r="AC706" s="328">
        <v>0.85</v>
      </c>
      <c r="AD706" s="156"/>
      <c r="AE706" s="334"/>
    </row>
    <row r="707" spans="1:31" ht="15" customHeight="1">
      <c r="A707" s="329"/>
      <c r="B707" s="329"/>
      <c r="C707" s="329"/>
      <c r="D707" s="329"/>
      <c r="E707" s="329"/>
      <c r="F707" s="330"/>
      <c r="G707" s="329"/>
      <c r="H707" s="329"/>
      <c r="I707" s="329"/>
      <c r="J707" s="329"/>
      <c r="K707" s="329"/>
      <c r="L707" s="329"/>
      <c r="M707" s="329"/>
      <c r="N707" s="329"/>
      <c r="O707" s="329"/>
      <c r="P707" s="331"/>
      <c r="Q707" s="332"/>
      <c r="R707" s="332"/>
      <c r="S707" s="331"/>
      <c r="T707" s="331"/>
      <c r="U707" s="333" t="s">
        <v>553</v>
      </c>
      <c r="V707" s="333">
        <v>15</v>
      </c>
      <c r="W707" s="333">
        <v>5</v>
      </c>
      <c r="X707" s="328">
        <v>0.7</v>
      </c>
      <c r="Y707" s="328">
        <v>0.7</v>
      </c>
      <c r="Z707" s="328">
        <v>0.7</v>
      </c>
      <c r="AA707" s="328">
        <v>1700</v>
      </c>
      <c r="AB707" s="328" t="s">
        <v>612</v>
      </c>
      <c r="AC707" s="328">
        <v>0.85</v>
      </c>
      <c r="AD707" s="156"/>
      <c r="AE707" s="334"/>
    </row>
    <row r="708" spans="1:31" ht="15" customHeight="1">
      <c r="A708" s="329"/>
      <c r="B708" s="329"/>
      <c r="C708" s="329"/>
      <c r="D708" s="329"/>
      <c r="E708" s="329"/>
      <c r="F708" s="330"/>
      <c r="G708" s="329"/>
      <c r="H708" s="329"/>
      <c r="I708" s="329"/>
      <c r="J708" s="329"/>
      <c r="K708" s="329"/>
      <c r="L708" s="329"/>
      <c r="M708" s="329"/>
      <c r="N708" s="329"/>
      <c r="O708" s="329"/>
      <c r="P708" s="331"/>
      <c r="Q708" s="332"/>
      <c r="R708" s="332"/>
      <c r="S708" s="331"/>
      <c r="T708" s="331"/>
      <c r="U708" s="333" t="s">
        <v>539</v>
      </c>
      <c r="V708" s="333">
        <v>15</v>
      </c>
      <c r="W708" s="333">
        <v>5</v>
      </c>
      <c r="X708" s="328">
        <v>0.7</v>
      </c>
      <c r="Y708" s="328">
        <v>0.7</v>
      </c>
      <c r="Z708" s="328">
        <v>0.7</v>
      </c>
      <c r="AA708" s="328">
        <v>1700</v>
      </c>
      <c r="AB708" s="328" t="s">
        <v>612</v>
      </c>
      <c r="AC708" s="328">
        <v>0.85</v>
      </c>
      <c r="AD708" s="156"/>
      <c r="AE708" s="334"/>
    </row>
    <row r="709" spans="1:31" ht="15" customHeight="1">
      <c r="A709" s="329"/>
      <c r="B709" s="329"/>
      <c r="C709" s="329"/>
      <c r="D709" s="329"/>
      <c r="E709" s="329"/>
      <c r="F709" s="330"/>
      <c r="G709" s="329"/>
      <c r="H709" s="329"/>
      <c r="I709" s="329"/>
      <c r="J709" s="329"/>
      <c r="K709" s="329"/>
      <c r="L709" s="329"/>
      <c r="M709" s="329"/>
      <c r="N709" s="329"/>
      <c r="O709" s="329"/>
      <c r="P709" s="331"/>
      <c r="Q709" s="332"/>
      <c r="R709" s="332"/>
      <c r="S709" s="331"/>
      <c r="T709" s="331"/>
      <c r="U709" s="333" t="s">
        <v>539</v>
      </c>
      <c r="V709" s="333">
        <v>15</v>
      </c>
      <c r="W709" s="333">
        <v>5</v>
      </c>
      <c r="X709" s="328">
        <v>0.7</v>
      </c>
      <c r="Y709" s="328">
        <v>0.7</v>
      </c>
      <c r="Z709" s="328">
        <v>0.7</v>
      </c>
      <c r="AA709" s="328">
        <v>1700</v>
      </c>
      <c r="AB709" s="328" t="s">
        <v>612</v>
      </c>
      <c r="AC709" s="328">
        <v>0.85</v>
      </c>
      <c r="AD709" s="156"/>
      <c r="AE709" s="334"/>
    </row>
    <row r="710" spans="1:31" ht="15" customHeight="1">
      <c r="A710" s="329"/>
      <c r="B710" s="329"/>
      <c r="C710" s="329"/>
      <c r="D710" s="329"/>
      <c r="E710" s="329"/>
      <c r="F710" s="330"/>
      <c r="G710" s="329"/>
      <c r="H710" s="329"/>
      <c r="I710" s="329"/>
      <c r="J710" s="329"/>
      <c r="K710" s="329"/>
      <c r="L710" s="329"/>
      <c r="M710" s="329"/>
      <c r="N710" s="329"/>
      <c r="O710" s="329"/>
      <c r="P710" s="331"/>
      <c r="Q710" s="332"/>
      <c r="R710" s="332"/>
      <c r="S710" s="331"/>
      <c r="T710" s="331"/>
      <c r="U710" s="333" t="s">
        <v>553</v>
      </c>
      <c r="V710" s="333">
        <v>15</v>
      </c>
      <c r="W710" s="333">
        <v>5</v>
      </c>
      <c r="X710" s="328">
        <v>0.7</v>
      </c>
      <c r="Y710" s="328">
        <v>0.7</v>
      </c>
      <c r="Z710" s="328">
        <v>0.7</v>
      </c>
      <c r="AA710" s="328">
        <v>1700</v>
      </c>
      <c r="AB710" s="328" t="s">
        <v>612</v>
      </c>
      <c r="AC710" s="328">
        <v>0.85</v>
      </c>
      <c r="AD710" s="156"/>
      <c r="AE710" s="334"/>
    </row>
    <row r="711" spans="1:31" ht="15" customHeight="1">
      <c r="A711" s="329"/>
      <c r="B711" s="329"/>
      <c r="C711" s="329"/>
      <c r="D711" s="329"/>
      <c r="E711" s="329"/>
      <c r="F711" s="330"/>
      <c r="G711" s="329"/>
      <c r="H711" s="329"/>
      <c r="I711" s="329"/>
      <c r="J711" s="329"/>
      <c r="K711" s="329"/>
      <c r="L711" s="329"/>
      <c r="M711" s="329"/>
      <c r="N711" s="329"/>
      <c r="O711" s="329"/>
      <c r="P711" s="331"/>
      <c r="Q711" s="332"/>
      <c r="R711" s="332"/>
      <c r="S711" s="331"/>
      <c r="T711" s="331"/>
      <c r="U711" s="333" t="s">
        <v>539</v>
      </c>
      <c r="V711" s="333">
        <v>15</v>
      </c>
      <c r="W711" s="333">
        <v>5</v>
      </c>
      <c r="X711" s="328">
        <v>0.7</v>
      </c>
      <c r="Y711" s="328">
        <v>0.7</v>
      </c>
      <c r="Z711" s="328">
        <v>0.7</v>
      </c>
      <c r="AA711" s="328">
        <v>1700</v>
      </c>
      <c r="AB711" s="328" t="s">
        <v>612</v>
      </c>
      <c r="AC711" s="328">
        <v>0.85</v>
      </c>
      <c r="AD711" s="156"/>
      <c r="AE711" s="334"/>
    </row>
    <row r="712" spans="1:31" ht="15" customHeight="1">
      <c r="A712" s="329"/>
      <c r="B712" s="329"/>
      <c r="C712" s="329"/>
      <c r="D712" s="329"/>
      <c r="E712" s="329"/>
      <c r="F712" s="330"/>
      <c r="G712" s="329"/>
      <c r="H712" s="329"/>
      <c r="I712" s="329"/>
      <c r="J712" s="329"/>
      <c r="K712" s="329"/>
      <c r="L712" s="329"/>
      <c r="M712" s="329"/>
      <c r="N712" s="329"/>
      <c r="O712" s="329"/>
      <c r="P712" s="331"/>
      <c r="Q712" s="332"/>
      <c r="R712" s="332"/>
      <c r="S712" s="331"/>
      <c r="T712" s="331"/>
      <c r="U712" s="333" t="s">
        <v>539</v>
      </c>
      <c r="V712" s="333">
        <v>15</v>
      </c>
      <c r="W712" s="333">
        <v>5</v>
      </c>
      <c r="X712" s="328">
        <v>0.7</v>
      </c>
      <c r="Y712" s="328">
        <v>0.7</v>
      </c>
      <c r="Z712" s="328">
        <v>0.7</v>
      </c>
      <c r="AA712" s="328">
        <v>1700</v>
      </c>
      <c r="AB712" s="328" t="s">
        <v>612</v>
      </c>
      <c r="AC712" s="328">
        <v>0.85</v>
      </c>
      <c r="AD712" s="156"/>
      <c r="AE712" s="334"/>
    </row>
    <row r="713" spans="1:31" ht="15" customHeight="1">
      <c r="A713" s="329"/>
      <c r="B713" s="329"/>
      <c r="C713" s="329"/>
      <c r="D713" s="329"/>
      <c r="E713" s="329"/>
      <c r="F713" s="330"/>
      <c r="G713" s="329"/>
      <c r="H713" s="329"/>
      <c r="I713" s="329"/>
      <c r="J713" s="329"/>
      <c r="K713" s="329"/>
      <c r="L713" s="329"/>
      <c r="M713" s="329"/>
      <c r="N713" s="329"/>
      <c r="O713" s="329"/>
      <c r="P713" s="331"/>
      <c r="Q713" s="332"/>
      <c r="R713" s="332"/>
      <c r="S713" s="331"/>
      <c r="T713" s="331"/>
      <c r="U713" s="333" t="s">
        <v>539</v>
      </c>
      <c r="V713" s="333">
        <v>15</v>
      </c>
      <c r="W713" s="333">
        <v>5</v>
      </c>
      <c r="X713" s="328">
        <v>0.7</v>
      </c>
      <c r="Y713" s="328">
        <v>0.7</v>
      </c>
      <c r="Z713" s="328">
        <v>0.7</v>
      </c>
      <c r="AA713" s="328">
        <v>1700</v>
      </c>
      <c r="AB713" s="328" t="s">
        <v>612</v>
      </c>
      <c r="AC713" s="328">
        <v>0.85</v>
      </c>
      <c r="AD713" s="156"/>
      <c r="AE713" s="334"/>
    </row>
    <row r="714" spans="1:31" ht="15" customHeight="1">
      <c r="A714" s="329"/>
      <c r="B714" s="329"/>
      <c r="C714" s="329"/>
      <c r="D714" s="329"/>
      <c r="E714" s="329"/>
      <c r="F714" s="330"/>
      <c r="G714" s="329"/>
      <c r="H714" s="329"/>
      <c r="I714" s="329"/>
      <c r="J714" s="329"/>
      <c r="K714" s="329"/>
      <c r="L714" s="329"/>
      <c r="M714" s="329"/>
      <c r="N714" s="329"/>
      <c r="O714" s="329"/>
      <c r="P714" s="331"/>
      <c r="Q714" s="332"/>
      <c r="R714" s="332"/>
      <c r="S714" s="331"/>
      <c r="T714" s="331"/>
      <c r="U714" s="333" t="s">
        <v>553</v>
      </c>
      <c r="V714" s="333">
        <v>15</v>
      </c>
      <c r="W714" s="333">
        <v>5</v>
      </c>
      <c r="X714" s="328">
        <v>0.7</v>
      </c>
      <c r="Y714" s="328">
        <v>0.7</v>
      </c>
      <c r="Z714" s="328">
        <v>0.7</v>
      </c>
      <c r="AA714" s="328">
        <v>1700</v>
      </c>
      <c r="AB714" s="328" t="s">
        <v>612</v>
      </c>
      <c r="AC714" s="328">
        <v>0.85</v>
      </c>
      <c r="AD714" s="156"/>
      <c r="AE714" s="334"/>
    </row>
    <row r="715" spans="1:31" ht="15" customHeight="1">
      <c r="A715" s="329"/>
      <c r="B715" s="329"/>
      <c r="C715" s="329"/>
      <c r="D715" s="329"/>
      <c r="E715" s="329"/>
      <c r="F715" s="330"/>
      <c r="G715" s="329"/>
      <c r="H715" s="329"/>
      <c r="I715" s="329"/>
      <c r="J715" s="329"/>
      <c r="K715" s="329"/>
      <c r="L715" s="329"/>
      <c r="M715" s="329"/>
      <c r="N715" s="329"/>
      <c r="O715" s="329"/>
      <c r="P715" s="331"/>
      <c r="Q715" s="332"/>
      <c r="R715" s="332"/>
      <c r="S715" s="331"/>
      <c r="T715" s="331"/>
      <c r="U715" s="333" t="s">
        <v>539</v>
      </c>
      <c r="V715" s="333">
        <v>15</v>
      </c>
      <c r="W715" s="333">
        <v>5</v>
      </c>
      <c r="X715" s="328">
        <v>0.7</v>
      </c>
      <c r="Y715" s="328">
        <v>0.7</v>
      </c>
      <c r="Z715" s="328">
        <v>0.7</v>
      </c>
      <c r="AA715" s="328">
        <v>1700</v>
      </c>
      <c r="AB715" s="328" t="s">
        <v>612</v>
      </c>
      <c r="AC715" s="328">
        <v>0.85</v>
      </c>
      <c r="AD715" s="156"/>
      <c r="AE715" s="334"/>
    </row>
    <row r="716" spans="1:31" ht="15" customHeight="1">
      <c r="A716" s="329"/>
      <c r="B716" s="329"/>
      <c r="C716" s="329"/>
      <c r="D716" s="329"/>
      <c r="E716" s="329"/>
      <c r="F716" s="330"/>
      <c r="G716" s="329"/>
      <c r="H716" s="329"/>
      <c r="I716" s="329"/>
      <c r="J716" s="329"/>
      <c r="K716" s="329"/>
      <c r="L716" s="329"/>
      <c r="M716" s="329"/>
      <c r="N716" s="329"/>
      <c r="O716" s="329"/>
      <c r="P716" s="331"/>
      <c r="Q716" s="332"/>
      <c r="R716" s="332"/>
      <c r="S716" s="331"/>
      <c r="T716" s="331"/>
      <c r="U716" s="333" t="s">
        <v>553</v>
      </c>
      <c r="V716" s="333">
        <v>15</v>
      </c>
      <c r="W716" s="333">
        <v>5</v>
      </c>
      <c r="X716" s="328">
        <v>0.7</v>
      </c>
      <c r="Y716" s="328">
        <v>0.7</v>
      </c>
      <c r="Z716" s="328">
        <v>0.7</v>
      </c>
      <c r="AA716" s="328">
        <v>1700</v>
      </c>
      <c r="AB716" s="328" t="s">
        <v>612</v>
      </c>
      <c r="AC716" s="328">
        <v>0.85</v>
      </c>
      <c r="AD716" s="156"/>
      <c r="AE716" s="334"/>
    </row>
    <row r="717" spans="1:31" ht="15" customHeight="1">
      <c r="A717" s="329"/>
      <c r="B717" s="329"/>
      <c r="C717" s="329"/>
      <c r="D717" s="329"/>
      <c r="E717" s="329"/>
      <c r="F717" s="330"/>
      <c r="G717" s="329"/>
      <c r="H717" s="329"/>
      <c r="I717" s="329"/>
      <c r="J717" s="329"/>
      <c r="K717" s="329"/>
      <c r="L717" s="329"/>
      <c r="M717" s="329"/>
      <c r="N717" s="329"/>
      <c r="O717" s="329"/>
      <c r="P717" s="331"/>
      <c r="Q717" s="332"/>
      <c r="R717" s="332"/>
      <c r="S717" s="331"/>
      <c r="T717" s="331"/>
      <c r="U717" s="333" t="s">
        <v>539</v>
      </c>
      <c r="V717" s="333">
        <v>15</v>
      </c>
      <c r="W717" s="333">
        <v>5</v>
      </c>
      <c r="X717" s="328">
        <v>0.7</v>
      </c>
      <c r="Y717" s="328">
        <v>0.7</v>
      </c>
      <c r="Z717" s="328">
        <v>0.7</v>
      </c>
      <c r="AA717" s="328">
        <v>1700</v>
      </c>
      <c r="AB717" s="328" t="s">
        <v>612</v>
      </c>
      <c r="AC717" s="328">
        <v>0.85</v>
      </c>
      <c r="AD717" s="156"/>
      <c r="AE717" s="334"/>
    </row>
    <row r="718" spans="1:31" ht="15" customHeight="1">
      <c r="A718" s="329"/>
      <c r="B718" s="329"/>
      <c r="C718" s="329"/>
      <c r="D718" s="329"/>
      <c r="E718" s="329"/>
      <c r="F718" s="330"/>
      <c r="G718" s="329"/>
      <c r="H718" s="329"/>
      <c r="I718" s="329"/>
      <c r="J718" s="329"/>
      <c r="K718" s="329"/>
      <c r="L718" s="329"/>
      <c r="M718" s="329"/>
      <c r="N718" s="329"/>
      <c r="O718" s="329"/>
      <c r="P718" s="331"/>
      <c r="Q718" s="332"/>
      <c r="R718" s="332"/>
      <c r="S718" s="331"/>
      <c r="T718" s="331"/>
      <c r="U718" s="333" t="s">
        <v>539</v>
      </c>
      <c r="V718" s="333">
        <v>15</v>
      </c>
      <c r="W718" s="333">
        <v>5</v>
      </c>
      <c r="X718" s="328">
        <v>0.7</v>
      </c>
      <c r="Y718" s="328">
        <v>0.7</v>
      </c>
      <c r="Z718" s="328">
        <v>0.7</v>
      </c>
      <c r="AA718" s="328">
        <v>1700</v>
      </c>
      <c r="AB718" s="328" t="s">
        <v>612</v>
      </c>
      <c r="AC718" s="328">
        <v>0.85</v>
      </c>
      <c r="AD718" s="156"/>
      <c r="AE718" s="334"/>
    </row>
    <row r="719" spans="1:31" ht="15" customHeight="1">
      <c r="A719" s="329"/>
      <c r="B719" s="329"/>
      <c r="C719" s="329"/>
      <c r="D719" s="329"/>
      <c r="E719" s="329"/>
      <c r="F719" s="330"/>
      <c r="G719" s="329"/>
      <c r="H719" s="329"/>
      <c r="I719" s="329"/>
      <c r="J719" s="329"/>
      <c r="K719" s="329"/>
      <c r="L719" s="329"/>
      <c r="M719" s="329"/>
      <c r="N719" s="329"/>
      <c r="O719" s="329"/>
      <c r="P719" s="331"/>
      <c r="Q719" s="332"/>
      <c r="R719" s="332"/>
      <c r="S719" s="331"/>
      <c r="T719" s="331"/>
      <c r="U719" s="333" t="s">
        <v>539</v>
      </c>
      <c r="V719" s="333">
        <v>15</v>
      </c>
      <c r="W719" s="333">
        <v>5</v>
      </c>
      <c r="X719" s="328">
        <v>0.7</v>
      </c>
      <c r="Y719" s="328">
        <v>0.7</v>
      </c>
      <c r="Z719" s="328">
        <v>0.7</v>
      </c>
      <c r="AA719" s="328">
        <v>1700</v>
      </c>
      <c r="AB719" s="328" t="s">
        <v>612</v>
      </c>
      <c r="AC719" s="328">
        <v>0.85</v>
      </c>
      <c r="AD719" s="156"/>
      <c r="AE719" s="334"/>
    </row>
    <row r="720" spans="1:31" ht="15" customHeight="1">
      <c r="A720" s="329"/>
      <c r="B720" s="329"/>
      <c r="C720" s="329"/>
      <c r="D720" s="329"/>
      <c r="E720" s="329"/>
      <c r="F720" s="330"/>
      <c r="G720" s="329"/>
      <c r="H720" s="329"/>
      <c r="I720" s="329"/>
      <c r="J720" s="329"/>
      <c r="K720" s="329"/>
      <c r="L720" s="329"/>
      <c r="M720" s="329"/>
      <c r="N720" s="329"/>
      <c r="O720" s="329"/>
      <c r="P720" s="331"/>
      <c r="Q720" s="332"/>
      <c r="R720" s="332"/>
      <c r="S720" s="331"/>
      <c r="T720" s="331"/>
      <c r="U720" s="333" t="s">
        <v>539</v>
      </c>
      <c r="V720" s="333">
        <v>15</v>
      </c>
      <c r="W720" s="333">
        <v>5</v>
      </c>
      <c r="X720" s="328">
        <v>0.7</v>
      </c>
      <c r="Y720" s="328">
        <v>0.7</v>
      </c>
      <c r="Z720" s="328">
        <v>0.7</v>
      </c>
      <c r="AA720" s="328">
        <v>1700</v>
      </c>
      <c r="AB720" s="328" t="s">
        <v>612</v>
      </c>
      <c r="AC720" s="328">
        <v>0.85</v>
      </c>
      <c r="AD720" s="156"/>
      <c r="AE720" s="334"/>
    </row>
    <row r="721" spans="1:31" ht="15" customHeight="1">
      <c r="A721" s="329"/>
      <c r="B721" s="329"/>
      <c r="C721" s="329"/>
      <c r="D721" s="329"/>
      <c r="E721" s="329"/>
      <c r="F721" s="330"/>
      <c r="G721" s="329"/>
      <c r="H721" s="329"/>
      <c r="I721" s="329"/>
      <c r="J721" s="329"/>
      <c r="K721" s="329"/>
      <c r="L721" s="329"/>
      <c r="M721" s="329"/>
      <c r="N721" s="329"/>
      <c r="O721" s="329"/>
      <c r="P721" s="331"/>
      <c r="Q721" s="332"/>
      <c r="R721" s="332"/>
      <c r="S721" s="331"/>
      <c r="T721" s="331"/>
      <c r="U721" s="333" t="s">
        <v>539</v>
      </c>
      <c r="V721" s="333">
        <v>15</v>
      </c>
      <c r="W721" s="333">
        <v>5</v>
      </c>
      <c r="X721" s="328">
        <v>0.7</v>
      </c>
      <c r="Y721" s="328">
        <v>0.7</v>
      </c>
      <c r="Z721" s="328">
        <v>0.7</v>
      </c>
      <c r="AA721" s="328">
        <v>1700</v>
      </c>
      <c r="AB721" s="328" t="s">
        <v>612</v>
      </c>
      <c r="AC721" s="328">
        <v>0.85</v>
      </c>
      <c r="AD721" s="156"/>
      <c r="AE721" s="334"/>
    </row>
    <row r="722" spans="1:31" ht="15" customHeight="1">
      <c r="A722" s="329"/>
      <c r="B722" s="329"/>
      <c r="C722" s="329"/>
      <c r="D722" s="329"/>
      <c r="E722" s="329"/>
      <c r="F722" s="330"/>
      <c r="G722" s="329"/>
      <c r="H722" s="329"/>
      <c r="I722" s="329"/>
      <c r="J722" s="329"/>
      <c r="K722" s="329"/>
      <c r="L722" s="329"/>
      <c r="M722" s="329"/>
      <c r="N722" s="329"/>
      <c r="O722" s="329"/>
      <c r="P722" s="331"/>
      <c r="Q722" s="332"/>
      <c r="R722" s="332"/>
      <c r="S722" s="331"/>
      <c r="T722" s="331"/>
      <c r="U722" s="333" t="s">
        <v>539</v>
      </c>
      <c r="V722" s="333">
        <v>15</v>
      </c>
      <c r="W722" s="333">
        <v>5</v>
      </c>
      <c r="X722" s="328">
        <v>0.7</v>
      </c>
      <c r="Y722" s="328">
        <v>0.7</v>
      </c>
      <c r="Z722" s="328">
        <v>0.7</v>
      </c>
      <c r="AA722" s="328">
        <v>1700</v>
      </c>
      <c r="AB722" s="328" t="s">
        <v>612</v>
      </c>
      <c r="AC722" s="328">
        <v>0.85</v>
      </c>
      <c r="AD722" s="156"/>
      <c r="AE722" s="334"/>
    </row>
    <row r="723" spans="1:31" ht="15" customHeight="1">
      <c r="A723" s="329"/>
      <c r="B723" s="329"/>
      <c r="C723" s="329"/>
      <c r="D723" s="329"/>
      <c r="E723" s="329"/>
      <c r="F723" s="330"/>
      <c r="G723" s="329"/>
      <c r="H723" s="329"/>
      <c r="I723" s="329"/>
      <c r="J723" s="329"/>
      <c r="K723" s="329"/>
      <c r="L723" s="329"/>
      <c r="M723" s="329"/>
      <c r="N723" s="329"/>
      <c r="O723" s="329"/>
      <c r="P723" s="331"/>
      <c r="Q723" s="332"/>
      <c r="R723" s="332"/>
      <c r="S723" s="331"/>
      <c r="T723" s="331"/>
      <c r="U723" s="333" t="s">
        <v>539</v>
      </c>
      <c r="V723" s="333">
        <v>15</v>
      </c>
      <c r="W723" s="333">
        <v>5</v>
      </c>
      <c r="X723" s="328">
        <v>0.7</v>
      </c>
      <c r="Y723" s="328">
        <v>0.7</v>
      </c>
      <c r="Z723" s="328">
        <v>0.7</v>
      </c>
      <c r="AA723" s="328">
        <v>1700</v>
      </c>
      <c r="AB723" s="328" t="s">
        <v>612</v>
      </c>
      <c r="AC723" s="328">
        <v>0.85</v>
      </c>
      <c r="AD723" s="156"/>
      <c r="AE723" s="334"/>
    </row>
    <row r="724" spans="1:31" ht="15" customHeight="1">
      <c r="A724" s="329"/>
      <c r="B724" s="329"/>
      <c r="C724" s="329"/>
      <c r="D724" s="329"/>
      <c r="E724" s="329"/>
      <c r="F724" s="330"/>
      <c r="G724" s="329"/>
      <c r="H724" s="329"/>
      <c r="I724" s="329"/>
      <c r="J724" s="329"/>
      <c r="K724" s="329"/>
      <c r="L724" s="329"/>
      <c r="M724" s="329"/>
      <c r="N724" s="329"/>
      <c r="O724" s="329"/>
      <c r="P724" s="331"/>
      <c r="Q724" s="332"/>
      <c r="R724" s="332"/>
      <c r="S724" s="331"/>
      <c r="T724" s="331"/>
      <c r="U724" s="333" t="s">
        <v>553</v>
      </c>
      <c r="V724" s="333">
        <v>15</v>
      </c>
      <c r="W724" s="333">
        <v>5</v>
      </c>
      <c r="X724" s="328">
        <v>0.7</v>
      </c>
      <c r="Y724" s="328">
        <v>0.7</v>
      </c>
      <c r="Z724" s="328">
        <v>0.7</v>
      </c>
      <c r="AA724" s="328">
        <v>1700</v>
      </c>
      <c r="AB724" s="328" t="s">
        <v>612</v>
      </c>
      <c r="AC724" s="328">
        <v>0.85</v>
      </c>
      <c r="AD724" s="156"/>
      <c r="AE724" s="334"/>
    </row>
    <row r="725" spans="1:31" ht="15" customHeight="1">
      <c r="A725" s="329"/>
      <c r="B725" s="329"/>
      <c r="C725" s="329"/>
      <c r="D725" s="329"/>
      <c r="E725" s="329"/>
      <c r="F725" s="330"/>
      <c r="G725" s="329"/>
      <c r="H725" s="329"/>
      <c r="I725" s="329"/>
      <c r="J725" s="329"/>
      <c r="K725" s="329"/>
      <c r="L725" s="329"/>
      <c r="M725" s="329"/>
      <c r="N725" s="329"/>
      <c r="O725" s="329"/>
      <c r="P725" s="331"/>
      <c r="Q725" s="332"/>
      <c r="R725" s="332"/>
      <c r="S725" s="331"/>
      <c r="T725" s="331"/>
      <c r="U725" s="333" t="s">
        <v>539</v>
      </c>
      <c r="V725" s="333">
        <v>15</v>
      </c>
      <c r="W725" s="333">
        <v>5</v>
      </c>
      <c r="X725" s="328">
        <v>0.7</v>
      </c>
      <c r="Y725" s="328">
        <v>0.7</v>
      </c>
      <c r="Z725" s="328">
        <v>0.7</v>
      </c>
      <c r="AA725" s="328">
        <v>1700</v>
      </c>
      <c r="AB725" s="328" t="s">
        <v>612</v>
      </c>
      <c r="AC725" s="328">
        <v>0.85</v>
      </c>
      <c r="AD725" s="156"/>
      <c r="AE725" s="334"/>
    </row>
    <row r="726" spans="1:31" ht="15" customHeight="1">
      <c r="A726" s="329"/>
      <c r="B726" s="329"/>
      <c r="C726" s="329"/>
      <c r="D726" s="329"/>
      <c r="E726" s="329"/>
      <c r="F726" s="330"/>
      <c r="G726" s="329"/>
      <c r="H726" s="329"/>
      <c r="I726" s="329"/>
      <c r="J726" s="329"/>
      <c r="K726" s="329"/>
      <c r="L726" s="329"/>
      <c r="M726" s="329"/>
      <c r="N726" s="329"/>
      <c r="O726" s="329"/>
      <c r="P726" s="331"/>
      <c r="Q726" s="332"/>
      <c r="R726" s="332"/>
      <c r="S726" s="331"/>
      <c r="T726" s="331"/>
      <c r="U726" s="333" t="s">
        <v>553</v>
      </c>
      <c r="V726" s="333">
        <v>15</v>
      </c>
      <c r="W726" s="333">
        <v>5</v>
      </c>
      <c r="X726" s="328">
        <v>0.7</v>
      </c>
      <c r="Y726" s="328">
        <v>0.7</v>
      </c>
      <c r="Z726" s="328">
        <v>0.7</v>
      </c>
      <c r="AA726" s="328">
        <v>1700</v>
      </c>
      <c r="AB726" s="328" t="s">
        <v>612</v>
      </c>
      <c r="AC726" s="328">
        <v>0.85</v>
      </c>
      <c r="AD726" s="156"/>
      <c r="AE726" s="334"/>
    </row>
    <row r="727" spans="1:31" ht="15" customHeight="1">
      <c r="A727" s="329"/>
      <c r="B727" s="329"/>
      <c r="C727" s="329"/>
      <c r="D727" s="329"/>
      <c r="E727" s="329"/>
      <c r="F727" s="330"/>
      <c r="G727" s="329"/>
      <c r="H727" s="329"/>
      <c r="I727" s="329"/>
      <c r="J727" s="329"/>
      <c r="K727" s="329"/>
      <c r="L727" s="329"/>
      <c r="M727" s="329"/>
      <c r="N727" s="329"/>
      <c r="O727" s="329"/>
      <c r="P727" s="331"/>
      <c r="Q727" s="332"/>
      <c r="R727" s="332"/>
      <c r="S727" s="331"/>
      <c r="T727" s="331"/>
      <c r="U727" s="333" t="s">
        <v>539</v>
      </c>
      <c r="V727" s="333">
        <v>15</v>
      </c>
      <c r="W727" s="333">
        <v>5</v>
      </c>
      <c r="X727" s="328">
        <v>0.7</v>
      </c>
      <c r="Y727" s="328">
        <v>0.7</v>
      </c>
      <c r="Z727" s="328">
        <v>0.7</v>
      </c>
      <c r="AA727" s="328">
        <v>1700</v>
      </c>
      <c r="AB727" s="328" t="s">
        <v>612</v>
      </c>
      <c r="AC727" s="328">
        <v>0.85</v>
      </c>
      <c r="AD727" s="156"/>
      <c r="AE727" s="334"/>
    </row>
    <row r="728" spans="1:31" ht="15" customHeight="1">
      <c r="A728" s="329"/>
      <c r="B728" s="329"/>
      <c r="C728" s="329"/>
      <c r="D728" s="329"/>
      <c r="E728" s="329"/>
      <c r="F728" s="330"/>
      <c r="G728" s="329"/>
      <c r="H728" s="329"/>
      <c r="I728" s="329"/>
      <c r="J728" s="329"/>
      <c r="K728" s="329"/>
      <c r="L728" s="329"/>
      <c r="M728" s="329"/>
      <c r="N728" s="329"/>
      <c r="O728" s="329"/>
      <c r="P728" s="331"/>
      <c r="Q728" s="332"/>
      <c r="R728" s="332"/>
      <c r="S728" s="331"/>
      <c r="T728" s="331"/>
      <c r="U728" s="333" t="s">
        <v>539</v>
      </c>
      <c r="V728" s="333">
        <v>15</v>
      </c>
      <c r="W728" s="333">
        <v>5</v>
      </c>
      <c r="X728" s="328">
        <v>0.7</v>
      </c>
      <c r="Y728" s="328">
        <v>0.7</v>
      </c>
      <c r="Z728" s="328">
        <v>0.7</v>
      </c>
      <c r="AA728" s="328">
        <v>1700</v>
      </c>
      <c r="AB728" s="328" t="s">
        <v>612</v>
      </c>
      <c r="AC728" s="328">
        <v>0.85</v>
      </c>
      <c r="AD728" s="156"/>
      <c r="AE728" s="334"/>
    </row>
    <row r="729" spans="1:31" ht="15" customHeight="1">
      <c r="A729" s="329"/>
      <c r="B729" s="329"/>
      <c r="C729" s="329"/>
      <c r="D729" s="329"/>
      <c r="E729" s="329"/>
      <c r="F729" s="330"/>
      <c r="G729" s="329"/>
      <c r="H729" s="329"/>
      <c r="I729" s="329"/>
      <c r="J729" s="329"/>
      <c r="K729" s="329"/>
      <c r="L729" s="329"/>
      <c r="M729" s="329"/>
      <c r="N729" s="329"/>
      <c r="O729" s="329"/>
      <c r="P729" s="331"/>
      <c r="Q729" s="332"/>
      <c r="R729" s="332"/>
      <c r="S729" s="331"/>
      <c r="T729" s="331"/>
      <c r="U729" s="333" t="s">
        <v>553</v>
      </c>
      <c r="V729" s="333">
        <v>15</v>
      </c>
      <c r="W729" s="333">
        <v>5</v>
      </c>
      <c r="X729" s="328">
        <v>0.7</v>
      </c>
      <c r="Y729" s="328">
        <v>0.7</v>
      </c>
      <c r="Z729" s="328">
        <v>0.7</v>
      </c>
      <c r="AA729" s="328">
        <v>1700</v>
      </c>
      <c r="AB729" s="328" t="s">
        <v>612</v>
      </c>
      <c r="AC729" s="328">
        <v>0.85</v>
      </c>
      <c r="AD729" s="156"/>
      <c r="AE729" s="334"/>
    </row>
    <row r="730" spans="1:31" ht="15" customHeight="1">
      <c r="A730" s="329"/>
      <c r="B730" s="329"/>
      <c r="C730" s="329"/>
      <c r="D730" s="329"/>
      <c r="E730" s="329"/>
      <c r="F730" s="330"/>
      <c r="G730" s="329"/>
      <c r="H730" s="329"/>
      <c r="I730" s="329"/>
      <c r="J730" s="329"/>
      <c r="K730" s="329"/>
      <c r="L730" s="329"/>
      <c r="M730" s="329"/>
      <c r="N730" s="329"/>
      <c r="O730" s="329"/>
      <c r="P730" s="331"/>
      <c r="Q730" s="332"/>
      <c r="R730" s="332"/>
      <c r="S730" s="331"/>
      <c r="T730" s="331"/>
      <c r="U730" s="333" t="s">
        <v>539</v>
      </c>
      <c r="V730" s="333">
        <v>15</v>
      </c>
      <c r="W730" s="333">
        <v>5</v>
      </c>
      <c r="X730" s="328">
        <v>0.7</v>
      </c>
      <c r="Y730" s="328">
        <v>0.7</v>
      </c>
      <c r="Z730" s="328">
        <v>0.7</v>
      </c>
      <c r="AA730" s="328">
        <v>1700</v>
      </c>
      <c r="AB730" s="328" t="s">
        <v>612</v>
      </c>
      <c r="AC730" s="328">
        <v>0.85</v>
      </c>
      <c r="AD730" s="156"/>
      <c r="AE730" s="334"/>
    </row>
    <row r="731" spans="1:31" ht="15" customHeight="1">
      <c r="A731" s="329"/>
      <c r="B731" s="329"/>
      <c r="C731" s="329"/>
      <c r="D731" s="329"/>
      <c r="E731" s="329"/>
      <c r="F731" s="330"/>
      <c r="G731" s="329"/>
      <c r="H731" s="329"/>
      <c r="I731" s="329"/>
      <c r="J731" s="329"/>
      <c r="K731" s="329"/>
      <c r="L731" s="329"/>
      <c r="M731" s="329"/>
      <c r="N731" s="329"/>
      <c r="O731" s="329"/>
      <c r="P731" s="331"/>
      <c r="Q731" s="332"/>
      <c r="R731" s="332"/>
      <c r="S731" s="331"/>
      <c r="T731" s="331"/>
      <c r="U731" s="333" t="s">
        <v>539</v>
      </c>
      <c r="V731" s="333">
        <v>15</v>
      </c>
      <c r="W731" s="333">
        <v>5</v>
      </c>
      <c r="X731" s="328">
        <v>0.7</v>
      </c>
      <c r="Y731" s="328">
        <v>0.7</v>
      </c>
      <c r="Z731" s="328">
        <v>0.7</v>
      </c>
      <c r="AA731" s="328">
        <v>1700</v>
      </c>
      <c r="AB731" s="328" t="s">
        <v>612</v>
      </c>
      <c r="AC731" s="328">
        <v>0.85</v>
      </c>
      <c r="AD731" s="156"/>
      <c r="AE731" s="334"/>
    </row>
    <row r="732" spans="1:31" ht="15" customHeight="1">
      <c r="A732" s="329"/>
      <c r="B732" s="329"/>
      <c r="C732" s="329"/>
      <c r="D732" s="329"/>
      <c r="E732" s="329"/>
      <c r="F732" s="330"/>
      <c r="G732" s="329"/>
      <c r="H732" s="329"/>
      <c r="I732" s="329"/>
      <c r="J732" s="329"/>
      <c r="K732" s="329"/>
      <c r="L732" s="329"/>
      <c r="M732" s="329"/>
      <c r="N732" s="329"/>
      <c r="O732" s="329"/>
      <c r="P732" s="331"/>
      <c r="Q732" s="332"/>
      <c r="R732" s="332"/>
      <c r="S732" s="331"/>
      <c r="T732" s="331"/>
      <c r="U732" s="333" t="s">
        <v>539</v>
      </c>
      <c r="V732" s="333">
        <v>15</v>
      </c>
      <c r="W732" s="333">
        <v>5</v>
      </c>
      <c r="X732" s="328">
        <v>0.7</v>
      </c>
      <c r="Y732" s="328">
        <v>0.7</v>
      </c>
      <c r="Z732" s="328">
        <v>0.7</v>
      </c>
      <c r="AA732" s="328">
        <v>1700</v>
      </c>
      <c r="AB732" s="328" t="s">
        <v>612</v>
      </c>
      <c r="AC732" s="328">
        <v>0.85</v>
      </c>
      <c r="AD732" s="156"/>
      <c r="AE732" s="334"/>
    </row>
    <row r="733" spans="1:31" ht="15" customHeight="1">
      <c r="A733" s="329"/>
      <c r="B733" s="329"/>
      <c r="C733" s="329"/>
      <c r="D733" s="329"/>
      <c r="E733" s="329"/>
      <c r="F733" s="330"/>
      <c r="G733" s="329"/>
      <c r="H733" s="329"/>
      <c r="I733" s="329"/>
      <c r="J733" s="329"/>
      <c r="K733" s="329"/>
      <c r="L733" s="329"/>
      <c r="M733" s="329"/>
      <c r="N733" s="329"/>
      <c r="O733" s="329"/>
      <c r="P733" s="331"/>
      <c r="Q733" s="332"/>
      <c r="R733" s="332"/>
      <c r="S733" s="331"/>
      <c r="T733" s="331"/>
      <c r="U733" s="333" t="s">
        <v>553</v>
      </c>
      <c r="V733" s="333">
        <v>15</v>
      </c>
      <c r="W733" s="333">
        <v>5</v>
      </c>
      <c r="X733" s="328">
        <v>0.7</v>
      </c>
      <c r="Y733" s="328">
        <v>0.7</v>
      </c>
      <c r="Z733" s="328">
        <v>0.7</v>
      </c>
      <c r="AA733" s="328">
        <v>1700</v>
      </c>
      <c r="AB733" s="328" t="s">
        <v>612</v>
      </c>
      <c r="AC733" s="328">
        <v>0.85</v>
      </c>
      <c r="AD733" s="156"/>
      <c r="AE733" s="334"/>
    </row>
    <row r="734" spans="1:31" ht="15" customHeight="1">
      <c r="A734" s="329"/>
      <c r="B734" s="329"/>
      <c r="C734" s="329"/>
      <c r="D734" s="329"/>
      <c r="E734" s="329"/>
      <c r="F734" s="330"/>
      <c r="G734" s="329"/>
      <c r="H734" s="329"/>
      <c r="I734" s="329"/>
      <c r="J734" s="329"/>
      <c r="K734" s="329"/>
      <c r="L734" s="329"/>
      <c r="M734" s="329"/>
      <c r="N734" s="329"/>
      <c r="O734" s="329"/>
      <c r="P734" s="331"/>
      <c r="Q734" s="332"/>
      <c r="R734" s="332"/>
      <c r="S734" s="331"/>
      <c r="T734" s="331"/>
      <c r="U734" s="333" t="s">
        <v>539</v>
      </c>
      <c r="V734" s="333">
        <v>15</v>
      </c>
      <c r="W734" s="333">
        <v>5</v>
      </c>
      <c r="X734" s="328">
        <v>0.7</v>
      </c>
      <c r="Y734" s="328">
        <v>0.7</v>
      </c>
      <c r="Z734" s="328">
        <v>0.7</v>
      </c>
      <c r="AA734" s="328">
        <v>1700</v>
      </c>
      <c r="AB734" s="328" t="s">
        <v>612</v>
      </c>
      <c r="AC734" s="328">
        <v>0.85</v>
      </c>
      <c r="AD734" s="156"/>
      <c r="AE734" s="334"/>
    </row>
    <row r="735" spans="1:31" ht="15" customHeight="1">
      <c r="A735" s="329"/>
      <c r="B735" s="329"/>
      <c r="C735" s="329"/>
      <c r="D735" s="329"/>
      <c r="E735" s="329"/>
      <c r="F735" s="330"/>
      <c r="G735" s="329"/>
      <c r="H735" s="329"/>
      <c r="I735" s="329"/>
      <c r="J735" s="329"/>
      <c r="K735" s="329"/>
      <c r="L735" s="329"/>
      <c r="M735" s="329"/>
      <c r="N735" s="329"/>
      <c r="O735" s="329"/>
      <c r="P735" s="331"/>
      <c r="Q735" s="332"/>
      <c r="R735" s="332"/>
      <c r="S735" s="331"/>
      <c r="T735" s="331"/>
      <c r="U735" s="333" t="s">
        <v>539</v>
      </c>
      <c r="V735" s="333">
        <v>15</v>
      </c>
      <c r="W735" s="333">
        <v>5</v>
      </c>
      <c r="X735" s="328">
        <v>0.7</v>
      </c>
      <c r="Y735" s="328">
        <v>0.7</v>
      </c>
      <c r="Z735" s="328">
        <v>0.7</v>
      </c>
      <c r="AA735" s="328">
        <v>1700</v>
      </c>
      <c r="AB735" s="328" t="s">
        <v>612</v>
      </c>
      <c r="AC735" s="328">
        <v>0.85</v>
      </c>
      <c r="AD735" s="156"/>
      <c r="AE735" s="334"/>
    </row>
    <row r="736" spans="1:31" ht="15" customHeight="1">
      <c r="A736" s="329"/>
      <c r="B736" s="329"/>
      <c r="C736" s="329"/>
      <c r="D736" s="329"/>
      <c r="E736" s="329"/>
      <c r="F736" s="330"/>
      <c r="G736" s="329"/>
      <c r="H736" s="329"/>
      <c r="I736" s="329"/>
      <c r="J736" s="329"/>
      <c r="K736" s="329"/>
      <c r="L736" s="329"/>
      <c r="M736" s="329"/>
      <c r="N736" s="329"/>
      <c r="O736" s="329"/>
      <c r="P736" s="331"/>
      <c r="Q736" s="332"/>
      <c r="R736" s="332"/>
      <c r="S736" s="331"/>
      <c r="T736" s="331"/>
      <c r="U736" s="333" t="s">
        <v>539</v>
      </c>
      <c r="V736" s="333">
        <v>15</v>
      </c>
      <c r="W736" s="333">
        <v>5</v>
      </c>
      <c r="X736" s="328">
        <v>0.7</v>
      </c>
      <c r="Y736" s="328">
        <v>0.7</v>
      </c>
      <c r="Z736" s="328">
        <v>0.7</v>
      </c>
      <c r="AA736" s="328">
        <v>1700</v>
      </c>
      <c r="AB736" s="328" t="s">
        <v>612</v>
      </c>
      <c r="AC736" s="328">
        <v>0.85</v>
      </c>
      <c r="AD736" s="156"/>
      <c r="AE736" s="334"/>
    </row>
    <row r="737" spans="1:31" ht="15" customHeight="1">
      <c r="A737" s="329"/>
      <c r="B737" s="329"/>
      <c r="C737" s="329"/>
      <c r="D737" s="329"/>
      <c r="E737" s="329"/>
      <c r="F737" s="330"/>
      <c r="G737" s="329"/>
      <c r="H737" s="329"/>
      <c r="I737" s="329"/>
      <c r="J737" s="329"/>
      <c r="K737" s="329"/>
      <c r="L737" s="329"/>
      <c r="M737" s="329"/>
      <c r="N737" s="329"/>
      <c r="O737" s="329"/>
      <c r="P737" s="331"/>
      <c r="Q737" s="332"/>
      <c r="R737" s="332"/>
      <c r="S737" s="331"/>
      <c r="T737" s="331"/>
      <c r="U737" s="333" t="s">
        <v>539</v>
      </c>
      <c r="V737" s="333">
        <v>15</v>
      </c>
      <c r="W737" s="333">
        <v>5</v>
      </c>
      <c r="X737" s="328">
        <v>0.7</v>
      </c>
      <c r="Y737" s="328">
        <v>0.7</v>
      </c>
      <c r="Z737" s="328">
        <v>0.7</v>
      </c>
      <c r="AA737" s="328">
        <v>1700</v>
      </c>
      <c r="AB737" s="328" t="s">
        <v>612</v>
      </c>
      <c r="AC737" s="328">
        <v>0.85</v>
      </c>
      <c r="AD737" s="156"/>
      <c r="AE737" s="334"/>
    </row>
    <row r="738" spans="1:31" ht="15" customHeight="1">
      <c r="A738" s="329"/>
      <c r="B738" s="329"/>
      <c r="C738" s="329"/>
      <c r="D738" s="329"/>
      <c r="E738" s="329"/>
      <c r="F738" s="330"/>
      <c r="G738" s="329"/>
      <c r="H738" s="329"/>
      <c r="I738" s="329"/>
      <c r="J738" s="329"/>
      <c r="K738" s="329"/>
      <c r="L738" s="329"/>
      <c r="M738" s="329"/>
      <c r="N738" s="329"/>
      <c r="O738" s="329"/>
      <c r="P738" s="331"/>
      <c r="Q738" s="332"/>
      <c r="R738" s="332"/>
      <c r="S738" s="331"/>
      <c r="T738" s="331"/>
      <c r="U738" s="333" t="s">
        <v>539</v>
      </c>
      <c r="V738" s="333">
        <v>15</v>
      </c>
      <c r="W738" s="333">
        <v>5</v>
      </c>
      <c r="X738" s="328">
        <v>0.7</v>
      </c>
      <c r="Y738" s="328">
        <v>0.7</v>
      </c>
      <c r="Z738" s="328">
        <v>0.7</v>
      </c>
      <c r="AA738" s="328">
        <v>1700</v>
      </c>
      <c r="AB738" s="328" t="s">
        <v>612</v>
      </c>
      <c r="AC738" s="328">
        <v>0.85</v>
      </c>
      <c r="AD738" s="156"/>
      <c r="AE738" s="334"/>
    </row>
    <row r="739" spans="1:31" ht="15" customHeight="1">
      <c r="A739" s="329"/>
      <c r="B739" s="329"/>
      <c r="C739" s="329"/>
      <c r="D739" s="329"/>
      <c r="E739" s="329"/>
      <c r="F739" s="330"/>
      <c r="G739" s="329"/>
      <c r="H739" s="329"/>
      <c r="I739" s="329"/>
      <c r="J739" s="329"/>
      <c r="K739" s="329"/>
      <c r="L739" s="329"/>
      <c r="M739" s="329"/>
      <c r="N739" s="329"/>
      <c r="O739" s="329"/>
      <c r="P739" s="331"/>
      <c r="Q739" s="332"/>
      <c r="R739" s="332"/>
      <c r="S739" s="331"/>
      <c r="T739" s="331"/>
      <c r="U739" s="333" t="s">
        <v>539</v>
      </c>
      <c r="V739" s="333">
        <v>15</v>
      </c>
      <c r="W739" s="333">
        <v>5</v>
      </c>
      <c r="X739" s="328">
        <v>0.7</v>
      </c>
      <c r="Y739" s="328">
        <v>0.7</v>
      </c>
      <c r="Z739" s="328">
        <v>0.7</v>
      </c>
      <c r="AA739" s="328">
        <v>1700</v>
      </c>
      <c r="AB739" s="328" t="s">
        <v>612</v>
      </c>
      <c r="AC739" s="328">
        <v>0.85</v>
      </c>
      <c r="AD739" s="156"/>
      <c r="AE739" s="334"/>
    </row>
    <row r="740" spans="1:31" ht="15" customHeight="1">
      <c r="A740" s="329"/>
      <c r="B740" s="329"/>
      <c r="C740" s="329"/>
      <c r="D740" s="329"/>
      <c r="E740" s="329"/>
      <c r="F740" s="330"/>
      <c r="G740" s="329"/>
      <c r="H740" s="329"/>
      <c r="I740" s="329"/>
      <c r="J740" s="329"/>
      <c r="K740" s="329"/>
      <c r="L740" s="329"/>
      <c r="M740" s="329"/>
      <c r="N740" s="329"/>
      <c r="O740" s="329"/>
      <c r="P740" s="331"/>
      <c r="Q740" s="332"/>
      <c r="R740" s="332"/>
      <c r="S740" s="331"/>
      <c r="T740" s="331"/>
      <c r="U740" s="333" t="s">
        <v>539</v>
      </c>
      <c r="V740" s="333">
        <v>15</v>
      </c>
      <c r="W740" s="333">
        <v>5</v>
      </c>
      <c r="X740" s="328">
        <v>0.7</v>
      </c>
      <c r="Y740" s="328">
        <v>0.7</v>
      </c>
      <c r="Z740" s="328">
        <v>0.7</v>
      </c>
      <c r="AA740" s="328">
        <v>1700</v>
      </c>
      <c r="AB740" s="328" t="s">
        <v>612</v>
      </c>
      <c r="AC740" s="328">
        <v>0.85</v>
      </c>
      <c r="AD740" s="156"/>
      <c r="AE740" s="334"/>
    </row>
    <row r="741" spans="1:31" ht="15" customHeight="1">
      <c r="A741" s="329"/>
      <c r="B741" s="329"/>
      <c r="C741" s="329"/>
      <c r="D741" s="329"/>
      <c r="E741" s="329"/>
      <c r="F741" s="330"/>
      <c r="G741" s="329"/>
      <c r="H741" s="329"/>
      <c r="I741" s="329"/>
      <c r="J741" s="329"/>
      <c r="K741" s="329"/>
      <c r="L741" s="329"/>
      <c r="M741" s="329"/>
      <c r="N741" s="329"/>
      <c r="O741" s="329"/>
      <c r="P741" s="331"/>
      <c r="Q741" s="332"/>
      <c r="R741" s="332"/>
      <c r="S741" s="331"/>
      <c r="T741" s="331"/>
      <c r="U741" s="333" t="s">
        <v>539</v>
      </c>
      <c r="V741" s="333">
        <v>15</v>
      </c>
      <c r="W741" s="333">
        <v>5</v>
      </c>
      <c r="X741" s="328">
        <v>0.7</v>
      </c>
      <c r="Y741" s="328">
        <v>0.7</v>
      </c>
      <c r="Z741" s="328">
        <v>0.7</v>
      </c>
      <c r="AA741" s="328">
        <v>1700</v>
      </c>
      <c r="AB741" s="328" t="s">
        <v>612</v>
      </c>
      <c r="AC741" s="328">
        <v>0.85</v>
      </c>
      <c r="AD741" s="156"/>
      <c r="AE741" s="334"/>
    </row>
    <row r="742" spans="1:31" ht="15" customHeight="1">
      <c r="A742" s="329"/>
      <c r="B742" s="329"/>
      <c r="C742" s="329"/>
      <c r="D742" s="329"/>
      <c r="E742" s="329"/>
      <c r="F742" s="330"/>
      <c r="G742" s="329"/>
      <c r="H742" s="329"/>
      <c r="I742" s="329"/>
      <c r="J742" s="329"/>
      <c r="K742" s="329"/>
      <c r="L742" s="329"/>
      <c r="M742" s="329"/>
      <c r="N742" s="329"/>
      <c r="O742" s="329"/>
      <c r="P742" s="331"/>
      <c r="Q742" s="332"/>
      <c r="R742" s="332"/>
      <c r="S742" s="331"/>
      <c r="T742" s="331"/>
      <c r="U742" s="333" t="s">
        <v>539</v>
      </c>
      <c r="V742" s="333">
        <v>15</v>
      </c>
      <c r="W742" s="333">
        <v>5</v>
      </c>
      <c r="X742" s="328">
        <v>0.7</v>
      </c>
      <c r="Y742" s="328">
        <v>0.7</v>
      </c>
      <c r="Z742" s="328">
        <v>0.7</v>
      </c>
      <c r="AA742" s="328">
        <v>1700</v>
      </c>
      <c r="AB742" s="328" t="s">
        <v>612</v>
      </c>
      <c r="AC742" s="328">
        <v>0.85</v>
      </c>
      <c r="AD742" s="156"/>
      <c r="AE742" s="334"/>
    </row>
    <row r="743" spans="1:31" ht="15" customHeight="1">
      <c r="A743" s="329"/>
      <c r="B743" s="329"/>
      <c r="C743" s="329"/>
      <c r="D743" s="329"/>
      <c r="E743" s="329"/>
      <c r="F743" s="330"/>
      <c r="G743" s="329"/>
      <c r="H743" s="329"/>
      <c r="I743" s="329"/>
      <c r="J743" s="329"/>
      <c r="K743" s="329"/>
      <c r="L743" s="329"/>
      <c r="M743" s="329"/>
      <c r="N743" s="329"/>
      <c r="O743" s="329"/>
      <c r="P743" s="331"/>
      <c r="Q743" s="332"/>
      <c r="R743" s="332"/>
      <c r="S743" s="331"/>
      <c r="T743" s="331"/>
      <c r="U743" s="333" t="s">
        <v>539</v>
      </c>
      <c r="V743" s="333">
        <v>15</v>
      </c>
      <c r="W743" s="333">
        <v>5</v>
      </c>
      <c r="X743" s="328">
        <v>0.7</v>
      </c>
      <c r="Y743" s="328">
        <v>0.7</v>
      </c>
      <c r="Z743" s="328">
        <v>0.7</v>
      </c>
      <c r="AA743" s="328">
        <v>1700</v>
      </c>
      <c r="AB743" s="328" t="s">
        <v>612</v>
      </c>
      <c r="AC743" s="328">
        <v>0.85</v>
      </c>
      <c r="AD743" s="156"/>
      <c r="AE743" s="334"/>
    </row>
    <row r="744" spans="1:31" ht="15" customHeight="1">
      <c r="A744" s="329"/>
      <c r="B744" s="329"/>
      <c r="C744" s="329"/>
      <c r="D744" s="329"/>
      <c r="E744" s="329"/>
      <c r="F744" s="330"/>
      <c r="G744" s="329"/>
      <c r="H744" s="329"/>
      <c r="I744" s="329"/>
      <c r="J744" s="329"/>
      <c r="K744" s="329"/>
      <c r="L744" s="329"/>
      <c r="M744" s="329"/>
      <c r="N744" s="329"/>
      <c r="O744" s="329"/>
      <c r="P744" s="331"/>
      <c r="Q744" s="332"/>
      <c r="R744" s="332"/>
      <c r="S744" s="331"/>
      <c r="T744" s="331"/>
      <c r="U744" s="333" t="s">
        <v>553</v>
      </c>
      <c r="V744" s="333">
        <v>15</v>
      </c>
      <c r="W744" s="333">
        <v>5</v>
      </c>
      <c r="X744" s="328">
        <v>0.7</v>
      </c>
      <c r="Y744" s="328">
        <v>0.7</v>
      </c>
      <c r="Z744" s="328">
        <v>0.7</v>
      </c>
      <c r="AA744" s="328">
        <v>1700</v>
      </c>
      <c r="AB744" s="328" t="s">
        <v>612</v>
      </c>
      <c r="AC744" s="328">
        <v>0.85</v>
      </c>
      <c r="AD744" s="156"/>
      <c r="AE744" s="334"/>
    </row>
    <row r="745" spans="1:31" ht="15" customHeight="1">
      <c r="A745" s="329"/>
      <c r="B745" s="329"/>
      <c r="C745" s="329"/>
      <c r="D745" s="329"/>
      <c r="E745" s="329"/>
      <c r="F745" s="330"/>
      <c r="G745" s="329"/>
      <c r="H745" s="329"/>
      <c r="I745" s="329"/>
      <c r="J745" s="329"/>
      <c r="K745" s="329"/>
      <c r="L745" s="329"/>
      <c r="M745" s="329"/>
      <c r="N745" s="329"/>
      <c r="O745" s="329"/>
      <c r="P745" s="331"/>
      <c r="Q745" s="332"/>
      <c r="R745" s="332"/>
      <c r="S745" s="331"/>
      <c r="T745" s="331"/>
      <c r="U745" s="333" t="s">
        <v>539</v>
      </c>
      <c r="V745" s="333">
        <v>15</v>
      </c>
      <c r="W745" s="333">
        <v>5</v>
      </c>
      <c r="X745" s="328">
        <v>0.7</v>
      </c>
      <c r="Y745" s="328">
        <v>0.7</v>
      </c>
      <c r="Z745" s="328">
        <v>0.7</v>
      </c>
      <c r="AA745" s="328">
        <v>1700</v>
      </c>
      <c r="AB745" s="328" t="s">
        <v>612</v>
      </c>
      <c r="AC745" s="328">
        <v>0.85</v>
      </c>
      <c r="AD745" s="156"/>
      <c r="AE745" s="334"/>
    </row>
    <row r="746" spans="1:31" ht="15" customHeight="1">
      <c r="A746" s="329"/>
      <c r="B746" s="329"/>
      <c r="C746" s="329"/>
      <c r="D746" s="329"/>
      <c r="E746" s="329"/>
      <c r="F746" s="330"/>
      <c r="G746" s="329"/>
      <c r="H746" s="329"/>
      <c r="I746" s="329"/>
      <c r="J746" s="329"/>
      <c r="K746" s="329"/>
      <c r="L746" s="329"/>
      <c r="M746" s="329"/>
      <c r="N746" s="329"/>
      <c r="O746" s="329"/>
      <c r="P746" s="331"/>
      <c r="Q746" s="332"/>
      <c r="R746" s="332"/>
      <c r="S746" s="331"/>
      <c r="T746" s="331"/>
      <c r="U746" s="333" t="s">
        <v>539</v>
      </c>
      <c r="V746" s="333">
        <v>15</v>
      </c>
      <c r="W746" s="333">
        <v>5</v>
      </c>
      <c r="X746" s="328">
        <v>0.7</v>
      </c>
      <c r="Y746" s="328">
        <v>0.7</v>
      </c>
      <c r="Z746" s="328">
        <v>0.7</v>
      </c>
      <c r="AA746" s="328">
        <v>1700</v>
      </c>
      <c r="AB746" s="328" t="s">
        <v>612</v>
      </c>
      <c r="AC746" s="328">
        <v>0.85</v>
      </c>
      <c r="AD746" s="156"/>
      <c r="AE746" s="334"/>
    </row>
    <row r="747" spans="1:31" ht="15" customHeight="1">
      <c r="A747" s="329"/>
      <c r="B747" s="329"/>
      <c r="C747" s="329"/>
      <c r="D747" s="329"/>
      <c r="E747" s="329"/>
      <c r="F747" s="330"/>
      <c r="G747" s="329"/>
      <c r="H747" s="329"/>
      <c r="I747" s="329"/>
      <c r="J747" s="329"/>
      <c r="K747" s="329"/>
      <c r="L747" s="329"/>
      <c r="M747" s="329"/>
      <c r="N747" s="329"/>
      <c r="O747" s="329"/>
      <c r="P747" s="331"/>
      <c r="Q747" s="332"/>
      <c r="R747" s="332"/>
      <c r="S747" s="331"/>
      <c r="T747" s="331"/>
      <c r="U747" s="333" t="s">
        <v>539</v>
      </c>
      <c r="V747" s="333">
        <v>15</v>
      </c>
      <c r="W747" s="333">
        <v>5</v>
      </c>
      <c r="X747" s="328">
        <v>0.7</v>
      </c>
      <c r="Y747" s="328">
        <v>0.7</v>
      </c>
      <c r="Z747" s="328">
        <v>0.7</v>
      </c>
      <c r="AA747" s="328">
        <v>1700</v>
      </c>
      <c r="AB747" s="328" t="s">
        <v>612</v>
      </c>
      <c r="AC747" s="328">
        <v>0.85</v>
      </c>
      <c r="AD747" s="156"/>
      <c r="AE747" s="334"/>
    </row>
    <row r="748" spans="1:31" ht="15" customHeight="1">
      <c r="A748" s="329"/>
      <c r="B748" s="329"/>
      <c r="C748" s="329"/>
      <c r="D748" s="329"/>
      <c r="E748" s="329"/>
      <c r="F748" s="330"/>
      <c r="G748" s="329"/>
      <c r="H748" s="329"/>
      <c r="I748" s="329"/>
      <c r="J748" s="329"/>
      <c r="K748" s="329"/>
      <c r="L748" s="329"/>
      <c r="M748" s="329"/>
      <c r="N748" s="329"/>
      <c r="O748" s="329"/>
      <c r="P748" s="331"/>
      <c r="Q748" s="332"/>
      <c r="R748" s="332"/>
      <c r="S748" s="331"/>
      <c r="T748" s="331"/>
      <c r="U748" s="333" t="s">
        <v>539</v>
      </c>
      <c r="V748" s="333">
        <v>15</v>
      </c>
      <c r="W748" s="333">
        <v>5</v>
      </c>
      <c r="X748" s="328">
        <v>0.7</v>
      </c>
      <c r="Y748" s="328">
        <v>0.7</v>
      </c>
      <c r="Z748" s="328">
        <v>0.7</v>
      </c>
      <c r="AA748" s="328">
        <v>1700</v>
      </c>
      <c r="AB748" s="328" t="s">
        <v>612</v>
      </c>
      <c r="AC748" s="328">
        <v>0.85</v>
      </c>
      <c r="AD748" s="156"/>
      <c r="AE748" s="334"/>
    </row>
    <row r="749" spans="1:31" ht="15" customHeight="1">
      <c r="A749" s="329"/>
      <c r="B749" s="329"/>
      <c r="C749" s="329"/>
      <c r="D749" s="329"/>
      <c r="E749" s="329"/>
      <c r="F749" s="330"/>
      <c r="G749" s="329"/>
      <c r="H749" s="329"/>
      <c r="I749" s="329"/>
      <c r="J749" s="329"/>
      <c r="K749" s="329"/>
      <c r="L749" s="329"/>
      <c r="M749" s="329"/>
      <c r="N749" s="329"/>
      <c r="O749" s="329"/>
      <c r="P749" s="331"/>
      <c r="Q749" s="332"/>
      <c r="R749" s="332"/>
      <c r="S749" s="331"/>
      <c r="T749" s="331"/>
      <c r="U749" s="333" t="s">
        <v>539</v>
      </c>
      <c r="V749" s="333">
        <v>15</v>
      </c>
      <c r="W749" s="333">
        <v>5</v>
      </c>
      <c r="X749" s="328">
        <v>0.7</v>
      </c>
      <c r="Y749" s="328">
        <v>0.7</v>
      </c>
      <c r="Z749" s="328">
        <v>0.7</v>
      </c>
      <c r="AA749" s="328">
        <v>1700</v>
      </c>
      <c r="AB749" s="328" t="s">
        <v>612</v>
      </c>
      <c r="AC749" s="328">
        <v>0.85</v>
      </c>
      <c r="AD749" s="156"/>
      <c r="AE749" s="334"/>
    </row>
    <row r="750" spans="1:31" ht="15" customHeight="1">
      <c r="A750" s="329"/>
      <c r="B750" s="329"/>
      <c r="C750" s="329"/>
      <c r="D750" s="329"/>
      <c r="E750" s="329"/>
      <c r="F750" s="330"/>
      <c r="G750" s="329"/>
      <c r="H750" s="329"/>
      <c r="I750" s="329"/>
      <c r="J750" s="329"/>
      <c r="K750" s="329"/>
      <c r="L750" s="329"/>
      <c r="M750" s="329"/>
      <c r="N750" s="329"/>
      <c r="O750" s="329"/>
      <c r="P750" s="331"/>
      <c r="Q750" s="332"/>
      <c r="R750" s="332"/>
      <c r="S750" s="331"/>
      <c r="T750" s="331"/>
      <c r="U750" s="333" t="s">
        <v>539</v>
      </c>
      <c r="V750" s="333">
        <v>15</v>
      </c>
      <c r="W750" s="333">
        <v>5</v>
      </c>
      <c r="X750" s="328">
        <v>0.7</v>
      </c>
      <c r="Y750" s="328">
        <v>0.7</v>
      </c>
      <c r="Z750" s="328">
        <v>0.7</v>
      </c>
      <c r="AA750" s="328">
        <v>1700</v>
      </c>
      <c r="AB750" s="328" t="s">
        <v>612</v>
      </c>
      <c r="AC750" s="328">
        <v>0.85</v>
      </c>
      <c r="AD750" s="156"/>
      <c r="AE750" s="334"/>
    </row>
    <row r="751" spans="1:31" ht="15" customHeight="1">
      <c r="A751" s="329"/>
      <c r="B751" s="329"/>
      <c r="C751" s="329"/>
      <c r="D751" s="329"/>
      <c r="E751" s="329"/>
      <c r="F751" s="330"/>
      <c r="G751" s="329"/>
      <c r="H751" s="329"/>
      <c r="I751" s="329"/>
      <c r="J751" s="329"/>
      <c r="K751" s="329"/>
      <c r="L751" s="329"/>
      <c r="M751" s="329"/>
      <c r="N751" s="329"/>
      <c r="O751" s="329"/>
      <c r="P751" s="331"/>
      <c r="Q751" s="332"/>
      <c r="R751" s="332"/>
      <c r="S751" s="331"/>
      <c r="T751" s="331"/>
      <c r="U751" s="333" t="s">
        <v>553</v>
      </c>
      <c r="V751" s="333">
        <v>15</v>
      </c>
      <c r="W751" s="333">
        <v>5</v>
      </c>
      <c r="X751" s="328">
        <v>0.7</v>
      </c>
      <c r="Y751" s="328">
        <v>0.7</v>
      </c>
      <c r="Z751" s="328">
        <v>0.7</v>
      </c>
      <c r="AA751" s="328">
        <v>1700</v>
      </c>
      <c r="AB751" s="328" t="s">
        <v>612</v>
      </c>
      <c r="AC751" s="328">
        <v>0.85</v>
      </c>
      <c r="AD751" s="156"/>
      <c r="AE751" s="334"/>
    </row>
    <row r="752" spans="1:31" ht="15" customHeight="1">
      <c r="A752" s="329"/>
      <c r="B752" s="329"/>
      <c r="C752" s="329"/>
      <c r="D752" s="329"/>
      <c r="E752" s="329"/>
      <c r="F752" s="330"/>
      <c r="G752" s="329"/>
      <c r="H752" s="329"/>
      <c r="I752" s="329"/>
      <c r="J752" s="329"/>
      <c r="K752" s="329"/>
      <c r="L752" s="329"/>
      <c r="M752" s="329"/>
      <c r="N752" s="329"/>
      <c r="O752" s="329"/>
      <c r="P752" s="331"/>
      <c r="Q752" s="332"/>
      <c r="R752" s="332"/>
      <c r="S752" s="331"/>
      <c r="T752" s="331"/>
      <c r="U752" s="333" t="s">
        <v>539</v>
      </c>
      <c r="V752" s="333">
        <v>15</v>
      </c>
      <c r="W752" s="333">
        <v>5</v>
      </c>
      <c r="X752" s="328">
        <v>0.7</v>
      </c>
      <c r="Y752" s="328">
        <v>0.7</v>
      </c>
      <c r="Z752" s="328">
        <v>0.7</v>
      </c>
      <c r="AA752" s="328">
        <v>1700</v>
      </c>
      <c r="AB752" s="328" t="s">
        <v>612</v>
      </c>
      <c r="AC752" s="328">
        <v>0.85</v>
      </c>
      <c r="AD752" s="156"/>
      <c r="AE752" s="334"/>
    </row>
    <row r="753" spans="1:31" ht="15" customHeight="1">
      <c r="A753" s="329"/>
      <c r="B753" s="329"/>
      <c r="C753" s="329"/>
      <c r="D753" s="329"/>
      <c r="E753" s="329"/>
      <c r="F753" s="330"/>
      <c r="G753" s="329"/>
      <c r="H753" s="329"/>
      <c r="I753" s="329"/>
      <c r="J753" s="329"/>
      <c r="K753" s="329"/>
      <c r="L753" s="329"/>
      <c r="M753" s="329"/>
      <c r="N753" s="329"/>
      <c r="O753" s="329"/>
      <c r="P753" s="331"/>
      <c r="Q753" s="332"/>
      <c r="R753" s="332"/>
      <c r="S753" s="331"/>
      <c r="T753" s="331"/>
      <c r="U753" s="333" t="s">
        <v>539</v>
      </c>
      <c r="V753" s="333">
        <v>15</v>
      </c>
      <c r="W753" s="333">
        <v>5</v>
      </c>
      <c r="X753" s="328">
        <v>0.7</v>
      </c>
      <c r="Y753" s="328">
        <v>0.7</v>
      </c>
      <c r="Z753" s="328">
        <v>0.7</v>
      </c>
      <c r="AA753" s="328">
        <v>1700</v>
      </c>
      <c r="AB753" s="328" t="s">
        <v>612</v>
      </c>
      <c r="AC753" s="328">
        <v>0.85</v>
      </c>
      <c r="AD753" s="156"/>
      <c r="AE753" s="334"/>
    </row>
    <row r="754" spans="1:31" ht="15" customHeight="1">
      <c r="A754" s="329"/>
      <c r="B754" s="329"/>
      <c r="C754" s="329"/>
      <c r="D754" s="329"/>
      <c r="E754" s="329"/>
      <c r="F754" s="330"/>
      <c r="G754" s="329"/>
      <c r="H754" s="329"/>
      <c r="I754" s="329"/>
      <c r="J754" s="329"/>
      <c r="K754" s="329"/>
      <c r="L754" s="329"/>
      <c r="M754" s="329"/>
      <c r="N754" s="329"/>
      <c r="O754" s="329"/>
      <c r="P754" s="331"/>
      <c r="Q754" s="332"/>
      <c r="R754" s="332"/>
      <c r="S754" s="331"/>
      <c r="T754" s="331"/>
      <c r="U754" s="333" t="s">
        <v>539</v>
      </c>
      <c r="V754" s="333">
        <v>15</v>
      </c>
      <c r="W754" s="333">
        <v>5</v>
      </c>
      <c r="X754" s="328">
        <v>0.7</v>
      </c>
      <c r="Y754" s="328">
        <v>0.7</v>
      </c>
      <c r="Z754" s="328">
        <v>0.7</v>
      </c>
      <c r="AA754" s="328">
        <v>1700</v>
      </c>
      <c r="AB754" s="328" t="s">
        <v>612</v>
      </c>
      <c r="AC754" s="328">
        <v>0.85</v>
      </c>
      <c r="AD754" s="156"/>
      <c r="AE754" s="334"/>
    </row>
    <row r="755" spans="1:31" ht="15" customHeight="1">
      <c r="A755" s="329"/>
      <c r="B755" s="329"/>
      <c r="C755" s="329"/>
      <c r="D755" s="329"/>
      <c r="E755" s="329"/>
      <c r="F755" s="330"/>
      <c r="G755" s="329"/>
      <c r="H755" s="329"/>
      <c r="I755" s="329"/>
      <c r="J755" s="329"/>
      <c r="K755" s="329"/>
      <c r="L755" s="329"/>
      <c r="M755" s="329"/>
      <c r="N755" s="329"/>
      <c r="O755" s="329"/>
      <c r="P755" s="331"/>
      <c r="Q755" s="332"/>
      <c r="R755" s="332"/>
      <c r="S755" s="331"/>
      <c r="T755" s="331"/>
      <c r="U755" s="333" t="s">
        <v>539</v>
      </c>
      <c r="V755" s="333">
        <v>15</v>
      </c>
      <c r="W755" s="333">
        <v>5</v>
      </c>
      <c r="X755" s="328">
        <v>0.7</v>
      </c>
      <c r="Y755" s="328">
        <v>0.7</v>
      </c>
      <c r="Z755" s="328">
        <v>0.7</v>
      </c>
      <c r="AA755" s="328">
        <v>1700</v>
      </c>
      <c r="AB755" s="328" t="s">
        <v>612</v>
      </c>
      <c r="AC755" s="328">
        <v>0.85</v>
      </c>
      <c r="AD755" s="156"/>
      <c r="AE755" s="334"/>
    </row>
    <row r="756" spans="1:31" ht="15" customHeight="1">
      <c r="A756" s="329"/>
      <c r="B756" s="329"/>
      <c r="C756" s="329"/>
      <c r="D756" s="329"/>
      <c r="E756" s="329"/>
      <c r="F756" s="330"/>
      <c r="G756" s="329"/>
      <c r="H756" s="329"/>
      <c r="I756" s="329"/>
      <c r="J756" s="329"/>
      <c r="K756" s="329"/>
      <c r="L756" s="329"/>
      <c r="M756" s="329"/>
      <c r="N756" s="329"/>
      <c r="O756" s="329"/>
      <c r="P756" s="331"/>
      <c r="Q756" s="332"/>
      <c r="R756" s="332"/>
      <c r="S756" s="331"/>
      <c r="T756" s="331"/>
      <c r="U756" s="333" t="s">
        <v>539</v>
      </c>
      <c r="V756" s="333">
        <v>15</v>
      </c>
      <c r="W756" s="333">
        <v>5</v>
      </c>
      <c r="X756" s="328">
        <v>0.7</v>
      </c>
      <c r="Y756" s="328">
        <v>0.7</v>
      </c>
      <c r="Z756" s="328">
        <v>0.7</v>
      </c>
      <c r="AA756" s="328">
        <v>1700</v>
      </c>
      <c r="AB756" s="328" t="s">
        <v>612</v>
      </c>
      <c r="AC756" s="328">
        <v>0.85</v>
      </c>
      <c r="AD756" s="156"/>
      <c r="AE756" s="334"/>
    </row>
    <row r="757" spans="1:31" ht="15" customHeight="1">
      <c r="A757" s="329"/>
      <c r="B757" s="329"/>
      <c r="C757" s="329"/>
      <c r="D757" s="329"/>
      <c r="E757" s="329"/>
      <c r="F757" s="330"/>
      <c r="G757" s="329"/>
      <c r="H757" s="329"/>
      <c r="I757" s="329"/>
      <c r="J757" s="329"/>
      <c r="K757" s="329"/>
      <c r="L757" s="329"/>
      <c r="M757" s="329"/>
      <c r="N757" s="329"/>
      <c r="O757" s="329"/>
      <c r="P757" s="331"/>
      <c r="Q757" s="332"/>
      <c r="R757" s="332"/>
      <c r="S757" s="331"/>
      <c r="T757" s="331"/>
      <c r="U757" s="333" t="s">
        <v>539</v>
      </c>
      <c r="V757" s="333">
        <v>15</v>
      </c>
      <c r="W757" s="333">
        <v>5</v>
      </c>
      <c r="X757" s="328">
        <v>0.7</v>
      </c>
      <c r="Y757" s="328">
        <v>0.7</v>
      </c>
      <c r="Z757" s="328">
        <v>0.7</v>
      </c>
      <c r="AA757" s="328">
        <v>1700</v>
      </c>
      <c r="AB757" s="328" t="s">
        <v>612</v>
      </c>
      <c r="AC757" s="328">
        <v>0.85</v>
      </c>
      <c r="AD757" s="156"/>
      <c r="AE757" s="334"/>
    </row>
    <row r="758" spans="1:31" ht="15" customHeight="1">
      <c r="A758" s="329"/>
      <c r="B758" s="329"/>
      <c r="C758" s="329"/>
      <c r="D758" s="329"/>
      <c r="E758" s="329"/>
      <c r="F758" s="330"/>
      <c r="G758" s="329"/>
      <c r="H758" s="329"/>
      <c r="I758" s="329"/>
      <c r="J758" s="329"/>
      <c r="K758" s="329"/>
      <c r="L758" s="329"/>
      <c r="M758" s="329"/>
      <c r="N758" s="329"/>
      <c r="O758" s="329"/>
      <c r="P758" s="331"/>
      <c r="Q758" s="332"/>
      <c r="R758" s="332"/>
      <c r="S758" s="331"/>
      <c r="T758" s="331"/>
      <c r="U758" s="333" t="s">
        <v>539</v>
      </c>
      <c r="V758" s="333">
        <v>15</v>
      </c>
      <c r="W758" s="333">
        <v>5</v>
      </c>
      <c r="X758" s="328">
        <v>0.7</v>
      </c>
      <c r="Y758" s="328">
        <v>0.7</v>
      </c>
      <c r="Z758" s="328">
        <v>0.7</v>
      </c>
      <c r="AA758" s="328">
        <v>1700</v>
      </c>
      <c r="AB758" s="328" t="s">
        <v>612</v>
      </c>
      <c r="AC758" s="328">
        <v>0.85</v>
      </c>
      <c r="AD758" s="156"/>
      <c r="AE758" s="334"/>
    </row>
    <row r="759" spans="1:31" ht="15" customHeight="1">
      <c r="A759" s="329"/>
      <c r="B759" s="329"/>
      <c r="C759" s="329"/>
      <c r="D759" s="329"/>
      <c r="E759" s="329"/>
      <c r="F759" s="330"/>
      <c r="G759" s="329"/>
      <c r="H759" s="329"/>
      <c r="I759" s="329"/>
      <c r="J759" s="329"/>
      <c r="K759" s="329"/>
      <c r="L759" s="329"/>
      <c r="M759" s="329"/>
      <c r="N759" s="329"/>
      <c r="O759" s="329"/>
      <c r="P759" s="331"/>
      <c r="Q759" s="332"/>
      <c r="R759" s="332"/>
      <c r="S759" s="331"/>
      <c r="T759" s="331"/>
      <c r="U759" s="333" t="s">
        <v>539</v>
      </c>
      <c r="V759" s="333">
        <v>15</v>
      </c>
      <c r="W759" s="333">
        <v>5</v>
      </c>
      <c r="X759" s="328">
        <v>0.7</v>
      </c>
      <c r="Y759" s="328">
        <v>0.7</v>
      </c>
      <c r="Z759" s="328">
        <v>0.7</v>
      </c>
      <c r="AA759" s="328">
        <v>1700</v>
      </c>
      <c r="AB759" s="328" t="s">
        <v>612</v>
      </c>
      <c r="AC759" s="328">
        <v>0.85</v>
      </c>
      <c r="AD759" s="156"/>
      <c r="AE759" s="334"/>
    </row>
    <row r="760" spans="1:31" ht="15" customHeight="1">
      <c r="A760" s="329"/>
      <c r="B760" s="329"/>
      <c r="C760" s="329"/>
      <c r="D760" s="329"/>
      <c r="E760" s="329"/>
      <c r="F760" s="330"/>
      <c r="G760" s="329"/>
      <c r="H760" s="329"/>
      <c r="I760" s="329"/>
      <c r="J760" s="329"/>
      <c r="K760" s="329"/>
      <c r="L760" s="329"/>
      <c r="M760" s="329"/>
      <c r="N760" s="329"/>
      <c r="O760" s="329"/>
      <c r="P760" s="331"/>
      <c r="Q760" s="332"/>
      <c r="R760" s="332"/>
      <c r="S760" s="331"/>
      <c r="T760" s="331"/>
      <c r="U760" s="333" t="s">
        <v>539</v>
      </c>
      <c r="V760" s="333">
        <v>15</v>
      </c>
      <c r="W760" s="333">
        <v>5</v>
      </c>
      <c r="X760" s="328">
        <v>0.7</v>
      </c>
      <c r="Y760" s="328">
        <v>0.7</v>
      </c>
      <c r="Z760" s="328">
        <v>0.7</v>
      </c>
      <c r="AA760" s="328">
        <v>1700</v>
      </c>
      <c r="AB760" s="328" t="s">
        <v>612</v>
      </c>
      <c r="AC760" s="328">
        <v>0.85</v>
      </c>
      <c r="AD760" s="156"/>
      <c r="AE760" s="334"/>
    </row>
    <row r="761" spans="1:31" ht="15" customHeight="1">
      <c r="A761" s="329"/>
      <c r="B761" s="329"/>
      <c r="C761" s="329"/>
      <c r="D761" s="329"/>
      <c r="E761" s="329"/>
      <c r="F761" s="330"/>
      <c r="G761" s="329"/>
      <c r="H761" s="329"/>
      <c r="I761" s="329"/>
      <c r="J761" s="329"/>
      <c r="K761" s="329"/>
      <c r="L761" s="329"/>
      <c r="M761" s="329"/>
      <c r="N761" s="329"/>
      <c r="O761" s="329"/>
      <c r="P761" s="331"/>
      <c r="Q761" s="332"/>
      <c r="R761" s="332"/>
      <c r="S761" s="331"/>
      <c r="T761" s="331"/>
      <c r="U761" s="333" t="s">
        <v>539</v>
      </c>
      <c r="V761" s="333">
        <v>15</v>
      </c>
      <c r="W761" s="333">
        <v>5</v>
      </c>
      <c r="X761" s="328">
        <v>0.7</v>
      </c>
      <c r="Y761" s="328">
        <v>0.7</v>
      </c>
      <c r="Z761" s="328">
        <v>0.7</v>
      </c>
      <c r="AA761" s="328">
        <v>1700</v>
      </c>
      <c r="AB761" s="328" t="s">
        <v>612</v>
      </c>
      <c r="AC761" s="328">
        <v>0.85</v>
      </c>
      <c r="AD761" s="156"/>
      <c r="AE761" s="334"/>
    </row>
    <row r="762" spans="1:31" ht="15" customHeight="1">
      <c r="A762" s="329"/>
      <c r="B762" s="329"/>
      <c r="C762" s="329"/>
      <c r="D762" s="329"/>
      <c r="E762" s="329"/>
      <c r="F762" s="330"/>
      <c r="G762" s="329"/>
      <c r="H762" s="329"/>
      <c r="I762" s="329"/>
      <c r="J762" s="329"/>
      <c r="K762" s="329"/>
      <c r="L762" s="329"/>
      <c r="M762" s="329"/>
      <c r="N762" s="329"/>
      <c r="O762" s="329"/>
      <c r="P762" s="331"/>
      <c r="Q762" s="332"/>
      <c r="R762" s="332"/>
      <c r="S762" s="331"/>
      <c r="T762" s="331"/>
      <c r="U762" s="333" t="s">
        <v>539</v>
      </c>
      <c r="V762" s="333">
        <v>15</v>
      </c>
      <c r="W762" s="333">
        <v>5</v>
      </c>
      <c r="X762" s="328">
        <v>0.7</v>
      </c>
      <c r="Y762" s="328">
        <v>0.7</v>
      </c>
      <c r="Z762" s="328">
        <v>0.7</v>
      </c>
      <c r="AA762" s="328">
        <v>1700</v>
      </c>
      <c r="AB762" s="328" t="s">
        <v>612</v>
      </c>
      <c r="AC762" s="328">
        <v>0.85</v>
      </c>
      <c r="AD762" s="156"/>
      <c r="AE762" s="334"/>
    </row>
    <row r="763" spans="1:31" ht="15" customHeight="1">
      <c r="A763" s="329"/>
      <c r="B763" s="329"/>
      <c r="C763" s="329"/>
      <c r="D763" s="329"/>
      <c r="E763" s="329"/>
      <c r="F763" s="330"/>
      <c r="G763" s="329"/>
      <c r="H763" s="329"/>
      <c r="I763" s="329"/>
      <c r="J763" s="329"/>
      <c r="K763" s="329"/>
      <c r="L763" s="329"/>
      <c r="M763" s="329"/>
      <c r="N763" s="329"/>
      <c r="O763" s="329"/>
      <c r="P763" s="331"/>
      <c r="Q763" s="332"/>
      <c r="R763" s="332"/>
      <c r="S763" s="331"/>
      <c r="T763" s="331"/>
      <c r="U763" s="333" t="s">
        <v>539</v>
      </c>
      <c r="V763" s="333">
        <v>15</v>
      </c>
      <c r="W763" s="333">
        <v>5</v>
      </c>
      <c r="X763" s="328">
        <v>0.7</v>
      </c>
      <c r="Y763" s="328">
        <v>0.7</v>
      </c>
      <c r="Z763" s="328">
        <v>0.7</v>
      </c>
      <c r="AA763" s="328">
        <v>1700</v>
      </c>
      <c r="AB763" s="328" t="s">
        <v>612</v>
      </c>
      <c r="AC763" s="328">
        <v>0.85</v>
      </c>
      <c r="AD763" s="156"/>
      <c r="AE763" s="334"/>
    </row>
    <row r="764" spans="1:31" ht="15" customHeight="1">
      <c r="A764" s="329"/>
      <c r="B764" s="329"/>
      <c r="C764" s="329"/>
      <c r="D764" s="329"/>
      <c r="E764" s="329"/>
      <c r="F764" s="330"/>
      <c r="G764" s="329"/>
      <c r="H764" s="329"/>
      <c r="I764" s="329"/>
      <c r="J764" s="329"/>
      <c r="K764" s="329"/>
      <c r="L764" s="329"/>
      <c r="M764" s="329"/>
      <c r="N764" s="329"/>
      <c r="O764" s="329"/>
      <c r="P764" s="331"/>
      <c r="Q764" s="332"/>
      <c r="R764" s="332"/>
      <c r="S764" s="331"/>
      <c r="T764" s="331"/>
      <c r="U764" s="333" t="s">
        <v>539</v>
      </c>
      <c r="V764" s="333">
        <v>15</v>
      </c>
      <c r="W764" s="333">
        <v>5</v>
      </c>
      <c r="X764" s="328">
        <v>0.7</v>
      </c>
      <c r="Y764" s="328">
        <v>0.7</v>
      </c>
      <c r="Z764" s="328">
        <v>0.7</v>
      </c>
      <c r="AA764" s="328">
        <v>1700</v>
      </c>
      <c r="AB764" s="328" t="s">
        <v>612</v>
      </c>
      <c r="AC764" s="328">
        <v>0.85</v>
      </c>
      <c r="AD764" s="241"/>
      <c r="AE764" s="334"/>
    </row>
    <row r="765" spans="1:31" ht="15" customHeight="1">
      <c r="A765" s="329"/>
      <c r="B765" s="329"/>
      <c r="C765" s="329"/>
      <c r="D765" s="329"/>
      <c r="E765" s="329"/>
      <c r="F765" s="330"/>
      <c r="G765" s="329"/>
      <c r="H765" s="329"/>
      <c r="I765" s="329"/>
      <c r="J765" s="329"/>
      <c r="K765" s="329"/>
      <c r="L765" s="329"/>
      <c r="M765" s="329"/>
      <c r="N765" s="329"/>
      <c r="O765" s="329"/>
      <c r="P765" s="331"/>
      <c r="Q765" s="332"/>
      <c r="R765" s="332"/>
      <c r="S765" s="331"/>
      <c r="T765" s="331"/>
      <c r="U765" s="333" t="s">
        <v>539</v>
      </c>
      <c r="V765" s="333">
        <v>15</v>
      </c>
      <c r="W765" s="333">
        <v>5</v>
      </c>
      <c r="X765" s="328">
        <v>0.7</v>
      </c>
      <c r="Y765" s="328">
        <v>0.7</v>
      </c>
      <c r="Z765" s="328">
        <v>0.7</v>
      </c>
      <c r="AA765" s="328">
        <v>1700</v>
      </c>
      <c r="AB765" s="328" t="s">
        <v>612</v>
      </c>
      <c r="AC765" s="328">
        <v>0.85</v>
      </c>
      <c r="AD765" s="241"/>
      <c r="AE765" s="334"/>
    </row>
    <row r="766" spans="1:31" ht="15" customHeight="1">
      <c r="A766" s="329"/>
      <c r="B766" s="329"/>
      <c r="C766" s="329"/>
      <c r="D766" s="329"/>
      <c r="E766" s="329"/>
      <c r="F766" s="330"/>
      <c r="G766" s="329"/>
      <c r="H766" s="329"/>
      <c r="I766" s="329"/>
      <c r="J766" s="329"/>
      <c r="K766" s="329"/>
      <c r="L766" s="329"/>
      <c r="M766" s="329"/>
      <c r="N766" s="329"/>
      <c r="O766" s="329"/>
      <c r="P766" s="331"/>
      <c r="Q766" s="332"/>
      <c r="R766" s="332"/>
      <c r="S766" s="331"/>
      <c r="T766" s="331"/>
      <c r="U766" s="333" t="s">
        <v>539</v>
      </c>
      <c r="V766" s="333">
        <v>15</v>
      </c>
      <c r="W766" s="333">
        <v>5</v>
      </c>
      <c r="X766" s="328">
        <v>0.7</v>
      </c>
      <c r="Y766" s="328">
        <v>0.7</v>
      </c>
      <c r="Z766" s="328">
        <v>0.7</v>
      </c>
      <c r="AA766" s="328">
        <v>1700</v>
      </c>
      <c r="AB766" s="328" t="s">
        <v>612</v>
      </c>
      <c r="AC766" s="328">
        <v>0.85</v>
      </c>
      <c r="AD766" s="241"/>
      <c r="AE766" s="334"/>
    </row>
    <row r="767" spans="1:31" ht="15" customHeight="1">
      <c r="A767" s="329"/>
      <c r="B767" s="329"/>
      <c r="C767" s="329"/>
      <c r="D767" s="329"/>
      <c r="E767" s="329"/>
      <c r="F767" s="330"/>
      <c r="G767" s="329"/>
      <c r="H767" s="329"/>
      <c r="I767" s="329"/>
      <c r="J767" s="329"/>
      <c r="K767" s="329"/>
      <c r="L767" s="329"/>
      <c r="M767" s="329"/>
      <c r="N767" s="329"/>
      <c r="O767" s="329"/>
      <c r="P767" s="331"/>
      <c r="Q767" s="332"/>
      <c r="R767" s="332"/>
      <c r="S767" s="331"/>
      <c r="T767" s="331"/>
      <c r="U767" s="333" t="s">
        <v>539</v>
      </c>
      <c r="V767" s="333">
        <v>15</v>
      </c>
      <c r="W767" s="333">
        <v>5</v>
      </c>
      <c r="X767" s="328">
        <v>0.7</v>
      </c>
      <c r="Y767" s="328">
        <v>0.7</v>
      </c>
      <c r="Z767" s="328">
        <v>0.7</v>
      </c>
      <c r="AA767" s="328">
        <v>1700</v>
      </c>
      <c r="AB767" s="328" t="s">
        <v>612</v>
      </c>
      <c r="AC767" s="328">
        <v>0.85</v>
      </c>
      <c r="AD767" s="241"/>
      <c r="AE767" s="334"/>
    </row>
    <row r="768" spans="1:31" ht="15" customHeight="1">
      <c r="A768" s="329"/>
      <c r="B768" s="329"/>
      <c r="C768" s="329"/>
      <c r="D768" s="329"/>
      <c r="E768" s="329"/>
      <c r="F768" s="330"/>
      <c r="G768" s="329"/>
      <c r="H768" s="329"/>
      <c r="I768" s="329"/>
      <c r="J768" s="329"/>
      <c r="K768" s="329"/>
      <c r="L768" s="329"/>
      <c r="M768" s="329"/>
      <c r="N768" s="329"/>
      <c r="O768" s="329"/>
      <c r="P768" s="331"/>
      <c r="Q768" s="332"/>
      <c r="R768" s="332"/>
      <c r="S768" s="331"/>
      <c r="T768" s="331"/>
      <c r="U768" s="333" t="s">
        <v>553</v>
      </c>
      <c r="V768" s="333">
        <v>15</v>
      </c>
      <c r="W768" s="333">
        <v>5</v>
      </c>
      <c r="X768" s="328">
        <v>0.7</v>
      </c>
      <c r="Y768" s="328">
        <v>0.7</v>
      </c>
      <c r="Z768" s="328">
        <v>0.7</v>
      </c>
      <c r="AA768" s="328">
        <v>1700</v>
      </c>
      <c r="AB768" s="328" t="s">
        <v>612</v>
      </c>
      <c r="AC768" s="328">
        <v>0.85</v>
      </c>
      <c r="AD768" s="241"/>
      <c r="AE768" s="334"/>
    </row>
    <row r="769" spans="1:31" ht="15" customHeight="1">
      <c r="A769" s="329"/>
      <c r="B769" s="329"/>
      <c r="C769" s="329"/>
      <c r="D769" s="329"/>
      <c r="E769" s="329"/>
      <c r="F769" s="330"/>
      <c r="G769" s="329"/>
      <c r="H769" s="329"/>
      <c r="I769" s="329"/>
      <c r="J769" s="329"/>
      <c r="K769" s="329"/>
      <c r="L769" s="329"/>
      <c r="M769" s="329"/>
      <c r="N769" s="329"/>
      <c r="O769" s="329"/>
      <c r="P769" s="331"/>
      <c r="Q769" s="332"/>
      <c r="R769" s="332"/>
      <c r="S769" s="331"/>
      <c r="T769" s="331"/>
      <c r="U769" s="333" t="s">
        <v>539</v>
      </c>
      <c r="V769" s="333">
        <v>15</v>
      </c>
      <c r="W769" s="333">
        <v>5</v>
      </c>
      <c r="X769" s="328">
        <v>0.7</v>
      </c>
      <c r="Y769" s="328">
        <v>0.7</v>
      </c>
      <c r="Z769" s="328">
        <v>0.7</v>
      </c>
      <c r="AA769" s="328">
        <v>1700</v>
      </c>
      <c r="AB769" s="328" t="s">
        <v>612</v>
      </c>
      <c r="AC769" s="328">
        <v>0.85</v>
      </c>
      <c r="AD769" s="241"/>
      <c r="AE769" s="334"/>
    </row>
    <row r="770" spans="1:31" ht="15" customHeight="1">
      <c r="A770" s="329"/>
      <c r="B770" s="329"/>
      <c r="C770" s="329"/>
      <c r="D770" s="329"/>
      <c r="E770" s="329"/>
      <c r="F770" s="330"/>
      <c r="G770" s="329"/>
      <c r="H770" s="329"/>
      <c r="I770" s="329"/>
      <c r="J770" s="329"/>
      <c r="K770" s="329"/>
      <c r="L770" s="329"/>
      <c r="M770" s="329"/>
      <c r="N770" s="329"/>
      <c r="O770" s="329"/>
      <c r="P770" s="331"/>
      <c r="Q770" s="332"/>
      <c r="R770" s="332"/>
      <c r="S770" s="331"/>
      <c r="T770" s="331"/>
      <c r="U770" s="333" t="s">
        <v>539</v>
      </c>
      <c r="V770" s="333">
        <v>15</v>
      </c>
      <c r="W770" s="333">
        <v>5</v>
      </c>
      <c r="X770" s="328">
        <v>0.7</v>
      </c>
      <c r="Y770" s="328">
        <v>0.7</v>
      </c>
      <c r="Z770" s="328">
        <v>0.7</v>
      </c>
      <c r="AA770" s="328">
        <v>1700</v>
      </c>
      <c r="AB770" s="328" t="s">
        <v>612</v>
      </c>
      <c r="AC770" s="328">
        <v>0.85</v>
      </c>
      <c r="AD770" s="241"/>
      <c r="AE770" s="334"/>
    </row>
    <row r="771" spans="1:31" ht="15" customHeight="1">
      <c r="A771" s="329"/>
      <c r="B771" s="329"/>
      <c r="C771" s="329"/>
      <c r="D771" s="329"/>
      <c r="E771" s="329"/>
      <c r="F771" s="330"/>
      <c r="G771" s="329"/>
      <c r="H771" s="329"/>
      <c r="I771" s="329"/>
      <c r="J771" s="329"/>
      <c r="K771" s="329"/>
      <c r="L771" s="329"/>
      <c r="M771" s="329"/>
      <c r="N771" s="329"/>
      <c r="O771" s="329"/>
      <c r="P771" s="331"/>
      <c r="Q771" s="332"/>
      <c r="R771" s="332"/>
      <c r="S771" s="331"/>
      <c r="T771" s="331"/>
      <c r="U771" s="333" t="s">
        <v>539</v>
      </c>
      <c r="V771" s="333">
        <v>15</v>
      </c>
      <c r="W771" s="333">
        <v>5</v>
      </c>
      <c r="X771" s="328">
        <v>0.7</v>
      </c>
      <c r="Y771" s="328">
        <v>0.7</v>
      </c>
      <c r="Z771" s="328">
        <v>0.7</v>
      </c>
      <c r="AA771" s="328">
        <v>1700</v>
      </c>
      <c r="AB771" s="328" t="s">
        <v>612</v>
      </c>
      <c r="AC771" s="328">
        <v>0.85</v>
      </c>
      <c r="AD771" s="241"/>
      <c r="AE771" s="334"/>
    </row>
    <row r="772" spans="1:31" ht="15" customHeight="1">
      <c r="A772" s="329"/>
      <c r="B772" s="329"/>
      <c r="C772" s="329"/>
      <c r="D772" s="329"/>
      <c r="E772" s="329"/>
      <c r="F772" s="330"/>
      <c r="G772" s="329"/>
      <c r="H772" s="329"/>
      <c r="I772" s="329"/>
      <c r="J772" s="329"/>
      <c r="K772" s="329"/>
      <c r="L772" s="329"/>
      <c r="M772" s="329"/>
      <c r="N772" s="329"/>
      <c r="O772" s="329"/>
      <c r="P772" s="331"/>
      <c r="Q772" s="332"/>
      <c r="R772" s="332"/>
      <c r="S772" s="331"/>
      <c r="T772" s="331"/>
      <c r="U772" s="333" t="s">
        <v>539</v>
      </c>
      <c r="V772" s="333">
        <v>15</v>
      </c>
      <c r="W772" s="333">
        <v>5</v>
      </c>
      <c r="X772" s="328">
        <v>0.7</v>
      </c>
      <c r="Y772" s="328">
        <v>0.7</v>
      </c>
      <c r="Z772" s="328">
        <v>0.7</v>
      </c>
      <c r="AA772" s="328">
        <v>1700</v>
      </c>
      <c r="AB772" s="328" t="s">
        <v>612</v>
      </c>
      <c r="AC772" s="328">
        <v>0.85</v>
      </c>
      <c r="AD772" s="241"/>
      <c r="AE772" s="334"/>
    </row>
    <row r="773" spans="1:31" ht="15" customHeight="1">
      <c r="A773" s="329"/>
      <c r="B773" s="329"/>
      <c r="C773" s="329"/>
      <c r="D773" s="329"/>
      <c r="E773" s="329"/>
      <c r="F773" s="330"/>
      <c r="G773" s="329"/>
      <c r="H773" s="329"/>
      <c r="I773" s="329"/>
      <c r="J773" s="329"/>
      <c r="K773" s="329"/>
      <c r="L773" s="329"/>
      <c r="M773" s="329"/>
      <c r="N773" s="329"/>
      <c r="O773" s="329"/>
      <c r="P773" s="331"/>
      <c r="Q773" s="332"/>
      <c r="R773" s="332"/>
      <c r="S773" s="331"/>
      <c r="T773" s="331"/>
      <c r="U773" s="333" t="s">
        <v>539</v>
      </c>
      <c r="V773" s="333">
        <v>15</v>
      </c>
      <c r="W773" s="333">
        <v>5</v>
      </c>
      <c r="X773" s="328">
        <v>0.7</v>
      </c>
      <c r="Y773" s="328">
        <v>0.7</v>
      </c>
      <c r="Z773" s="328">
        <v>0.7</v>
      </c>
      <c r="AA773" s="328">
        <v>1700</v>
      </c>
      <c r="AB773" s="328" t="s">
        <v>612</v>
      </c>
      <c r="AC773" s="328">
        <v>0.85</v>
      </c>
      <c r="AD773" s="241"/>
      <c r="AE773" s="334"/>
    </row>
    <row r="774" spans="1:31" ht="15" customHeight="1">
      <c r="A774" s="329"/>
      <c r="B774" s="329"/>
      <c r="C774" s="329"/>
      <c r="D774" s="329"/>
      <c r="E774" s="329"/>
      <c r="F774" s="330"/>
      <c r="G774" s="329"/>
      <c r="H774" s="329"/>
      <c r="I774" s="329"/>
      <c r="J774" s="329"/>
      <c r="K774" s="329"/>
      <c r="L774" s="329"/>
      <c r="M774" s="329"/>
      <c r="N774" s="329"/>
      <c r="O774" s="329"/>
      <c r="P774" s="331"/>
      <c r="Q774" s="332"/>
      <c r="R774" s="332"/>
      <c r="S774" s="331"/>
      <c r="T774" s="331"/>
      <c r="U774" s="333" t="s">
        <v>539</v>
      </c>
      <c r="V774" s="333">
        <v>15</v>
      </c>
      <c r="W774" s="333">
        <v>5</v>
      </c>
      <c r="X774" s="328">
        <v>0.7</v>
      </c>
      <c r="Y774" s="328">
        <v>0.7</v>
      </c>
      <c r="Z774" s="328">
        <v>0.7</v>
      </c>
      <c r="AA774" s="328">
        <v>1700</v>
      </c>
      <c r="AB774" s="328" t="s">
        <v>612</v>
      </c>
      <c r="AC774" s="328">
        <v>0.85</v>
      </c>
      <c r="AD774" s="241"/>
      <c r="AE774" s="334"/>
    </row>
    <row r="775" spans="1:31" ht="15" customHeight="1">
      <c r="A775" s="329"/>
      <c r="B775" s="329"/>
      <c r="C775" s="329"/>
      <c r="D775" s="329"/>
      <c r="E775" s="329"/>
      <c r="F775" s="330"/>
      <c r="G775" s="329"/>
      <c r="H775" s="329"/>
      <c r="I775" s="329"/>
      <c r="J775" s="329"/>
      <c r="K775" s="329"/>
      <c r="L775" s="329"/>
      <c r="M775" s="329"/>
      <c r="N775" s="329"/>
      <c r="O775" s="329"/>
      <c r="P775" s="331"/>
      <c r="Q775" s="332"/>
      <c r="R775" s="332"/>
      <c r="S775" s="331"/>
      <c r="T775" s="331"/>
      <c r="U775" s="333" t="s">
        <v>539</v>
      </c>
      <c r="V775" s="333">
        <v>15</v>
      </c>
      <c r="W775" s="333">
        <v>5</v>
      </c>
      <c r="X775" s="328">
        <v>0.7</v>
      </c>
      <c r="Y775" s="328">
        <v>0.7</v>
      </c>
      <c r="Z775" s="328">
        <v>0.7</v>
      </c>
      <c r="AA775" s="328">
        <v>1700</v>
      </c>
      <c r="AB775" s="328" t="s">
        <v>612</v>
      </c>
      <c r="AC775" s="328">
        <v>0.85</v>
      </c>
      <c r="AD775" s="241"/>
      <c r="AE775" s="334"/>
    </row>
    <row r="776" spans="1:31" ht="15" customHeight="1">
      <c r="A776" s="329"/>
      <c r="B776" s="329"/>
      <c r="C776" s="329"/>
      <c r="D776" s="329"/>
      <c r="E776" s="329"/>
      <c r="F776" s="330"/>
      <c r="G776" s="329"/>
      <c r="H776" s="329"/>
      <c r="I776" s="329"/>
      <c r="J776" s="329"/>
      <c r="K776" s="329"/>
      <c r="L776" s="329"/>
      <c r="M776" s="329"/>
      <c r="N776" s="329"/>
      <c r="O776" s="329"/>
      <c r="P776" s="331"/>
      <c r="Q776" s="332"/>
      <c r="R776" s="332"/>
      <c r="S776" s="331"/>
      <c r="T776" s="331"/>
      <c r="U776" s="333" t="s">
        <v>539</v>
      </c>
      <c r="V776" s="333">
        <v>15</v>
      </c>
      <c r="W776" s="333">
        <v>5</v>
      </c>
      <c r="X776" s="328">
        <v>0.7</v>
      </c>
      <c r="Y776" s="328">
        <v>0.7</v>
      </c>
      <c r="Z776" s="328">
        <v>0.7</v>
      </c>
      <c r="AA776" s="328">
        <v>1700</v>
      </c>
      <c r="AB776" s="328" t="s">
        <v>612</v>
      </c>
      <c r="AC776" s="328">
        <v>0.85</v>
      </c>
      <c r="AD776" s="241"/>
      <c r="AE776" s="334"/>
    </row>
    <row r="777" spans="1:31" ht="15" customHeight="1">
      <c r="A777" s="329"/>
      <c r="B777" s="329"/>
      <c r="C777" s="329"/>
      <c r="D777" s="329"/>
      <c r="E777" s="329"/>
      <c r="F777" s="330"/>
      <c r="G777" s="329"/>
      <c r="H777" s="329"/>
      <c r="I777" s="329"/>
      <c r="J777" s="329"/>
      <c r="K777" s="329"/>
      <c r="L777" s="329"/>
      <c r="M777" s="329"/>
      <c r="N777" s="329"/>
      <c r="O777" s="329"/>
      <c r="P777" s="331"/>
      <c r="Q777" s="332"/>
      <c r="R777" s="332"/>
      <c r="S777" s="331"/>
      <c r="T777" s="331"/>
      <c r="U777" s="333" t="s">
        <v>539</v>
      </c>
      <c r="V777" s="333">
        <v>15</v>
      </c>
      <c r="W777" s="333">
        <v>5</v>
      </c>
      <c r="X777" s="328">
        <v>0.7</v>
      </c>
      <c r="Y777" s="328">
        <v>0.7</v>
      </c>
      <c r="Z777" s="328">
        <v>0.7</v>
      </c>
      <c r="AA777" s="328">
        <v>1700</v>
      </c>
      <c r="AB777" s="328" t="s">
        <v>612</v>
      </c>
      <c r="AC777" s="328">
        <v>0.85</v>
      </c>
      <c r="AD777" s="241"/>
      <c r="AE777" s="334"/>
    </row>
    <row r="778" spans="1:31" ht="15" customHeight="1">
      <c r="A778" s="329"/>
      <c r="B778" s="329"/>
      <c r="C778" s="329"/>
      <c r="D778" s="329"/>
      <c r="E778" s="329"/>
      <c r="F778" s="330"/>
      <c r="G778" s="329"/>
      <c r="H778" s="329"/>
      <c r="I778" s="329"/>
      <c r="J778" s="329"/>
      <c r="K778" s="329"/>
      <c r="L778" s="329"/>
      <c r="M778" s="329"/>
      <c r="N778" s="329"/>
      <c r="O778" s="329"/>
      <c r="P778" s="331"/>
      <c r="Q778" s="332"/>
      <c r="R778" s="332"/>
      <c r="S778" s="331"/>
      <c r="T778" s="331"/>
      <c r="U778" s="333" t="s">
        <v>539</v>
      </c>
      <c r="V778" s="333">
        <v>15</v>
      </c>
      <c r="W778" s="333">
        <v>5</v>
      </c>
      <c r="X778" s="328">
        <v>0.7</v>
      </c>
      <c r="Y778" s="328">
        <v>0.7</v>
      </c>
      <c r="Z778" s="328">
        <v>0.7</v>
      </c>
      <c r="AA778" s="328">
        <v>1700</v>
      </c>
      <c r="AB778" s="328" t="s">
        <v>612</v>
      </c>
      <c r="AC778" s="328">
        <v>0.85</v>
      </c>
      <c r="AD778" s="241"/>
      <c r="AE778" s="334"/>
    </row>
    <row r="779" spans="1:31" ht="15" customHeight="1">
      <c r="A779" s="329"/>
      <c r="B779" s="329"/>
      <c r="C779" s="329"/>
      <c r="D779" s="329"/>
      <c r="E779" s="329"/>
      <c r="F779" s="330"/>
      <c r="G779" s="329"/>
      <c r="H779" s="329"/>
      <c r="I779" s="329"/>
      <c r="J779" s="329"/>
      <c r="K779" s="329"/>
      <c r="L779" s="329"/>
      <c r="M779" s="329"/>
      <c r="N779" s="329"/>
      <c r="O779" s="329"/>
      <c r="P779" s="331"/>
      <c r="Q779" s="332"/>
      <c r="R779" s="332"/>
      <c r="S779" s="331"/>
      <c r="T779" s="331"/>
      <c r="U779" s="333" t="s">
        <v>539</v>
      </c>
      <c r="V779" s="333">
        <v>15</v>
      </c>
      <c r="W779" s="333">
        <v>5</v>
      </c>
      <c r="X779" s="328">
        <v>0.7</v>
      </c>
      <c r="Y779" s="328">
        <v>0.7</v>
      </c>
      <c r="Z779" s="328">
        <v>0.7</v>
      </c>
      <c r="AA779" s="328">
        <v>1700</v>
      </c>
      <c r="AB779" s="328" t="s">
        <v>612</v>
      </c>
      <c r="AC779" s="328">
        <v>0.85</v>
      </c>
      <c r="AD779" s="241"/>
      <c r="AE779" s="334"/>
    </row>
    <row r="780" spans="1:31" ht="15" customHeight="1">
      <c r="A780" s="329"/>
      <c r="B780" s="329"/>
      <c r="C780" s="329"/>
      <c r="D780" s="329"/>
      <c r="E780" s="329"/>
      <c r="F780" s="330"/>
      <c r="G780" s="329"/>
      <c r="H780" s="329"/>
      <c r="I780" s="329"/>
      <c r="J780" s="329"/>
      <c r="K780" s="329"/>
      <c r="L780" s="329"/>
      <c r="M780" s="329"/>
      <c r="N780" s="329"/>
      <c r="O780" s="329"/>
      <c r="P780" s="331"/>
      <c r="Q780" s="332"/>
      <c r="R780" s="332"/>
      <c r="S780" s="331"/>
      <c r="T780" s="331"/>
      <c r="U780" s="333" t="s">
        <v>539</v>
      </c>
      <c r="V780" s="333">
        <v>15</v>
      </c>
      <c r="W780" s="333">
        <v>5</v>
      </c>
      <c r="X780" s="328">
        <v>0.7</v>
      </c>
      <c r="Y780" s="328">
        <v>0.7</v>
      </c>
      <c r="Z780" s="328">
        <v>0.7</v>
      </c>
      <c r="AA780" s="328">
        <v>1700</v>
      </c>
      <c r="AB780" s="328" t="s">
        <v>612</v>
      </c>
      <c r="AC780" s="328">
        <v>0.85</v>
      </c>
      <c r="AD780" s="241"/>
      <c r="AE780" s="334"/>
    </row>
    <row r="781" spans="1:31" ht="15" customHeight="1">
      <c r="A781" s="329"/>
      <c r="B781" s="329"/>
      <c r="C781" s="329"/>
      <c r="D781" s="329"/>
      <c r="E781" s="329"/>
      <c r="F781" s="330"/>
      <c r="G781" s="329"/>
      <c r="H781" s="329"/>
      <c r="I781" s="329"/>
      <c r="J781" s="329"/>
      <c r="K781" s="329"/>
      <c r="L781" s="329"/>
      <c r="M781" s="329"/>
      <c r="N781" s="329"/>
      <c r="O781" s="329"/>
      <c r="P781" s="331"/>
      <c r="Q781" s="332"/>
      <c r="R781" s="332"/>
      <c r="S781" s="331"/>
      <c r="T781" s="331"/>
      <c r="U781" s="333" t="s">
        <v>539</v>
      </c>
      <c r="V781" s="333">
        <v>15</v>
      </c>
      <c r="W781" s="333">
        <v>5</v>
      </c>
      <c r="X781" s="328">
        <v>0.7</v>
      </c>
      <c r="Y781" s="328">
        <v>0.7</v>
      </c>
      <c r="Z781" s="328">
        <v>0.7</v>
      </c>
      <c r="AA781" s="328">
        <v>1700</v>
      </c>
      <c r="AB781" s="328" t="s">
        <v>612</v>
      </c>
      <c r="AC781" s="328">
        <v>0.85</v>
      </c>
      <c r="AD781" s="241"/>
      <c r="AE781" s="334"/>
    </row>
    <row r="782" spans="1:31" ht="15" customHeight="1">
      <c r="A782" s="329"/>
      <c r="B782" s="329"/>
      <c r="C782" s="329"/>
      <c r="D782" s="329"/>
      <c r="E782" s="329"/>
      <c r="F782" s="330"/>
      <c r="G782" s="329"/>
      <c r="H782" s="329"/>
      <c r="I782" s="329"/>
      <c r="J782" s="329"/>
      <c r="K782" s="329"/>
      <c r="L782" s="329"/>
      <c r="M782" s="329"/>
      <c r="N782" s="329"/>
      <c r="O782" s="329"/>
      <c r="P782" s="331"/>
      <c r="Q782" s="332"/>
      <c r="R782" s="332"/>
      <c r="S782" s="331"/>
      <c r="T782" s="331"/>
      <c r="U782" s="333" t="s">
        <v>553</v>
      </c>
      <c r="V782" s="333">
        <v>15</v>
      </c>
      <c r="W782" s="333">
        <v>5</v>
      </c>
      <c r="X782" s="328">
        <v>0.7</v>
      </c>
      <c r="Y782" s="328">
        <v>0.7</v>
      </c>
      <c r="Z782" s="328">
        <v>0.7</v>
      </c>
      <c r="AA782" s="328">
        <v>1700</v>
      </c>
      <c r="AB782" s="328" t="s">
        <v>612</v>
      </c>
      <c r="AC782" s="328">
        <v>0.85</v>
      </c>
      <c r="AD782" s="241"/>
      <c r="AE782" s="334"/>
    </row>
    <row r="783" spans="1:31" ht="15" customHeight="1">
      <c r="A783" s="329"/>
      <c r="B783" s="329"/>
      <c r="C783" s="329"/>
      <c r="D783" s="329"/>
      <c r="E783" s="329"/>
      <c r="F783" s="330"/>
      <c r="G783" s="329"/>
      <c r="H783" s="329"/>
      <c r="I783" s="329"/>
      <c r="J783" s="329"/>
      <c r="K783" s="329"/>
      <c r="L783" s="329"/>
      <c r="M783" s="329"/>
      <c r="N783" s="329"/>
      <c r="O783" s="329"/>
      <c r="P783" s="331"/>
      <c r="Q783" s="332"/>
      <c r="R783" s="332"/>
      <c r="S783" s="331"/>
      <c r="T783" s="331"/>
      <c r="U783" s="333" t="s">
        <v>539</v>
      </c>
      <c r="V783" s="333">
        <v>15</v>
      </c>
      <c r="W783" s="333">
        <v>5</v>
      </c>
      <c r="X783" s="328">
        <v>0.7</v>
      </c>
      <c r="Y783" s="328">
        <v>0.7</v>
      </c>
      <c r="Z783" s="328">
        <v>0.7</v>
      </c>
      <c r="AA783" s="328">
        <v>1700</v>
      </c>
      <c r="AB783" s="328" t="s">
        <v>612</v>
      </c>
      <c r="AC783" s="328">
        <v>0.85</v>
      </c>
      <c r="AD783" s="241"/>
      <c r="AE783" s="334"/>
    </row>
    <row r="784" spans="1:31" ht="15" customHeight="1">
      <c r="A784" s="329"/>
      <c r="B784" s="329"/>
      <c r="C784" s="329"/>
      <c r="D784" s="329"/>
      <c r="E784" s="329"/>
      <c r="F784" s="330"/>
      <c r="G784" s="329"/>
      <c r="H784" s="329"/>
      <c r="I784" s="329"/>
      <c r="J784" s="329"/>
      <c r="K784" s="329"/>
      <c r="L784" s="329"/>
      <c r="M784" s="329"/>
      <c r="N784" s="329"/>
      <c r="O784" s="329"/>
      <c r="P784" s="331"/>
      <c r="Q784" s="332"/>
      <c r="R784" s="332"/>
      <c r="S784" s="331"/>
      <c r="T784" s="331"/>
      <c r="U784" s="333" t="s">
        <v>539</v>
      </c>
      <c r="V784" s="333">
        <v>15</v>
      </c>
      <c r="W784" s="333">
        <v>5</v>
      </c>
      <c r="X784" s="328">
        <v>0.7</v>
      </c>
      <c r="Y784" s="328">
        <v>0.7</v>
      </c>
      <c r="Z784" s="328">
        <v>0.7</v>
      </c>
      <c r="AA784" s="328">
        <v>1700</v>
      </c>
      <c r="AB784" s="328" t="s">
        <v>612</v>
      </c>
      <c r="AC784" s="328">
        <v>0.85</v>
      </c>
      <c r="AD784" s="241"/>
      <c r="AE784" s="334"/>
    </row>
    <row r="785" spans="1:31" ht="15" customHeight="1">
      <c r="A785" s="329"/>
      <c r="B785" s="329"/>
      <c r="C785" s="329"/>
      <c r="D785" s="329"/>
      <c r="E785" s="329"/>
      <c r="F785" s="330"/>
      <c r="G785" s="329"/>
      <c r="H785" s="329"/>
      <c r="I785" s="329"/>
      <c r="J785" s="329"/>
      <c r="K785" s="329"/>
      <c r="L785" s="329"/>
      <c r="M785" s="329"/>
      <c r="N785" s="329"/>
      <c r="O785" s="329"/>
      <c r="P785" s="331"/>
      <c r="Q785" s="332"/>
      <c r="R785" s="332"/>
      <c r="S785" s="331"/>
      <c r="T785" s="331"/>
      <c r="U785" s="333" t="s">
        <v>539</v>
      </c>
      <c r="V785" s="333">
        <v>15</v>
      </c>
      <c r="W785" s="333">
        <v>5</v>
      </c>
      <c r="X785" s="328">
        <v>0.7</v>
      </c>
      <c r="Y785" s="328">
        <v>0.7</v>
      </c>
      <c r="Z785" s="328">
        <v>0.7</v>
      </c>
      <c r="AA785" s="328">
        <v>1700</v>
      </c>
      <c r="AB785" s="328" t="s">
        <v>612</v>
      </c>
      <c r="AC785" s="328">
        <v>0.85</v>
      </c>
      <c r="AD785" s="241"/>
      <c r="AE785" s="334"/>
    </row>
    <row r="786" spans="1:31" ht="15" customHeight="1">
      <c r="A786" s="329"/>
      <c r="B786" s="329"/>
      <c r="C786" s="329"/>
      <c r="D786" s="329"/>
      <c r="E786" s="329"/>
      <c r="F786" s="330"/>
      <c r="G786" s="329"/>
      <c r="H786" s="329"/>
      <c r="I786" s="329"/>
      <c r="J786" s="329"/>
      <c r="K786" s="329"/>
      <c r="L786" s="329"/>
      <c r="M786" s="329"/>
      <c r="N786" s="329"/>
      <c r="O786" s="329"/>
      <c r="P786" s="331"/>
      <c r="Q786" s="332"/>
      <c r="R786" s="332"/>
      <c r="S786" s="331"/>
      <c r="T786" s="331"/>
      <c r="U786" s="333" t="s">
        <v>539</v>
      </c>
      <c r="V786" s="333">
        <v>15</v>
      </c>
      <c r="W786" s="333">
        <v>5</v>
      </c>
      <c r="X786" s="328">
        <v>0.7</v>
      </c>
      <c r="Y786" s="328">
        <v>0.7</v>
      </c>
      <c r="Z786" s="328">
        <v>0.7</v>
      </c>
      <c r="AA786" s="328">
        <v>1700</v>
      </c>
      <c r="AB786" s="328" t="s">
        <v>612</v>
      </c>
      <c r="AC786" s="328">
        <v>0.85</v>
      </c>
      <c r="AD786" s="241"/>
      <c r="AE786" s="334"/>
    </row>
    <row r="787" spans="1:31" ht="15" customHeight="1">
      <c r="A787" s="329"/>
      <c r="B787" s="329"/>
      <c r="C787" s="329"/>
      <c r="D787" s="329"/>
      <c r="E787" s="329"/>
      <c r="F787" s="330"/>
      <c r="G787" s="329"/>
      <c r="H787" s="329"/>
      <c r="I787" s="329"/>
      <c r="J787" s="329"/>
      <c r="K787" s="329"/>
      <c r="L787" s="329"/>
      <c r="M787" s="329"/>
      <c r="N787" s="329"/>
      <c r="O787" s="329"/>
      <c r="P787" s="331"/>
      <c r="Q787" s="332"/>
      <c r="R787" s="332"/>
      <c r="S787" s="331"/>
      <c r="T787" s="331"/>
      <c r="U787" s="333" t="s">
        <v>539</v>
      </c>
      <c r="V787" s="333">
        <v>15</v>
      </c>
      <c r="W787" s="333">
        <v>5</v>
      </c>
      <c r="X787" s="328">
        <v>0.7</v>
      </c>
      <c r="Y787" s="328">
        <v>0.7</v>
      </c>
      <c r="Z787" s="328">
        <v>0.7</v>
      </c>
      <c r="AA787" s="328">
        <v>1700</v>
      </c>
      <c r="AB787" s="328" t="s">
        <v>612</v>
      </c>
      <c r="AC787" s="328">
        <v>0.85</v>
      </c>
      <c r="AD787" s="241"/>
      <c r="AE787" s="334"/>
    </row>
    <row r="788" spans="1:31" ht="15" customHeight="1">
      <c r="A788" s="329"/>
      <c r="B788" s="329"/>
      <c r="C788" s="329"/>
      <c r="D788" s="329"/>
      <c r="E788" s="329"/>
      <c r="F788" s="330"/>
      <c r="G788" s="329"/>
      <c r="H788" s="329"/>
      <c r="I788" s="329"/>
      <c r="J788" s="329"/>
      <c r="K788" s="329"/>
      <c r="L788" s="329"/>
      <c r="M788" s="329"/>
      <c r="N788" s="329"/>
      <c r="O788" s="329"/>
      <c r="P788" s="331"/>
      <c r="Q788" s="332"/>
      <c r="R788" s="332"/>
      <c r="S788" s="331"/>
      <c r="T788" s="331"/>
      <c r="U788" s="333" t="s">
        <v>539</v>
      </c>
      <c r="V788" s="333">
        <v>15</v>
      </c>
      <c r="W788" s="333">
        <v>5</v>
      </c>
      <c r="X788" s="328">
        <v>0.7</v>
      </c>
      <c r="Y788" s="328">
        <v>0.7</v>
      </c>
      <c r="Z788" s="328">
        <v>0.7</v>
      </c>
      <c r="AA788" s="328">
        <v>1700</v>
      </c>
      <c r="AB788" s="328" t="s">
        <v>612</v>
      </c>
      <c r="AC788" s="328">
        <v>0.85</v>
      </c>
      <c r="AD788" s="241"/>
      <c r="AE788" s="334"/>
    </row>
    <row r="789" spans="1:31" ht="15" customHeight="1">
      <c r="A789" s="329"/>
      <c r="B789" s="329"/>
      <c r="C789" s="329"/>
      <c r="D789" s="329"/>
      <c r="E789" s="329"/>
      <c r="F789" s="330"/>
      <c r="G789" s="329"/>
      <c r="H789" s="329"/>
      <c r="I789" s="329"/>
      <c r="J789" s="329"/>
      <c r="K789" s="329"/>
      <c r="L789" s="329"/>
      <c r="M789" s="329"/>
      <c r="N789" s="329"/>
      <c r="O789" s="329"/>
      <c r="P789" s="331"/>
      <c r="Q789" s="332"/>
      <c r="R789" s="332"/>
      <c r="S789" s="331"/>
      <c r="T789" s="331"/>
      <c r="U789" s="333" t="s">
        <v>539</v>
      </c>
      <c r="V789" s="333">
        <v>15</v>
      </c>
      <c r="W789" s="333">
        <v>5</v>
      </c>
      <c r="X789" s="328">
        <v>0.7</v>
      </c>
      <c r="Y789" s="328">
        <v>0.7</v>
      </c>
      <c r="Z789" s="328">
        <v>0.7</v>
      </c>
      <c r="AA789" s="328">
        <v>1700</v>
      </c>
      <c r="AB789" s="328" t="s">
        <v>612</v>
      </c>
      <c r="AC789" s="328">
        <v>0.85</v>
      </c>
      <c r="AD789" s="241"/>
      <c r="AE789" s="334"/>
    </row>
    <row r="790" spans="1:31" ht="15" customHeight="1">
      <c r="A790" s="329"/>
      <c r="B790" s="329"/>
      <c r="C790" s="329"/>
      <c r="D790" s="329"/>
      <c r="E790" s="329"/>
      <c r="F790" s="330"/>
      <c r="G790" s="329"/>
      <c r="H790" s="329"/>
      <c r="I790" s="329"/>
      <c r="J790" s="329"/>
      <c r="K790" s="329"/>
      <c r="L790" s="329"/>
      <c r="M790" s="329"/>
      <c r="N790" s="329"/>
      <c r="O790" s="329"/>
      <c r="P790" s="331"/>
      <c r="Q790" s="332"/>
      <c r="R790" s="332"/>
      <c r="S790" s="331"/>
      <c r="T790" s="331"/>
      <c r="U790" s="333" t="s">
        <v>553</v>
      </c>
      <c r="V790" s="333">
        <v>15</v>
      </c>
      <c r="W790" s="333">
        <v>5</v>
      </c>
      <c r="X790" s="328">
        <v>0.7</v>
      </c>
      <c r="Y790" s="328">
        <v>0.7</v>
      </c>
      <c r="Z790" s="328">
        <v>0.7</v>
      </c>
      <c r="AA790" s="328">
        <v>1700</v>
      </c>
      <c r="AB790" s="328" t="s">
        <v>612</v>
      </c>
      <c r="AC790" s="328">
        <v>0.85</v>
      </c>
      <c r="AD790" s="241"/>
      <c r="AE790" s="334"/>
    </row>
    <row r="791" spans="1:31" ht="15" customHeight="1">
      <c r="A791" s="329"/>
      <c r="B791" s="329"/>
      <c r="C791" s="329"/>
      <c r="D791" s="329"/>
      <c r="E791" s="329"/>
      <c r="F791" s="330"/>
      <c r="G791" s="329"/>
      <c r="H791" s="329"/>
      <c r="I791" s="329"/>
      <c r="J791" s="329"/>
      <c r="K791" s="329"/>
      <c r="L791" s="329"/>
      <c r="M791" s="329"/>
      <c r="N791" s="329"/>
      <c r="O791" s="329"/>
      <c r="P791" s="331"/>
      <c r="Q791" s="332"/>
      <c r="R791" s="332"/>
      <c r="S791" s="331"/>
      <c r="T791" s="331"/>
      <c r="U791" s="333" t="s">
        <v>539</v>
      </c>
      <c r="V791" s="333">
        <v>15</v>
      </c>
      <c r="W791" s="333">
        <v>5</v>
      </c>
      <c r="X791" s="328">
        <v>0.7</v>
      </c>
      <c r="Y791" s="328">
        <v>0.7</v>
      </c>
      <c r="Z791" s="328">
        <v>0.7</v>
      </c>
      <c r="AA791" s="328">
        <v>1700</v>
      </c>
      <c r="AB791" s="328" t="s">
        <v>612</v>
      </c>
      <c r="AC791" s="328">
        <v>0.85</v>
      </c>
      <c r="AD791" s="241"/>
      <c r="AE791" s="334"/>
    </row>
    <row r="792" spans="1:31" ht="15" customHeight="1">
      <c r="A792" s="329"/>
      <c r="B792" s="329"/>
      <c r="C792" s="329"/>
      <c r="D792" s="329"/>
      <c r="E792" s="329"/>
      <c r="F792" s="330"/>
      <c r="G792" s="329"/>
      <c r="H792" s="329"/>
      <c r="I792" s="329"/>
      <c r="J792" s="329"/>
      <c r="K792" s="329"/>
      <c r="L792" s="329"/>
      <c r="M792" s="329"/>
      <c r="N792" s="329"/>
      <c r="O792" s="329"/>
      <c r="P792" s="331"/>
      <c r="Q792" s="332"/>
      <c r="R792" s="332"/>
      <c r="S792" s="331"/>
      <c r="T792" s="331"/>
      <c r="U792" s="333" t="s">
        <v>553</v>
      </c>
      <c r="V792" s="333">
        <v>15</v>
      </c>
      <c r="W792" s="333">
        <v>5</v>
      </c>
      <c r="X792" s="328">
        <v>0.7</v>
      </c>
      <c r="Y792" s="328">
        <v>0.7</v>
      </c>
      <c r="Z792" s="328">
        <v>0.7</v>
      </c>
      <c r="AA792" s="328">
        <v>1700</v>
      </c>
      <c r="AB792" s="328" t="s">
        <v>612</v>
      </c>
      <c r="AC792" s="328">
        <v>0.85</v>
      </c>
      <c r="AD792" s="241"/>
      <c r="AE792" s="334"/>
    </row>
    <row r="793" spans="1:31" ht="15" customHeight="1">
      <c r="A793" s="329"/>
      <c r="B793" s="329"/>
      <c r="C793" s="329"/>
      <c r="D793" s="329"/>
      <c r="E793" s="329"/>
      <c r="F793" s="330"/>
      <c r="G793" s="329"/>
      <c r="H793" s="329"/>
      <c r="I793" s="329"/>
      <c r="J793" s="329"/>
      <c r="K793" s="329"/>
      <c r="L793" s="329"/>
      <c r="M793" s="329"/>
      <c r="N793" s="329"/>
      <c r="O793" s="329"/>
      <c r="P793" s="331"/>
      <c r="Q793" s="332"/>
      <c r="R793" s="332"/>
      <c r="S793" s="331"/>
      <c r="T793" s="331"/>
      <c r="U793" s="333" t="s">
        <v>539</v>
      </c>
      <c r="V793" s="333">
        <v>15</v>
      </c>
      <c r="W793" s="333">
        <v>5</v>
      </c>
      <c r="X793" s="328">
        <v>0.7</v>
      </c>
      <c r="Y793" s="328">
        <v>0.7</v>
      </c>
      <c r="Z793" s="328">
        <v>0.7</v>
      </c>
      <c r="AA793" s="328">
        <v>1700</v>
      </c>
      <c r="AB793" s="328" t="s">
        <v>612</v>
      </c>
      <c r="AC793" s="328">
        <v>0.85</v>
      </c>
      <c r="AD793" s="241"/>
      <c r="AE793" s="334"/>
    </row>
    <row r="794" spans="1:31" ht="15" customHeight="1">
      <c r="A794" s="329"/>
      <c r="B794" s="329"/>
      <c r="C794" s="329"/>
      <c r="D794" s="329"/>
      <c r="E794" s="329"/>
      <c r="F794" s="330"/>
      <c r="G794" s="329"/>
      <c r="H794" s="329"/>
      <c r="I794" s="329"/>
      <c r="J794" s="329"/>
      <c r="K794" s="329"/>
      <c r="L794" s="329"/>
      <c r="M794" s="329"/>
      <c r="N794" s="329"/>
      <c r="O794" s="329"/>
      <c r="P794" s="331"/>
      <c r="Q794" s="332"/>
      <c r="R794" s="332"/>
      <c r="S794" s="331"/>
      <c r="T794" s="331"/>
      <c r="U794" s="333" t="s">
        <v>539</v>
      </c>
      <c r="V794" s="333">
        <v>15</v>
      </c>
      <c r="W794" s="333">
        <v>5</v>
      </c>
      <c r="X794" s="328">
        <v>0.7</v>
      </c>
      <c r="Y794" s="328">
        <v>0.7</v>
      </c>
      <c r="Z794" s="328">
        <v>0.7</v>
      </c>
      <c r="AA794" s="328">
        <v>1700</v>
      </c>
      <c r="AB794" s="328" t="s">
        <v>612</v>
      </c>
      <c r="AC794" s="328">
        <v>0.85</v>
      </c>
      <c r="AD794" s="241"/>
      <c r="AE794" s="334"/>
    </row>
    <row r="795" spans="1:31" ht="15" customHeight="1">
      <c r="A795" s="329"/>
      <c r="B795" s="329"/>
      <c r="C795" s="329"/>
      <c r="D795" s="329"/>
      <c r="E795" s="329"/>
      <c r="F795" s="330"/>
      <c r="G795" s="329"/>
      <c r="H795" s="329"/>
      <c r="I795" s="329"/>
      <c r="J795" s="329"/>
      <c r="K795" s="329"/>
      <c r="L795" s="329"/>
      <c r="M795" s="329"/>
      <c r="N795" s="329"/>
      <c r="O795" s="329"/>
      <c r="P795" s="331"/>
      <c r="Q795" s="332"/>
      <c r="R795" s="332"/>
      <c r="S795" s="331"/>
      <c r="T795" s="331"/>
      <c r="U795" s="333" t="s">
        <v>539</v>
      </c>
      <c r="V795" s="333">
        <v>15</v>
      </c>
      <c r="W795" s="333">
        <v>5</v>
      </c>
      <c r="X795" s="328">
        <v>0.7</v>
      </c>
      <c r="Y795" s="328">
        <v>0.7</v>
      </c>
      <c r="Z795" s="328">
        <v>0.7</v>
      </c>
      <c r="AA795" s="328">
        <v>1700</v>
      </c>
      <c r="AB795" s="328" t="s">
        <v>612</v>
      </c>
      <c r="AC795" s="328">
        <v>0.85</v>
      </c>
      <c r="AD795" s="241"/>
      <c r="AE795" s="334"/>
    </row>
    <row r="796" spans="1:31" ht="15" customHeight="1">
      <c r="A796" s="329"/>
      <c r="B796" s="329"/>
      <c r="C796" s="329"/>
      <c r="D796" s="329"/>
      <c r="E796" s="329"/>
      <c r="F796" s="330"/>
      <c r="G796" s="329"/>
      <c r="H796" s="329"/>
      <c r="I796" s="329"/>
      <c r="J796" s="329"/>
      <c r="K796" s="329"/>
      <c r="L796" s="329"/>
      <c r="M796" s="329"/>
      <c r="N796" s="329"/>
      <c r="O796" s="329"/>
      <c r="P796" s="331"/>
      <c r="Q796" s="332"/>
      <c r="R796" s="332"/>
      <c r="S796" s="331"/>
      <c r="T796" s="331"/>
      <c r="U796" s="333" t="s">
        <v>539</v>
      </c>
      <c r="V796" s="333">
        <v>15</v>
      </c>
      <c r="W796" s="333">
        <v>5</v>
      </c>
      <c r="X796" s="328">
        <v>0.7</v>
      </c>
      <c r="Y796" s="328">
        <v>0.7</v>
      </c>
      <c r="Z796" s="328">
        <v>0.7</v>
      </c>
      <c r="AA796" s="328">
        <v>1700</v>
      </c>
      <c r="AB796" s="328" t="s">
        <v>612</v>
      </c>
      <c r="AC796" s="328">
        <v>0.85</v>
      </c>
      <c r="AD796" s="241"/>
      <c r="AE796" s="334"/>
    </row>
    <row r="797" spans="1:31" ht="15" customHeight="1">
      <c r="A797" s="329"/>
      <c r="B797" s="329"/>
      <c r="C797" s="329"/>
      <c r="D797" s="329"/>
      <c r="E797" s="329"/>
      <c r="F797" s="330"/>
      <c r="G797" s="329"/>
      <c r="H797" s="329"/>
      <c r="I797" s="329"/>
      <c r="J797" s="329"/>
      <c r="K797" s="329"/>
      <c r="L797" s="329"/>
      <c r="M797" s="329"/>
      <c r="N797" s="329"/>
      <c r="O797" s="329"/>
      <c r="P797" s="331"/>
      <c r="Q797" s="332"/>
      <c r="R797" s="332"/>
      <c r="S797" s="331"/>
      <c r="T797" s="331"/>
      <c r="U797" s="333" t="s">
        <v>553</v>
      </c>
      <c r="V797" s="333">
        <v>15</v>
      </c>
      <c r="W797" s="333">
        <v>5</v>
      </c>
      <c r="X797" s="328">
        <v>0.7</v>
      </c>
      <c r="Y797" s="328">
        <v>0.7</v>
      </c>
      <c r="Z797" s="328">
        <v>0.7</v>
      </c>
      <c r="AA797" s="328">
        <v>1700</v>
      </c>
      <c r="AB797" s="328" t="s">
        <v>612</v>
      </c>
      <c r="AC797" s="328">
        <v>0.85</v>
      </c>
      <c r="AD797" s="241"/>
      <c r="AE797" s="334"/>
    </row>
    <row r="798" spans="1:31" ht="15" customHeight="1">
      <c r="A798" s="329"/>
      <c r="B798" s="329"/>
      <c r="C798" s="329"/>
      <c r="D798" s="329"/>
      <c r="E798" s="329"/>
      <c r="F798" s="330"/>
      <c r="G798" s="329"/>
      <c r="H798" s="329"/>
      <c r="I798" s="329"/>
      <c r="J798" s="329"/>
      <c r="K798" s="329"/>
      <c r="L798" s="329"/>
      <c r="M798" s="329"/>
      <c r="N798" s="329"/>
      <c r="O798" s="329"/>
      <c r="P798" s="331"/>
      <c r="Q798" s="332"/>
      <c r="R798" s="332"/>
      <c r="S798" s="331"/>
      <c r="T798" s="331"/>
      <c r="U798" s="333" t="s">
        <v>539</v>
      </c>
      <c r="V798" s="333">
        <v>15</v>
      </c>
      <c r="W798" s="333">
        <v>5</v>
      </c>
      <c r="X798" s="328">
        <v>0.7</v>
      </c>
      <c r="Y798" s="328">
        <v>0.7</v>
      </c>
      <c r="Z798" s="328">
        <v>0.7</v>
      </c>
      <c r="AA798" s="328">
        <v>1700</v>
      </c>
      <c r="AB798" s="328" t="s">
        <v>612</v>
      </c>
      <c r="AC798" s="328">
        <v>0.85</v>
      </c>
      <c r="AD798" s="241"/>
      <c r="AE798" s="334"/>
    </row>
    <row r="799" spans="1:31" ht="15" customHeight="1">
      <c r="A799" s="329"/>
      <c r="B799" s="329"/>
      <c r="C799" s="329"/>
      <c r="D799" s="329"/>
      <c r="E799" s="329"/>
      <c r="F799" s="330"/>
      <c r="G799" s="329"/>
      <c r="H799" s="329"/>
      <c r="I799" s="329"/>
      <c r="J799" s="329"/>
      <c r="K799" s="329"/>
      <c r="L799" s="329"/>
      <c r="M799" s="329"/>
      <c r="N799" s="329"/>
      <c r="O799" s="329"/>
      <c r="P799" s="331"/>
      <c r="Q799" s="332"/>
      <c r="R799" s="332"/>
      <c r="S799" s="331"/>
      <c r="T799" s="331"/>
      <c r="U799" s="333" t="s">
        <v>539</v>
      </c>
      <c r="V799" s="333">
        <v>15</v>
      </c>
      <c r="W799" s="333">
        <v>5</v>
      </c>
      <c r="X799" s="328">
        <v>0.7</v>
      </c>
      <c r="Y799" s="328">
        <v>0.7</v>
      </c>
      <c r="Z799" s="328">
        <v>0.7</v>
      </c>
      <c r="AA799" s="328">
        <v>1700</v>
      </c>
      <c r="AB799" s="328" t="s">
        <v>612</v>
      </c>
      <c r="AC799" s="328">
        <v>0.85</v>
      </c>
      <c r="AD799" s="241"/>
      <c r="AE799" s="334"/>
    </row>
    <row r="800" spans="1:31" ht="15" customHeight="1">
      <c r="A800" s="329"/>
      <c r="B800" s="329"/>
      <c r="C800" s="329"/>
      <c r="D800" s="329"/>
      <c r="E800" s="329"/>
      <c r="F800" s="330"/>
      <c r="G800" s="329"/>
      <c r="H800" s="329"/>
      <c r="I800" s="329"/>
      <c r="J800" s="329"/>
      <c r="K800" s="329"/>
      <c r="L800" s="329"/>
      <c r="M800" s="329"/>
      <c r="N800" s="329"/>
      <c r="O800" s="329"/>
      <c r="P800" s="331"/>
      <c r="Q800" s="332"/>
      <c r="R800" s="332"/>
      <c r="S800" s="331"/>
      <c r="T800" s="331"/>
      <c r="U800" s="333" t="s">
        <v>539</v>
      </c>
      <c r="V800" s="333">
        <v>15</v>
      </c>
      <c r="W800" s="333">
        <v>5</v>
      </c>
      <c r="X800" s="328">
        <v>0.7</v>
      </c>
      <c r="Y800" s="328">
        <v>0.7</v>
      </c>
      <c r="Z800" s="328">
        <v>0.7</v>
      </c>
      <c r="AA800" s="328">
        <v>1700</v>
      </c>
      <c r="AB800" s="328" t="s">
        <v>612</v>
      </c>
      <c r="AC800" s="328">
        <v>0.85</v>
      </c>
      <c r="AD800" s="241"/>
      <c r="AE800" s="334"/>
    </row>
    <row r="801" spans="1:31" ht="15" customHeight="1">
      <c r="A801" s="329"/>
      <c r="B801" s="329"/>
      <c r="C801" s="329"/>
      <c r="D801" s="329"/>
      <c r="E801" s="329"/>
      <c r="F801" s="330"/>
      <c r="G801" s="329"/>
      <c r="H801" s="329"/>
      <c r="I801" s="329"/>
      <c r="J801" s="329"/>
      <c r="K801" s="329"/>
      <c r="L801" s="329"/>
      <c r="M801" s="329"/>
      <c r="N801" s="329"/>
      <c r="O801" s="329"/>
      <c r="P801" s="331"/>
      <c r="Q801" s="332"/>
      <c r="R801" s="332"/>
      <c r="S801" s="331"/>
      <c r="T801" s="331"/>
      <c r="U801" s="333" t="s">
        <v>553</v>
      </c>
      <c r="V801" s="333">
        <v>15</v>
      </c>
      <c r="W801" s="333">
        <v>5</v>
      </c>
      <c r="X801" s="328">
        <v>0.7</v>
      </c>
      <c r="Y801" s="328">
        <v>0.7</v>
      </c>
      <c r="Z801" s="328">
        <v>0.7</v>
      </c>
      <c r="AA801" s="328">
        <v>1700</v>
      </c>
      <c r="AB801" s="328" t="s">
        <v>612</v>
      </c>
      <c r="AC801" s="328">
        <v>0.85</v>
      </c>
      <c r="AD801" s="241"/>
      <c r="AE801" s="334"/>
    </row>
    <row r="802" spans="1:31" ht="15" customHeight="1">
      <c r="A802" s="329"/>
      <c r="B802" s="329"/>
      <c r="C802" s="329"/>
      <c r="D802" s="329"/>
      <c r="E802" s="329"/>
      <c r="F802" s="330"/>
      <c r="G802" s="329"/>
      <c r="H802" s="329"/>
      <c r="I802" s="329"/>
      <c r="J802" s="329"/>
      <c r="K802" s="329"/>
      <c r="L802" s="329"/>
      <c r="M802" s="329"/>
      <c r="N802" s="329"/>
      <c r="O802" s="329"/>
      <c r="P802" s="331"/>
      <c r="Q802" s="332"/>
      <c r="R802" s="332"/>
      <c r="S802" s="331"/>
      <c r="T802" s="331"/>
      <c r="U802" s="333" t="s">
        <v>539</v>
      </c>
      <c r="V802" s="333">
        <v>15</v>
      </c>
      <c r="W802" s="333">
        <v>5</v>
      </c>
      <c r="X802" s="328">
        <v>0.7</v>
      </c>
      <c r="Y802" s="328">
        <v>0.7</v>
      </c>
      <c r="Z802" s="328">
        <v>0.7</v>
      </c>
      <c r="AA802" s="328">
        <v>1700</v>
      </c>
      <c r="AB802" s="328" t="s">
        <v>612</v>
      </c>
      <c r="AC802" s="328">
        <v>0.85</v>
      </c>
      <c r="AD802" s="241"/>
      <c r="AE802" s="334"/>
    </row>
    <row r="803" spans="1:31" ht="15" customHeight="1">
      <c r="A803" s="329"/>
      <c r="B803" s="329"/>
      <c r="C803" s="329"/>
      <c r="D803" s="329"/>
      <c r="E803" s="329"/>
      <c r="F803" s="330"/>
      <c r="G803" s="329"/>
      <c r="H803" s="329"/>
      <c r="I803" s="329"/>
      <c r="J803" s="329"/>
      <c r="K803" s="329"/>
      <c r="L803" s="329"/>
      <c r="M803" s="329"/>
      <c r="N803" s="329"/>
      <c r="O803" s="329"/>
      <c r="P803" s="331"/>
      <c r="Q803" s="332"/>
      <c r="R803" s="332"/>
      <c r="S803" s="331"/>
      <c r="T803" s="331"/>
      <c r="U803" s="333" t="s">
        <v>553</v>
      </c>
      <c r="V803" s="333">
        <v>15</v>
      </c>
      <c r="W803" s="333">
        <v>5</v>
      </c>
      <c r="X803" s="328">
        <v>0.7</v>
      </c>
      <c r="Y803" s="328">
        <v>0.7</v>
      </c>
      <c r="Z803" s="328">
        <v>0.7</v>
      </c>
      <c r="AA803" s="328">
        <v>1700</v>
      </c>
      <c r="AB803" s="328" t="s">
        <v>612</v>
      </c>
      <c r="AC803" s="328">
        <v>0.85</v>
      </c>
      <c r="AD803" s="241"/>
      <c r="AE803" s="334"/>
    </row>
    <row r="804" spans="1:31" ht="15" customHeight="1">
      <c r="A804" s="329"/>
      <c r="B804" s="329"/>
      <c r="C804" s="329"/>
      <c r="D804" s="329"/>
      <c r="E804" s="329"/>
      <c r="F804" s="330"/>
      <c r="G804" s="329"/>
      <c r="H804" s="329"/>
      <c r="I804" s="329"/>
      <c r="J804" s="329"/>
      <c r="K804" s="329"/>
      <c r="L804" s="329"/>
      <c r="M804" s="329"/>
      <c r="N804" s="329"/>
      <c r="O804" s="329"/>
      <c r="P804" s="331"/>
      <c r="Q804" s="332"/>
      <c r="R804" s="332"/>
      <c r="S804" s="331"/>
      <c r="T804" s="331"/>
      <c r="U804" s="333" t="s">
        <v>539</v>
      </c>
      <c r="V804" s="333">
        <v>15</v>
      </c>
      <c r="W804" s="333">
        <v>5</v>
      </c>
      <c r="X804" s="328">
        <v>0.7</v>
      </c>
      <c r="Y804" s="328">
        <v>0.7</v>
      </c>
      <c r="Z804" s="328">
        <v>0.7</v>
      </c>
      <c r="AA804" s="328">
        <v>1700</v>
      </c>
      <c r="AB804" s="328" t="s">
        <v>612</v>
      </c>
      <c r="AC804" s="328">
        <v>0.85</v>
      </c>
      <c r="AD804" s="241"/>
      <c r="AE804" s="334"/>
    </row>
    <row r="805" spans="1:31" ht="15" customHeight="1">
      <c r="A805" s="329"/>
      <c r="B805" s="329"/>
      <c r="C805" s="329"/>
      <c r="D805" s="329"/>
      <c r="E805" s="329"/>
      <c r="F805" s="330"/>
      <c r="G805" s="329"/>
      <c r="H805" s="329"/>
      <c r="I805" s="329"/>
      <c r="J805" s="329"/>
      <c r="K805" s="329"/>
      <c r="L805" s="329"/>
      <c r="M805" s="329"/>
      <c r="N805" s="329"/>
      <c r="O805" s="329"/>
      <c r="P805" s="331"/>
      <c r="Q805" s="332"/>
      <c r="R805" s="332"/>
      <c r="S805" s="331"/>
      <c r="T805" s="331"/>
      <c r="U805" s="333" t="s">
        <v>607</v>
      </c>
      <c r="V805" s="333">
        <v>15</v>
      </c>
      <c r="W805" s="333">
        <v>5</v>
      </c>
      <c r="X805" s="328">
        <v>0.7</v>
      </c>
      <c r="Y805" s="328">
        <v>0.7</v>
      </c>
      <c r="Z805" s="328">
        <v>0.7</v>
      </c>
      <c r="AA805" s="328">
        <v>1700</v>
      </c>
      <c r="AB805" s="328" t="s">
        <v>612</v>
      </c>
      <c r="AC805" s="328">
        <v>0.85</v>
      </c>
      <c r="AD805" s="241"/>
      <c r="AE805" s="334"/>
    </row>
    <row r="806" spans="1:31" ht="15" customHeight="1">
      <c r="A806" s="329"/>
      <c r="B806" s="329"/>
      <c r="C806" s="329"/>
      <c r="D806" s="329"/>
      <c r="E806" s="329"/>
      <c r="F806" s="330"/>
      <c r="G806" s="329"/>
      <c r="H806" s="329"/>
      <c r="I806" s="329"/>
      <c r="J806" s="329"/>
      <c r="K806" s="329"/>
      <c r="L806" s="329"/>
      <c r="M806" s="329"/>
      <c r="N806" s="329"/>
      <c r="O806" s="329"/>
      <c r="P806" s="331"/>
      <c r="Q806" s="332"/>
      <c r="R806" s="332"/>
      <c r="S806" s="331"/>
      <c r="T806" s="331"/>
      <c r="U806" s="333" t="s">
        <v>607</v>
      </c>
      <c r="V806" s="333">
        <v>15</v>
      </c>
      <c r="W806" s="333">
        <v>5</v>
      </c>
      <c r="X806" s="328">
        <v>0.7</v>
      </c>
      <c r="Y806" s="328">
        <v>0.7</v>
      </c>
      <c r="Z806" s="328">
        <v>0.7</v>
      </c>
      <c r="AA806" s="328">
        <v>1700</v>
      </c>
      <c r="AB806" s="328" t="s">
        <v>612</v>
      </c>
      <c r="AC806" s="328">
        <v>0.85</v>
      </c>
      <c r="AD806" s="241"/>
      <c r="AE806" s="334"/>
    </row>
    <row r="807" spans="1:31" ht="15" customHeight="1">
      <c r="A807" s="329"/>
      <c r="B807" s="329"/>
      <c r="C807" s="329"/>
      <c r="D807" s="329"/>
      <c r="E807" s="329"/>
      <c r="F807" s="330"/>
      <c r="G807" s="329"/>
      <c r="H807" s="329"/>
      <c r="I807" s="329"/>
      <c r="J807" s="329"/>
      <c r="K807" s="329"/>
      <c r="L807" s="329"/>
      <c r="M807" s="329"/>
      <c r="N807" s="329"/>
      <c r="O807" s="329"/>
      <c r="P807" s="331"/>
      <c r="Q807" s="332"/>
      <c r="R807" s="332"/>
      <c r="S807" s="331"/>
      <c r="T807" s="331"/>
      <c r="U807" s="333" t="s">
        <v>607</v>
      </c>
      <c r="V807" s="333">
        <v>15</v>
      </c>
      <c r="W807" s="333">
        <v>5</v>
      </c>
      <c r="X807" s="328">
        <v>0.7</v>
      </c>
      <c r="Y807" s="328">
        <v>0.7</v>
      </c>
      <c r="Z807" s="328">
        <v>0.7</v>
      </c>
      <c r="AA807" s="328">
        <v>1700</v>
      </c>
      <c r="AB807" s="328" t="s">
        <v>612</v>
      </c>
      <c r="AC807" s="328">
        <v>0.85</v>
      </c>
      <c r="AD807" s="241"/>
      <c r="AE807" s="334"/>
    </row>
    <row r="808" spans="1:31" ht="15" customHeight="1">
      <c r="A808" s="329"/>
      <c r="B808" s="329"/>
      <c r="C808" s="329"/>
      <c r="D808" s="329"/>
      <c r="E808" s="329"/>
      <c r="F808" s="330"/>
      <c r="G808" s="329"/>
      <c r="H808" s="329"/>
      <c r="I808" s="329"/>
      <c r="J808" s="329"/>
      <c r="K808" s="329"/>
      <c r="L808" s="329"/>
      <c r="M808" s="329"/>
      <c r="N808" s="329"/>
      <c r="O808" s="329"/>
      <c r="P808" s="331"/>
      <c r="Q808" s="332"/>
      <c r="R808" s="332"/>
      <c r="S808" s="331"/>
      <c r="T808" s="331"/>
      <c r="U808" s="333" t="s">
        <v>607</v>
      </c>
      <c r="V808" s="333">
        <v>15</v>
      </c>
      <c r="W808" s="333">
        <v>5</v>
      </c>
      <c r="X808" s="328">
        <v>0.7</v>
      </c>
      <c r="Y808" s="328">
        <v>0.7</v>
      </c>
      <c r="Z808" s="328">
        <v>0.7</v>
      </c>
      <c r="AA808" s="328">
        <v>1700</v>
      </c>
      <c r="AB808" s="328" t="s">
        <v>612</v>
      </c>
      <c r="AC808" s="328">
        <v>0.85</v>
      </c>
      <c r="AD808" s="241"/>
      <c r="AE808" s="334"/>
    </row>
    <row r="809" spans="1:31" ht="15" customHeight="1">
      <c r="A809" s="329"/>
      <c r="B809" s="329"/>
      <c r="C809" s="329"/>
      <c r="D809" s="329"/>
      <c r="E809" s="329"/>
      <c r="F809" s="330"/>
      <c r="G809" s="329"/>
      <c r="H809" s="329"/>
      <c r="I809" s="329"/>
      <c r="J809" s="329"/>
      <c r="K809" s="329"/>
      <c r="L809" s="329"/>
      <c r="M809" s="329"/>
      <c r="N809" s="329"/>
      <c r="O809" s="329"/>
      <c r="P809" s="331"/>
      <c r="Q809" s="332"/>
      <c r="R809" s="332"/>
      <c r="S809" s="331"/>
      <c r="T809" s="331"/>
      <c r="U809" s="333" t="s">
        <v>607</v>
      </c>
      <c r="V809" s="333">
        <v>15</v>
      </c>
      <c r="W809" s="333">
        <v>5</v>
      </c>
      <c r="X809" s="328">
        <v>0.7</v>
      </c>
      <c r="Y809" s="328">
        <v>0.7</v>
      </c>
      <c r="Z809" s="328">
        <v>0.7</v>
      </c>
      <c r="AA809" s="328">
        <v>1700</v>
      </c>
      <c r="AB809" s="328" t="s">
        <v>612</v>
      </c>
      <c r="AC809" s="328">
        <v>0.85</v>
      </c>
      <c r="AD809" s="241"/>
      <c r="AE809" s="334"/>
    </row>
    <row r="810" spans="1:31" ht="15" customHeight="1">
      <c r="A810" s="329"/>
      <c r="B810" s="329"/>
      <c r="C810" s="329"/>
      <c r="D810" s="329"/>
      <c r="E810" s="329"/>
      <c r="F810" s="330"/>
      <c r="G810" s="329"/>
      <c r="H810" s="329"/>
      <c r="I810" s="329"/>
      <c r="J810" s="329"/>
      <c r="K810" s="329"/>
      <c r="L810" s="329"/>
      <c r="M810" s="329"/>
      <c r="N810" s="329"/>
      <c r="O810" s="329"/>
      <c r="P810" s="331"/>
      <c r="Q810" s="332"/>
      <c r="R810" s="332"/>
      <c r="S810" s="331"/>
      <c r="T810" s="331"/>
      <c r="U810" s="333" t="s">
        <v>539</v>
      </c>
      <c r="V810" s="333">
        <v>15</v>
      </c>
      <c r="W810" s="333">
        <v>5</v>
      </c>
      <c r="X810" s="328">
        <v>0.7</v>
      </c>
      <c r="Y810" s="328">
        <v>0.7</v>
      </c>
      <c r="Z810" s="328">
        <v>0.7</v>
      </c>
      <c r="AA810" s="328">
        <v>1700</v>
      </c>
      <c r="AB810" s="328" t="s">
        <v>612</v>
      </c>
      <c r="AC810" s="328">
        <v>0.85</v>
      </c>
      <c r="AD810" s="241"/>
      <c r="AE810" s="334"/>
    </row>
    <row r="811" spans="1:31" ht="15" customHeight="1">
      <c r="A811" s="329"/>
      <c r="B811" s="329"/>
      <c r="C811" s="329"/>
      <c r="D811" s="329"/>
      <c r="E811" s="329"/>
      <c r="F811" s="330"/>
      <c r="G811" s="329"/>
      <c r="H811" s="329"/>
      <c r="I811" s="329"/>
      <c r="J811" s="329"/>
      <c r="K811" s="329"/>
      <c r="L811" s="329"/>
      <c r="M811" s="329"/>
      <c r="N811" s="329"/>
      <c r="O811" s="329"/>
      <c r="P811" s="331"/>
      <c r="Q811" s="332"/>
      <c r="R811" s="332"/>
      <c r="S811" s="331"/>
      <c r="T811" s="331"/>
      <c r="U811" s="333" t="s">
        <v>539</v>
      </c>
      <c r="V811" s="333">
        <v>15</v>
      </c>
      <c r="W811" s="333">
        <v>5</v>
      </c>
      <c r="X811" s="328">
        <v>0.7</v>
      </c>
      <c r="Y811" s="328">
        <v>0.7</v>
      </c>
      <c r="Z811" s="328">
        <v>0.7</v>
      </c>
      <c r="AA811" s="328">
        <v>1700</v>
      </c>
      <c r="AB811" s="328" t="s">
        <v>612</v>
      </c>
      <c r="AC811" s="328">
        <v>0.85</v>
      </c>
      <c r="AD811" s="241"/>
      <c r="AE811" s="334"/>
    </row>
    <row r="812" spans="1:31" ht="15" customHeight="1">
      <c r="A812" s="329"/>
      <c r="B812" s="329"/>
      <c r="C812" s="329"/>
      <c r="D812" s="329"/>
      <c r="E812" s="329"/>
      <c r="F812" s="330"/>
      <c r="G812" s="329"/>
      <c r="H812" s="329"/>
      <c r="I812" s="329"/>
      <c r="J812" s="329"/>
      <c r="K812" s="329"/>
      <c r="L812" s="329"/>
      <c r="M812" s="329"/>
      <c r="N812" s="329"/>
      <c r="O812" s="329"/>
      <c r="P812" s="331"/>
      <c r="Q812" s="332"/>
      <c r="R812" s="332"/>
      <c r="S812" s="331"/>
      <c r="T812" s="331"/>
      <c r="U812" s="333" t="s">
        <v>539</v>
      </c>
      <c r="V812" s="333">
        <v>15</v>
      </c>
      <c r="W812" s="333">
        <v>5</v>
      </c>
      <c r="X812" s="328">
        <v>0.7</v>
      </c>
      <c r="Y812" s="328">
        <v>0.7</v>
      </c>
      <c r="Z812" s="328">
        <v>0.7</v>
      </c>
      <c r="AA812" s="328">
        <v>1700</v>
      </c>
      <c r="AB812" s="328" t="s">
        <v>612</v>
      </c>
      <c r="AC812" s="328">
        <v>0.85</v>
      </c>
      <c r="AD812" s="241"/>
      <c r="AE812" s="334"/>
    </row>
    <row r="813" spans="1:31" ht="15" customHeight="1">
      <c r="A813" s="329"/>
      <c r="B813" s="329"/>
      <c r="C813" s="329"/>
      <c r="D813" s="329"/>
      <c r="E813" s="329"/>
      <c r="F813" s="330"/>
      <c r="G813" s="329"/>
      <c r="H813" s="329"/>
      <c r="I813" s="329"/>
      <c r="J813" s="329"/>
      <c r="K813" s="329"/>
      <c r="L813" s="329"/>
      <c r="M813" s="329"/>
      <c r="N813" s="329"/>
      <c r="O813" s="329"/>
      <c r="P813" s="331"/>
      <c r="Q813" s="332"/>
      <c r="R813" s="332"/>
      <c r="S813" s="331"/>
      <c r="T813" s="331"/>
      <c r="U813" s="333" t="s">
        <v>553</v>
      </c>
      <c r="V813" s="333">
        <v>15</v>
      </c>
      <c r="W813" s="333">
        <v>5</v>
      </c>
      <c r="X813" s="328">
        <v>0.7</v>
      </c>
      <c r="Y813" s="328">
        <v>0.7</v>
      </c>
      <c r="Z813" s="328">
        <v>0.7</v>
      </c>
      <c r="AA813" s="328">
        <v>1700</v>
      </c>
      <c r="AB813" s="328" t="s">
        <v>612</v>
      </c>
      <c r="AC813" s="328">
        <v>0.85</v>
      </c>
      <c r="AD813" s="241"/>
      <c r="AE813" s="334"/>
    </row>
    <row r="814" spans="1:31" ht="15" customHeight="1">
      <c r="A814" s="329"/>
      <c r="B814" s="329"/>
      <c r="C814" s="329"/>
      <c r="D814" s="329"/>
      <c r="E814" s="329"/>
      <c r="F814" s="330"/>
      <c r="G814" s="329"/>
      <c r="H814" s="329"/>
      <c r="I814" s="329"/>
      <c r="J814" s="329"/>
      <c r="K814" s="329"/>
      <c r="L814" s="329"/>
      <c r="M814" s="329"/>
      <c r="N814" s="329"/>
      <c r="O814" s="329"/>
      <c r="P814" s="331"/>
      <c r="Q814" s="332"/>
      <c r="R814" s="332"/>
      <c r="S814" s="331"/>
      <c r="T814" s="331"/>
      <c r="U814" s="333" t="s">
        <v>539</v>
      </c>
      <c r="V814" s="333">
        <v>15</v>
      </c>
      <c r="W814" s="333">
        <v>5</v>
      </c>
      <c r="X814" s="328">
        <v>0.7</v>
      </c>
      <c r="Y814" s="328">
        <v>0.7</v>
      </c>
      <c r="Z814" s="328">
        <v>0.7</v>
      </c>
      <c r="AA814" s="328">
        <v>1700</v>
      </c>
      <c r="AB814" s="328" t="s">
        <v>612</v>
      </c>
      <c r="AC814" s="328">
        <v>0.85</v>
      </c>
      <c r="AD814" s="241"/>
      <c r="AE814" s="334"/>
    </row>
    <row r="815" spans="1:31" ht="15" customHeight="1">
      <c r="A815" s="329"/>
      <c r="B815" s="329"/>
      <c r="C815" s="329"/>
      <c r="D815" s="329"/>
      <c r="E815" s="329"/>
      <c r="F815" s="330"/>
      <c r="G815" s="329"/>
      <c r="H815" s="329"/>
      <c r="I815" s="329"/>
      <c r="J815" s="329"/>
      <c r="K815" s="329"/>
      <c r="L815" s="329"/>
      <c r="M815" s="329"/>
      <c r="N815" s="329"/>
      <c r="O815" s="329"/>
      <c r="P815" s="331"/>
      <c r="Q815" s="332"/>
      <c r="R815" s="332"/>
      <c r="S815" s="331"/>
      <c r="T815" s="331"/>
      <c r="U815" s="333" t="s">
        <v>539</v>
      </c>
      <c r="V815" s="333">
        <v>15</v>
      </c>
      <c r="W815" s="333">
        <v>5</v>
      </c>
      <c r="X815" s="328">
        <v>0.7</v>
      </c>
      <c r="Y815" s="328">
        <v>0.7</v>
      </c>
      <c r="Z815" s="328">
        <v>0.7</v>
      </c>
      <c r="AA815" s="328">
        <v>1700</v>
      </c>
      <c r="AB815" s="328" t="s">
        <v>612</v>
      </c>
      <c r="AC815" s="328">
        <v>0.85</v>
      </c>
      <c r="AD815" s="241"/>
      <c r="AE815" s="334"/>
    </row>
    <row r="816" spans="1:31" ht="15" customHeight="1">
      <c r="A816" s="329"/>
      <c r="B816" s="329"/>
      <c r="C816" s="329"/>
      <c r="D816" s="329"/>
      <c r="E816" s="329"/>
      <c r="F816" s="330"/>
      <c r="G816" s="329"/>
      <c r="H816" s="329"/>
      <c r="I816" s="329"/>
      <c r="J816" s="329"/>
      <c r="K816" s="329"/>
      <c r="L816" s="329"/>
      <c r="M816" s="329"/>
      <c r="N816" s="329"/>
      <c r="O816" s="329"/>
      <c r="P816" s="331"/>
      <c r="Q816" s="332"/>
      <c r="R816" s="332"/>
      <c r="S816" s="331"/>
      <c r="T816" s="331"/>
      <c r="U816" s="333" t="s">
        <v>539</v>
      </c>
      <c r="V816" s="333">
        <v>15</v>
      </c>
      <c r="W816" s="333">
        <v>5</v>
      </c>
      <c r="X816" s="328">
        <v>0.7</v>
      </c>
      <c r="Y816" s="328">
        <v>0.7</v>
      </c>
      <c r="Z816" s="328">
        <v>0.7</v>
      </c>
      <c r="AA816" s="328">
        <v>1700</v>
      </c>
      <c r="AB816" s="328" t="s">
        <v>612</v>
      </c>
      <c r="AC816" s="328">
        <v>0.85</v>
      </c>
      <c r="AD816" s="241"/>
      <c r="AE816" s="334"/>
    </row>
    <row r="817" spans="1:31" ht="15" customHeight="1">
      <c r="A817" s="329"/>
      <c r="B817" s="329"/>
      <c r="C817" s="329"/>
      <c r="D817" s="329"/>
      <c r="E817" s="329"/>
      <c r="F817" s="330"/>
      <c r="G817" s="329"/>
      <c r="H817" s="329"/>
      <c r="I817" s="329"/>
      <c r="J817" s="329"/>
      <c r="K817" s="329"/>
      <c r="L817" s="329"/>
      <c r="M817" s="329"/>
      <c r="N817" s="329"/>
      <c r="O817" s="329"/>
      <c r="P817" s="331"/>
      <c r="Q817" s="332"/>
      <c r="R817" s="332"/>
      <c r="S817" s="331"/>
      <c r="T817" s="331"/>
      <c r="U817" s="333" t="s">
        <v>539</v>
      </c>
      <c r="V817" s="333">
        <v>15</v>
      </c>
      <c r="W817" s="333">
        <v>5</v>
      </c>
      <c r="X817" s="328">
        <v>0.7</v>
      </c>
      <c r="Y817" s="328">
        <v>0.7</v>
      </c>
      <c r="Z817" s="328">
        <v>0.7</v>
      </c>
      <c r="AA817" s="328">
        <v>1700</v>
      </c>
      <c r="AB817" s="328" t="s">
        <v>612</v>
      </c>
      <c r="AC817" s="328">
        <v>0.85</v>
      </c>
      <c r="AD817" s="241"/>
      <c r="AE817" s="334"/>
    </row>
    <row r="818" spans="1:31" ht="15" customHeight="1">
      <c r="A818" s="329"/>
      <c r="B818" s="329"/>
      <c r="C818" s="329"/>
      <c r="D818" s="329"/>
      <c r="E818" s="329"/>
      <c r="F818" s="330"/>
      <c r="G818" s="329"/>
      <c r="H818" s="329"/>
      <c r="I818" s="329"/>
      <c r="J818" s="329"/>
      <c r="K818" s="329"/>
      <c r="L818" s="329"/>
      <c r="M818" s="329"/>
      <c r="N818" s="329"/>
      <c r="O818" s="329"/>
      <c r="P818" s="331"/>
      <c r="Q818" s="332"/>
      <c r="R818" s="332"/>
      <c r="S818" s="331"/>
      <c r="T818" s="331"/>
      <c r="U818" s="333" t="s">
        <v>539</v>
      </c>
      <c r="V818" s="333">
        <v>15</v>
      </c>
      <c r="W818" s="333">
        <v>5</v>
      </c>
      <c r="X818" s="328">
        <v>0.7</v>
      </c>
      <c r="Y818" s="328">
        <v>0.7</v>
      </c>
      <c r="Z818" s="328">
        <v>0.7</v>
      </c>
      <c r="AA818" s="328">
        <v>1700</v>
      </c>
      <c r="AB818" s="328" t="s">
        <v>612</v>
      </c>
      <c r="AC818" s="328">
        <v>0.85</v>
      </c>
      <c r="AD818" s="241"/>
      <c r="AE818" s="334"/>
    </row>
    <row r="819" spans="1:31" ht="15" customHeight="1">
      <c r="A819" s="329"/>
      <c r="B819" s="329"/>
      <c r="C819" s="329"/>
      <c r="D819" s="329"/>
      <c r="E819" s="329"/>
      <c r="F819" s="330"/>
      <c r="G819" s="329"/>
      <c r="H819" s="329"/>
      <c r="I819" s="329"/>
      <c r="J819" s="329"/>
      <c r="K819" s="329"/>
      <c r="L819" s="329"/>
      <c r="M819" s="329"/>
      <c r="N819" s="329"/>
      <c r="O819" s="329"/>
      <c r="P819" s="331"/>
      <c r="Q819" s="332"/>
      <c r="R819" s="332"/>
      <c r="S819" s="331"/>
      <c r="T819" s="331"/>
      <c r="U819" s="333" t="s">
        <v>539</v>
      </c>
      <c r="V819" s="333">
        <v>15</v>
      </c>
      <c r="W819" s="333">
        <v>5</v>
      </c>
      <c r="X819" s="328">
        <v>0.7</v>
      </c>
      <c r="Y819" s="328">
        <v>0.7</v>
      </c>
      <c r="Z819" s="328">
        <v>0.7</v>
      </c>
      <c r="AA819" s="328">
        <v>1700</v>
      </c>
      <c r="AB819" s="328" t="s">
        <v>612</v>
      </c>
      <c r="AC819" s="328">
        <v>0.85</v>
      </c>
      <c r="AD819" s="241"/>
      <c r="AE819" s="334"/>
    </row>
    <row r="820" spans="1:31" ht="15" customHeight="1">
      <c r="A820" s="329"/>
      <c r="B820" s="329"/>
      <c r="C820" s="329"/>
      <c r="D820" s="329"/>
      <c r="E820" s="329"/>
      <c r="F820" s="330"/>
      <c r="G820" s="329"/>
      <c r="H820" s="329"/>
      <c r="I820" s="329"/>
      <c r="J820" s="329"/>
      <c r="K820" s="329"/>
      <c r="L820" s="329"/>
      <c r="M820" s="329"/>
      <c r="N820" s="329"/>
      <c r="O820" s="329"/>
      <c r="P820" s="331"/>
      <c r="Q820" s="332"/>
      <c r="R820" s="332"/>
      <c r="S820" s="331"/>
      <c r="T820" s="331"/>
      <c r="U820" s="333" t="s">
        <v>539</v>
      </c>
      <c r="V820" s="333">
        <v>15</v>
      </c>
      <c r="W820" s="333">
        <v>5</v>
      </c>
      <c r="X820" s="328">
        <v>0.7</v>
      </c>
      <c r="Y820" s="328">
        <v>0.7</v>
      </c>
      <c r="Z820" s="328">
        <v>0.7</v>
      </c>
      <c r="AA820" s="328">
        <v>1700</v>
      </c>
      <c r="AB820" s="328" t="s">
        <v>612</v>
      </c>
      <c r="AC820" s="328">
        <v>0.85</v>
      </c>
      <c r="AD820" s="241"/>
      <c r="AE820" s="334"/>
    </row>
    <row r="821" spans="1:31" ht="15" customHeight="1">
      <c r="A821" s="329"/>
      <c r="B821" s="329"/>
      <c r="C821" s="329"/>
      <c r="D821" s="329"/>
      <c r="E821" s="329"/>
      <c r="F821" s="330"/>
      <c r="G821" s="329"/>
      <c r="H821" s="329"/>
      <c r="I821" s="329"/>
      <c r="J821" s="329"/>
      <c r="K821" s="329"/>
      <c r="L821" s="329"/>
      <c r="M821" s="329"/>
      <c r="N821" s="329"/>
      <c r="O821" s="329"/>
      <c r="P821" s="331"/>
      <c r="Q821" s="332"/>
      <c r="R821" s="332"/>
      <c r="S821" s="331"/>
      <c r="T821" s="331"/>
      <c r="U821" s="333" t="s">
        <v>553</v>
      </c>
      <c r="V821" s="333">
        <v>15</v>
      </c>
      <c r="W821" s="333">
        <v>5</v>
      </c>
      <c r="X821" s="328">
        <v>0.7</v>
      </c>
      <c r="Y821" s="328">
        <v>0.7</v>
      </c>
      <c r="Z821" s="328">
        <v>0.7</v>
      </c>
      <c r="AA821" s="328">
        <v>1700</v>
      </c>
      <c r="AB821" s="328" t="s">
        <v>612</v>
      </c>
      <c r="AC821" s="328">
        <v>0.85</v>
      </c>
      <c r="AD821" s="241"/>
      <c r="AE821" s="334"/>
    </row>
    <row r="822" spans="1:31" ht="15" customHeight="1">
      <c r="A822" s="329"/>
      <c r="B822" s="329"/>
      <c r="C822" s="329"/>
      <c r="D822" s="329"/>
      <c r="E822" s="329"/>
      <c r="F822" s="330"/>
      <c r="G822" s="329"/>
      <c r="H822" s="329"/>
      <c r="I822" s="329"/>
      <c r="J822" s="329"/>
      <c r="K822" s="329"/>
      <c r="L822" s="329"/>
      <c r="M822" s="329"/>
      <c r="N822" s="329"/>
      <c r="O822" s="329"/>
      <c r="P822" s="331"/>
      <c r="Q822" s="332"/>
      <c r="R822" s="332"/>
      <c r="S822" s="331"/>
      <c r="T822" s="331"/>
      <c r="U822" s="333" t="s">
        <v>539</v>
      </c>
      <c r="V822" s="333">
        <v>15</v>
      </c>
      <c r="W822" s="333">
        <v>5</v>
      </c>
      <c r="X822" s="328">
        <v>0.7</v>
      </c>
      <c r="Y822" s="328">
        <v>0.7</v>
      </c>
      <c r="Z822" s="328">
        <v>0.7</v>
      </c>
      <c r="AA822" s="328">
        <v>1700</v>
      </c>
      <c r="AB822" s="328" t="s">
        <v>612</v>
      </c>
      <c r="AC822" s="328">
        <v>0.85</v>
      </c>
      <c r="AD822" s="241"/>
      <c r="AE822" s="334"/>
    </row>
    <row r="823" spans="1:31" ht="15" customHeight="1">
      <c r="A823" s="329"/>
      <c r="B823" s="329"/>
      <c r="C823" s="329"/>
      <c r="D823" s="329"/>
      <c r="E823" s="329"/>
      <c r="F823" s="330"/>
      <c r="G823" s="329"/>
      <c r="H823" s="329"/>
      <c r="I823" s="329"/>
      <c r="J823" s="329"/>
      <c r="K823" s="329"/>
      <c r="L823" s="329"/>
      <c r="M823" s="329"/>
      <c r="N823" s="329"/>
      <c r="O823" s="329"/>
      <c r="P823" s="331"/>
      <c r="Q823" s="332"/>
      <c r="R823" s="332"/>
      <c r="S823" s="331"/>
      <c r="T823" s="331"/>
      <c r="U823" s="333" t="s">
        <v>539</v>
      </c>
      <c r="V823" s="333">
        <v>15</v>
      </c>
      <c r="W823" s="333">
        <v>5</v>
      </c>
      <c r="X823" s="328">
        <v>0.7</v>
      </c>
      <c r="Y823" s="328">
        <v>0.7</v>
      </c>
      <c r="Z823" s="328">
        <v>0.7</v>
      </c>
      <c r="AA823" s="328">
        <v>1700</v>
      </c>
      <c r="AB823" s="328" t="s">
        <v>612</v>
      </c>
      <c r="AC823" s="328">
        <v>0.85</v>
      </c>
      <c r="AD823" s="241"/>
      <c r="AE823" s="334"/>
    </row>
    <row r="824" spans="1:31" ht="15" customHeight="1">
      <c r="A824" s="329"/>
      <c r="B824" s="329"/>
      <c r="C824" s="329"/>
      <c r="D824" s="329"/>
      <c r="E824" s="329"/>
      <c r="F824" s="330"/>
      <c r="G824" s="329"/>
      <c r="H824" s="329"/>
      <c r="I824" s="329"/>
      <c r="J824" s="329"/>
      <c r="K824" s="329"/>
      <c r="L824" s="329"/>
      <c r="M824" s="329"/>
      <c r="N824" s="329"/>
      <c r="O824" s="329"/>
      <c r="P824" s="331"/>
      <c r="Q824" s="332"/>
      <c r="R824" s="332"/>
      <c r="S824" s="331"/>
      <c r="T824" s="331"/>
      <c r="U824" s="333" t="s">
        <v>539</v>
      </c>
      <c r="V824" s="333">
        <v>15</v>
      </c>
      <c r="W824" s="333">
        <v>5</v>
      </c>
      <c r="X824" s="328">
        <v>0.7</v>
      </c>
      <c r="Y824" s="328">
        <v>0.7</v>
      </c>
      <c r="Z824" s="328">
        <v>0.7</v>
      </c>
      <c r="AA824" s="328">
        <v>1700</v>
      </c>
      <c r="AB824" s="328" t="s">
        <v>612</v>
      </c>
      <c r="AC824" s="328">
        <v>0.85</v>
      </c>
      <c r="AD824" s="241"/>
      <c r="AE824" s="334"/>
    </row>
    <row r="825" spans="1:31" ht="15" customHeight="1">
      <c r="A825" s="329"/>
      <c r="B825" s="329"/>
      <c r="C825" s="329"/>
      <c r="D825" s="329"/>
      <c r="E825" s="329"/>
      <c r="F825" s="330"/>
      <c r="G825" s="329"/>
      <c r="H825" s="329"/>
      <c r="I825" s="329"/>
      <c r="J825" s="329"/>
      <c r="K825" s="329"/>
      <c r="L825" s="329"/>
      <c r="M825" s="329"/>
      <c r="N825" s="329"/>
      <c r="O825" s="329"/>
      <c r="P825" s="331"/>
      <c r="Q825" s="332"/>
      <c r="R825" s="332"/>
      <c r="S825" s="331"/>
      <c r="T825" s="331"/>
      <c r="U825" s="333" t="s">
        <v>539</v>
      </c>
      <c r="V825" s="333">
        <v>15</v>
      </c>
      <c r="W825" s="333">
        <v>5</v>
      </c>
      <c r="X825" s="328">
        <v>0.7</v>
      </c>
      <c r="Y825" s="328">
        <v>0.7</v>
      </c>
      <c r="Z825" s="328">
        <v>0.7</v>
      </c>
      <c r="AA825" s="328">
        <v>1700</v>
      </c>
      <c r="AB825" s="328" t="s">
        <v>612</v>
      </c>
      <c r="AC825" s="328">
        <v>0.85</v>
      </c>
      <c r="AD825" s="241"/>
      <c r="AE825" s="334"/>
    </row>
    <row r="826" spans="1:31" ht="15" customHeight="1">
      <c r="A826" s="329"/>
      <c r="B826" s="329"/>
      <c r="C826" s="329"/>
      <c r="D826" s="329"/>
      <c r="E826" s="329"/>
      <c r="F826" s="330"/>
      <c r="G826" s="329"/>
      <c r="H826" s="329"/>
      <c r="I826" s="329"/>
      <c r="J826" s="329"/>
      <c r="K826" s="329"/>
      <c r="L826" s="329"/>
      <c r="M826" s="329"/>
      <c r="N826" s="329"/>
      <c r="O826" s="329"/>
      <c r="P826" s="331"/>
      <c r="Q826" s="332"/>
      <c r="R826" s="332"/>
      <c r="S826" s="331"/>
      <c r="T826" s="331"/>
      <c r="U826" s="333" t="s">
        <v>539</v>
      </c>
      <c r="V826" s="333">
        <v>15</v>
      </c>
      <c r="W826" s="333">
        <v>5</v>
      </c>
      <c r="X826" s="328">
        <v>0.7</v>
      </c>
      <c r="Y826" s="328">
        <v>0.7</v>
      </c>
      <c r="Z826" s="328">
        <v>0.7</v>
      </c>
      <c r="AA826" s="328">
        <v>1700</v>
      </c>
      <c r="AB826" s="328" t="s">
        <v>612</v>
      </c>
      <c r="AC826" s="328">
        <v>0.85</v>
      </c>
      <c r="AD826" s="241"/>
      <c r="AE826" s="334"/>
    </row>
    <row r="827" spans="1:31" ht="15" customHeight="1">
      <c r="A827" s="329"/>
      <c r="B827" s="329"/>
      <c r="C827" s="329"/>
      <c r="D827" s="329"/>
      <c r="E827" s="329"/>
      <c r="F827" s="330"/>
      <c r="G827" s="329"/>
      <c r="H827" s="329"/>
      <c r="I827" s="329"/>
      <c r="J827" s="329"/>
      <c r="K827" s="329"/>
      <c r="L827" s="329"/>
      <c r="M827" s="329"/>
      <c r="N827" s="329"/>
      <c r="O827" s="329"/>
      <c r="P827" s="331"/>
      <c r="Q827" s="332"/>
      <c r="R827" s="332"/>
      <c r="S827" s="331"/>
      <c r="T827" s="331"/>
      <c r="U827" s="333" t="s">
        <v>607</v>
      </c>
      <c r="V827" s="333">
        <v>15</v>
      </c>
      <c r="W827" s="333">
        <v>5</v>
      </c>
      <c r="X827" s="328">
        <v>0.7</v>
      </c>
      <c r="Y827" s="328">
        <v>0.7</v>
      </c>
      <c r="Z827" s="328">
        <v>0.7</v>
      </c>
      <c r="AA827" s="328">
        <v>1700</v>
      </c>
      <c r="AB827" s="328" t="s">
        <v>612</v>
      </c>
      <c r="AC827" s="328">
        <v>0.85</v>
      </c>
      <c r="AD827" s="241"/>
      <c r="AE827" s="334"/>
    </row>
    <row r="828" spans="1:31" ht="15" customHeight="1">
      <c r="A828" s="329"/>
      <c r="B828" s="329"/>
      <c r="C828" s="329"/>
      <c r="D828" s="329"/>
      <c r="E828" s="329"/>
      <c r="F828" s="330"/>
      <c r="G828" s="329"/>
      <c r="H828" s="329"/>
      <c r="I828" s="329"/>
      <c r="J828" s="329"/>
      <c r="K828" s="329"/>
      <c r="L828" s="329"/>
      <c r="M828" s="329"/>
      <c r="N828" s="329"/>
      <c r="O828" s="329"/>
      <c r="P828" s="331"/>
      <c r="Q828" s="332"/>
      <c r="R828" s="332"/>
      <c r="S828" s="331"/>
      <c r="T828" s="331"/>
      <c r="U828" s="333" t="s">
        <v>607</v>
      </c>
      <c r="V828" s="333">
        <v>15</v>
      </c>
      <c r="W828" s="333">
        <v>5</v>
      </c>
      <c r="X828" s="328">
        <v>0.7</v>
      </c>
      <c r="Y828" s="328">
        <v>0.7</v>
      </c>
      <c r="Z828" s="328">
        <v>0.7</v>
      </c>
      <c r="AA828" s="328">
        <v>1700</v>
      </c>
      <c r="AB828" s="328" t="s">
        <v>612</v>
      </c>
      <c r="AC828" s="328">
        <v>0.85</v>
      </c>
      <c r="AD828" s="241"/>
      <c r="AE828" s="334"/>
    </row>
    <row r="829" spans="1:31" ht="15" customHeight="1">
      <c r="A829" s="329"/>
      <c r="B829" s="329"/>
      <c r="C829" s="329"/>
      <c r="D829" s="329"/>
      <c r="E829" s="329"/>
      <c r="F829" s="330"/>
      <c r="G829" s="329"/>
      <c r="H829" s="329"/>
      <c r="I829" s="329"/>
      <c r="J829" s="329"/>
      <c r="K829" s="329"/>
      <c r="L829" s="329"/>
      <c r="M829" s="329"/>
      <c r="N829" s="329"/>
      <c r="O829" s="329"/>
      <c r="P829" s="331"/>
      <c r="Q829" s="332"/>
      <c r="R829" s="332"/>
      <c r="S829" s="331"/>
      <c r="T829" s="331"/>
      <c r="U829" s="333" t="s">
        <v>607</v>
      </c>
      <c r="V829" s="333">
        <v>15</v>
      </c>
      <c r="W829" s="333">
        <v>5</v>
      </c>
      <c r="X829" s="328">
        <v>0.7</v>
      </c>
      <c r="Y829" s="328">
        <v>0.7</v>
      </c>
      <c r="Z829" s="328">
        <v>0.7</v>
      </c>
      <c r="AA829" s="328">
        <v>1700</v>
      </c>
      <c r="AB829" s="328" t="s">
        <v>612</v>
      </c>
      <c r="AC829" s="328">
        <v>0.85</v>
      </c>
      <c r="AD829" s="241"/>
      <c r="AE829" s="334"/>
    </row>
    <row r="830" spans="1:31" ht="15" customHeight="1">
      <c r="A830" s="329"/>
      <c r="B830" s="329"/>
      <c r="C830" s="329"/>
      <c r="D830" s="329"/>
      <c r="E830" s="329"/>
      <c r="F830" s="330"/>
      <c r="G830" s="329"/>
      <c r="H830" s="329"/>
      <c r="I830" s="329"/>
      <c r="J830" s="329"/>
      <c r="K830" s="329"/>
      <c r="L830" s="329"/>
      <c r="M830" s="329"/>
      <c r="N830" s="329"/>
      <c r="O830" s="329"/>
      <c r="P830" s="331"/>
      <c r="Q830" s="332"/>
      <c r="R830" s="332"/>
      <c r="S830" s="331"/>
      <c r="T830" s="331"/>
      <c r="U830" s="333" t="s">
        <v>607</v>
      </c>
      <c r="V830" s="333">
        <v>15</v>
      </c>
      <c r="W830" s="333">
        <v>5</v>
      </c>
      <c r="X830" s="328">
        <v>0.7</v>
      </c>
      <c r="Y830" s="328">
        <v>0.7</v>
      </c>
      <c r="Z830" s="328">
        <v>0.7</v>
      </c>
      <c r="AA830" s="328">
        <v>1700</v>
      </c>
      <c r="AB830" s="328" t="s">
        <v>612</v>
      </c>
      <c r="AC830" s="328">
        <v>0.85</v>
      </c>
      <c r="AD830" s="241"/>
      <c r="AE830" s="334"/>
    </row>
    <row r="831" spans="1:31" ht="15" customHeight="1">
      <c r="A831" s="329"/>
      <c r="B831" s="329"/>
      <c r="C831" s="329"/>
      <c r="D831" s="329"/>
      <c r="E831" s="329"/>
      <c r="F831" s="330"/>
      <c r="G831" s="329"/>
      <c r="H831" s="329"/>
      <c r="I831" s="329"/>
      <c r="J831" s="329"/>
      <c r="K831" s="329"/>
      <c r="L831" s="329"/>
      <c r="M831" s="329"/>
      <c r="N831" s="329"/>
      <c r="O831" s="329"/>
      <c r="P831" s="331"/>
      <c r="Q831" s="332"/>
      <c r="R831" s="332"/>
      <c r="S831" s="331"/>
      <c r="T831" s="331"/>
      <c r="U831" s="333" t="s">
        <v>607</v>
      </c>
      <c r="V831" s="333">
        <v>15</v>
      </c>
      <c r="W831" s="333">
        <v>5</v>
      </c>
      <c r="X831" s="328">
        <v>0.7</v>
      </c>
      <c r="Y831" s="328">
        <v>0.7</v>
      </c>
      <c r="Z831" s="328">
        <v>0.7</v>
      </c>
      <c r="AA831" s="328">
        <v>1700</v>
      </c>
      <c r="AB831" s="328" t="s">
        <v>612</v>
      </c>
      <c r="AC831" s="328">
        <v>0.85</v>
      </c>
      <c r="AD831" s="241"/>
      <c r="AE831" s="334"/>
    </row>
    <row r="832" spans="1:31" ht="15" customHeight="1">
      <c r="A832" s="329"/>
      <c r="B832" s="329"/>
      <c r="C832" s="329"/>
      <c r="D832" s="329"/>
      <c r="E832" s="329"/>
      <c r="F832" s="330"/>
      <c r="G832" s="329"/>
      <c r="H832" s="329"/>
      <c r="I832" s="329"/>
      <c r="J832" s="329"/>
      <c r="K832" s="329"/>
      <c r="L832" s="329"/>
      <c r="M832" s="329"/>
      <c r="N832" s="329"/>
      <c r="O832" s="329"/>
      <c r="P832" s="331"/>
      <c r="Q832" s="332"/>
      <c r="R832" s="332"/>
      <c r="S832" s="331"/>
      <c r="T832" s="331"/>
      <c r="U832" s="333" t="s">
        <v>539</v>
      </c>
      <c r="V832" s="333">
        <v>15</v>
      </c>
      <c r="W832" s="333">
        <v>5</v>
      </c>
      <c r="X832" s="328">
        <v>0.7</v>
      </c>
      <c r="Y832" s="328">
        <v>0.7</v>
      </c>
      <c r="Z832" s="328">
        <v>0.7</v>
      </c>
      <c r="AA832" s="328">
        <v>1700</v>
      </c>
      <c r="AB832" s="328" t="s">
        <v>612</v>
      </c>
      <c r="AC832" s="328">
        <v>0.85</v>
      </c>
      <c r="AD832" s="241"/>
      <c r="AE832" s="334"/>
    </row>
    <row r="833" spans="1:31" ht="15" customHeight="1">
      <c r="A833" s="329"/>
      <c r="B833" s="329"/>
      <c r="C833" s="329"/>
      <c r="D833" s="329"/>
      <c r="E833" s="329"/>
      <c r="F833" s="330"/>
      <c r="G833" s="329"/>
      <c r="H833" s="329"/>
      <c r="I833" s="329"/>
      <c r="J833" s="329"/>
      <c r="K833" s="329"/>
      <c r="L833" s="329"/>
      <c r="M833" s="329"/>
      <c r="N833" s="329"/>
      <c r="O833" s="329"/>
      <c r="P833" s="331"/>
      <c r="Q833" s="332"/>
      <c r="R833" s="332"/>
      <c r="S833" s="331"/>
      <c r="T833" s="331"/>
      <c r="U833" s="333" t="s">
        <v>539</v>
      </c>
      <c r="V833" s="333">
        <v>15</v>
      </c>
      <c r="W833" s="333">
        <v>5</v>
      </c>
      <c r="X833" s="328">
        <v>0.7</v>
      </c>
      <c r="Y833" s="328">
        <v>0.7</v>
      </c>
      <c r="Z833" s="328">
        <v>0.7</v>
      </c>
      <c r="AA833" s="328">
        <v>1700</v>
      </c>
      <c r="AB833" s="328" t="s">
        <v>612</v>
      </c>
      <c r="AC833" s="328">
        <v>0.85</v>
      </c>
      <c r="AD833" s="241"/>
      <c r="AE833" s="334"/>
    </row>
    <row r="834" spans="1:31" ht="15" customHeight="1">
      <c r="A834" s="329"/>
      <c r="B834" s="329"/>
      <c r="C834" s="329"/>
      <c r="D834" s="329"/>
      <c r="E834" s="329"/>
      <c r="F834" s="330"/>
      <c r="G834" s="329"/>
      <c r="H834" s="329"/>
      <c r="I834" s="329"/>
      <c r="J834" s="329"/>
      <c r="K834" s="329"/>
      <c r="L834" s="329"/>
      <c r="M834" s="329"/>
      <c r="N834" s="329"/>
      <c r="O834" s="329"/>
      <c r="P834" s="331"/>
      <c r="Q834" s="332"/>
      <c r="R834" s="332"/>
      <c r="S834" s="331"/>
      <c r="T834" s="331"/>
      <c r="U834" s="333" t="s">
        <v>553</v>
      </c>
      <c r="V834" s="333">
        <v>15</v>
      </c>
      <c r="W834" s="333">
        <v>5</v>
      </c>
      <c r="X834" s="328">
        <v>0.7</v>
      </c>
      <c r="Y834" s="328">
        <v>0.7</v>
      </c>
      <c r="Z834" s="328">
        <v>0.7</v>
      </c>
      <c r="AA834" s="328">
        <v>1700</v>
      </c>
      <c r="AB834" s="328" t="s">
        <v>612</v>
      </c>
      <c r="AC834" s="328">
        <v>0.85</v>
      </c>
      <c r="AD834" s="241"/>
      <c r="AE834" s="334"/>
    </row>
    <row r="835" spans="1:31" ht="15" customHeight="1">
      <c r="A835" s="329"/>
      <c r="B835" s="329"/>
      <c r="C835" s="329"/>
      <c r="D835" s="329"/>
      <c r="E835" s="329"/>
      <c r="F835" s="330"/>
      <c r="G835" s="329"/>
      <c r="H835" s="329"/>
      <c r="I835" s="329"/>
      <c r="J835" s="329"/>
      <c r="K835" s="329"/>
      <c r="L835" s="329"/>
      <c r="M835" s="329"/>
      <c r="N835" s="329"/>
      <c r="O835" s="329"/>
      <c r="P835" s="331"/>
      <c r="Q835" s="332"/>
      <c r="R835" s="332"/>
      <c r="S835" s="331"/>
      <c r="T835" s="331"/>
      <c r="U835" s="333" t="s">
        <v>539</v>
      </c>
      <c r="V835" s="333">
        <v>15</v>
      </c>
      <c r="W835" s="333">
        <v>5</v>
      </c>
      <c r="X835" s="328">
        <v>0.7</v>
      </c>
      <c r="Y835" s="328">
        <v>0.7</v>
      </c>
      <c r="Z835" s="328">
        <v>0.7</v>
      </c>
      <c r="AA835" s="328">
        <v>1700</v>
      </c>
      <c r="AB835" s="328" t="s">
        <v>612</v>
      </c>
      <c r="AC835" s="328">
        <v>0.85</v>
      </c>
      <c r="AD835" s="241"/>
      <c r="AE835" s="334"/>
    </row>
    <row r="836" spans="1:31" ht="15" customHeight="1">
      <c r="A836" s="329"/>
      <c r="B836" s="329"/>
      <c r="C836" s="329"/>
      <c r="D836" s="329"/>
      <c r="E836" s="329"/>
      <c r="F836" s="330"/>
      <c r="G836" s="329"/>
      <c r="H836" s="329"/>
      <c r="I836" s="329"/>
      <c r="J836" s="329"/>
      <c r="K836" s="329"/>
      <c r="L836" s="329"/>
      <c r="M836" s="329"/>
      <c r="N836" s="329"/>
      <c r="O836" s="329"/>
      <c r="P836" s="331"/>
      <c r="Q836" s="332"/>
      <c r="R836" s="332"/>
      <c r="S836" s="331"/>
      <c r="T836" s="331"/>
      <c r="U836" s="333" t="s">
        <v>539</v>
      </c>
      <c r="V836" s="333">
        <v>15</v>
      </c>
      <c r="W836" s="333">
        <v>5</v>
      </c>
      <c r="X836" s="328">
        <v>0.7</v>
      </c>
      <c r="Y836" s="328">
        <v>0.7</v>
      </c>
      <c r="Z836" s="328">
        <v>0.7</v>
      </c>
      <c r="AA836" s="328">
        <v>1700</v>
      </c>
      <c r="AB836" s="328" t="s">
        <v>612</v>
      </c>
      <c r="AC836" s="328">
        <v>0.85</v>
      </c>
      <c r="AD836" s="241"/>
      <c r="AE836" s="334"/>
    </row>
    <row r="837" spans="1:31" ht="15" customHeight="1">
      <c r="A837" s="329"/>
      <c r="B837" s="329"/>
      <c r="C837" s="329"/>
      <c r="D837" s="329"/>
      <c r="E837" s="329"/>
      <c r="F837" s="330"/>
      <c r="G837" s="329"/>
      <c r="H837" s="329"/>
      <c r="I837" s="329"/>
      <c r="J837" s="329"/>
      <c r="K837" s="329"/>
      <c r="L837" s="329"/>
      <c r="M837" s="329"/>
      <c r="N837" s="329"/>
      <c r="O837" s="329"/>
      <c r="P837" s="331"/>
      <c r="Q837" s="332"/>
      <c r="R837" s="332"/>
      <c r="S837" s="331"/>
      <c r="T837" s="331"/>
      <c r="U837" s="333" t="s">
        <v>539</v>
      </c>
      <c r="V837" s="333">
        <v>15</v>
      </c>
      <c r="W837" s="333">
        <v>5</v>
      </c>
      <c r="X837" s="328">
        <v>0.7</v>
      </c>
      <c r="Y837" s="328">
        <v>0.7</v>
      </c>
      <c r="Z837" s="328">
        <v>0.7</v>
      </c>
      <c r="AA837" s="328">
        <v>1700</v>
      </c>
      <c r="AB837" s="328" t="s">
        <v>612</v>
      </c>
      <c r="AC837" s="328">
        <v>0.85</v>
      </c>
      <c r="AD837" s="241"/>
      <c r="AE837" s="334"/>
    </row>
    <row r="838" spans="1:31" ht="15" customHeight="1">
      <c r="A838" s="329"/>
      <c r="B838" s="329"/>
      <c r="C838" s="329"/>
      <c r="D838" s="329"/>
      <c r="E838" s="329"/>
      <c r="F838" s="330"/>
      <c r="G838" s="329"/>
      <c r="H838" s="329"/>
      <c r="I838" s="329"/>
      <c r="J838" s="329"/>
      <c r="K838" s="329"/>
      <c r="L838" s="329"/>
      <c r="M838" s="329"/>
      <c r="N838" s="329"/>
      <c r="O838" s="329"/>
      <c r="P838" s="331"/>
      <c r="Q838" s="332"/>
      <c r="R838" s="332"/>
      <c r="S838" s="331"/>
      <c r="T838" s="331"/>
      <c r="U838" s="333" t="s">
        <v>539</v>
      </c>
      <c r="V838" s="333">
        <v>15</v>
      </c>
      <c r="W838" s="333">
        <v>5</v>
      </c>
      <c r="X838" s="328">
        <v>0.7</v>
      </c>
      <c r="Y838" s="328">
        <v>0.7</v>
      </c>
      <c r="Z838" s="328">
        <v>0.7</v>
      </c>
      <c r="AA838" s="328">
        <v>1700</v>
      </c>
      <c r="AB838" s="328" t="s">
        <v>612</v>
      </c>
      <c r="AC838" s="328">
        <v>0.85</v>
      </c>
      <c r="AD838" s="241"/>
      <c r="AE838" s="334"/>
    </row>
    <row r="839" spans="1:31" ht="15" customHeight="1">
      <c r="A839" s="329"/>
      <c r="B839" s="329"/>
      <c r="C839" s="329"/>
      <c r="D839" s="329"/>
      <c r="E839" s="329"/>
      <c r="F839" s="330"/>
      <c r="G839" s="329"/>
      <c r="H839" s="329"/>
      <c r="I839" s="329"/>
      <c r="J839" s="329"/>
      <c r="K839" s="329"/>
      <c r="L839" s="329"/>
      <c r="M839" s="329"/>
      <c r="N839" s="329"/>
      <c r="O839" s="329"/>
      <c r="P839" s="331"/>
      <c r="Q839" s="332"/>
      <c r="R839" s="332"/>
      <c r="S839" s="331"/>
      <c r="T839" s="331"/>
      <c r="U839" s="333" t="s">
        <v>539</v>
      </c>
      <c r="V839" s="333">
        <v>15</v>
      </c>
      <c r="W839" s="333">
        <v>5</v>
      </c>
      <c r="X839" s="328">
        <v>0.7</v>
      </c>
      <c r="Y839" s="328">
        <v>0.7</v>
      </c>
      <c r="Z839" s="328">
        <v>0.7</v>
      </c>
      <c r="AA839" s="328">
        <v>1700</v>
      </c>
      <c r="AB839" s="328" t="s">
        <v>612</v>
      </c>
      <c r="AC839" s="328">
        <v>0.85</v>
      </c>
      <c r="AD839" s="241"/>
      <c r="AE839" s="334"/>
    </row>
    <row r="840" spans="1:31" ht="15" customHeight="1">
      <c r="A840" s="329"/>
      <c r="B840" s="329"/>
      <c r="C840" s="329"/>
      <c r="D840" s="329"/>
      <c r="E840" s="329"/>
      <c r="F840" s="330"/>
      <c r="G840" s="329"/>
      <c r="H840" s="329"/>
      <c r="I840" s="329"/>
      <c r="J840" s="329"/>
      <c r="K840" s="329"/>
      <c r="L840" s="329"/>
      <c r="M840" s="329"/>
      <c r="N840" s="329"/>
      <c r="O840" s="329"/>
      <c r="P840" s="331"/>
      <c r="Q840" s="332"/>
      <c r="R840" s="332"/>
      <c r="S840" s="331"/>
      <c r="T840" s="331"/>
      <c r="U840" s="333" t="s">
        <v>539</v>
      </c>
      <c r="V840" s="333">
        <v>15</v>
      </c>
      <c r="W840" s="333">
        <v>5</v>
      </c>
      <c r="X840" s="328">
        <v>0.7</v>
      </c>
      <c r="Y840" s="328">
        <v>0.7</v>
      </c>
      <c r="Z840" s="328">
        <v>0.7</v>
      </c>
      <c r="AA840" s="328">
        <v>1700</v>
      </c>
      <c r="AB840" s="328" t="s">
        <v>612</v>
      </c>
      <c r="AC840" s="328">
        <v>0.85</v>
      </c>
      <c r="AD840" s="241"/>
      <c r="AE840" s="334"/>
    </row>
    <row r="841" spans="1:31" ht="15" customHeight="1">
      <c r="A841" s="329"/>
      <c r="B841" s="329"/>
      <c r="C841" s="329"/>
      <c r="D841" s="329"/>
      <c r="E841" s="329"/>
      <c r="F841" s="330"/>
      <c r="G841" s="329"/>
      <c r="H841" s="329"/>
      <c r="I841" s="329"/>
      <c r="J841" s="329"/>
      <c r="K841" s="329"/>
      <c r="L841" s="329"/>
      <c r="M841" s="329"/>
      <c r="N841" s="329"/>
      <c r="O841" s="329"/>
      <c r="P841" s="331"/>
      <c r="Q841" s="332"/>
      <c r="R841" s="332"/>
      <c r="S841" s="331"/>
      <c r="T841" s="331"/>
      <c r="U841" s="333" t="s">
        <v>553</v>
      </c>
      <c r="V841" s="333">
        <v>15</v>
      </c>
      <c r="W841" s="333">
        <v>5</v>
      </c>
      <c r="X841" s="328">
        <v>0.7</v>
      </c>
      <c r="Y841" s="328">
        <v>0.7</v>
      </c>
      <c r="Z841" s="328">
        <v>0.7</v>
      </c>
      <c r="AA841" s="328">
        <v>1700</v>
      </c>
      <c r="AB841" s="328" t="s">
        <v>612</v>
      </c>
      <c r="AC841" s="328">
        <v>0.85</v>
      </c>
      <c r="AD841" s="241"/>
      <c r="AE841" s="334"/>
    </row>
    <row r="842" spans="1:31" ht="15" customHeight="1">
      <c r="A842" s="329"/>
      <c r="B842" s="329"/>
      <c r="C842" s="329"/>
      <c r="D842" s="329"/>
      <c r="E842" s="329"/>
      <c r="F842" s="330"/>
      <c r="G842" s="329"/>
      <c r="H842" s="329"/>
      <c r="I842" s="329"/>
      <c r="J842" s="329"/>
      <c r="K842" s="329"/>
      <c r="L842" s="329"/>
      <c r="M842" s="329"/>
      <c r="N842" s="329"/>
      <c r="O842" s="329"/>
      <c r="P842" s="331"/>
      <c r="Q842" s="332"/>
      <c r="R842" s="332"/>
      <c r="S842" s="331"/>
      <c r="T842" s="331"/>
      <c r="U842" s="333" t="s">
        <v>539</v>
      </c>
      <c r="V842" s="333">
        <v>15</v>
      </c>
      <c r="W842" s="333">
        <v>5</v>
      </c>
      <c r="X842" s="328">
        <v>0.7</v>
      </c>
      <c r="Y842" s="328">
        <v>0.7</v>
      </c>
      <c r="Z842" s="328">
        <v>0.7</v>
      </c>
      <c r="AA842" s="328">
        <v>1700</v>
      </c>
      <c r="AB842" s="328" t="s">
        <v>612</v>
      </c>
      <c r="AC842" s="328">
        <v>0.85</v>
      </c>
      <c r="AD842" s="241"/>
      <c r="AE842" s="334"/>
    </row>
    <row r="843" spans="1:31" ht="15" customHeight="1">
      <c r="A843" s="329"/>
      <c r="B843" s="329"/>
      <c r="C843" s="329"/>
      <c r="D843" s="329"/>
      <c r="E843" s="329"/>
      <c r="F843" s="330"/>
      <c r="G843" s="329"/>
      <c r="H843" s="329"/>
      <c r="I843" s="329"/>
      <c r="J843" s="329"/>
      <c r="K843" s="329"/>
      <c r="L843" s="329"/>
      <c r="M843" s="329"/>
      <c r="N843" s="329"/>
      <c r="O843" s="329"/>
      <c r="P843" s="331"/>
      <c r="Q843" s="332"/>
      <c r="R843" s="332"/>
      <c r="S843" s="331"/>
      <c r="T843" s="331"/>
      <c r="U843" s="333" t="s">
        <v>539</v>
      </c>
      <c r="V843" s="333">
        <v>15</v>
      </c>
      <c r="W843" s="333">
        <v>5</v>
      </c>
      <c r="X843" s="328">
        <v>0.7</v>
      </c>
      <c r="Y843" s="328">
        <v>0.7</v>
      </c>
      <c r="Z843" s="328">
        <v>0.7</v>
      </c>
      <c r="AA843" s="328">
        <v>1700</v>
      </c>
      <c r="AB843" s="328" t="s">
        <v>612</v>
      </c>
      <c r="AC843" s="328">
        <v>0.85</v>
      </c>
      <c r="AD843" s="241"/>
      <c r="AE843" s="334"/>
    </row>
    <row r="844" spans="1:31" ht="15" customHeight="1">
      <c r="A844" s="329"/>
      <c r="B844" s="329"/>
      <c r="C844" s="329"/>
      <c r="D844" s="329"/>
      <c r="E844" s="329"/>
      <c r="F844" s="330"/>
      <c r="G844" s="329"/>
      <c r="H844" s="329"/>
      <c r="I844" s="329"/>
      <c r="J844" s="329"/>
      <c r="K844" s="329"/>
      <c r="L844" s="329"/>
      <c r="M844" s="329"/>
      <c r="N844" s="329"/>
      <c r="O844" s="329"/>
      <c r="P844" s="331"/>
      <c r="Q844" s="332"/>
      <c r="R844" s="332"/>
      <c r="S844" s="331"/>
      <c r="T844" s="331"/>
      <c r="U844" s="333" t="s">
        <v>539</v>
      </c>
      <c r="V844" s="333">
        <v>15</v>
      </c>
      <c r="W844" s="333">
        <v>5</v>
      </c>
      <c r="X844" s="328">
        <v>0.7</v>
      </c>
      <c r="Y844" s="328">
        <v>0.7</v>
      </c>
      <c r="Z844" s="328">
        <v>0.7</v>
      </c>
      <c r="AA844" s="328">
        <v>1700</v>
      </c>
      <c r="AB844" s="328" t="s">
        <v>612</v>
      </c>
      <c r="AC844" s="328">
        <v>0.85</v>
      </c>
      <c r="AD844" s="241"/>
      <c r="AE844" s="334"/>
    </row>
    <row r="845" spans="1:31" ht="15" customHeight="1">
      <c r="A845" s="329"/>
      <c r="B845" s="329"/>
      <c r="C845" s="329"/>
      <c r="D845" s="329"/>
      <c r="E845" s="329"/>
      <c r="F845" s="330"/>
      <c r="G845" s="329"/>
      <c r="H845" s="329"/>
      <c r="I845" s="329"/>
      <c r="J845" s="329"/>
      <c r="K845" s="329"/>
      <c r="L845" s="329"/>
      <c r="M845" s="329"/>
      <c r="N845" s="329"/>
      <c r="O845" s="329"/>
      <c r="P845" s="331"/>
      <c r="Q845" s="332"/>
      <c r="R845" s="332"/>
      <c r="S845" s="331"/>
      <c r="T845" s="331"/>
      <c r="U845" s="333" t="s">
        <v>539</v>
      </c>
      <c r="V845" s="333">
        <v>15</v>
      </c>
      <c r="W845" s="333">
        <v>5</v>
      </c>
      <c r="X845" s="328">
        <v>0.7</v>
      </c>
      <c r="Y845" s="328">
        <v>0.7</v>
      </c>
      <c r="Z845" s="328">
        <v>0.7</v>
      </c>
      <c r="AA845" s="328">
        <v>1700</v>
      </c>
      <c r="AB845" s="328" t="s">
        <v>612</v>
      </c>
      <c r="AC845" s="328">
        <v>0.85</v>
      </c>
      <c r="AD845" s="241"/>
      <c r="AE845" s="334"/>
    </row>
  </sheetData>
  <mergeCells count="2">
    <mergeCell ref="AD49:AD61"/>
    <mergeCell ref="AD90:AD94"/>
  </mergeCells>
  <pageMargins left="0.7" right="0.7" top="0.75" bottom="0.75" header="0" footer="0"/>
  <pageSetup orientation="landscape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E991"/>
  <sheetViews>
    <sheetView workbookViewId="0"/>
  </sheetViews>
  <sheetFormatPr defaultColWidth="11.25" defaultRowHeight="15" customHeight="1"/>
  <cols>
    <col min="2" max="2" width="12.5" customWidth="1"/>
    <col min="3" max="3" width="13.5" customWidth="1"/>
  </cols>
  <sheetData>
    <row r="1" spans="1:5">
      <c r="A1" s="293" t="s">
        <v>845</v>
      </c>
      <c r="B1" s="293" t="s">
        <v>846</v>
      </c>
      <c r="C1" s="336" t="s">
        <v>847</v>
      </c>
      <c r="D1" s="337" t="s">
        <v>8</v>
      </c>
      <c r="E1" s="337" t="s">
        <v>7</v>
      </c>
    </row>
    <row r="2" spans="1:5">
      <c r="A2" s="338">
        <v>45468</v>
      </c>
      <c r="B2" s="1" t="s">
        <v>552</v>
      </c>
      <c r="C2" s="336">
        <v>26.75</v>
      </c>
      <c r="D2" s="337" t="s">
        <v>81</v>
      </c>
      <c r="E2" s="337" t="s">
        <v>12</v>
      </c>
    </row>
    <row r="3" spans="1:5">
      <c r="A3" s="338">
        <v>45468</v>
      </c>
      <c r="B3" s="293">
        <v>1</v>
      </c>
      <c r="C3" s="336">
        <v>19.920000000000002</v>
      </c>
      <c r="D3" s="337" t="s">
        <v>81</v>
      </c>
      <c r="E3" s="337" t="s">
        <v>12</v>
      </c>
    </row>
    <row r="4" spans="1:5">
      <c r="A4" s="338">
        <v>45468</v>
      </c>
      <c r="B4" s="293">
        <v>2</v>
      </c>
      <c r="C4" s="336">
        <v>18.36</v>
      </c>
      <c r="D4" s="337" t="s">
        <v>81</v>
      </c>
      <c r="E4" s="337" t="s">
        <v>12</v>
      </c>
    </row>
    <row r="5" spans="1:5">
      <c r="A5" s="338">
        <v>45468</v>
      </c>
      <c r="B5" s="293">
        <v>118</v>
      </c>
      <c r="C5" s="336">
        <v>18.36</v>
      </c>
      <c r="D5" s="337" t="s">
        <v>81</v>
      </c>
      <c r="E5" s="337" t="s">
        <v>12</v>
      </c>
    </row>
    <row r="6" spans="1:5">
      <c r="A6" s="338">
        <v>45468</v>
      </c>
      <c r="B6" s="293">
        <v>119</v>
      </c>
      <c r="C6" s="336">
        <v>19.47</v>
      </c>
      <c r="D6" s="337" t="s">
        <v>81</v>
      </c>
      <c r="E6" s="337" t="s">
        <v>12</v>
      </c>
    </row>
    <row r="7" spans="1:5">
      <c r="A7" s="338">
        <v>45468</v>
      </c>
      <c r="B7" s="293">
        <v>105</v>
      </c>
      <c r="C7" s="336">
        <v>19.739999999999998</v>
      </c>
      <c r="D7" s="337" t="s">
        <v>81</v>
      </c>
      <c r="E7" s="337" t="s">
        <v>12</v>
      </c>
    </row>
    <row r="8" spans="1:5">
      <c r="A8" s="338">
        <v>45468</v>
      </c>
      <c r="B8" s="293">
        <v>106</v>
      </c>
      <c r="C8" s="336">
        <v>21.05</v>
      </c>
      <c r="D8" s="337" t="s">
        <v>81</v>
      </c>
      <c r="E8" s="337" t="s">
        <v>12</v>
      </c>
    </row>
    <row r="9" spans="1:5">
      <c r="A9" s="338">
        <v>45468</v>
      </c>
      <c r="B9" s="293">
        <v>14</v>
      </c>
      <c r="C9" s="336">
        <v>21.29</v>
      </c>
      <c r="D9" s="337" t="s">
        <v>81</v>
      </c>
      <c r="E9" s="337" t="s">
        <v>12</v>
      </c>
    </row>
    <row r="10" spans="1:5">
      <c r="A10" s="338">
        <v>45468</v>
      </c>
      <c r="B10" s="293">
        <v>15</v>
      </c>
      <c r="C10" s="336">
        <v>22.19</v>
      </c>
      <c r="D10" s="337" t="s">
        <v>81</v>
      </c>
      <c r="E10" s="337" t="s">
        <v>12</v>
      </c>
    </row>
    <row r="11" spans="1:5">
      <c r="A11" s="338">
        <v>45468</v>
      </c>
      <c r="B11" s="1" t="s">
        <v>552</v>
      </c>
      <c r="C11" s="336">
        <v>25.75</v>
      </c>
      <c r="D11" s="337" t="s">
        <v>81</v>
      </c>
      <c r="E11" s="337" t="s">
        <v>12</v>
      </c>
    </row>
    <row r="12" spans="1:5">
      <c r="A12" s="338">
        <v>45468</v>
      </c>
      <c r="B12" s="293">
        <v>79</v>
      </c>
      <c r="C12" s="336">
        <v>23.6</v>
      </c>
      <c r="D12" s="337" t="s">
        <v>81</v>
      </c>
      <c r="E12" s="337" t="s">
        <v>12</v>
      </c>
    </row>
    <row r="13" spans="1:5">
      <c r="A13" s="338">
        <v>45468</v>
      </c>
      <c r="B13" s="293">
        <v>80</v>
      </c>
      <c r="C13" s="336">
        <v>22.94</v>
      </c>
      <c r="D13" s="337" t="s">
        <v>81</v>
      </c>
      <c r="E13" s="337" t="s">
        <v>12</v>
      </c>
    </row>
    <row r="14" spans="1:5">
      <c r="A14" s="338">
        <v>45468</v>
      </c>
      <c r="B14" s="293">
        <v>66</v>
      </c>
      <c r="C14" s="336" t="s">
        <v>848</v>
      </c>
      <c r="D14" s="337" t="s">
        <v>81</v>
      </c>
      <c r="E14" s="337" t="s">
        <v>280</v>
      </c>
    </row>
    <row r="15" spans="1:5">
      <c r="A15" s="338">
        <v>45468</v>
      </c>
      <c r="B15" s="293">
        <v>67</v>
      </c>
      <c r="C15" s="336" t="s">
        <v>848</v>
      </c>
      <c r="D15" s="337" t="s">
        <v>81</v>
      </c>
      <c r="E15" s="337" t="s">
        <v>280</v>
      </c>
    </row>
    <row r="16" spans="1:5">
      <c r="A16" s="338">
        <v>45468</v>
      </c>
      <c r="B16" s="293">
        <v>92</v>
      </c>
      <c r="C16" s="336">
        <v>24.41</v>
      </c>
      <c r="D16" s="337" t="s">
        <v>81</v>
      </c>
      <c r="E16" s="337" t="s">
        <v>12</v>
      </c>
    </row>
    <row r="17" spans="1:5">
      <c r="A17" s="338">
        <v>45468</v>
      </c>
      <c r="B17" s="293">
        <v>93</v>
      </c>
      <c r="C17" s="336">
        <v>24.51</v>
      </c>
      <c r="D17" s="337" t="s">
        <v>81</v>
      </c>
      <c r="E17" s="337" t="s">
        <v>12</v>
      </c>
    </row>
    <row r="18" spans="1:5">
      <c r="A18" s="338">
        <v>45468</v>
      </c>
      <c r="B18" s="293">
        <v>53</v>
      </c>
      <c r="C18" s="336">
        <v>24.9</v>
      </c>
      <c r="D18" s="337" t="s">
        <v>81</v>
      </c>
      <c r="E18" s="337" t="s">
        <v>12</v>
      </c>
    </row>
    <row r="19" spans="1:5">
      <c r="A19" s="338">
        <v>45468</v>
      </c>
      <c r="B19" s="293">
        <v>54</v>
      </c>
      <c r="C19" s="336">
        <v>25.22</v>
      </c>
      <c r="D19" s="337" t="s">
        <v>81</v>
      </c>
      <c r="E19" s="337" t="s">
        <v>12</v>
      </c>
    </row>
    <row r="20" spans="1:5">
      <c r="A20" s="338">
        <v>45468</v>
      </c>
      <c r="B20" s="1" t="s">
        <v>552</v>
      </c>
      <c r="C20" s="336">
        <v>25.82</v>
      </c>
      <c r="D20" s="337" t="s">
        <v>81</v>
      </c>
      <c r="E20" s="337" t="s">
        <v>12</v>
      </c>
    </row>
    <row r="21" spans="1:5">
      <c r="A21" s="338">
        <v>45468</v>
      </c>
      <c r="B21" s="293">
        <v>40</v>
      </c>
      <c r="C21" s="336">
        <v>24.43</v>
      </c>
      <c r="D21" s="337" t="s">
        <v>81</v>
      </c>
      <c r="E21" s="337" t="s">
        <v>12</v>
      </c>
    </row>
    <row r="22" spans="1:5">
      <c r="A22" s="338">
        <v>45468</v>
      </c>
      <c r="B22" s="293">
        <v>41</v>
      </c>
      <c r="C22" s="336">
        <v>24.02</v>
      </c>
      <c r="D22" s="337" t="s">
        <v>81</v>
      </c>
      <c r="E22" s="337" t="s">
        <v>12</v>
      </c>
    </row>
    <row r="23" spans="1:5">
      <c r="A23" s="338">
        <v>45468</v>
      </c>
      <c r="B23" s="293">
        <v>66</v>
      </c>
      <c r="C23" s="336">
        <v>25.4</v>
      </c>
      <c r="D23" s="337" t="s">
        <v>81</v>
      </c>
      <c r="E23" s="337" t="s">
        <v>12</v>
      </c>
    </row>
    <row r="24" spans="1:5">
      <c r="A24" s="338">
        <v>45468</v>
      </c>
      <c r="B24" s="293">
        <v>67</v>
      </c>
      <c r="C24" s="336">
        <v>25.45</v>
      </c>
      <c r="D24" s="337" t="s">
        <v>81</v>
      </c>
      <c r="E24" s="337" t="s">
        <v>12</v>
      </c>
    </row>
    <row r="25" spans="1:5">
      <c r="A25" s="338">
        <v>45468</v>
      </c>
      <c r="B25" s="293">
        <v>144</v>
      </c>
      <c r="C25" s="336">
        <v>24.56</v>
      </c>
      <c r="D25" s="337" t="s">
        <v>81</v>
      </c>
      <c r="E25" s="337" t="s">
        <v>12</v>
      </c>
    </row>
    <row r="26" spans="1:5">
      <c r="A26" s="338">
        <v>45468</v>
      </c>
      <c r="B26" s="293">
        <v>145</v>
      </c>
      <c r="C26" s="336">
        <v>24.96</v>
      </c>
      <c r="D26" s="337" t="s">
        <v>81</v>
      </c>
      <c r="E26" s="337" t="s">
        <v>12</v>
      </c>
    </row>
    <row r="27" spans="1:5">
      <c r="A27" s="338">
        <v>45468</v>
      </c>
      <c r="B27" s="293">
        <v>157</v>
      </c>
      <c r="C27" s="336">
        <v>25.13</v>
      </c>
      <c r="D27" s="337" t="s">
        <v>81</v>
      </c>
      <c r="E27" s="337" t="s">
        <v>12</v>
      </c>
    </row>
    <row r="28" spans="1:5">
      <c r="A28" s="338">
        <v>45468</v>
      </c>
      <c r="B28" s="293">
        <v>158</v>
      </c>
      <c r="C28" s="336">
        <v>25.3</v>
      </c>
      <c r="D28" s="337" t="s">
        <v>81</v>
      </c>
      <c r="E28" s="337" t="s">
        <v>12</v>
      </c>
    </row>
    <row r="29" spans="1:5">
      <c r="A29" s="338">
        <v>45468</v>
      </c>
      <c r="B29" s="1" t="s">
        <v>552</v>
      </c>
      <c r="C29" s="336">
        <v>26.13</v>
      </c>
      <c r="D29" s="337" t="s">
        <v>81</v>
      </c>
      <c r="E29" s="337" t="s">
        <v>12</v>
      </c>
    </row>
    <row r="30" spans="1:5">
      <c r="A30" s="338">
        <v>45469</v>
      </c>
      <c r="B30" s="293" t="s">
        <v>678</v>
      </c>
      <c r="C30" s="336">
        <v>25.73</v>
      </c>
      <c r="D30" s="337" t="s">
        <v>81</v>
      </c>
      <c r="E30" s="337" t="s">
        <v>12</v>
      </c>
    </row>
    <row r="31" spans="1:5">
      <c r="A31" s="338">
        <v>45469</v>
      </c>
      <c r="B31" s="293">
        <v>131</v>
      </c>
      <c r="C31" s="336">
        <v>23.88</v>
      </c>
      <c r="D31" s="337" t="s">
        <v>474</v>
      </c>
      <c r="E31" s="337" t="s">
        <v>12</v>
      </c>
    </row>
    <row r="32" spans="1:5">
      <c r="A32" s="338">
        <v>45469</v>
      </c>
      <c r="B32" s="293">
        <v>132</v>
      </c>
      <c r="C32" s="336">
        <v>24.04</v>
      </c>
      <c r="D32" s="337" t="s">
        <v>474</v>
      </c>
      <c r="E32" s="337" t="s">
        <v>12</v>
      </c>
    </row>
    <row r="33" spans="1:5">
      <c r="A33" s="338">
        <v>45469</v>
      </c>
      <c r="B33" s="293">
        <v>27</v>
      </c>
      <c r="C33" s="336">
        <v>24.37</v>
      </c>
      <c r="D33" s="337" t="s">
        <v>474</v>
      </c>
      <c r="E33" s="337" t="s">
        <v>12</v>
      </c>
    </row>
    <row r="34" spans="1:5">
      <c r="A34" s="338">
        <v>45469</v>
      </c>
      <c r="B34" s="293">
        <v>28</v>
      </c>
      <c r="C34" s="336">
        <v>24.2</v>
      </c>
      <c r="D34" s="337" t="s">
        <v>474</v>
      </c>
      <c r="E34" s="337" t="s">
        <v>12</v>
      </c>
    </row>
    <row r="35" spans="1:5">
      <c r="A35" s="338">
        <v>45469</v>
      </c>
      <c r="B35" s="293">
        <v>170</v>
      </c>
      <c r="C35" s="336">
        <v>24.91</v>
      </c>
      <c r="D35" s="337" t="s">
        <v>474</v>
      </c>
      <c r="E35" s="337" t="s">
        <v>12</v>
      </c>
    </row>
    <row r="36" spans="1:5">
      <c r="A36" s="338">
        <v>45469</v>
      </c>
      <c r="B36" s="293">
        <v>171</v>
      </c>
      <c r="C36" s="336">
        <v>24.7</v>
      </c>
      <c r="D36" s="337" t="s">
        <v>474</v>
      </c>
      <c r="E36" s="337" t="s">
        <v>12</v>
      </c>
    </row>
    <row r="37" spans="1:5">
      <c r="A37" s="338">
        <v>45469</v>
      </c>
      <c r="B37" s="293">
        <v>287</v>
      </c>
      <c r="C37" s="336">
        <v>24.76</v>
      </c>
      <c r="D37" s="337" t="s">
        <v>474</v>
      </c>
      <c r="E37" s="337" t="s">
        <v>12</v>
      </c>
    </row>
    <row r="38" spans="1:5">
      <c r="A38" s="338">
        <v>45469</v>
      </c>
      <c r="B38" s="293">
        <v>288</v>
      </c>
      <c r="C38" s="336">
        <v>25.23</v>
      </c>
      <c r="D38" s="337" t="s">
        <v>474</v>
      </c>
      <c r="E38" s="337" t="s">
        <v>12</v>
      </c>
    </row>
    <row r="39" spans="1:5">
      <c r="A39" s="338">
        <v>45469</v>
      </c>
      <c r="B39" s="293" t="s">
        <v>678</v>
      </c>
      <c r="C39" s="336">
        <v>25.76</v>
      </c>
      <c r="D39" s="337" t="s">
        <v>81</v>
      </c>
      <c r="E39" s="337" t="s">
        <v>12</v>
      </c>
    </row>
    <row r="40" spans="1:5">
      <c r="A40" s="338">
        <v>45469</v>
      </c>
      <c r="B40" s="293">
        <v>209</v>
      </c>
      <c r="C40" s="336">
        <v>24.76</v>
      </c>
      <c r="D40" s="337" t="s">
        <v>81</v>
      </c>
      <c r="E40" s="337" t="s">
        <v>12</v>
      </c>
    </row>
    <row r="41" spans="1:5">
      <c r="A41" s="338">
        <v>45469</v>
      </c>
      <c r="B41" s="293">
        <v>210</v>
      </c>
      <c r="C41" s="336">
        <v>24.85</v>
      </c>
      <c r="D41" s="337" t="s">
        <v>81</v>
      </c>
      <c r="E41" s="337" t="s">
        <v>12</v>
      </c>
    </row>
    <row r="42" spans="1:5">
      <c r="A42" s="338">
        <v>45469</v>
      </c>
      <c r="B42" s="293">
        <v>184</v>
      </c>
      <c r="C42" s="336">
        <v>25.02</v>
      </c>
      <c r="D42" s="337" t="s">
        <v>81</v>
      </c>
      <c r="E42" s="337" t="s">
        <v>12</v>
      </c>
    </row>
    <row r="43" spans="1:5">
      <c r="A43" s="338">
        <v>45469</v>
      </c>
      <c r="B43" s="293">
        <v>183</v>
      </c>
      <c r="C43" s="336">
        <v>25.13</v>
      </c>
      <c r="D43" s="337" t="s">
        <v>81</v>
      </c>
      <c r="E43" s="337" t="s">
        <v>12</v>
      </c>
    </row>
    <row r="44" spans="1:5">
      <c r="A44" s="338">
        <v>45469</v>
      </c>
      <c r="B44" s="293">
        <v>274</v>
      </c>
      <c r="C44" s="336">
        <v>25.12</v>
      </c>
      <c r="D44" s="337" t="s">
        <v>81</v>
      </c>
      <c r="E44" s="337" t="s">
        <v>12</v>
      </c>
    </row>
    <row r="45" spans="1:5">
      <c r="A45" s="338">
        <v>45469</v>
      </c>
      <c r="B45" s="293">
        <v>275</v>
      </c>
      <c r="C45" s="336">
        <v>24.8</v>
      </c>
      <c r="D45" s="337" t="s">
        <v>81</v>
      </c>
      <c r="E45" s="337" t="s">
        <v>12</v>
      </c>
    </row>
    <row r="46" spans="1:5">
      <c r="A46" s="338">
        <v>45469</v>
      </c>
      <c r="B46" s="293">
        <v>235</v>
      </c>
      <c r="C46" s="336">
        <v>25.5</v>
      </c>
      <c r="D46" s="337" t="s">
        <v>81</v>
      </c>
      <c r="E46" s="337" t="s">
        <v>12</v>
      </c>
    </row>
    <row r="47" spans="1:5">
      <c r="A47" s="338">
        <v>45469</v>
      </c>
      <c r="B47" s="293">
        <v>236</v>
      </c>
      <c r="C47" s="336">
        <v>25.64</v>
      </c>
      <c r="D47" s="337" t="s">
        <v>81</v>
      </c>
      <c r="E47" s="337" t="s">
        <v>12</v>
      </c>
    </row>
    <row r="48" spans="1:5">
      <c r="A48" s="338">
        <v>45469</v>
      </c>
      <c r="B48" s="293" t="s">
        <v>678</v>
      </c>
      <c r="C48" s="336">
        <v>25.7</v>
      </c>
      <c r="D48" s="337" t="s">
        <v>81</v>
      </c>
      <c r="E48" s="337" t="s">
        <v>12</v>
      </c>
    </row>
    <row r="49" spans="1:5">
      <c r="A49" s="338">
        <v>45469</v>
      </c>
      <c r="B49" s="293">
        <v>222</v>
      </c>
      <c r="C49" s="336">
        <v>25.49</v>
      </c>
      <c r="D49" s="337" t="s">
        <v>81</v>
      </c>
      <c r="E49" s="337" t="s">
        <v>12</v>
      </c>
    </row>
    <row r="50" spans="1:5">
      <c r="A50" s="338">
        <v>45469</v>
      </c>
      <c r="B50" s="293">
        <v>223</v>
      </c>
      <c r="C50" s="336">
        <v>25.61</v>
      </c>
      <c r="D50" s="337" t="s">
        <v>81</v>
      </c>
      <c r="E50" s="337" t="s">
        <v>12</v>
      </c>
    </row>
    <row r="51" spans="1:5">
      <c r="A51" s="338">
        <v>45469</v>
      </c>
      <c r="B51" s="293">
        <v>261</v>
      </c>
      <c r="C51" s="336">
        <v>25.72</v>
      </c>
      <c r="D51" s="337" t="s">
        <v>81</v>
      </c>
      <c r="E51" s="337" t="s">
        <v>12</v>
      </c>
    </row>
    <row r="52" spans="1:5">
      <c r="A52" s="338">
        <v>45469</v>
      </c>
      <c r="B52" s="293">
        <v>262</v>
      </c>
      <c r="C52" s="336">
        <v>25.57</v>
      </c>
      <c r="D52" s="337" t="s">
        <v>81</v>
      </c>
      <c r="E52" s="337" t="s">
        <v>12</v>
      </c>
    </row>
    <row r="53" spans="1:5">
      <c r="A53" s="338">
        <v>45469</v>
      </c>
      <c r="B53" s="293" t="s">
        <v>678</v>
      </c>
      <c r="C53" s="336">
        <v>25.83</v>
      </c>
      <c r="D53" s="337" t="s">
        <v>81</v>
      </c>
      <c r="E53" s="337" t="s">
        <v>12</v>
      </c>
    </row>
    <row r="54" spans="1:5">
      <c r="A54" s="338">
        <v>45488</v>
      </c>
      <c r="B54" s="293" t="s">
        <v>726</v>
      </c>
      <c r="C54" s="336">
        <v>25.6</v>
      </c>
      <c r="D54" s="337" t="s">
        <v>13</v>
      </c>
      <c r="E54" s="337" t="s">
        <v>12</v>
      </c>
    </row>
    <row r="55" spans="1:5">
      <c r="A55" s="338">
        <v>45488</v>
      </c>
      <c r="B55" s="293">
        <v>300</v>
      </c>
      <c r="C55" s="336">
        <v>25.86</v>
      </c>
      <c r="D55" s="337" t="s">
        <v>13</v>
      </c>
      <c r="E55" s="337" t="s">
        <v>12</v>
      </c>
    </row>
    <row r="56" spans="1:5">
      <c r="A56" s="338">
        <v>45488</v>
      </c>
      <c r="B56" s="293">
        <v>301</v>
      </c>
      <c r="C56" s="336">
        <v>25.88</v>
      </c>
      <c r="D56" s="337" t="s">
        <v>13</v>
      </c>
      <c r="E56" s="337" t="s">
        <v>12</v>
      </c>
    </row>
    <row r="57" spans="1:5">
      <c r="A57" s="338">
        <v>45488</v>
      </c>
      <c r="B57" s="293">
        <v>196</v>
      </c>
      <c r="C57" s="336">
        <v>25.88</v>
      </c>
      <c r="D57" s="337" t="s">
        <v>13</v>
      </c>
      <c r="E57" s="337" t="s">
        <v>12</v>
      </c>
    </row>
    <row r="58" spans="1:5">
      <c r="A58" s="338">
        <v>45488</v>
      </c>
      <c r="B58" s="293">
        <v>197</v>
      </c>
      <c r="C58" s="336">
        <v>25.9</v>
      </c>
      <c r="D58" s="337" t="s">
        <v>13</v>
      </c>
      <c r="E58" s="337" t="s">
        <v>12</v>
      </c>
    </row>
    <row r="59" spans="1:5">
      <c r="A59" s="338">
        <v>45488</v>
      </c>
      <c r="B59" s="293">
        <v>339</v>
      </c>
      <c r="C59" s="336">
        <v>25.91</v>
      </c>
      <c r="D59" s="337" t="s">
        <v>13</v>
      </c>
      <c r="E59" s="337" t="s">
        <v>12</v>
      </c>
    </row>
    <row r="60" spans="1:5">
      <c r="A60" s="338">
        <v>45488</v>
      </c>
      <c r="B60" s="293">
        <v>340</v>
      </c>
      <c r="C60" s="336">
        <v>26.02</v>
      </c>
      <c r="D60" s="337" t="s">
        <v>13</v>
      </c>
      <c r="E60" s="337" t="s">
        <v>12</v>
      </c>
    </row>
    <row r="61" spans="1:5">
      <c r="A61" s="338">
        <v>45488</v>
      </c>
      <c r="B61" s="293">
        <v>248</v>
      </c>
      <c r="C61" s="336">
        <v>26.14</v>
      </c>
      <c r="D61" s="337" t="s">
        <v>13</v>
      </c>
      <c r="E61" s="337" t="s">
        <v>12</v>
      </c>
    </row>
    <row r="62" spans="1:5">
      <c r="A62" s="338">
        <v>45488</v>
      </c>
      <c r="B62" s="293">
        <v>249</v>
      </c>
      <c r="C62" s="336">
        <v>26.32</v>
      </c>
      <c r="D62" s="337" t="s">
        <v>13</v>
      </c>
      <c r="E62" s="337" t="s">
        <v>12</v>
      </c>
    </row>
    <row r="63" spans="1:5">
      <c r="A63" s="338">
        <v>45488</v>
      </c>
      <c r="B63" s="293" t="s">
        <v>726</v>
      </c>
      <c r="C63" s="336">
        <v>27.02</v>
      </c>
      <c r="D63" s="337" t="s">
        <v>13</v>
      </c>
      <c r="E63" s="337" t="s">
        <v>12</v>
      </c>
    </row>
    <row r="64" spans="1:5">
      <c r="A64" s="338">
        <v>45488</v>
      </c>
      <c r="B64" s="293">
        <v>313</v>
      </c>
      <c r="C64" s="336">
        <v>27.02</v>
      </c>
      <c r="D64" s="337" t="s">
        <v>13</v>
      </c>
      <c r="E64" s="337" t="s">
        <v>12</v>
      </c>
    </row>
    <row r="65" spans="1:5">
      <c r="A65" s="338">
        <v>45488</v>
      </c>
      <c r="B65" s="293">
        <v>314</v>
      </c>
      <c r="C65" s="336">
        <v>26.77</v>
      </c>
      <c r="D65" s="337" t="s">
        <v>13</v>
      </c>
      <c r="E65" s="337" t="s">
        <v>12</v>
      </c>
    </row>
    <row r="66" spans="1:5">
      <c r="A66" s="338">
        <v>45488</v>
      </c>
      <c r="B66" s="293">
        <v>326</v>
      </c>
      <c r="C66" s="336">
        <v>26.81</v>
      </c>
      <c r="D66" s="337" t="s">
        <v>13</v>
      </c>
      <c r="E66" s="337" t="s">
        <v>12</v>
      </c>
    </row>
    <row r="67" spans="1:5">
      <c r="A67" s="338">
        <v>45488</v>
      </c>
      <c r="B67" s="293">
        <v>327</v>
      </c>
      <c r="C67" s="336">
        <v>26.78</v>
      </c>
      <c r="D67" s="337" t="s">
        <v>13</v>
      </c>
      <c r="E67" s="337" t="s">
        <v>12</v>
      </c>
    </row>
    <row r="68" spans="1:5">
      <c r="A68" s="338">
        <v>45488</v>
      </c>
      <c r="B68" s="293">
        <v>391</v>
      </c>
      <c r="C68" s="336">
        <v>26.46</v>
      </c>
      <c r="D68" s="337" t="s">
        <v>13</v>
      </c>
      <c r="E68" s="337" t="s">
        <v>12</v>
      </c>
    </row>
    <row r="69" spans="1:5">
      <c r="A69" s="338">
        <v>45488</v>
      </c>
      <c r="B69" s="293">
        <v>392</v>
      </c>
      <c r="C69" s="336">
        <v>26.41</v>
      </c>
      <c r="D69" s="337" t="s">
        <v>13</v>
      </c>
      <c r="E69" s="337" t="s">
        <v>12</v>
      </c>
    </row>
    <row r="70" spans="1:5">
      <c r="A70" s="338">
        <v>45488</v>
      </c>
      <c r="B70" s="293">
        <v>352</v>
      </c>
      <c r="C70" s="336">
        <v>27.07</v>
      </c>
      <c r="D70" s="337" t="s">
        <v>13</v>
      </c>
      <c r="E70" s="337" t="s">
        <v>12</v>
      </c>
    </row>
    <row r="71" spans="1:5">
      <c r="A71" s="338">
        <v>45488</v>
      </c>
      <c r="B71" s="293">
        <v>353</v>
      </c>
      <c r="C71" s="336">
        <v>27.57</v>
      </c>
      <c r="D71" s="337" t="s">
        <v>13</v>
      </c>
      <c r="E71" s="337" t="s">
        <v>12</v>
      </c>
    </row>
    <row r="72" spans="1:5">
      <c r="A72" s="338">
        <v>45488</v>
      </c>
      <c r="B72" s="293" t="s">
        <v>726</v>
      </c>
      <c r="C72" s="336">
        <v>27.3</v>
      </c>
      <c r="D72" s="337" t="s">
        <v>13</v>
      </c>
      <c r="E72" s="337" t="s">
        <v>12</v>
      </c>
    </row>
    <row r="73" spans="1:5">
      <c r="A73" s="338">
        <v>45488</v>
      </c>
      <c r="B73" s="293">
        <v>365</v>
      </c>
      <c r="C73" s="336">
        <v>27.26</v>
      </c>
      <c r="D73" s="337" t="s">
        <v>13</v>
      </c>
      <c r="E73" s="337" t="s">
        <v>12</v>
      </c>
    </row>
    <row r="74" spans="1:5">
      <c r="A74" s="338">
        <v>45488</v>
      </c>
      <c r="B74" s="293">
        <v>366</v>
      </c>
      <c r="C74" s="336">
        <v>27.16</v>
      </c>
      <c r="D74" s="337" t="s">
        <v>13</v>
      </c>
      <c r="E74" s="337" t="s">
        <v>12</v>
      </c>
    </row>
    <row r="75" spans="1:5">
      <c r="A75" s="338">
        <v>45488</v>
      </c>
      <c r="B75" s="293">
        <v>443</v>
      </c>
      <c r="C75" s="336">
        <v>27.11</v>
      </c>
      <c r="D75" s="337" t="s">
        <v>13</v>
      </c>
      <c r="E75" s="337" t="s">
        <v>12</v>
      </c>
    </row>
    <row r="76" spans="1:5">
      <c r="A76" s="338">
        <v>45488</v>
      </c>
      <c r="B76" s="293">
        <v>444</v>
      </c>
      <c r="C76" s="336">
        <v>27.24</v>
      </c>
      <c r="D76" s="337" t="s">
        <v>13</v>
      </c>
      <c r="E76" s="337" t="s">
        <v>12</v>
      </c>
    </row>
    <row r="77" spans="1:5">
      <c r="A77" s="338">
        <v>45488</v>
      </c>
      <c r="B77" s="293">
        <v>417</v>
      </c>
      <c r="C77" s="336">
        <v>27.38</v>
      </c>
      <c r="D77" s="337" t="s">
        <v>13</v>
      </c>
      <c r="E77" s="337" t="s">
        <v>12</v>
      </c>
    </row>
    <row r="78" spans="1:5">
      <c r="A78" s="338">
        <v>45488</v>
      </c>
      <c r="B78" s="293">
        <v>418</v>
      </c>
      <c r="C78" s="336">
        <v>27.37</v>
      </c>
      <c r="D78" s="337" t="s">
        <v>13</v>
      </c>
      <c r="E78" s="337" t="s">
        <v>12</v>
      </c>
    </row>
    <row r="79" spans="1:5">
      <c r="A79" s="338">
        <v>45488</v>
      </c>
      <c r="B79" s="293">
        <v>404</v>
      </c>
      <c r="C79" s="336">
        <v>27.4</v>
      </c>
      <c r="D79" s="337" t="s">
        <v>13</v>
      </c>
      <c r="E79" s="337" t="s">
        <v>12</v>
      </c>
    </row>
    <row r="80" spans="1:5">
      <c r="A80" s="338">
        <v>45488</v>
      </c>
      <c r="B80" s="293">
        <v>405</v>
      </c>
      <c r="C80" s="336">
        <v>27.73</v>
      </c>
      <c r="D80" s="337" t="s">
        <v>13</v>
      </c>
      <c r="E80" s="337" t="s">
        <v>12</v>
      </c>
    </row>
    <row r="81" spans="1:5">
      <c r="A81" s="338">
        <v>45488</v>
      </c>
      <c r="B81" s="293" t="s">
        <v>726</v>
      </c>
      <c r="C81" s="336">
        <v>27.7</v>
      </c>
      <c r="D81" s="337" t="s">
        <v>13</v>
      </c>
      <c r="E81" s="337" t="s">
        <v>12</v>
      </c>
    </row>
    <row r="82" spans="1:5">
      <c r="A82" s="338">
        <v>45495</v>
      </c>
      <c r="B82" s="293" t="s">
        <v>776</v>
      </c>
      <c r="C82" s="336">
        <v>25.24</v>
      </c>
      <c r="D82" s="337" t="s">
        <v>13</v>
      </c>
      <c r="E82" s="337" t="s">
        <v>12</v>
      </c>
    </row>
    <row r="83" spans="1:5">
      <c r="A83" s="338">
        <v>45495</v>
      </c>
      <c r="B83" s="293">
        <v>456</v>
      </c>
      <c r="C83" s="336">
        <v>16.98</v>
      </c>
      <c r="D83" s="337" t="s">
        <v>13</v>
      </c>
      <c r="E83" s="337" t="s">
        <v>12</v>
      </c>
    </row>
    <row r="84" spans="1:5">
      <c r="A84" s="338">
        <v>45495</v>
      </c>
      <c r="B84" s="293">
        <v>457</v>
      </c>
      <c r="C84" s="336">
        <v>16.739999999999998</v>
      </c>
      <c r="D84" s="337" t="s">
        <v>13</v>
      </c>
      <c r="E84" s="337" t="s">
        <v>12</v>
      </c>
    </row>
    <row r="85" spans="1:5">
      <c r="A85" s="338">
        <v>45495</v>
      </c>
      <c r="B85" s="293">
        <v>482</v>
      </c>
      <c r="C85" s="336">
        <v>17.82</v>
      </c>
      <c r="D85" s="337" t="s">
        <v>13</v>
      </c>
      <c r="E85" s="337" t="s">
        <v>12</v>
      </c>
    </row>
    <row r="86" spans="1:5">
      <c r="A86" s="338">
        <v>45495</v>
      </c>
      <c r="B86" s="293">
        <v>483</v>
      </c>
      <c r="C86" s="336">
        <v>17.84</v>
      </c>
      <c r="D86" s="337" t="s">
        <v>13</v>
      </c>
      <c r="E86" s="337" t="s">
        <v>12</v>
      </c>
    </row>
    <row r="87" spans="1:5">
      <c r="A87" s="338">
        <v>45495</v>
      </c>
      <c r="B87" s="293">
        <v>378</v>
      </c>
      <c r="C87" s="336">
        <v>18.22</v>
      </c>
      <c r="D87" s="337" t="s">
        <v>13</v>
      </c>
      <c r="E87" s="337" t="s">
        <v>12</v>
      </c>
    </row>
    <row r="88" spans="1:5">
      <c r="A88" s="338">
        <v>45495</v>
      </c>
      <c r="B88" s="293">
        <v>379</v>
      </c>
      <c r="C88" s="336">
        <v>22.24</v>
      </c>
      <c r="D88" s="337" t="s">
        <v>13</v>
      </c>
      <c r="E88" s="337" t="s">
        <v>12</v>
      </c>
    </row>
    <row r="89" spans="1:5">
      <c r="A89" s="338">
        <v>45495</v>
      </c>
      <c r="B89" s="293">
        <v>521</v>
      </c>
      <c r="C89" s="336">
        <v>22.39</v>
      </c>
      <c r="D89" s="337" t="s">
        <v>13</v>
      </c>
      <c r="E89" s="337" t="s">
        <v>12</v>
      </c>
    </row>
    <row r="90" spans="1:5">
      <c r="A90" s="338">
        <v>45495</v>
      </c>
      <c r="B90" s="293">
        <v>522</v>
      </c>
      <c r="C90" s="336">
        <v>22.97</v>
      </c>
      <c r="D90" s="337" t="s">
        <v>13</v>
      </c>
      <c r="E90" s="337" t="s">
        <v>12</v>
      </c>
    </row>
    <row r="91" spans="1:5">
      <c r="A91" s="338">
        <v>45495</v>
      </c>
      <c r="B91" s="293" t="s">
        <v>776</v>
      </c>
      <c r="C91" s="336">
        <v>25.24</v>
      </c>
      <c r="D91" s="337" t="s">
        <v>13</v>
      </c>
      <c r="E91" s="337" t="s">
        <v>12</v>
      </c>
    </row>
    <row r="92" spans="1:5">
      <c r="A92" s="338">
        <v>45495</v>
      </c>
      <c r="B92" s="293">
        <v>495</v>
      </c>
      <c r="C92" s="336">
        <v>23.15</v>
      </c>
      <c r="D92" s="337" t="s">
        <v>13</v>
      </c>
      <c r="E92" s="337" t="s">
        <v>12</v>
      </c>
    </row>
    <row r="93" spans="1:5">
      <c r="A93" s="338">
        <v>45495</v>
      </c>
      <c r="B93" s="293">
        <v>496</v>
      </c>
      <c r="C93" s="336">
        <v>22.89</v>
      </c>
      <c r="D93" s="337" t="s">
        <v>13</v>
      </c>
      <c r="E93" s="337" t="s">
        <v>12</v>
      </c>
    </row>
    <row r="94" spans="1:5">
      <c r="A94" s="338">
        <v>45495</v>
      </c>
      <c r="B94" s="293">
        <v>560</v>
      </c>
      <c r="C94" s="336">
        <v>22.91</v>
      </c>
      <c r="D94" s="337" t="s">
        <v>13</v>
      </c>
      <c r="E94" s="337" t="s">
        <v>12</v>
      </c>
    </row>
    <row r="95" spans="1:5">
      <c r="A95" s="338">
        <v>45495</v>
      </c>
      <c r="B95" s="293">
        <v>561</v>
      </c>
      <c r="C95" s="336">
        <v>23.96</v>
      </c>
      <c r="D95" s="337" t="s">
        <v>13</v>
      </c>
      <c r="E95" s="337" t="s">
        <v>12</v>
      </c>
    </row>
    <row r="96" spans="1:5">
      <c r="A96" s="338">
        <v>45495</v>
      </c>
      <c r="B96" s="293">
        <v>430</v>
      </c>
      <c r="C96" s="336">
        <v>23.9</v>
      </c>
      <c r="D96" s="337" t="s">
        <v>13</v>
      </c>
      <c r="E96" s="337" t="s">
        <v>12</v>
      </c>
    </row>
    <row r="97" spans="1:5">
      <c r="A97" s="338">
        <v>45495</v>
      </c>
      <c r="B97" s="293">
        <v>431</v>
      </c>
      <c r="C97" s="336">
        <v>24.51</v>
      </c>
      <c r="D97" s="337" t="s">
        <v>13</v>
      </c>
      <c r="E97" s="337" t="s">
        <v>12</v>
      </c>
    </row>
    <row r="98" spans="1:5">
      <c r="A98" s="338">
        <v>45495</v>
      </c>
      <c r="B98" s="293">
        <v>534</v>
      </c>
      <c r="C98" s="336">
        <v>24.52</v>
      </c>
      <c r="D98" s="337" t="s">
        <v>13</v>
      </c>
      <c r="E98" s="337" t="s">
        <v>12</v>
      </c>
    </row>
    <row r="99" spans="1:5">
      <c r="A99" s="338">
        <v>45495</v>
      </c>
      <c r="B99" s="293">
        <v>535</v>
      </c>
      <c r="C99" s="336">
        <v>24.69</v>
      </c>
      <c r="D99" s="337" t="s">
        <v>13</v>
      </c>
      <c r="E99" s="337" t="s">
        <v>12</v>
      </c>
    </row>
    <row r="100" spans="1:5">
      <c r="A100" s="338">
        <v>45495</v>
      </c>
      <c r="B100" s="293" t="s">
        <v>776</v>
      </c>
      <c r="C100" s="336">
        <v>25.24</v>
      </c>
      <c r="D100" s="337" t="s">
        <v>13</v>
      </c>
      <c r="E100" s="337" t="s">
        <v>12</v>
      </c>
    </row>
    <row r="101" spans="1:5">
      <c r="A101" s="338">
        <v>45495</v>
      </c>
      <c r="B101" s="293">
        <v>508</v>
      </c>
      <c r="C101" s="336">
        <v>25.13</v>
      </c>
      <c r="D101" s="337" t="s">
        <v>13</v>
      </c>
      <c r="E101" s="337" t="s">
        <v>12</v>
      </c>
    </row>
    <row r="102" spans="1:5">
      <c r="A102" s="338">
        <v>45495</v>
      </c>
      <c r="B102" s="293">
        <v>509</v>
      </c>
      <c r="C102" s="336">
        <v>25</v>
      </c>
      <c r="D102" s="337" t="s">
        <v>13</v>
      </c>
      <c r="E102" s="337" t="s">
        <v>12</v>
      </c>
    </row>
    <row r="103" spans="1:5">
      <c r="A103" s="338">
        <v>45495</v>
      </c>
      <c r="B103" s="293">
        <v>469</v>
      </c>
      <c r="C103" s="336">
        <v>24.78</v>
      </c>
      <c r="D103" s="337" t="s">
        <v>13</v>
      </c>
      <c r="E103" s="337" t="s">
        <v>12</v>
      </c>
    </row>
    <row r="104" spans="1:5">
      <c r="A104" s="338">
        <v>45495</v>
      </c>
      <c r="B104" s="293">
        <v>470</v>
      </c>
      <c r="C104" s="336">
        <v>24.9</v>
      </c>
      <c r="D104" s="337" t="s">
        <v>13</v>
      </c>
      <c r="E104" s="337" t="s">
        <v>12</v>
      </c>
    </row>
    <row r="105" spans="1:5">
      <c r="A105" s="338">
        <v>45495</v>
      </c>
      <c r="B105" s="293">
        <v>573</v>
      </c>
      <c r="C105" s="339">
        <v>25.09</v>
      </c>
      <c r="D105" s="337" t="s">
        <v>13</v>
      </c>
      <c r="E105" s="337" t="s">
        <v>12</v>
      </c>
    </row>
    <row r="106" spans="1:5">
      <c r="A106" s="338">
        <v>45495</v>
      </c>
      <c r="B106" s="293">
        <v>574</v>
      </c>
      <c r="C106" s="336">
        <v>25</v>
      </c>
      <c r="D106" s="337" t="s">
        <v>13</v>
      </c>
      <c r="E106" s="337" t="s">
        <v>12</v>
      </c>
    </row>
    <row r="107" spans="1:5">
      <c r="A107" s="338">
        <v>45495</v>
      </c>
      <c r="B107" s="293">
        <v>612</v>
      </c>
      <c r="C107" s="336">
        <v>25.14</v>
      </c>
      <c r="D107" s="337" t="s">
        <v>13</v>
      </c>
      <c r="E107" s="337" t="s">
        <v>12</v>
      </c>
    </row>
    <row r="108" spans="1:5">
      <c r="A108" s="338">
        <v>45495</v>
      </c>
      <c r="B108" s="293">
        <v>613</v>
      </c>
      <c r="C108" s="336">
        <v>25.09</v>
      </c>
      <c r="D108" s="337" t="s">
        <v>13</v>
      </c>
      <c r="E108" s="337" t="s">
        <v>12</v>
      </c>
    </row>
    <row r="109" spans="1:5">
      <c r="A109" s="338">
        <v>45495</v>
      </c>
      <c r="B109" s="293" t="s">
        <v>776</v>
      </c>
      <c r="C109" s="336">
        <v>25.24</v>
      </c>
      <c r="D109" s="337" t="s">
        <v>13</v>
      </c>
      <c r="E109" s="337" t="s">
        <v>12</v>
      </c>
    </row>
    <row r="110" spans="1:5">
      <c r="A110" s="338">
        <v>45503</v>
      </c>
      <c r="B110" s="293" t="s">
        <v>821</v>
      </c>
      <c r="C110" s="336">
        <v>25.6</v>
      </c>
      <c r="D110" s="337" t="s">
        <v>13</v>
      </c>
      <c r="E110" s="337" t="s">
        <v>12</v>
      </c>
    </row>
    <row r="111" spans="1:5">
      <c r="A111" s="338">
        <v>45503</v>
      </c>
      <c r="B111" s="293">
        <v>599</v>
      </c>
      <c r="C111" s="336">
        <v>20.8</v>
      </c>
      <c r="D111" s="337" t="s">
        <v>13</v>
      </c>
      <c r="E111" s="337" t="s">
        <v>12</v>
      </c>
    </row>
    <row r="112" spans="1:5">
      <c r="A112" s="338">
        <v>45503</v>
      </c>
      <c r="B112" s="293">
        <v>600</v>
      </c>
      <c r="C112" s="336">
        <v>20.88</v>
      </c>
      <c r="D112" s="337" t="s">
        <v>13</v>
      </c>
      <c r="E112" s="337" t="s">
        <v>12</v>
      </c>
    </row>
    <row r="113" spans="1:5">
      <c r="A113" s="338">
        <v>45503</v>
      </c>
      <c r="B113" s="293">
        <v>547</v>
      </c>
      <c r="C113" s="336">
        <v>22.84</v>
      </c>
      <c r="D113" s="337" t="s">
        <v>13</v>
      </c>
      <c r="E113" s="337" t="s">
        <v>12</v>
      </c>
    </row>
    <row r="114" spans="1:5">
      <c r="A114" s="338">
        <v>45503</v>
      </c>
      <c r="B114" s="293">
        <v>548</v>
      </c>
      <c r="C114" s="336">
        <v>23.13</v>
      </c>
      <c r="D114" s="337" t="s">
        <v>13</v>
      </c>
      <c r="E114" s="337" t="s">
        <v>12</v>
      </c>
    </row>
    <row r="115" spans="1:5">
      <c r="A115" s="338">
        <v>45503</v>
      </c>
      <c r="B115" s="293" t="s">
        <v>821</v>
      </c>
      <c r="C115" s="336">
        <v>25.3</v>
      </c>
      <c r="D115" s="337" t="s">
        <v>13</v>
      </c>
      <c r="E115" s="337" t="s">
        <v>12</v>
      </c>
    </row>
    <row r="116" spans="1:5">
      <c r="A116" s="293"/>
      <c r="B116" s="293"/>
      <c r="C116" s="336"/>
      <c r="D116" s="337"/>
      <c r="E116" s="1"/>
    </row>
    <row r="117" spans="1:5">
      <c r="A117" s="293"/>
      <c r="B117" s="293"/>
      <c r="C117" s="336"/>
      <c r="D117" s="337"/>
      <c r="E117" s="1"/>
    </row>
    <row r="118" spans="1:5">
      <c r="A118" s="293"/>
      <c r="B118" s="293"/>
      <c r="C118" s="336"/>
      <c r="D118" s="337"/>
      <c r="E118" s="1"/>
    </row>
    <row r="119" spans="1:5">
      <c r="A119" s="293"/>
      <c r="B119" s="293"/>
      <c r="C119" s="336"/>
      <c r="D119" s="337"/>
      <c r="E119" s="1"/>
    </row>
    <row r="120" spans="1:5">
      <c r="A120" s="293"/>
      <c r="B120" s="293"/>
      <c r="C120" s="336"/>
      <c r="D120" s="337"/>
      <c r="E120" s="1"/>
    </row>
    <row r="121" spans="1:5">
      <c r="A121" s="293"/>
      <c r="B121" s="293"/>
      <c r="C121" s="336"/>
      <c r="D121" s="337"/>
      <c r="E121" s="1"/>
    </row>
    <row r="122" spans="1:5">
      <c r="A122" s="293"/>
      <c r="B122" s="293"/>
      <c r="C122" s="336"/>
      <c r="D122" s="337"/>
      <c r="E122" s="1"/>
    </row>
    <row r="123" spans="1:5">
      <c r="A123" s="293"/>
      <c r="B123" s="293"/>
      <c r="C123" s="336"/>
      <c r="D123" s="337"/>
      <c r="E123" s="1"/>
    </row>
    <row r="124" spans="1:5">
      <c r="A124" s="293"/>
      <c r="B124" s="293"/>
      <c r="C124" s="336"/>
      <c r="D124" s="337"/>
      <c r="E124" s="1"/>
    </row>
    <row r="125" spans="1:5">
      <c r="A125" s="293"/>
      <c r="B125" s="293"/>
      <c r="C125" s="336"/>
      <c r="D125" s="337"/>
      <c r="E125" s="1"/>
    </row>
    <row r="126" spans="1:5">
      <c r="A126" s="293"/>
      <c r="B126" s="293"/>
      <c r="C126" s="336"/>
      <c r="D126" s="337"/>
      <c r="E126" s="1"/>
    </row>
    <row r="127" spans="1:5">
      <c r="A127" s="293"/>
      <c r="B127" s="293"/>
      <c r="C127" s="336"/>
      <c r="D127" s="337"/>
      <c r="E127" s="1"/>
    </row>
    <row r="128" spans="1:5">
      <c r="A128" s="293"/>
      <c r="B128" s="293"/>
      <c r="C128" s="336"/>
      <c r="D128" s="337"/>
      <c r="E128" s="1"/>
    </row>
    <row r="129" spans="1:5">
      <c r="A129" s="293"/>
      <c r="B129" s="293"/>
      <c r="C129" s="336"/>
      <c r="D129" s="337"/>
      <c r="E129" s="1"/>
    </row>
    <row r="130" spans="1:5">
      <c r="A130" s="293"/>
      <c r="B130" s="293"/>
      <c r="C130" s="336"/>
      <c r="D130" s="337"/>
      <c r="E130" s="1"/>
    </row>
    <row r="131" spans="1:5">
      <c r="A131" s="293"/>
      <c r="B131" s="293"/>
      <c r="C131" s="336"/>
      <c r="D131" s="337"/>
      <c r="E131" s="1"/>
    </row>
    <row r="132" spans="1:5">
      <c r="A132" s="293"/>
      <c r="B132" s="293"/>
      <c r="C132" s="336"/>
      <c r="D132" s="337"/>
      <c r="E132" s="1"/>
    </row>
    <row r="133" spans="1:5">
      <c r="A133" s="293"/>
      <c r="B133" s="293"/>
      <c r="C133" s="336"/>
      <c r="D133" s="337"/>
      <c r="E133" s="1"/>
    </row>
    <row r="134" spans="1:5">
      <c r="A134" s="293"/>
      <c r="B134" s="293"/>
      <c r="C134" s="336"/>
      <c r="D134" s="337"/>
      <c r="E134" s="1"/>
    </row>
    <row r="135" spans="1:5">
      <c r="A135" s="293"/>
      <c r="B135" s="293"/>
      <c r="C135" s="336"/>
      <c r="D135" s="337"/>
      <c r="E135" s="1"/>
    </row>
    <row r="136" spans="1:5">
      <c r="A136" s="293"/>
      <c r="B136" s="293"/>
      <c r="C136" s="336"/>
      <c r="D136" s="337"/>
      <c r="E136" s="1"/>
    </row>
    <row r="137" spans="1:5">
      <c r="A137" s="293"/>
      <c r="B137" s="293"/>
      <c r="C137" s="336"/>
      <c r="D137" s="337"/>
      <c r="E137" s="1"/>
    </row>
    <row r="138" spans="1:5">
      <c r="A138" s="293"/>
      <c r="B138" s="293"/>
      <c r="C138" s="336"/>
      <c r="D138" s="337"/>
      <c r="E138" s="1"/>
    </row>
    <row r="139" spans="1:5">
      <c r="A139" s="293"/>
      <c r="B139" s="293"/>
      <c r="C139" s="336"/>
      <c r="D139" s="337"/>
      <c r="E139" s="1"/>
    </row>
    <row r="140" spans="1:5">
      <c r="A140" s="293"/>
      <c r="B140" s="293"/>
      <c r="C140" s="336"/>
      <c r="D140" s="337"/>
      <c r="E140" s="1"/>
    </row>
    <row r="141" spans="1:5">
      <c r="A141" s="293"/>
      <c r="B141" s="293"/>
      <c r="C141" s="336"/>
      <c r="D141" s="337"/>
      <c r="E141" s="1"/>
    </row>
    <row r="142" spans="1:5">
      <c r="A142" s="293"/>
      <c r="B142" s="293"/>
      <c r="C142" s="336"/>
      <c r="D142" s="337"/>
      <c r="E142" s="1"/>
    </row>
    <row r="143" spans="1:5">
      <c r="A143" s="293"/>
      <c r="B143" s="293"/>
      <c r="C143" s="336"/>
      <c r="D143" s="337"/>
      <c r="E143" s="1"/>
    </row>
    <row r="144" spans="1:5">
      <c r="A144" s="293"/>
      <c r="B144" s="293"/>
      <c r="C144" s="336"/>
      <c r="D144" s="337"/>
      <c r="E144" s="1"/>
    </row>
    <row r="145" spans="1:5">
      <c r="A145" s="293"/>
      <c r="B145" s="293"/>
      <c r="C145" s="336"/>
      <c r="D145" s="337"/>
      <c r="E145" s="1"/>
    </row>
    <row r="146" spans="1:5">
      <c r="A146" s="293"/>
      <c r="B146" s="293"/>
      <c r="C146" s="336"/>
      <c r="D146" s="337"/>
      <c r="E146" s="1"/>
    </row>
    <row r="147" spans="1:5">
      <c r="A147" s="293"/>
      <c r="B147" s="293"/>
      <c r="C147" s="336"/>
      <c r="D147" s="337"/>
      <c r="E147" s="1"/>
    </row>
    <row r="148" spans="1:5">
      <c r="A148" s="293"/>
      <c r="B148" s="293"/>
      <c r="C148" s="336"/>
      <c r="D148" s="337"/>
      <c r="E148" s="1"/>
    </row>
    <row r="149" spans="1:5">
      <c r="A149" s="293"/>
      <c r="B149" s="293"/>
      <c r="C149" s="336"/>
      <c r="D149" s="337"/>
      <c r="E149" s="1"/>
    </row>
    <row r="150" spans="1:5">
      <c r="A150" s="293"/>
      <c r="B150" s="293"/>
      <c r="C150" s="336"/>
      <c r="D150" s="337"/>
      <c r="E150" s="1"/>
    </row>
    <row r="151" spans="1:5">
      <c r="A151" s="293"/>
      <c r="B151" s="293"/>
      <c r="C151" s="336"/>
      <c r="D151" s="337"/>
      <c r="E151" s="1"/>
    </row>
    <row r="152" spans="1:5">
      <c r="A152" s="293"/>
      <c r="B152" s="293"/>
      <c r="C152" s="336"/>
      <c r="D152" s="337"/>
      <c r="E152" s="1"/>
    </row>
    <row r="153" spans="1:5">
      <c r="A153" s="293"/>
      <c r="B153" s="293"/>
      <c r="C153" s="336"/>
      <c r="D153" s="337"/>
      <c r="E153" s="1"/>
    </row>
    <row r="154" spans="1:5">
      <c r="A154" s="293"/>
      <c r="B154" s="293"/>
      <c r="C154" s="336"/>
      <c r="D154" s="337"/>
      <c r="E154" s="1"/>
    </row>
    <row r="155" spans="1:5">
      <c r="A155" s="293"/>
      <c r="B155" s="293"/>
      <c r="C155" s="336"/>
      <c r="D155" s="337"/>
      <c r="E155" s="1"/>
    </row>
    <row r="156" spans="1:5">
      <c r="A156" s="293"/>
      <c r="B156" s="293"/>
      <c r="C156" s="336"/>
      <c r="D156" s="337"/>
      <c r="E156" s="1"/>
    </row>
    <row r="157" spans="1:5">
      <c r="A157" s="293"/>
      <c r="B157" s="293"/>
      <c r="C157" s="336"/>
      <c r="D157" s="337"/>
      <c r="E157" s="1"/>
    </row>
    <row r="158" spans="1:5">
      <c r="A158" s="293"/>
      <c r="B158" s="293"/>
      <c r="C158" s="336"/>
      <c r="D158" s="337"/>
      <c r="E158" s="1"/>
    </row>
    <row r="159" spans="1:5">
      <c r="A159" s="293"/>
      <c r="B159" s="293"/>
      <c r="C159" s="336"/>
      <c r="D159" s="337"/>
      <c r="E159" s="1"/>
    </row>
    <row r="160" spans="1:5">
      <c r="A160" s="293"/>
      <c r="B160" s="293"/>
      <c r="C160" s="336"/>
      <c r="D160" s="337"/>
      <c r="E160" s="1"/>
    </row>
    <row r="161" spans="1:5">
      <c r="A161" s="293"/>
      <c r="B161" s="293"/>
      <c r="C161" s="336"/>
      <c r="D161" s="337"/>
      <c r="E161" s="1"/>
    </row>
    <row r="162" spans="1:5">
      <c r="A162" s="293"/>
      <c r="B162" s="293"/>
      <c r="C162" s="336"/>
      <c r="D162" s="337"/>
      <c r="E162" s="1"/>
    </row>
    <row r="163" spans="1:5">
      <c r="A163" s="293"/>
      <c r="B163" s="293"/>
      <c r="C163" s="336"/>
      <c r="D163" s="337"/>
      <c r="E163" s="1"/>
    </row>
    <row r="164" spans="1:5">
      <c r="A164" s="293"/>
      <c r="B164" s="293"/>
      <c r="C164" s="336"/>
      <c r="D164" s="337"/>
      <c r="E164" s="1"/>
    </row>
    <row r="165" spans="1:5">
      <c r="A165" s="293"/>
      <c r="B165" s="293"/>
      <c r="C165" s="336"/>
      <c r="D165" s="337"/>
      <c r="E165" s="1"/>
    </row>
    <row r="166" spans="1:5">
      <c r="A166" s="293"/>
      <c r="B166" s="293"/>
      <c r="C166" s="336"/>
      <c r="D166" s="337"/>
      <c r="E166" s="1"/>
    </row>
    <row r="167" spans="1:5">
      <c r="A167" s="293"/>
      <c r="B167" s="293"/>
      <c r="C167" s="336"/>
      <c r="D167" s="337"/>
      <c r="E167" s="1"/>
    </row>
    <row r="168" spans="1:5">
      <c r="A168" s="293"/>
      <c r="B168" s="293"/>
      <c r="C168" s="336"/>
      <c r="D168" s="337"/>
      <c r="E168" s="1"/>
    </row>
    <row r="169" spans="1:5">
      <c r="A169" s="293"/>
      <c r="B169" s="293"/>
      <c r="C169" s="336"/>
      <c r="D169" s="337"/>
      <c r="E169" s="1"/>
    </row>
    <row r="170" spans="1:5">
      <c r="A170" s="293"/>
      <c r="B170" s="293"/>
      <c r="C170" s="336"/>
      <c r="D170" s="337"/>
      <c r="E170" s="1"/>
    </row>
    <row r="171" spans="1:5">
      <c r="A171" s="293"/>
      <c r="B171" s="293"/>
      <c r="C171" s="336"/>
      <c r="D171" s="337"/>
      <c r="E171" s="1"/>
    </row>
    <row r="172" spans="1:5">
      <c r="A172" s="293"/>
      <c r="B172" s="293"/>
      <c r="C172" s="336"/>
      <c r="D172" s="337"/>
      <c r="E172" s="1"/>
    </row>
    <row r="173" spans="1:5">
      <c r="A173" s="293"/>
      <c r="B173" s="293"/>
      <c r="C173" s="336"/>
      <c r="D173" s="337"/>
      <c r="E173" s="1"/>
    </row>
    <row r="174" spans="1:5">
      <c r="A174" s="293"/>
      <c r="B174" s="293"/>
      <c r="C174" s="336"/>
      <c r="D174" s="337"/>
      <c r="E174" s="1"/>
    </row>
    <row r="175" spans="1:5">
      <c r="A175" s="293"/>
      <c r="B175" s="293"/>
      <c r="C175" s="336"/>
      <c r="D175" s="337"/>
      <c r="E175" s="1"/>
    </row>
    <row r="176" spans="1:5">
      <c r="A176" s="293"/>
      <c r="B176" s="293"/>
      <c r="C176" s="336"/>
      <c r="D176" s="337"/>
      <c r="E176" s="1"/>
    </row>
    <row r="177" spans="1:5">
      <c r="A177" s="293"/>
      <c r="B177" s="293"/>
      <c r="C177" s="336"/>
      <c r="D177" s="337"/>
      <c r="E177" s="1"/>
    </row>
    <row r="178" spans="1:5">
      <c r="A178" s="293"/>
      <c r="B178" s="293"/>
      <c r="C178" s="336"/>
      <c r="D178" s="337"/>
      <c r="E178" s="1"/>
    </row>
    <row r="179" spans="1:5">
      <c r="A179" s="293"/>
      <c r="B179" s="293"/>
      <c r="C179" s="336"/>
      <c r="D179" s="337"/>
      <c r="E179" s="1"/>
    </row>
    <row r="180" spans="1:5">
      <c r="A180" s="293"/>
      <c r="B180" s="293"/>
      <c r="C180" s="336"/>
      <c r="D180" s="337"/>
      <c r="E180" s="1"/>
    </row>
    <row r="181" spans="1:5">
      <c r="A181" s="293"/>
      <c r="B181" s="293"/>
      <c r="C181" s="336"/>
      <c r="D181" s="337"/>
      <c r="E181" s="1"/>
    </row>
    <row r="182" spans="1:5">
      <c r="A182" s="293"/>
      <c r="B182" s="293"/>
      <c r="C182" s="336"/>
      <c r="D182" s="337"/>
      <c r="E182" s="1"/>
    </row>
    <row r="183" spans="1:5">
      <c r="A183" s="293"/>
      <c r="B183" s="293"/>
      <c r="C183" s="336"/>
      <c r="D183" s="337"/>
      <c r="E183" s="1"/>
    </row>
    <row r="184" spans="1:5">
      <c r="A184" s="293"/>
      <c r="B184" s="293"/>
      <c r="C184" s="336"/>
      <c r="D184" s="337"/>
      <c r="E184" s="1"/>
    </row>
    <row r="185" spans="1:5">
      <c r="A185" s="293"/>
      <c r="B185" s="293"/>
      <c r="C185" s="336"/>
      <c r="D185" s="337"/>
      <c r="E185" s="1"/>
    </row>
    <row r="186" spans="1:5">
      <c r="A186" s="293"/>
      <c r="B186" s="293"/>
      <c r="C186" s="336"/>
      <c r="D186" s="337"/>
      <c r="E186" s="1"/>
    </row>
    <row r="187" spans="1:5">
      <c r="A187" s="293"/>
      <c r="B187" s="293"/>
      <c r="C187" s="336"/>
      <c r="D187" s="337"/>
      <c r="E187" s="1"/>
    </row>
    <row r="188" spans="1:5">
      <c r="A188" s="293"/>
      <c r="B188" s="293"/>
      <c r="C188" s="336"/>
      <c r="D188" s="337"/>
      <c r="E188" s="1"/>
    </row>
    <row r="189" spans="1:5">
      <c r="A189" s="293"/>
      <c r="B189" s="293"/>
      <c r="C189" s="336"/>
      <c r="D189" s="337"/>
      <c r="E189" s="1"/>
    </row>
    <row r="190" spans="1:5">
      <c r="A190" s="293"/>
      <c r="B190" s="293"/>
      <c r="C190" s="336"/>
      <c r="D190" s="337"/>
      <c r="E190" s="1"/>
    </row>
    <row r="191" spans="1:5">
      <c r="A191" s="293"/>
      <c r="B191" s="293"/>
      <c r="C191" s="336"/>
      <c r="D191" s="337"/>
      <c r="E191" s="1"/>
    </row>
    <row r="192" spans="1:5">
      <c r="A192" s="293"/>
      <c r="B192" s="293"/>
      <c r="C192" s="336"/>
      <c r="D192" s="337"/>
      <c r="E192" s="1"/>
    </row>
    <row r="193" spans="1:5">
      <c r="A193" s="293"/>
      <c r="B193" s="293"/>
      <c r="C193" s="336"/>
      <c r="D193" s="337"/>
      <c r="E193" s="1"/>
    </row>
    <row r="194" spans="1:5">
      <c r="A194" s="293"/>
      <c r="B194" s="293"/>
      <c r="C194" s="336"/>
      <c r="D194" s="337"/>
      <c r="E194" s="1"/>
    </row>
    <row r="195" spans="1:5">
      <c r="A195" s="293"/>
      <c r="B195" s="293"/>
      <c r="C195" s="336"/>
      <c r="D195" s="337"/>
      <c r="E195" s="1"/>
    </row>
    <row r="196" spans="1:5">
      <c r="A196" s="293"/>
      <c r="B196" s="293"/>
      <c r="C196" s="336"/>
      <c r="D196" s="337"/>
      <c r="E196" s="1"/>
    </row>
    <row r="197" spans="1:5">
      <c r="A197" s="293"/>
      <c r="B197" s="293"/>
      <c r="C197" s="336"/>
      <c r="D197" s="337"/>
      <c r="E197" s="1"/>
    </row>
    <row r="198" spans="1:5">
      <c r="A198" s="293"/>
      <c r="B198" s="293"/>
      <c r="C198" s="336"/>
      <c r="D198" s="337"/>
      <c r="E198" s="1"/>
    </row>
    <row r="199" spans="1:5">
      <c r="A199" s="293"/>
      <c r="B199" s="293"/>
      <c r="C199" s="336"/>
      <c r="D199" s="337"/>
      <c r="E199" s="1"/>
    </row>
    <row r="200" spans="1:5">
      <c r="A200" s="293"/>
      <c r="B200" s="293"/>
      <c r="C200" s="336"/>
      <c r="D200" s="337"/>
      <c r="E200" s="1"/>
    </row>
    <row r="201" spans="1:5">
      <c r="A201" s="293"/>
      <c r="B201" s="293"/>
      <c r="C201" s="336"/>
      <c r="D201" s="337"/>
      <c r="E201" s="1"/>
    </row>
    <row r="202" spans="1:5">
      <c r="A202" s="293"/>
      <c r="B202" s="293"/>
      <c r="C202" s="336"/>
      <c r="D202" s="337"/>
      <c r="E202" s="1"/>
    </row>
    <row r="203" spans="1:5">
      <c r="A203" s="293"/>
      <c r="B203" s="293"/>
      <c r="C203" s="336"/>
      <c r="D203" s="337"/>
      <c r="E203" s="1"/>
    </row>
    <row r="204" spans="1:5">
      <c r="A204" s="293"/>
      <c r="B204" s="293"/>
      <c r="C204" s="336"/>
      <c r="D204" s="337"/>
      <c r="E204" s="1"/>
    </row>
    <row r="205" spans="1:5">
      <c r="A205" s="293"/>
      <c r="B205" s="293"/>
      <c r="C205" s="336"/>
      <c r="D205" s="337"/>
      <c r="E205" s="1"/>
    </row>
    <row r="206" spans="1:5">
      <c r="A206" s="293"/>
      <c r="B206" s="293"/>
      <c r="C206" s="336"/>
      <c r="D206" s="337"/>
      <c r="E206" s="1"/>
    </row>
    <row r="207" spans="1:5">
      <c r="A207" s="293"/>
      <c r="B207" s="293"/>
      <c r="C207" s="336"/>
      <c r="D207" s="337"/>
      <c r="E207" s="1"/>
    </row>
    <row r="208" spans="1:5">
      <c r="A208" s="293"/>
      <c r="B208" s="293"/>
      <c r="C208" s="336"/>
      <c r="D208" s="337"/>
      <c r="E208" s="1"/>
    </row>
    <row r="209" spans="1:5">
      <c r="A209" s="293"/>
      <c r="B209" s="293"/>
      <c r="C209" s="336"/>
      <c r="D209" s="337"/>
      <c r="E209" s="1"/>
    </row>
    <row r="210" spans="1:5">
      <c r="A210" s="293"/>
      <c r="B210" s="293"/>
      <c r="C210" s="336"/>
      <c r="D210" s="337"/>
      <c r="E210" s="1"/>
    </row>
    <row r="211" spans="1:5">
      <c r="A211" s="293"/>
      <c r="B211" s="293"/>
      <c r="C211" s="336"/>
      <c r="D211" s="337"/>
      <c r="E211" s="1"/>
    </row>
    <row r="212" spans="1:5">
      <c r="A212" s="293"/>
      <c r="B212" s="293"/>
      <c r="C212" s="336"/>
      <c r="D212" s="337"/>
      <c r="E212" s="1"/>
    </row>
    <row r="213" spans="1:5">
      <c r="A213" s="293"/>
      <c r="B213" s="293"/>
      <c r="C213" s="336"/>
      <c r="D213" s="337"/>
      <c r="E213" s="1"/>
    </row>
    <row r="214" spans="1:5">
      <c r="A214" s="293"/>
      <c r="B214" s="293"/>
      <c r="C214" s="336"/>
      <c r="D214" s="337"/>
      <c r="E214" s="1"/>
    </row>
    <row r="215" spans="1:5">
      <c r="A215" s="293"/>
      <c r="B215" s="293"/>
      <c r="C215" s="336"/>
      <c r="D215" s="337"/>
      <c r="E215" s="1"/>
    </row>
    <row r="216" spans="1:5">
      <c r="A216" s="293"/>
      <c r="B216" s="293"/>
      <c r="C216" s="336"/>
      <c r="D216" s="337"/>
      <c r="E216" s="1"/>
    </row>
    <row r="217" spans="1:5">
      <c r="A217" s="293"/>
      <c r="B217" s="293"/>
      <c r="C217" s="336"/>
      <c r="D217" s="337"/>
      <c r="E217" s="1"/>
    </row>
    <row r="218" spans="1:5">
      <c r="A218" s="293"/>
      <c r="B218" s="293"/>
      <c r="C218" s="336"/>
      <c r="D218" s="337"/>
      <c r="E218" s="1"/>
    </row>
    <row r="219" spans="1:5">
      <c r="A219" s="293"/>
      <c r="B219" s="293"/>
      <c r="C219" s="336"/>
      <c r="D219" s="337"/>
      <c r="E219" s="1"/>
    </row>
    <row r="220" spans="1:5">
      <c r="A220" s="293"/>
      <c r="B220" s="293"/>
      <c r="C220" s="336"/>
      <c r="D220" s="337"/>
      <c r="E220" s="1"/>
    </row>
    <row r="221" spans="1:5">
      <c r="A221" s="293"/>
      <c r="B221" s="293"/>
      <c r="C221" s="336"/>
      <c r="D221" s="337"/>
      <c r="E221" s="1"/>
    </row>
    <row r="222" spans="1:5">
      <c r="A222" s="293"/>
      <c r="B222" s="293"/>
      <c r="C222" s="336"/>
      <c r="D222" s="337"/>
      <c r="E222" s="1"/>
    </row>
    <row r="223" spans="1:5">
      <c r="A223" s="293"/>
      <c r="B223" s="293"/>
      <c r="C223" s="336"/>
      <c r="D223" s="337"/>
      <c r="E223" s="1"/>
    </row>
    <row r="224" spans="1:5">
      <c r="A224" s="293"/>
      <c r="B224" s="293"/>
      <c r="C224" s="336"/>
      <c r="D224" s="337"/>
      <c r="E224" s="1"/>
    </row>
    <row r="225" spans="1:5">
      <c r="A225" s="293"/>
      <c r="B225" s="293"/>
      <c r="C225" s="336"/>
      <c r="D225" s="337"/>
      <c r="E225" s="1"/>
    </row>
    <row r="226" spans="1:5">
      <c r="A226" s="293"/>
      <c r="B226" s="293"/>
      <c r="C226" s="336"/>
      <c r="D226" s="337"/>
      <c r="E226" s="1"/>
    </row>
    <row r="227" spans="1:5">
      <c r="A227" s="293"/>
      <c r="B227" s="293"/>
      <c r="C227" s="336"/>
      <c r="D227" s="337"/>
      <c r="E227" s="1"/>
    </row>
    <row r="228" spans="1:5">
      <c r="A228" s="293"/>
      <c r="B228" s="293"/>
      <c r="C228" s="336"/>
      <c r="D228" s="337"/>
      <c r="E228" s="1"/>
    </row>
    <row r="229" spans="1:5">
      <c r="A229" s="293"/>
      <c r="B229" s="293"/>
      <c r="C229" s="336"/>
      <c r="D229" s="337"/>
      <c r="E229" s="1"/>
    </row>
    <row r="230" spans="1:5">
      <c r="A230" s="293"/>
      <c r="B230" s="293"/>
      <c r="C230" s="336"/>
      <c r="D230" s="337"/>
      <c r="E230" s="1"/>
    </row>
    <row r="231" spans="1:5">
      <c r="A231" s="293"/>
      <c r="B231" s="293"/>
      <c r="C231" s="336"/>
      <c r="D231" s="337"/>
      <c r="E231" s="1"/>
    </row>
    <row r="232" spans="1:5">
      <c r="A232" s="293"/>
      <c r="B232" s="293"/>
      <c r="C232" s="336"/>
      <c r="D232" s="337"/>
      <c r="E232" s="1"/>
    </row>
    <row r="233" spans="1:5">
      <c r="A233" s="293"/>
      <c r="B233" s="293"/>
      <c r="C233" s="336"/>
      <c r="D233" s="337"/>
      <c r="E233" s="1"/>
    </row>
    <row r="234" spans="1:5">
      <c r="A234" s="293"/>
      <c r="B234" s="293"/>
      <c r="C234" s="336"/>
      <c r="D234" s="337"/>
      <c r="E234" s="1"/>
    </row>
    <row r="235" spans="1:5">
      <c r="A235" s="293"/>
      <c r="B235" s="293"/>
      <c r="C235" s="336"/>
      <c r="D235" s="337"/>
      <c r="E235" s="1"/>
    </row>
    <row r="236" spans="1:5">
      <c r="A236" s="293"/>
      <c r="B236" s="293"/>
      <c r="C236" s="336"/>
      <c r="D236" s="337"/>
      <c r="E236" s="1"/>
    </row>
    <row r="237" spans="1:5">
      <c r="A237" s="293"/>
      <c r="B237" s="293"/>
      <c r="C237" s="336"/>
      <c r="D237" s="337"/>
      <c r="E237" s="1"/>
    </row>
    <row r="238" spans="1:5">
      <c r="A238" s="293"/>
      <c r="B238" s="293"/>
      <c r="C238" s="336"/>
      <c r="D238" s="337"/>
      <c r="E238" s="1"/>
    </row>
    <row r="239" spans="1:5">
      <c r="A239" s="293"/>
      <c r="B239" s="293"/>
      <c r="C239" s="336"/>
      <c r="D239" s="337"/>
      <c r="E239" s="1"/>
    </row>
    <row r="240" spans="1:5">
      <c r="A240" s="293"/>
      <c r="B240" s="293"/>
      <c r="C240" s="336"/>
      <c r="D240" s="337"/>
      <c r="E240" s="1"/>
    </row>
    <row r="241" spans="1:5">
      <c r="A241" s="293"/>
      <c r="B241" s="293"/>
      <c r="C241" s="336"/>
      <c r="D241" s="337"/>
      <c r="E241" s="1"/>
    </row>
    <row r="242" spans="1:5">
      <c r="A242" s="293"/>
      <c r="B242" s="293"/>
      <c r="C242" s="336"/>
      <c r="D242" s="337"/>
      <c r="E242" s="1"/>
    </row>
    <row r="243" spans="1:5">
      <c r="A243" s="293"/>
      <c r="B243" s="293"/>
      <c r="C243" s="336"/>
      <c r="D243" s="337"/>
      <c r="E243" s="1"/>
    </row>
    <row r="244" spans="1:5">
      <c r="A244" s="293"/>
      <c r="B244" s="293"/>
      <c r="C244" s="336"/>
      <c r="D244" s="337"/>
      <c r="E244" s="1"/>
    </row>
    <row r="245" spans="1:5">
      <c r="A245" s="293"/>
      <c r="B245" s="293"/>
      <c r="C245" s="336"/>
      <c r="D245" s="337"/>
      <c r="E245" s="1"/>
    </row>
    <row r="246" spans="1:5">
      <c r="A246" s="293"/>
      <c r="B246" s="293"/>
      <c r="C246" s="336"/>
      <c r="D246" s="337"/>
      <c r="E246" s="1"/>
    </row>
    <row r="247" spans="1:5">
      <c r="A247" s="293"/>
      <c r="B247" s="293"/>
      <c r="C247" s="336"/>
      <c r="D247" s="337"/>
      <c r="E247" s="1"/>
    </row>
    <row r="248" spans="1:5">
      <c r="A248" s="293"/>
      <c r="B248" s="293"/>
      <c r="C248" s="336"/>
      <c r="D248" s="337"/>
      <c r="E248" s="1"/>
    </row>
    <row r="249" spans="1:5">
      <c r="A249" s="293"/>
      <c r="B249" s="293"/>
      <c r="C249" s="336"/>
      <c r="D249" s="337"/>
      <c r="E249" s="1"/>
    </row>
    <row r="250" spans="1:5">
      <c r="A250" s="293"/>
      <c r="B250" s="293"/>
      <c r="C250" s="336"/>
      <c r="D250" s="337"/>
      <c r="E250" s="1"/>
    </row>
    <row r="251" spans="1:5">
      <c r="A251" s="293"/>
      <c r="B251" s="293"/>
      <c r="C251" s="336"/>
      <c r="D251" s="337"/>
      <c r="E251" s="1"/>
    </row>
    <row r="252" spans="1:5">
      <c r="A252" s="293"/>
      <c r="B252" s="293"/>
      <c r="C252" s="336"/>
      <c r="D252" s="337"/>
      <c r="E252" s="1"/>
    </row>
    <row r="253" spans="1:5">
      <c r="A253" s="293"/>
      <c r="B253" s="293"/>
      <c r="C253" s="336"/>
      <c r="D253" s="337"/>
      <c r="E253" s="1"/>
    </row>
    <row r="254" spans="1:5">
      <c r="A254" s="293"/>
      <c r="B254" s="293"/>
      <c r="C254" s="336"/>
      <c r="D254" s="337"/>
      <c r="E254" s="1"/>
    </row>
    <row r="255" spans="1:5">
      <c r="A255" s="293"/>
      <c r="B255" s="293"/>
      <c r="C255" s="336"/>
      <c r="D255" s="337"/>
      <c r="E255" s="1"/>
    </row>
    <row r="256" spans="1:5">
      <c r="A256" s="293"/>
      <c r="B256" s="293"/>
      <c r="C256" s="336"/>
      <c r="D256" s="337"/>
      <c r="E256" s="1"/>
    </row>
    <row r="257" spans="1:5">
      <c r="A257" s="293"/>
      <c r="B257" s="293"/>
      <c r="C257" s="336"/>
      <c r="D257" s="337"/>
      <c r="E257" s="1"/>
    </row>
    <row r="258" spans="1:5">
      <c r="A258" s="293"/>
      <c r="B258" s="293"/>
      <c r="C258" s="336"/>
      <c r="D258" s="337"/>
      <c r="E258" s="1"/>
    </row>
    <row r="259" spans="1:5">
      <c r="A259" s="293"/>
      <c r="B259" s="293"/>
      <c r="C259" s="336"/>
      <c r="D259" s="337"/>
      <c r="E259" s="1"/>
    </row>
    <row r="260" spans="1:5">
      <c r="A260" s="293"/>
      <c r="B260" s="293"/>
      <c r="C260" s="336"/>
      <c r="D260" s="337"/>
      <c r="E260" s="1"/>
    </row>
    <row r="261" spans="1:5">
      <c r="A261" s="293"/>
      <c r="B261" s="293"/>
      <c r="C261" s="336"/>
      <c r="D261" s="337"/>
      <c r="E261" s="1"/>
    </row>
    <row r="262" spans="1:5">
      <c r="A262" s="293"/>
      <c r="B262" s="293"/>
      <c r="C262" s="336"/>
      <c r="D262" s="337"/>
      <c r="E262" s="1"/>
    </row>
    <row r="263" spans="1:5">
      <c r="A263" s="293"/>
      <c r="B263" s="293"/>
      <c r="C263" s="336"/>
      <c r="D263" s="337"/>
      <c r="E263" s="1"/>
    </row>
    <row r="264" spans="1:5">
      <c r="A264" s="293"/>
      <c r="B264" s="293"/>
      <c r="C264" s="336"/>
      <c r="D264" s="337"/>
      <c r="E264" s="1"/>
    </row>
    <row r="265" spans="1:5">
      <c r="A265" s="293"/>
      <c r="B265" s="293"/>
      <c r="C265" s="336"/>
      <c r="D265" s="337"/>
      <c r="E265" s="1"/>
    </row>
    <row r="266" spans="1:5">
      <c r="A266" s="293"/>
      <c r="B266" s="293"/>
      <c r="C266" s="336"/>
      <c r="D266" s="337"/>
      <c r="E266" s="1"/>
    </row>
    <row r="267" spans="1:5">
      <c r="A267" s="293"/>
      <c r="B267" s="293"/>
      <c r="C267" s="336"/>
      <c r="D267" s="337"/>
      <c r="E267" s="1"/>
    </row>
    <row r="268" spans="1:5">
      <c r="A268" s="293"/>
      <c r="B268" s="293"/>
      <c r="C268" s="336"/>
      <c r="D268" s="337"/>
      <c r="E268" s="1"/>
    </row>
    <row r="269" spans="1:5">
      <c r="A269" s="293"/>
      <c r="B269" s="293"/>
      <c r="C269" s="336"/>
      <c r="D269" s="337"/>
      <c r="E269" s="1"/>
    </row>
    <row r="270" spans="1:5">
      <c r="A270" s="293"/>
      <c r="B270" s="293"/>
      <c r="C270" s="336"/>
      <c r="D270" s="337"/>
      <c r="E270" s="1"/>
    </row>
    <row r="271" spans="1:5">
      <c r="A271" s="293"/>
      <c r="B271" s="293"/>
      <c r="C271" s="336"/>
      <c r="D271" s="337"/>
      <c r="E271" s="1"/>
    </row>
    <row r="272" spans="1:5">
      <c r="A272" s="293"/>
      <c r="B272" s="293"/>
      <c r="C272" s="336"/>
      <c r="D272" s="337"/>
      <c r="E272" s="1"/>
    </row>
    <row r="273" spans="1:5">
      <c r="A273" s="293"/>
      <c r="B273" s="293"/>
      <c r="C273" s="336"/>
      <c r="D273" s="337"/>
      <c r="E273" s="1"/>
    </row>
    <row r="274" spans="1:5">
      <c r="A274" s="293"/>
      <c r="B274" s="293"/>
      <c r="C274" s="336"/>
      <c r="D274" s="337"/>
      <c r="E274" s="1"/>
    </row>
    <row r="275" spans="1:5">
      <c r="A275" s="293"/>
      <c r="B275" s="293"/>
      <c r="C275" s="336"/>
      <c r="D275" s="337"/>
      <c r="E275" s="1"/>
    </row>
    <row r="276" spans="1:5">
      <c r="A276" s="293"/>
      <c r="B276" s="293"/>
      <c r="C276" s="336"/>
      <c r="D276" s="337"/>
      <c r="E276" s="1"/>
    </row>
    <row r="277" spans="1:5">
      <c r="A277" s="293"/>
      <c r="B277" s="293"/>
      <c r="C277" s="336"/>
      <c r="D277" s="337"/>
      <c r="E277" s="1"/>
    </row>
    <row r="278" spans="1:5">
      <c r="A278" s="293"/>
      <c r="B278" s="293"/>
      <c r="C278" s="336"/>
      <c r="D278" s="337"/>
      <c r="E278" s="1"/>
    </row>
    <row r="279" spans="1:5">
      <c r="A279" s="293"/>
      <c r="B279" s="293"/>
      <c r="C279" s="336"/>
      <c r="D279" s="337"/>
      <c r="E279" s="1"/>
    </row>
    <row r="280" spans="1:5">
      <c r="A280" s="293"/>
      <c r="B280" s="293"/>
      <c r="C280" s="336"/>
      <c r="D280" s="337"/>
      <c r="E280" s="1"/>
    </row>
    <row r="281" spans="1:5">
      <c r="A281" s="293"/>
      <c r="B281" s="293"/>
      <c r="C281" s="336"/>
      <c r="D281" s="337"/>
      <c r="E281" s="1"/>
    </row>
    <row r="282" spans="1:5">
      <c r="A282" s="293"/>
      <c r="B282" s="293"/>
      <c r="C282" s="336"/>
      <c r="D282" s="337"/>
      <c r="E282" s="1"/>
    </row>
    <row r="283" spans="1:5">
      <c r="A283" s="293"/>
      <c r="B283" s="293"/>
      <c r="C283" s="336"/>
      <c r="D283" s="337"/>
      <c r="E283" s="1"/>
    </row>
    <row r="284" spans="1:5">
      <c r="A284" s="293"/>
      <c r="B284" s="293"/>
      <c r="C284" s="336"/>
      <c r="D284" s="337"/>
      <c r="E284" s="1"/>
    </row>
    <row r="285" spans="1:5">
      <c r="A285" s="293"/>
      <c r="B285" s="293"/>
      <c r="C285" s="336"/>
      <c r="D285" s="337"/>
      <c r="E285" s="1"/>
    </row>
    <row r="286" spans="1:5">
      <c r="A286" s="293"/>
      <c r="B286" s="293"/>
      <c r="C286" s="336"/>
      <c r="D286" s="337"/>
      <c r="E286" s="1"/>
    </row>
    <row r="287" spans="1:5">
      <c r="A287" s="293"/>
      <c r="B287" s="293"/>
      <c r="C287" s="336"/>
      <c r="D287" s="337"/>
      <c r="E287" s="1"/>
    </row>
    <row r="288" spans="1:5">
      <c r="A288" s="293"/>
      <c r="B288" s="293"/>
      <c r="C288" s="336"/>
      <c r="D288" s="337"/>
      <c r="E288" s="1"/>
    </row>
    <row r="289" spans="1:5">
      <c r="A289" s="293"/>
      <c r="B289" s="293"/>
      <c r="C289" s="336"/>
      <c r="D289" s="337"/>
      <c r="E289" s="1"/>
    </row>
    <row r="290" spans="1:5">
      <c r="A290" s="293"/>
      <c r="B290" s="293"/>
      <c r="C290" s="336"/>
      <c r="D290" s="337"/>
      <c r="E290" s="1"/>
    </row>
    <row r="291" spans="1:5">
      <c r="A291" s="293"/>
      <c r="B291" s="293"/>
      <c r="C291" s="336"/>
      <c r="D291" s="337"/>
      <c r="E291" s="1"/>
    </row>
    <row r="292" spans="1:5">
      <c r="A292" s="293"/>
      <c r="B292" s="293"/>
      <c r="C292" s="336"/>
      <c r="D292" s="337"/>
      <c r="E292" s="1"/>
    </row>
    <row r="293" spans="1:5">
      <c r="A293" s="293"/>
      <c r="B293" s="293"/>
      <c r="C293" s="336"/>
      <c r="D293" s="337"/>
      <c r="E293" s="1"/>
    </row>
    <row r="294" spans="1:5">
      <c r="A294" s="293"/>
      <c r="B294" s="293"/>
      <c r="C294" s="336"/>
      <c r="D294" s="337"/>
      <c r="E294" s="1"/>
    </row>
    <row r="295" spans="1:5">
      <c r="A295" s="293"/>
      <c r="B295" s="293"/>
      <c r="C295" s="336"/>
      <c r="D295" s="337"/>
      <c r="E295" s="1"/>
    </row>
    <row r="296" spans="1:5">
      <c r="A296" s="293"/>
      <c r="B296" s="293"/>
      <c r="C296" s="336"/>
      <c r="D296" s="337"/>
      <c r="E296" s="1"/>
    </row>
    <row r="297" spans="1:5">
      <c r="A297" s="293"/>
      <c r="B297" s="293"/>
      <c r="C297" s="336"/>
      <c r="D297" s="337"/>
      <c r="E297" s="1"/>
    </row>
    <row r="298" spans="1:5">
      <c r="A298" s="293"/>
      <c r="B298" s="293"/>
      <c r="C298" s="336"/>
      <c r="D298" s="337"/>
      <c r="E298" s="1"/>
    </row>
    <row r="299" spans="1:5">
      <c r="A299" s="293"/>
      <c r="B299" s="293"/>
      <c r="C299" s="336"/>
      <c r="D299" s="337"/>
      <c r="E299" s="1"/>
    </row>
    <row r="300" spans="1:5">
      <c r="A300" s="293"/>
      <c r="B300" s="293"/>
      <c r="C300" s="336"/>
      <c r="D300" s="337"/>
      <c r="E300" s="1"/>
    </row>
    <row r="301" spans="1:5">
      <c r="A301" s="293"/>
      <c r="B301" s="293"/>
      <c r="C301" s="336"/>
      <c r="D301" s="337"/>
      <c r="E301" s="1"/>
    </row>
    <row r="302" spans="1:5">
      <c r="A302" s="293"/>
      <c r="B302" s="293"/>
      <c r="C302" s="336"/>
      <c r="D302" s="337"/>
      <c r="E302" s="1"/>
    </row>
    <row r="303" spans="1:5">
      <c r="A303" s="293"/>
      <c r="B303" s="293"/>
      <c r="C303" s="336"/>
      <c r="D303" s="337"/>
      <c r="E303" s="1"/>
    </row>
    <row r="304" spans="1:5">
      <c r="A304" s="293"/>
      <c r="B304" s="293"/>
      <c r="C304" s="336"/>
      <c r="D304" s="337"/>
      <c r="E304" s="1"/>
    </row>
    <row r="305" spans="1:5">
      <c r="A305" s="293"/>
      <c r="B305" s="293"/>
      <c r="C305" s="336"/>
      <c r="D305" s="337"/>
      <c r="E305" s="1"/>
    </row>
    <row r="306" spans="1:5">
      <c r="A306" s="293"/>
      <c r="B306" s="293"/>
      <c r="C306" s="336"/>
      <c r="D306" s="337"/>
      <c r="E306" s="1"/>
    </row>
    <row r="307" spans="1:5">
      <c r="A307" s="293"/>
      <c r="B307" s="293"/>
      <c r="C307" s="336"/>
      <c r="D307" s="337"/>
      <c r="E307" s="1"/>
    </row>
    <row r="308" spans="1:5">
      <c r="A308" s="293"/>
      <c r="B308" s="293"/>
      <c r="C308" s="336"/>
      <c r="D308" s="337"/>
      <c r="E308" s="1"/>
    </row>
    <row r="309" spans="1:5">
      <c r="A309" s="293"/>
      <c r="B309" s="293"/>
      <c r="C309" s="336"/>
      <c r="D309" s="337"/>
      <c r="E309" s="1"/>
    </row>
    <row r="310" spans="1:5">
      <c r="A310" s="293"/>
      <c r="B310" s="293"/>
      <c r="C310" s="336"/>
      <c r="D310" s="337"/>
      <c r="E310" s="1"/>
    </row>
    <row r="311" spans="1:5">
      <c r="A311" s="293"/>
      <c r="B311" s="293"/>
      <c r="C311" s="336"/>
      <c r="D311" s="337"/>
      <c r="E311" s="1"/>
    </row>
    <row r="312" spans="1:5">
      <c r="A312" s="293"/>
      <c r="B312" s="293"/>
      <c r="C312" s="336"/>
      <c r="D312" s="337"/>
      <c r="E312" s="1"/>
    </row>
    <row r="313" spans="1:5">
      <c r="A313" s="293"/>
      <c r="B313" s="293"/>
      <c r="C313" s="336"/>
      <c r="D313" s="337"/>
      <c r="E313" s="1"/>
    </row>
    <row r="314" spans="1:5">
      <c r="A314" s="293"/>
      <c r="B314" s="293"/>
      <c r="C314" s="336"/>
      <c r="D314" s="337"/>
      <c r="E314" s="1"/>
    </row>
    <row r="315" spans="1:5">
      <c r="A315" s="293"/>
      <c r="B315" s="293"/>
      <c r="C315" s="336"/>
      <c r="D315" s="337"/>
      <c r="E315" s="1"/>
    </row>
    <row r="316" spans="1:5">
      <c r="A316" s="293"/>
      <c r="B316" s="293"/>
      <c r="C316" s="336"/>
      <c r="D316" s="337"/>
      <c r="E316" s="1"/>
    </row>
    <row r="317" spans="1:5">
      <c r="A317" s="293"/>
      <c r="B317" s="293"/>
      <c r="C317" s="336"/>
      <c r="D317" s="337"/>
      <c r="E317" s="1"/>
    </row>
    <row r="318" spans="1:5">
      <c r="A318" s="293"/>
      <c r="B318" s="293"/>
      <c r="C318" s="336"/>
      <c r="D318" s="337"/>
      <c r="E318" s="1"/>
    </row>
    <row r="319" spans="1:5">
      <c r="A319" s="293"/>
      <c r="B319" s="293"/>
      <c r="C319" s="336"/>
      <c r="D319" s="337"/>
      <c r="E319" s="1"/>
    </row>
    <row r="320" spans="1:5">
      <c r="A320" s="293"/>
      <c r="B320" s="293"/>
      <c r="C320" s="336"/>
      <c r="D320" s="337"/>
      <c r="E320" s="1"/>
    </row>
    <row r="321" spans="1:5">
      <c r="A321" s="293"/>
      <c r="B321" s="293"/>
      <c r="C321" s="336"/>
      <c r="D321" s="337"/>
      <c r="E321" s="1"/>
    </row>
    <row r="322" spans="1:5">
      <c r="A322" s="293"/>
      <c r="B322" s="293"/>
      <c r="C322" s="336"/>
      <c r="D322" s="337"/>
      <c r="E322" s="1"/>
    </row>
    <row r="323" spans="1:5">
      <c r="A323" s="293"/>
      <c r="B323" s="293"/>
      <c r="C323" s="336"/>
      <c r="D323" s="337"/>
      <c r="E323" s="1"/>
    </row>
    <row r="324" spans="1:5">
      <c r="A324" s="293"/>
      <c r="B324" s="293"/>
      <c r="C324" s="336"/>
      <c r="D324" s="337"/>
      <c r="E324" s="1"/>
    </row>
    <row r="325" spans="1:5">
      <c r="A325" s="293"/>
      <c r="B325" s="293"/>
      <c r="C325" s="336"/>
      <c r="D325" s="337"/>
      <c r="E325" s="1"/>
    </row>
    <row r="326" spans="1:5">
      <c r="A326" s="293"/>
      <c r="B326" s="293"/>
      <c r="C326" s="336"/>
      <c r="D326" s="337"/>
      <c r="E326" s="1"/>
    </row>
    <row r="327" spans="1:5">
      <c r="A327" s="293"/>
      <c r="B327" s="293"/>
      <c r="C327" s="336"/>
      <c r="D327" s="337"/>
      <c r="E327" s="1"/>
    </row>
    <row r="328" spans="1:5">
      <c r="A328" s="293"/>
      <c r="B328" s="293"/>
      <c r="C328" s="336"/>
      <c r="D328" s="337"/>
      <c r="E328" s="1"/>
    </row>
    <row r="329" spans="1:5">
      <c r="A329" s="293"/>
      <c r="B329" s="293"/>
      <c r="C329" s="336"/>
      <c r="D329" s="337"/>
      <c r="E329" s="1"/>
    </row>
    <row r="330" spans="1:5">
      <c r="A330" s="293"/>
      <c r="B330" s="293"/>
      <c r="C330" s="336"/>
      <c r="D330" s="337"/>
      <c r="E330" s="1"/>
    </row>
    <row r="331" spans="1:5">
      <c r="A331" s="293"/>
      <c r="B331" s="293"/>
      <c r="C331" s="336"/>
      <c r="D331" s="337"/>
      <c r="E331" s="1"/>
    </row>
    <row r="332" spans="1:5">
      <c r="A332" s="293"/>
      <c r="B332" s="293"/>
      <c r="C332" s="336"/>
      <c r="D332" s="337"/>
      <c r="E332" s="1"/>
    </row>
    <row r="333" spans="1:5">
      <c r="A333" s="293"/>
      <c r="B333" s="293"/>
      <c r="C333" s="336"/>
      <c r="D333" s="337"/>
      <c r="E333" s="1"/>
    </row>
    <row r="334" spans="1:5">
      <c r="A334" s="293"/>
      <c r="B334" s="293"/>
      <c r="C334" s="336"/>
      <c r="D334" s="337"/>
      <c r="E334" s="1"/>
    </row>
    <row r="335" spans="1:5">
      <c r="A335" s="293"/>
      <c r="B335" s="293"/>
      <c r="C335" s="336"/>
      <c r="D335" s="337"/>
      <c r="E335" s="1"/>
    </row>
    <row r="336" spans="1:5">
      <c r="A336" s="293"/>
      <c r="B336" s="293"/>
      <c r="C336" s="336"/>
      <c r="D336" s="337"/>
      <c r="E336" s="1"/>
    </row>
    <row r="337" spans="1:5">
      <c r="A337" s="293"/>
      <c r="B337" s="293"/>
      <c r="C337" s="336"/>
      <c r="D337" s="337"/>
      <c r="E337" s="1"/>
    </row>
    <row r="338" spans="1:5">
      <c r="A338" s="293"/>
      <c r="B338" s="293"/>
      <c r="C338" s="336"/>
      <c r="D338" s="337"/>
      <c r="E338" s="1"/>
    </row>
    <row r="339" spans="1:5">
      <c r="A339" s="293"/>
      <c r="B339" s="293"/>
      <c r="C339" s="336"/>
      <c r="D339" s="337"/>
      <c r="E339" s="1"/>
    </row>
    <row r="340" spans="1:5">
      <c r="A340" s="293"/>
      <c r="B340" s="293"/>
      <c r="C340" s="336"/>
      <c r="D340" s="337"/>
      <c r="E340" s="1"/>
    </row>
    <row r="341" spans="1:5">
      <c r="A341" s="293"/>
      <c r="B341" s="293"/>
      <c r="C341" s="336"/>
      <c r="D341" s="337"/>
      <c r="E341" s="1"/>
    </row>
    <row r="342" spans="1:5">
      <c r="A342" s="293"/>
      <c r="B342" s="293"/>
      <c r="C342" s="336"/>
      <c r="D342" s="337"/>
      <c r="E342" s="1"/>
    </row>
    <row r="343" spans="1:5">
      <c r="A343" s="293"/>
      <c r="B343" s="293"/>
      <c r="C343" s="336"/>
      <c r="D343" s="337"/>
      <c r="E343" s="1"/>
    </row>
    <row r="344" spans="1:5">
      <c r="A344" s="293"/>
      <c r="B344" s="293"/>
      <c r="C344" s="336"/>
      <c r="D344" s="337"/>
      <c r="E344" s="1"/>
    </row>
    <row r="345" spans="1:5">
      <c r="A345" s="293"/>
      <c r="B345" s="293"/>
      <c r="C345" s="336"/>
      <c r="D345" s="337"/>
      <c r="E345" s="1"/>
    </row>
    <row r="346" spans="1:5">
      <c r="A346" s="293"/>
      <c r="B346" s="293"/>
      <c r="C346" s="336"/>
      <c r="D346" s="337"/>
      <c r="E346" s="1"/>
    </row>
    <row r="347" spans="1:5">
      <c r="A347" s="293"/>
      <c r="B347" s="293"/>
      <c r="C347" s="336"/>
      <c r="D347" s="337"/>
      <c r="E347" s="1"/>
    </row>
    <row r="348" spans="1:5">
      <c r="A348" s="293"/>
      <c r="B348" s="293"/>
      <c r="C348" s="336"/>
      <c r="D348" s="337"/>
      <c r="E348" s="1"/>
    </row>
    <row r="349" spans="1:5">
      <c r="A349" s="293"/>
      <c r="B349" s="293"/>
      <c r="C349" s="336"/>
      <c r="D349" s="337"/>
      <c r="E349" s="1"/>
    </row>
    <row r="350" spans="1:5">
      <c r="A350" s="293"/>
      <c r="B350" s="293"/>
      <c r="C350" s="336"/>
      <c r="D350" s="337"/>
      <c r="E350" s="1"/>
    </row>
    <row r="351" spans="1:5">
      <c r="A351" s="293"/>
      <c r="B351" s="293"/>
      <c r="C351" s="336"/>
      <c r="D351" s="337"/>
      <c r="E351" s="1"/>
    </row>
    <row r="352" spans="1:5">
      <c r="A352" s="293"/>
      <c r="B352" s="293"/>
      <c r="C352" s="336"/>
      <c r="D352" s="337"/>
      <c r="E352" s="1"/>
    </row>
    <row r="353" spans="1:5">
      <c r="A353" s="293"/>
      <c r="B353" s="293"/>
      <c r="C353" s="336"/>
      <c r="D353" s="337"/>
      <c r="E353" s="1"/>
    </row>
    <row r="354" spans="1:5">
      <c r="A354" s="293"/>
      <c r="B354" s="293"/>
      <c r="C354" s="336"/>
      <c r="D354" s="337"/>
      <c r="E354" s="1"/>
    </row>
    <row r="355" spans="1:5">
      <c r="A355" s="293"/>
      <c r="B355" s="293"/>
      <c r="C355" s="336"/>
      <c r="D355" s="337"/>
      <c r="E355" s="1"/>
    </row>
    <row r="356" spans="1:5">
      <c r="A356" s="293"/>
      <c r="B356" s="293"/>
      <c r="C356" s="336"/>
      <c r="D356" s="337"/>
      <c r="E356" s="1"/>
    </row>
    <row r="357" spans="1:5">
      <c r="A357" s="293"/>
      <c r="B357" s="293"/>
      <c r="C357" s="336"/>
      <c r="D357" s="337"/>
      <c r="E357" s="1"/>
    </row>
    <row r="358" spans="1:5">
      <c r="A358" s="293"/>
      <c r="B358" s="293"/>
      <c r="C358" s="336"/>
      <c r="D358" s="337"/>
      <c r="E358" s="1"/>
    </row>
    <row r="359" spans="1:5">
      <c r="A359" s="293"/>
      <c r="B359" s="293"/>
      <c r="C359" s="336"/>
      <c r="D359" s="337"/>
      <c r="E359" s="1"/>
    </row>
    <row r="360" spans="1:5">
      <c r="A360" s="293"/>
      <c r="B360" s="293"/>
      <c r="C360" s="336"/>
      <c r="D360" s="337"/>
      <c r="E360" s="1"/>
    </row>
    <row r="361" spans="1:5">
      <c r="A361" s="293"/>
      <c r="B361" s="293"/>
      <c r="C361" s="336"/>
      <c r="D361" s="337"/>
      <c r="E361" s="1"/>
    </row>
    <row r="362" spans="1:5">
      <c r="A362" s="293"/>
      <c r="B362" s="293"/>
      <c r="C362" s="336"/>
      <c r="D362" s="337"/>
      <c r="E362" s="1"/>
    </row>
    <row r="363" spans="1:5">
      <c r="A363" s="293"/>
      <c r="B363" s="293"/>
      <c r="C363" s="336"/>
      <c r="D363" s="337"/>
      <c r="E363" s="1"/>
    </row>
    <row r="364" spans="1:5">
      <c r="A364" s="293"/>
      <c r="B364" s="293"/>
      <c r="C364" s="336"/>
      <c r="D364" s="337"/>
      <c r="E364" s="1"/>
    </row>
    <row r="365" spans="1:5">
      <c r="A365" s="293"/>
      <c r="B365" s="293"/>
      <c r="C365" s="336"/>
      <c r="D365" s="337"/>
      <c r="E365" s="1"/>
    </row>
    <row r="366" spans="1:5">
      <c r="A366" s="293"/>
      <c r="B366" s="293"/>
      <c r="C366" s="336"/>
      <c r="D366" s="337"/>
      <c r="E366" s="1"/>
    </row>
    <row r="367" spans="1:5">
      <c r="A367" s="293"/>
      <c r="B367" s="293"/>
      <c r="C367" s="336"/>
      <c r="D367" s="337"/>
      <c r="E367" s="1"/>
    </row>
    <row r="368" spans="1:5">
      <c r="A368" s="293"/>
      <c r="B368" s="293"/>
      <c r="C368" s="336"/>
      <c r="D368" s="337"/>
      <c r="E368" s="1"/>
    </row>
    <row r="369" spans="1:5">
      <c r="A369" s="293"/>
      <c r="B369" s="293"/>
      <c r="C369" s="336"/>
      <c r="D369" s="337"/>
      <c r="E369" s="1"/>
    </row>
    <row r="370" spans="1:5">
      <c r="A370" s="293"/>
      <c r="B370" s="293"/>
      <c r="C370" s="336"/>
      <c r="D370" s="337"/>
      <c r="E370" s="1"/>
    </row>
    <row r="371" spans="1:5">
      <c r="A371" s="293"/>
      <c r="B371" s="293"/>
      <c r="C371" s="336"/>
      <c r="D371" s="337"/>
      <c r="E371" s="1"/>
    </row>
    <row r="372" spans="1:5">
      <c r="A372" s="293"/>
      <c r="B372" s="293"/>
      <c r="C372" s="336"/>
      <c r="D372" s="337"/>
      <c r="E372" s="1"/>
    </row>
    <row r="373" spans="1:5">
      <c r="A373" s="293"/>
      <c r="B373" s="293"/>
      <c r="C373" s="336"/>
      <c r="D373" s="337"/>
      <c r="E373" s="1"/>
    </row>
    <row r="374" spans="1:5">
      <c r="A374" s="293"/>
      <c r="B374" s="293"/>
      <c r="C374" s="336"/>
      <c r="D374" s="337"/>
      <c r="E374" s="1"/>
    </row>
    <row r="375" spans="1:5">
      <c r="A375" s="293"/>
      <c r="B375" s="293"/>
      <c r="C375" s="336"/>
      <c r="D375" s="337"/>
      <c r="E375" s="1"/>
    </row>
    <row r="376" spans="1:5">
      <c r="A376" s="293"/>
      <c r="B376" s="293"/>
      <c r="C376" s="336"/>
      <c r="D376" s="337"/>
      <c r="E376" s="1"/>
    </row>
    <row r="377" spans="1:5">
      <c r="A377" s="293"/>
      <c r="B377" s="293"/>
      <c r="C377" s="336"/>
      <c r="D377" s="337"/>
      <c r="E377" s="1"/>
    </row>
    <row r="378" spans="1:5">
      <c r="A378" s="293"/>
      <c r="B378" s="293"/>
      <c r="C378" s="336"/>
      <c r="D378" s="337"/>
      <c r="E378" s="1"/>
    </row>
    <row r="379" spans="1:5">
      <c r="A379" s="293"/>
      <c r="B379" s="293"/>
      <c r="C379" s="336"/>
      <c r="D379" s="337"/>
      <c r="E379" s="1"/>
    </row>
    <row r="380" spans="1:5">
      <c r="A380" s="293"/>
      <c r="B380" s="293"/>
      <c r="C380" s="336"/>
      <c r="D380" s="337"/>
      <c r="E380" s="1"/>
    </row>
    <row r="381" spans="1:5">
      <c r="A381" s="293"/>
      <c r="B381" s="293"/>
      <c r="C381" s="336"/>
      <c r="D381" s="337"/>
      <c r="E381" s="1"/>
    </row>
    <row r="382" spans="1:5">
      <c r="A382" s="293"/>
      <c r="B382" s="293"/>
      <c r="C382" s="336"/>
      <c r="D382" s="337"/>
      <c r="E382" s="1"/>
    </row>
    <row r="383" spans="1:5">
      <c r="A383" s="293"/>
      <c r="B383" s="293"/>
      <c r="C383" s="336"/>
      <c r="D383" s="337"/>
      <c r="E383" s="1"/>
    </row>
    <row r="384" spans="1:5">
      <c r="A384" s="293"/>
      <c r="B384" s="293"/>
      <c r="C384" s="336"/>
      <c r="D384" s="337"/>
      <c r="E384" s="1"/>
    </row>
    <row r="385" spans="1:5">
      <c r="A385" s="293"/>
      <c r="B385" s="293"/>
      <c r="C385" s="336"/>
      <c r="D385" s="337"/>
      <c r="E385" s="1"/>
    </row>
    <row r="386" spans="1:5">
      <c r="A386" s="293"/>
      <c r="B386" s="293"/>
      <c r="C386" s="336"/>
      <c r="D386" s="337"/>
      <c r="E386" s="1"/>
    </row>
    <row r="387" spans="1:5">
      <c r="A387" s="293"/>
      <c r="B387" s="293"/>
      <c r="C387" s="336"/>
      <c r="D387" s="337"/>
      <c r="E387" s="1"/>
    </row>
    <row r="388" spans="1:5">
      <c r="A388" s="293"/>
      <c r="B388" s="293"/>
      <c r="C388" s="336"/>
      <c r="D388" s="337"/>
      <c r="E388" s="1"/>
    </row>
    <row r="389" spans="1:5">
      <c r="A389" s="293"/>
      <c r="B389" s="293"/>
      <c r="C389" s="336"/>
      <c r="D389" s="337"/>
      <c r="E389" s="1"/>
    </row>
    <row r="390" spans="1:5">
      <c r="A390" s="293"/>
      <c r="B390" s="293"/>
      <c r="C390" s="336"/>
      <c r="D390" s="337"/>
      <c r="E390" s="1"/>
    </row>
    <row r="391" spans="1:5">
      <c r="A391" s="293"/>
      <c r="B391" s="293"/>
      <c r="C391" s="336"/>
      <c r="D391" s="337"/>
      <c r="E391" s="1"/>
    </row>
    <row r="392" spans="1:5">
      <c r="A392" s="293"/>
      <c r="B392" s="293"/>
      <c r="C392" s="336"/>
      <c r="D392" s="337"/>
      <c r="E392" s="1"/>
    </row>
    <row r="393" spans="1:5">
      <c r="A393" s="293"/>
      <c r="B393" s="293"/>
      <c r="C393" s="336"/>
      <c r="D393" s="337"/>
      <c r="E393" s="1"/>
    </row>
    <row r="394" spans="1:5">
      <c r="A394" s="293"/>
      <c r="B394" s="293"/>
      <c r="C394" s="336"/>
      <c r="D394" s="337"/>
      <c r="E394" s="1"/>
    </row>
    <row r="395" spans="1:5">
      <c r="A395" s="293"/>
      <c r="B395" s="293"/>
      <c r="C395" s="336"/>
      <c r="D395" s="337"/>
      <c r="E395" s="1"/>
    </row>
    <row r="396" spans="1:5">
      <c r="A396" s="293"/>
      <c r="B396" s="293"/>
      <c r="C396" s="336"/>
      <c r="D396" s="337"/>
      <c r="E396" s="1"/>
    </row>
    <row r="397" spans="1:5">
      <c r="A397" s="293"/>
      <c r="B397" s="293"/>
      <c r="C397" s="336"/>
      <c r="D397" s="337"/>
      <c r="E397" s="1"/>
    </row>
    <row r="398" spans="1:5">
      <c r="A398" s="293"/>
      <c r="B398" s="293"/>
      <c r="C398" s="336"/>
      <c r="D398" s="337"/>
      <c r="E398" s="1"/>
    </row>
    <row r="399" spans="1:5">
      <c r="A399" s="293"/>
      <c r="B399" s="293"/>
      <c r="C399" s="336"/>
      <c r="D399" s="337"/>
      <c r="E399" s="1"/>
    </row>
    <row r="400" spans="1:5">
      <c r="A400" s="293"/>
      <c r="B400" s="293"/>
      <c r="C400" s="336"/>
      <c r="D400" s="337"/>
      <c r="E400" s="1"/>
    </row>
    <row r="401" spans="1:5">
      <c r="A401" s="293"/>
      <c r="B401" s="293"/>
      <c r="C401" s="336"/>
      <c r="D401" s="337"/>
      <c r="E401" s="1"/>
    </row>
    <row r="402" spans="1:5">
      <c r="A402" s="293"/>
      <c r="B402" s="293"/>
      <c r="C402" s="336"/>
      <c r="D402" s="337"/>
      <c r="E402" s="1"/>
    </row>
    <row r="403" spans="1:5">
      <c r="A403" s="293"/>
      <c r="B403" s="293"/>
      <c r="C403" s="336"/>
      <c r="D403" s="337"/>
      <c r="E403" s="1"/>
    </row>
    <row r="404" spans="1:5">
      <c r="A404" s="293"/>
      <c r="B404" s="293"/>
      <c r="C404" s="336"/>
      <c r="D404" s="337"/>
      <c r="E404" s="1"/>
    </row>
    <row r="405" spans="1:5">
      <c r="A405" s="293"/>
      <c r="B405" s="293"/>
      <c r="C405" s="336"/>
      <c r="D405" s="337"/>
      <c r="E405" s="1"/>
    </row>
    <row r="406" spans="1:5">
      <c r="A406" s="293"/>
      <c r="B406" s="293"/>
      <c r="C406" s="336"/>
      <c r="D406" s="337"/>
      <c r="E406" s="1"/>
    </row>
    <row r="407" spans="1:5">
      <c r="A407" s="293"/>
      <c r="B407" s="293"/>
      <c r="C407" s="336"/>
      <c r="D407" s="337"/>
      <c r="E407" s="1"/>
    </row>
    <row r="408" spans="1:5">
      <c r="A408" s="293"/>
      <c r="B408" s="293"/>
      <c r="C408" s="336"/>
      <c r="D408" s="337"/>
      <c r="E408" s="1"/>
    </row>
    <row r="409" spans="1:5">
      <c r="A409" s="293"/>
      <c r="B409" s="293"/>
      <c r="C409" s="336"/>
      <c r="D409" s="337"/>
      <c r="E409" s="1"/>
    </row>
    <row r="410" spans="1:5">
      <c r="A410" s="293"/>
      <c r="B410" s="293"/>
      <c r="C410" s="336"/>
      <c r="D410" s="337"/>
      <c r="E410" s="1"/>
    </row>
    <row r="411" spans="1:5">
      <c r="A411" s="293"/>
      <c r="B411" s="293"/>
      <c r="C411" s="336"/>
      <c r="D411" s="337"/>
      <c r="E411" s="1"/>
    </row>
    <row r="412" spans="1:5">
      <c r="A412" s="293"/>
      <c r="B412" s="293"/>
      <c r="C412" s="336"/>
      <c r="D412" s="337"/>
      <c r="E412" s="1"/>
    </row>
    <row r="413" spans="1:5">
      <c r="A413" s="293"/>
      <c r="B413" s="293"/>
      <c r="C413" s="336"/>
      <c r="D413" s="337"/>
      <c r="E413" s="1"/>
    </row>
    <row r="414" spans="1:5">
      <c r="A414" s="293"/>
      <c r="B414" s="293"/>
      <c r="C414" s="336"/>
      <c r="D414" s="337"/>
      <c r="E414" s="1"/>
    </row>
    <row r="415" spans="1:5">
      <c r="A415" s="293"/>
      <c r="B415" s="293"/>
      <c r="C415" s="336"/>
      <c r="D415" s="337"/>
      <c r="E415" s="1"/>
    </row>
    <row r="416" spans="1:5">
      <c r="A416" s="293"/>
      <c r="B416" s="293"/>
      <c r="C416" s="336"/>
      <c r="D416" s="337"/>
      <c r="E416" s="1"/>
    </row>
    <row r="417" spans="1:5">
      <c r="A417" s="293"/>
      <c r="B417" s="293"/>
      <c r="C417" s="336"/>
      <c r="D417" s="337"/>
      <c r="E417" s="1"/>
    </row>
    <row r="418" spans="1:5">
      <c r="A418" s="293"/>
      <c r="B418" s="293"/>
      <c r="C418" s="336"/>
      <c r="D418" s="337"/>
      <c r="E418" s="1"/>
    </row>
    <row r="419" spans="1:5">
      <c r="A419" s="293"/>
      <c r="B419" s="293"/>
      <c r="C419" s="336"/>
      <c r="D419" s="337"/>
      <c r="E419" s="1"/>
    </row>
    <row r="420" spans="1:5">
      <c r="A420" s="293"/>
      <c r="B420" s="293"/>
      <c r="C420" s="336"/>
      <c r="D420" s="337"/>
      <c r="E420" s="1"/>
    </row>
    <row r="421" spans="1:5">
      <c r="A421" s="293"/>
      <c r="B421" s="293"/>
      <c r="C421" s="336"/>
      <c r="D421" s="337"/>
      <c r="E421" s="1"/>
    </row>
    <row r="422" spans="1:5">
      <c r="A422" s="293"/>
      <c r="B422" s="293"/>
      <c r="C422" s="336"/>
      <c r="D422" s="337"/>
      <c r="E422" s="1"/>
    </row>
    <row r="423" spans="1:5">
      <c r="A423" s="293"/>
      <c r="B423" s="293"/>
      <c r="C423" s="336"/>
      <c r="D423" s="337"/>
      <c r="E423" s="1"/>
    </row>
    <row r="424" spans="1:5">
      <c r="A424" s="293"/>
      <c r="B424" s="293"/>
      <c r="C424" s="336"/>
      <c r="D424" s="337"/>
      <c r="E424" s="1"/>
    </row>
    <row r="425" spans="1:5">
      <c r="A425" s="293"/>
      <c r="B425" s="293"/>
      <c r="C425" s="336"/>
      <c r="D425" s="337"/>
      <c r="E425" s="1"/>
    </row>
    <row r="426" spans="1:5">
      <c r="A426" s="293"/>
      <c r="B426" s="293"/>
      <c r="C426" s="336"/>
      <c r="D426" s="337"/>
      <c r="E426" s="1"/>
    </row>
    <row r="427" spans="1:5">
      <c r="A427" s="293"/>
      <c r="B427" s="293"/>
      <c r="C427" s="336"/>
      <c r="D427" s="337"/>
      <c r="E427" s="1"/>
    </row>
    <row r="428" spans="1:5">
      <c r="A428" s="293"/>
      <c r="B428" s="293"/>
      <c r="C428" s="336"/>
      <c r="D428" s="337"/>
      <c r="E428" s="1"/>
    </row>
    <row r="429" spans="1:5">
      <c r="A429" s="293"/>
      <c r="B429" s="293"/>
      <c r="C429" s="336"/>
      <c r="D429" s="337"/>
      <c r="E429" s="1"/>
    </row>
    <row r="430" spans="1:5">
      <c r="A430" s="293"/>
      <c r="B430" s="293"/>
      <c r="C430" s="336"/>
      <c r="D430" s="337"/>
      <c r="E430" s="1"/>
    </row>
    <row r="431" spans="1:5">
      <c r="A431" s="293"/>
      <c r="B431" s="293"/>
      <c r="C431" s="336"/>
      <c r="D431" s="337"/>
      <c r="E431" s="1"/>
    </row>
    <row r="432" spans="1:5">
      <c r="A432" s="293"/>
      <c r="B432" s="293"/>
      <c r="C432" s="336"/>
      <c r="D432" s="337"/>
      <c r="E432" s="1"/>
    </row>
    <row r="433" spans="1:5">
      <c r="A433" s="293"/>
      <c r="B433" s="293"/>
      <c r="C433" s="336"/>
      <c r="D433" s="337"/>
      <c r="E433" s="1"/>
    </row>
    <row r="434" spans="1:5">
      <c r="A434" s="293"/>
      <c r="B434" s="293"/>
      <c r="C434" s="336"/>
      <c r="D434" s="337"/>
      <c r="E434" s="1"/>
    </row>
    <row r="435" spans="1:5">
      <c r="A435" s="293"/>
      <c r="B435" s="293"/>
      <c r="C435" s="336"/>
      <c r="D435" s="337"/>
      <c r="E435" s="1"/>
    </row>
    <row r="436" spans="1:5">
      <c r="A436" s="293"/>
      <c r="B436" s="293"/>
      <c r="C436" s="336"/>
      <c r="D436" s="337"/>
      <c r="E436" s="1"/>
    </row>
    <row r="437" spans="1:5">
      <c r="A437" s="293"/>
      <c r="B437" s="293"/>
      <c r="C437" s="336"/>
      <c r="D437" s="337"/>
      <c r="E437" s="1"/>
    </row>
    <row r="438" spans="1:5">
      <c r="A438" s="293"/>
      <c r="B438" s="293"/>
      <c r="C438" s="336"/>
      <c r="D438" s="337"/>
      <c r="E438" s="1"/>
    </row>
    <row r="439" spans="1:5">
      <c r="A439" s="293"/>
      <c r="B439" s="293"/>
      <c r="C439" s="336"/>
      <c r="D439" s="337"/>
      <c r="E439" s="1"/>
    </row>
    <row r="440" spans="1:5">
      <c r="A440" s="293"/>
      <c r="B440" s="293"/>
      <c r="C440" s="336"/>
      <c r="D440" s="337"/>
      <c r="E440" s="1"/>
    </row>
    <row r="441" spans="1:5">
      <c r="A441" s="293"/>
      <c r="B441" s="293"/>
      <c r="C441" s="336"/>
      <c r="D441" s="337"/>
      <c r="E441" s="1"/>
    </row>
    <row r="442" spans="1:5">
      <c r="A442" s="293"/>
      <c r="B442" s="293"/>
      <c r="C442" s="336"/>
      <c r="D442" s="337"/>
      <c r="E442" s="1"/>
    </row>
    <row r="443" spans="1:5">
      <c r="A443" s="293"/>
      <c r="B443" s="293"/>
      <c r="C443" s="336"/>
      <c r="D443" s="337"/>
      <c r="E443" s="1"/>
    </row>
    <row r="444" spans="1:5">
      <c r="A444" s="293"/>
      <c r="B444" s="293"/>
      <c r="C444" s="336"/>
      <c r="D444" s="337"/>
      <c r="E444" s="1"/>
    </row>
    <row r="445" spans="1:5">
      <c r="A445" s="293"/>
      <c r="B445" s="293"/>
      <c r="C445" s="336"/>
      <c r="D445" s="337"/>
      <c r="E445" s="1"/>
    </row>
    <row r="446" spans="1:5">
      <c r="A446" s="293"/>
      <c r="B446" s="293"/>
      <c r="C446" s="336"/>
      <c r="D446" s="337"/>
      <c r="E446" s="1"/>
    </row>
    <row r="447" spans="1:5">
      <c r="A447" s="293"/>
      <c r="B447" s="293"/>
      <c r="C447" s="336"/>
      <c r="D447" s="337"/>
      <c r="E447" s="1"/>
    </row>
    <row r="448" spans="1:5">
      <c r="A448" s="293"/>
      <c r="B448" s="293"/>
      <c r="C448" s="336"/>
      <c r="D448" s="337"/>
      <c r="E448" s="1"/>
    </row>
    <row r="449" spans="1:5">
      <c r="A449" s="293"/>
      <c r="B449" s="293"/>
      <c r="C449" s="336"/>
      <c r="D449" s="337"/>
      <c r="E449" s="1"/>
    </row>
    <row r="450" spans="1:5">
      <c r="A450" s="293"/>
      <c r="B450" s="293"/>
      <c r="C450" s="336"/>
      <c r="D450" s="337"/>
      <c r="E450" s="1"/>
    </row>
    <row r="451" spans="1:5">
      <c r="A451" s="293"/>
      <c r="B451" s="293"/>
      <c r="C451" s="336"/>
      <c r="D451" s="337"/>
      <c r="E451" s="1"/>
    </row>
    <row r="452" spans="1:5">
      <c r="A452" s="293"/>
      <c r="B452" s="293"/>
      <c r="C452" s="336"/>
      <c r="D452" s="337"/>
      <c r="E452" s="1"/>
    </row>
    <row r="453" spans="1:5">
      <c r="A453" s="293"/>
      <c r="B453" s="293"/>
      <c r="C453" s="336"/>
      <c r="D453" s="337"/>
      <c r="E453" s="1"/>
    </row>
    <row r="454" spans="1:5">
      <c r="A454" s="293"/>
      <c r="B454" s="293"/>
      <c r="C454" s="336"/>
      <c r="D454" s="337"/>
      <c r="E454" s="1"/>
    </row>
    <row r="455" spans="1:5">
      <c r="A455" s="293"/>
      <c r="B455" s="293"/>
      <c r="C455" s="336"/>
      <c r="D455" s="337"/>
      <c r="E455" s="1"/>
    </row>
    <row r="456" spans="1:5">
      <c r="A456" s="293"/>
      <c r="B456" s="293"/>
      <c r="C456" s="336"/>
      <c r="D456" s="337"/>
      <c r="E456" s="1"/>
    </row>
    <row r="457" spans="1:5">
      <c r="A457" s="293"/>
      <c r="B457" s="293"/>
      <c r="C457" s="336"/>
      <c r="D457" s="337"/>
      <c r="E457" s="1"/>
    </row>
    <row r="458" spans="1:5">
      <c r="A458" s="293"/>
      <c r="B458" s="293"/>
      <c r="C458" s="336"/>
      <c r="D458" s="337"/>
      <c r="E458" s="1"/>
    </row>
    <row r="459" spans="1:5">
      <c r="A459" s="293"/>
      <c r="B459" s="293"/>
      <c r="C459" s="336"/>
      <c r="D459" s="337"/>
      <c r="E459" s="1"/>
    </row>
    <row r="460" spans="1:5">
      <c r="A460" s="293"/>
      <c r="B460" s="293"/>
      <c r="C460" s="336"/>
      <c r="D460" s="337"/>
      <c r="E460" s="1"/>
    </row>
    <row r="461" spans="1:5">
      <c r="A461" s="293"/>
      <c r="B461" s="293"/>
      <c r="C461" s="336"/>
      <c r="D461" s="337"/>
      <c r="E461" s="1"/>
    </row>
    <row r="462" spans="1:5">
      <c r="A462" s="293"/>
      <c r="B462" s="293"/>
      <c r="C462" s="336"/>
      <c r="D462" s="337"/>
      <c r="E462" s="1"/>
    </row>
    <row r="463" spans="1:5">
      <c r="A463" s="293"/>
      <c r="B463" s="293"/>
      <c r="C463" s="336"/>
      <c r="D463" s="337"/>
      <c r="E463" s="1"/>
    </row>
    <row r="464" spans="1:5">
      <c r="A464" s="293"/>
      <c r="B464" s="293"/>
      <c r="C464" s="336"/>
      <c r="D464" s="337"/>
      <c r="E464" s="1"/>
    </row>
    <row r="465" spans="1:5">
      <c r="A465" s="293"/>
      <c r="B465" s="293"/>
      <c r="C465" s="336"/>
      <c r="D465" s="337"/>
      <c r="E465" s="1"/>
    </row>
    <row r="466" spans="1:5">
      <c r="A466" s="293"/>
      <c r="B466" s="293"/>
      <c r="C466" s="336"/>
      <c r="D466" s="337"/>
      <c r="E466" s="1"/>
    </row>
    <row r="467" spans="1:5">
      <c r="A467" s="293"/>
      <c r="B467" s="293"/>
      <c r="C467" s="336"/>
      <c r="D467" s="337"/>
      <c r="E467" s="1"/>
    </row>
    <row r="468" spans="1:5">
      <c r="A468" s="293"/>
      <c r="B468" s="293"/>
      <c r="C468" s="336"/>
      <c r="D468" s="337"/>
      <c r="E468" s="1"/>
    </row>
    <row r="469" spans="1:5">
      <c r="A469" s="293"/>
      <c r="B469" s="293"/>
      <c r="C469" s="336"/>
      <c r="D469" s="337"/>
      <c r="E469" s="1"/>
    </row>
    <row r="470" spans="1:5">
      <c r="A470" s="293"/>
      <c r="B470" s="293"/>
      <c r="C470" s="336"/>
      <c r="D470" s="337"/>
      <c r="E470" s="1"/>
    </row>
    <row r="471" spans="1:5">
      <c r="A471" s="293"/>
      <c r="B471" s="293"/>
      <c r="C471" s="336"/>
      <c r="D471" s="337"/>
      <c r="E471" s="1"/>
    </row>
    <row r="472" spans="1:5">
      <c r="A472" s="293"/>
      <c r="B472" s="293"/>
      <c r="C472" s="336"/>
      <c r="D472" s="337"/>
      <c r="E472" s="1"/>
    </row>
    <row r="473" spans="1:5">
      <c r="A473" s="293"/>
      <c r="B473" s="293"/>
      <c r="C473" s="336"/>
      <c r="D473" s="337"/>
      <c r="E473" s="1"/>
    </row>
    <row r="474" spans="1:5">
      <c r="A474" s="293"/>
      <c r="B474" s="293"/>
      <c r="C474" s="336"/>
      <c r="D474" s="337"/>
      <c r="E474" s="1"/>
    </row>
    <row r="475" spans="1:5">
      <c r="A475" s="293"/>
      <c r="B475" s="293"/>
      <c r="C475" s="336"/>
      <c r="D475" s="337"/>
      <c r="E475" s="1"/>
    </row>
    <row r="476" spans="1:5">
      <c r="A476" s="293"/>
      <c r="B476" s="293"/>
      <c r="C476" s="336"/>
      <c r="D476" s="337"/>
      <c r="E476" s="1"/>
    </row>
    <row r="477" spans="1:5">
      <c r="A477" s="293"/>
      <c r="B477" s="293"/>
      <c r="C477" s="336"/>
      <c r="D477" s="337"/>
      <c r="E477" s="1"/>
    </row>
    <row r="478" spans="1:5">
      <c r="A478" s="293"/>
      <c r="B478" s="293"/>
      <c r="C478" s="336"/>
      <c r="D478" s="337"/>
      <c r="E478" s="1"/>
    </row>
    <row r="479" spans="1:5">
      <c r="A479" s="293"/>
      <c r="B479" s="293"/>
      <c r="C479" s="336"/>
      <c r="D479" s="337"/>
      <c r="E479" s="1"/>
    </row>
    <row r="480" spans="1:5">
      <c r="A480" s="293"/>
      <c r="B480" s="293"/>
      <c r="C480" s="336"/>
      <c r="D480" s="337"/>
      <c r="E480" s="1"/>
    </row>
    <row r="481" spans="1:5">
      <c r="A481" s="293"/>
      <c r="B481" s="293"/>
      <c r="C481" s="336"/>
      <c r="D481" s="337"/>
      <c r="E481" s="1"/>
    </row>
    <row r="482" spans="1:5">
      <c r="A482" s="293"/>
      <c r="B482" s="293"/>
      <c r="C482" s="336"/>
      <c r="D482" s="337"/>
      <c r="E482" s="1"/>
    </row>
    <row r="483" spans="1:5">
      <c r="A483" s="293"/>
      <c r="B483" s="293"/>
      <c r="C483" s="336"/>
      <c r="D483" s="337"/>
      <c r="E483" s="1"/>
    </row>
    <row r="484" spans="1:5">
      <c r="A484" s="293"/>
      <c r="B484" s="293"/>
      <c r="C484" s="336"/>
      <c r="D484" s="337"/>
      <c r="E484" s="1"/>
    </row>
    <row r="485" spans="1:5">
      <c r="A485" s="293"/>
      <c r="B485" s="293"/>
      <c r="C485" s="336"/>
      <c r="D485" s="337"/>
      <c r="E485" s="1"/>
    </row>
    <row r="486" spans="1:5">
      <c r="A486" s="293"/>
      <c r="B486" s="293"/>
      <c r="C486" s="336"/>
      <c r="D486" s="337"/>
      <c r="E486" s="1"/>
    </row>
    <row r="487" spans="1:5">
      <c r="A487" s="293"/>
      <c r="B487" s="293"/>
      <c r="C487" s="336"/>
      <c r="D487" s="337"/>
      <c r="E487" s="1"/>
    </row>
    <row r="488" spans="1:5">
      <c r="A488" s="293"/>
      <c r="B488" s="293"/>
      <c r="C488" s="336"/>
      <c r="D488" s="337"/>
      <c r="E488" s="1"/>
    </row>
    <row r="489" spans="1:5">
      <c r="A489" s="293"/>
      <c r="B489" s="293"/>
      <c r="C489" s="336"/>
      <c r="D489" s="337"/>
      <c r="E489" s="1"/>
    </row>
    <row r="490" spans="1:5">
      <c r="A490" s="293"/>
      <c r="B490" s="293"/>
      <c r="C490" s="336"/>
      <c r="D490" s="337"/>
      <c r="E490" s="1"/>
    </row>
    <row r="491" spans="1:5">
      <c r="A491" s="293"/>
      <c r="B491" s="293"/>
      <c r="C491" s="336"/>
      <c r="D491" s="337"/>
      <c r="E491" s="1"/>
    </row>
    <row r="492" spans="1:5">
      <c r="A492" s="293"/>
      <c r="B492" s="293"/>
      <c r="C492" s="336"/>
      <c r="D492" s="337"/>
      <c r="E492" s="1"/>
    </row>
    <row r="493" spans="1:5">
      <c r="A493" s="293"/>
      <c r="B493" s="293"/>
      <c r="C493" s="336"/>
      <c r="D493" s="337"/>
      <c r="E493" s="1"/>
    </row>
    <row r="494" spans="1:5">
      <c r="A494" s="293"/>
      <c r="B494" s="293"/>
      <c r="C494" s="336"/>
      <c r="D494" s="337"/>
      <c r="E494" s="1"/>
    </row>
    <row r="495" spans="1:5">
      <c r="A495" s="293"/>
      <c r="B495" s="293"/>
      <c r="C495" s="336"/>
      <c r="D495" s="337"/>
      <c r="E495" s="1"/>
    </row>
    <row r="496" spans="1:5">
      <c r="A496" s="293"/>
      <c r="B496" s="293"/>
      <c r="C496" s="336"/>
      <c r="D496" s="337"/>
      <c r="E496" s="1"/>
    </row>
    <row r="497" spans="1:5">
      <c r="A497" s="293"/>
      <c r="B497" s="293"/>
      <c r="C497" s="336"/>
      <c r="D497" s="337"/>
      <c r="E497" s="1"/>
    </row>
    <row r="498" spans="1:5">
      <c r="A498" s="293"/>
      <c r="B498" s="293"/>
      <c r="C498" s="336"/>
      <c r="D498" s="337"/>
      <c r="E498" s="1"/>
    </row>
    <row r="499" spans="1:5">
      <c r="A499" s="293"/>
      <c r="B499" s="293"/>
      <c r="C499" s="336"/>
      <c r="D499" s="337"/>
      <c r="E499" s="1"/>
    </row>
    <row r="500" spans="1:5">
      <c r="A500" s="293"/>
      <c r="B500" s="293"/>
      <c r="C500" s="336"/>
      <c r="D500" s="337"/>
      <c r="E500" s="1"/>
    </row>
    <row r="501" spans="1:5">
      <c r="A501" s="293"/>
      <c r="B501" s="293"/>
      <c r="C501" s="336"/>
      <c r="D501" s="337"/>
      <c r="E501" s="1"/>
    </row>
    <row r="502" spans="1:5">
      <c r="A502" s="293"/>
      <c r="B502" s="293"/>
      <c r="C502" s="336"/>
      <c r="D502" s="337"/>
      <c r="E502" s="1"/>
    </row>
    <row r="503" spans="1:5">
      <c r="A503" s="293"/>
      <c r="B503" s="293"/>
      <c r="C503" s="336"/>
      <c r="D503" s="337"/>
      <c r="E503" s="1"/>
    </row>
    <row r="504" spans="1:5">
      <c r="A504" s="293"/>
      <c r="B504" s="293"/>
      <c r="C504" s="336"/>
      <c r="D504" s="337"/>
      <c r="E504" s="1"/>
    </row>
    <row r="505" spans="1:5">
      <c r="A505" s="293"/>
      <c r="B505" s="293"/>
      <c r="C505" s="336"/>
      <c r="D505" s="337"/>
      <c r="E505" s="1"/>
    </row>
    <row r="506" spans="1:5">
      <c r="A506" s="293"/>
      <c r="B506" s="293"/>
      <c r="C506" s="336"/>
      <c r="D506" s="337"/>
      <c r="E506" s="1"/>
    </row>
    <row r="507" spans="1:5">
      <c r="A507" s="293"/>
      <c r="B507" s="293"/>
      <c r="C507" s="336"/>
      <c r="D507" s="337"/>
      <c r="E507" s="1"/>
    </row>
    <row r="508" spans="1:5">
      <c r="A508" s="293"/>
      <c r="B508" s="293"/>
      <c r="C508" s="336"/>
      <c r="D508" s="337"/>
      <c r="E508" s="1"/>
    </row>
    <row r="509" spans="1:5">
      <c r="A509" s="293"/>
      <c r="B509" s="293"/>
      <c r="C509" s="336"/>
      <c r="D509" s="337"/>
      <c r="E509" s="1"/>
    </row>
    <row r="510" spans="1:5">
      <c r="A510" s="293"/>
      <c r="B510" s="293"/>
      <c r="C510" s="336"/>
      <c r="D510" s="337"/>
      <c r="E510" s="1"/>
    </row>
    <row r="511" spans="1:5">
      <c r="A511" s="293"/>
      <c r="B511" s="293"/>
      <c r="C511" s="336"/>
      <c r="D511" s="337"/>
      <c r="E511" s="1"/>
    </row>
    <row r="512" spans="1:5">
      <c r="A512" s="293"/>
      <c r="B512" s="293"/>
      <c r="C512" s="336"/>
      <c r="D512" s="337"/>
      <c r="E512" s="1"/>
    </row>
    <row r="513" spans="1:5">
      <c r="A513" s="293"/>
      <c r="B513" s="293"/>
      <c r="C513" s="336"/>
      <c r="D513" s="337"/>
      <c r="E513" s="1"/>
    </row>
    <row r="514" spans="1:5">
      <c r="A514" s="293"/>
      <c r="B514" s="293"/>
      <c r="C514" s="336"/>
      <c r="D514" s="337"/>
      <c r="E514" s="1"/>
    </row>
    <row r="515" spans="1:5">
      <c r="A515" s="293"/>
      <c r="B515" s="293"/>
      <c r="C515" s="336"/>
      <c r="D515" s="337"/>
      <c r="E515" s="1"/>
    </row>
    <row r="516" spans="1:5">
      <c r="A516" s="293"/>
      <c r="B516" s="293"/>
      <c r="C516" s="336"/>
      <c r="D516" s="337"/>
      <c r="E516" s="1"/>
    </row>
    <row r="517" spans="1:5">
      <c r="A517" s="293"/>
      <c r="B517" s="293"/>
      <c r="C517" s="336"/>
      <c r="D517" s="337"/>
      <c r="E517" s="1"/>
    </row>
    <row r="518" spans="1:5">
      <c r="A518" s="293"/>
      <c r="B518" s="293"/>
      <c r="C518" s="336"/>
      <c r="D518" s="337"/>
      <c r="E518" s="1"/>
    </row>
    <row r="519" spans="1:5">
      <c r="A519" s="293"/>
      <c r="B519" s="293"/>
      <c r="C519" s="336"/>
      <c r="D519" s="337"/>
      <c r="E519" s="1"/>
    </row>
    <row r="520" spans="1:5">
      <c r="A520" s="293"/>
      <c r="B520" s="293"/>
      <c r="C520" s="336"/>
      <c r="D520" s="337"/>
      <c r="E520" s="1"/>
    </row>
    <row r="521" spans="1:5">
      <c r="A521" s="293"/>
      <c r="B521" s="293"/>
      <c r="C521" s="336"/>
      <c r="D521" s="337"/>
      <c r="E521" s="1"/>
    </row>
    <row r="522" spans="1:5">
      <c r="A522" s="293"/>
      <c r="B522" s="293"/>
      <c r="C522" s="336"/>
      <c r="D522" s="337"/>
      <c r="E522" s="1"/>
    </row>
    <row r="523" spans="1:5">
      <c r="A523" s="293"/>
      <c r="B523" s="293"/>
      <c r="C523" s="336"/>
      <c r="D523" s="337"/>
      <c r="E523" s="1"/>
    </row>
    <row r="524" spans="1:5">
      <c r="A524" s="293"/>
      <c r="B524" s="293"/>
      <c r="C524" s="336"/>
      <c r="D524" s="337"/>
      <c r="E524" s="1"/>
    </row>
    <row r="525" spans="1:5">
      <c r="A525" s="293"/>
      <c r="B525" s="293"/>
      <c r="C525" s="336"/>
      <c r="D525" s="337"/>
      <c r="E525" s="1"/>
    </row>
    <row r="526" spans="1:5">
      <c r="A526" s="293"/>
      <c r="B526" s="293"/>
      <c r="C526" s="336"/>
      <c r="D526" s="337"/>
      <c r="E526" s="1"/>
    </row>
    <row r="527" spans="1:5">
      <c r="A527" s="293"/>
      <c r="B527" s="293"/>
      <c r="C527" s="336"/>
      <c r="D527" s="337"/>
      <c r="E527" s="1"/>
    </row>
    <row r="528" spans="1:5">
      <c r="A528" s="293"/>
      <c r="B528" s="293"/>
      <c r="C528" s="336"/>
      <c r="D528" s="337"/>
      <c r="E528" s="1"/>
    </row>
    <row r="529" spans="1:5">
      <c r="A529" s="293"/>
      <c r="B529" s="293"/>
      <c r="C529" s="336"/>
      <c r="D529" s="337"/>
      <c r="E529" s="1"/>
    </row>
    <row r="530" spans="1:5">
      <c r="A530" s="293"/>
      <c r="B530" s="293"/>
      <c r="C530" s="336"/>
      <c r="D530" s="337"/>
      <c r="E530" s="1"/>
    </row>
    <row r="531" spans="1:5">
      <c r="A531" s="293"/>
      <c r="B531" s="293"/>
      <c r="C531" s="336"/>
      <c r="D531" s="337"/>
      <c r="E531" s="1"/>
    </row>
    <row r="532" spans="1:5">
      <c r="A532" s="293"/>
      <c r="B532" s="293"/>
      <c r="C532" s="336"/>
      <c r="D532" s="337"/>
      <c r="E532" s="1"/>
    </row>
    <row r="533" spans="1:5">
      <c r="A533" s="293"/>
      <c r="B533" s="293"/>
      <c r="C533" s="336"/>
      <c r="D533" s="337"/>
      <c r="E533" s="1"/>
    </row>
    <row r="534" spans="1:5">
      <c r="A534" s="293"/>
      <c r="B534" s="293"/>
      <c r="C534" s="336"/>
      <c r="D534" s="337"/>
      <c r="E534" s="1"/>
    </row>
    <row r="535" spans="1:5">
      <c r="A535" s="293"/>
      <c r="B535" s="293"/>
      <c r="C535" s="336"/>
      <c r="D535" s="337"/>
      <c r="E535" s="1"/>
    </row>
    <row r="536" spans="1:5">
      <c r="A536" s="293"/>
      <c r="B536" s="293"/>
      <c r="C536" s="336"/>
      <c r="D536" s="337"/>
      <c r="E536" s="1"/>
    </row>
    <row r="537" spans="1:5">
      <c r="A537" s="293"/>
      <c r="B537" s="293"/>
      <c r="C537" s="336"/>
      <c r="D537" s="337"/>
      <c r="E537" s="1"/>
    </row>
    <row r="538" spans="1:5">
      <c r="A538" s="293"/>
      <c r="B538" s="293"/>
      <c r="C538" s="336"/>
      <c r="D538" s="337"/>
      <c r="E538" s="1"/>
    </row>
    <row r="539" spans="1:5">
      <c r="A539" s="293"/>
      <c r="B539" s="293"/>
      <c r="C539" s="336"/>
      <c r="D539" s="337"/>
      <c r="E539" s="1"/>
    </row>
    <row r="540" spans="1:5">
      <c r="A540" s="293"/>
      <c r="B540" s="293"/>
      <c r="C540" s="336"/>
      <c r="D540" s="337"/>
      <c r="E540" s="1"/>
    </row>
    <row r="541" spans="1:5">
      <c r="A541" s="293"/>
      <c r="B541" s="293"/>
      <c r="C541" s="336"/>
      <c r="D541" s="337"/>
      <c r="E541" s="1"/>
    </row>
    <row r="542" spans="1:5">
      <c r="A542" s="293"/>
      <c r="B542" s="293"/>
      <c r="C542" s="336"/>
      <c r="D542" s="337"/>
      <c r="E542" s="1"/>
    </row>
    <row r="543" spans="1:5">
      <c r="A543" s="293"/>
      <c r="B543" s="293"/>
      <c r="C543" s="336"/>
      <c r="D543" s="337"/>
      <c r="E543" s="1"/>
    </row>
    <row r="544" spans="1:5">
      <c r="A544" s="293"/>
      <c r="B544" s="293"/>
      <c r="C544" s="336"/>
      <c r="D544" s="337"/>
      <c r="E544" s="1"/>
    </row>
    <row r="545" spans="1:5">
      <c r="A545" s="293"/>
      <c r="B545" s="293"/>
      <c r="C545" s="336"/>
      <c r="D545" s="337"/>
      <c r="E545" s="1"/>
    </row>
    <row r="546" spans="1:5">
      <c r="A546" s="293"/>
      <c r="B546" s="293"/>
      <c r="C546" s="336"/>
      <c r="D546" s="337"/>
      <c r="E546" s="1"/>
    </row>
    <row r="547" spans="1:5">
      <c r="A547" s="293"/>
      <c r="B547" s="293"/>
      <c r="C547" s="336"/>
      <c r="D547" s="337"/>
      <c r="E547" s="1"/>
    </row>
    <row r="548" spans="1:5">
      <c r="A548" s="293"/>
      <c r="B548" s="293"/>
      <c r="C548" s="336"/>
      <c r="D548" s="337"/>
      <c r="E548" s="1"/>
    </row>
    <row r="549" spans="1:5">
      <c r="A549" s="293"/>
      <c r="B549" s="293"/>
      <c r="C549" s="336"/>
      <c r="D549" s="337"/>
      <c r="E549" s="1"/>
    </row>
    <row r="550" spans="1:5">
      <c r="A550" s="293"/>
      <c r="B550" s="293"/>
      <c r="C550" s="336"/>
      <c r="D550" s="337"/>
      <c r="E550" s="1"/>
    </row>
    <row r="551" spans="1:5">
      <c r="A551" s="293"/>
      <c r="B551" s="293"/>
      <c r="C551" s="336"/>
      <c r="D551" s="337"/>
      <c r="E551" s="1"/>
    </row>
    <row r="552" spans="1:5">
      <c r="A552" s="293"/>
      <c r="B552" s="293"/>
      <c r="C552" s="336"/>
      <c r="D552" s="337"/>
      <c r="E552" s="1"/>
    </row>
    <row r="553" spans="1:5">
      <c r="A553" s="293"/>
      <c r="B553" s="293"/>
      <c r="C553" s="336"/>
      <c r="D553" s="337"/>
      <c r="E553" s="1"/>
    </row>
    <row r="554" spans="1:5">
      <c r="A554" s="293"/>
      <c r="B554" s="293"/>
      <c r="C554" s="336"/>
      <c r="D554" s="337"/>
      <c r="E554" s="1"/>
    </row>
    <row r="555" spans="1:5">
      <c r="A555" s="293"/>
      <c r="B555" s="293"/>
      <c r="C555" s="336"/>
      <c r="D555" s="337"/>
      <c r="E555" s="1"/>
    </row>
    <row r="556" spans="1:5">
      <c r="A556" s="293"/>
      <c r="B556" s="293"/>
      <c r="C556" s="336"/>
      <c r="D556" s="337"/>
      <c r="E556" s="1"/>
    </row>
    <row r="557" spans="1:5">
      <c r="A557" s="293"/>
      <c r="B557" s="293"/>
      <c r="C557" s="336"/>
      <c r="D557" s="337"/>
      <c r="E557" s="1"/>
    </row>
    <row r="558" spans="1:5">
      <c r="A558" s="293"/>
      <c r="B558" s="293"/>
      <c r="C558" s="336"/>
      <c r="D558" s="337"/>
      <c r="E558" s="1"/>
    </row>
    <row r="559" spans="1:5">
      <c r="A559" s="293"/>
      <c r="B559" s="293"/>
      <c r="C559" s="336"/>
      <c r="D559" s="337"/>
      <c r="E559" s="1"/>
    </row>
    <row r="560" spans="1:5">
      <c r="A560" s="293"/>
      <c r="B560" s="293"/>
      <c r="C560" s="336"/>
      <c r="D560" s="337"/>
      <c r="E560" s="1"/>
    </row>
    <row r="561" spans="1:5">
      <c r="A561" s="293"/>
      <c r="B561" s="293"/>
      <c r="C561" s="336"/>
      <c r="D561" s="337"/>
      <c r="E561" s="1"/>
    </row>
    <row r="562" spans="1:5">
      <c r="A562" s="293"/>
      <c r="B562" s="293"/>
      <c r="C562" s="336"/>
      <c r="D562" s="337"/>
      <c r="E562" s="1"/>
    </row>
    <row r="563" spans="1:5">
      <c r="A563" s="293"/>
      <c r="B563" s="293"/>
      <c r="C563" s="336"/>
      <c r="D563" s="337"/>
      <c r="E563" s="1"/>
    </row>
    <row r="564" spans="1:5">
      <c r="A564" s="293"/>
      <c r="B564" s="293"/>
      <c r="C564" s="336"/>
      <c r="D564" s="337"/>
      <c r="E564" s="1"/>
    </row>
    <row r="565" spans="1:5">
      <c r="A565" s="293"/>
      <c r="B565" s="293"/>
      <c r="C565" s="336"/>
      <c r="D565" s="337"/>
      <c r="E565" s="1"/>
    </row>
    <row r="566" spans="1:5">
      <c r="A566" s="293"/>
      <c r="B566" s="293"/>
      <c r="C566" s="336"/>
      <c r="D566" s="337"/>
      <c r="E566" s="1"/>
    </row>
    <row r="567" spans="1:5">
      <c r="A567" s="293"/>
      <c r="B567" s="293"/>
      <c r="C567" s="336"/>
      <c r="D567" s="337"/>
      <c r="E567" s="1"/>
    </row>
    <row r="568" spans="1:5">
      <c r="A568" s="293"/>
      <c r="B568" s="293"/>
      <c r="C568" s="336"/>
      <c r="D568" s="337"/>
      <c r="E568" s="1"/>
    </row>
    <row r="569" spans="1:5">
      <c r="A569" s="293"/>
      <c r="B569" s="293"/>
      <c r="C569" s="336"/>
      <c r="D569" s="337"/>
      <c r="E569" s="1"/>
    </row>
    <row r="570" spans="1:5">
      <c r="A570" s="293"/>
      <c r="B570" s="293"/>
      <c r="C570" s="336"/>
      <c r="D570" s="337"/>
      <c r="E570" s="1"/>
    </row>
    <row r="571" spans="1:5">
      <c r="A571" s="293"/>
      <c r="B571" s="293"/>
      <c r="C571" s="336"/>
      <c r="D571" s="337"/>
      <c r="E571" s="1"/>
    </row>
    <row r="572" spans="1:5">
      <c r="A572" s="293"/>
      <c r="B572" s="293"/>
      <c r="C572" s="336"/>
      <c r="D572" s="337"/>
      <c r="E572" s="1"/>
    </row>
    <row r="573" spans="1:5">
      <c r="A573" s="293"/>
      <c r="B573" s="293"/>
      <c r="C573" s="336"/>
      <c r="D573" s="337"/>
      <c r="E573" s="1"/>
    </row>
    <row r="574" spans="1:5">
      <c r="A574" s="293"/>
      <c r="B574" s="293"/>
      <c r="C574" s="336"/>
      <c r="D574" s="337"/>
      <c r="E574" s="1"/>
    </row>
    <row r="575" spans="1:5">
      <c r="A575" s="293"/>
      <c r="B575" s="293"/>
      <c r="C575" s="336"/>
      <c r="D575" s="337"/>
      <c r="E575" s="1"/>
    </row>
    <row r="576" spans="1:5">
      <c r="A576" s="293"/>
      <c r="B576" s="293"/>
      <c r="C576" s="336"/>
      <c r="D576" s="337"/>
      <c r="E576" s="1"/>
    </row>
    <row r="577" spans="1:5">
      <c r="A577" s="293"/>
      <c r="B577" s="293"/>
      <c r="C577" s="336"/>
      <c r="D577" s="337"/>
      <c r="E577" s="1"/>
    </row>
    <row r="578" spans="1:5">
      <c r="A578" s="293"/>
      <c r="B578" s="293"/>
      <c r="C578" s="336"/>
      <c r="D578" s="337"/>
      <c r="E578" s="1"/>
    </row>
    <row r="579" spans="1:5">
      <c r="A579" s="293"/>
      <c r="B579" s="293"/>
      <c r="C579" s="336"/>
      <c r="D579" s="337"/>
      <c r="E579" s="1"/>
    </row>
    <row r="580" spans="1:5">
      <c r="A580" s="293"/>
      <c r="B580" s="293"/>
      <c r="C580" s="336"/>
      <c r="D580" s="337"/>
      <c r="E580" s="1"/>
    </row>
    <row r="581" spans="1:5">
      <c r="A581" s="293"/>
      <c r="B581" s="293"/>
      <c r="C581" s="336"/>
      <c r="D581" s="337"/>
      <c r="E581" s="1"/>
    </row>
    <row r="582" spans="1:5">
      <c r="A582" s="293"/>
      <c r="B582" s="293"/>
      <c r="C582" s="336"/>
      <c r="D582" s="337"/>
      <c r="E582" s="1"/>
    </row>
    <row r="583" spans="1:5">
      <c r="A583" s="293"/>
      <c r="B583" s="293"/>
      <c r="C583" s="336"/>
      <c r="D583" s="337"/>
      <c r="E583" s="1"/>
    </row>
    <row r="584" spans="1:5">
      <c r="A584" s="293"/>
      <c r="B584" s="293"/>
      <c r="C584" s="336"/>
      <c r="D584" s="337"/>
      <c r="E584" s="1"/>
    </row>
    <row r="585" spans="1:5">
      <c r="A585" s="293"/>
      <c r="B585" s="293"/>
      <c r="C585" s="336"/>
      <c r="D585" s="337"/>
      <c r="E585" s="1"/>
    </row>
    <row r="586" spans="1:5">
      <c r="A586" s="293"/>
      <c r="B586" s="293"/>
      <c r="C586" s="336"/>
      <c r="D586" s="337"/>
      <c r="E586" s="1"/>
    </row>
    <row r="587" spans="1:5">
      <c r="A587" s="293"/>
      <c r="B587" s="293"/>
      <c r="C587" s="336"/>
      <c r="D587" s="337"/>
      <c r="E587" s="1"/>
    </row>
    <row r="588" spans="1:5">
      <c r="A588" s="293"/>
      <c r="B588" s="293"/>
      <c r="C588" s="336"/>
      <c r="D588" s="337"/>
      <c r="E588" s="1"/>
    </row>
    <row r="589" spans="1:5">
      <c r="A589" s="293"/>
      <c r="B589" s="293"/>
      <c r="C589" s="336"/>
      <c r="D589" s="337"/>
      <c r="E589" s="1"/>
    </row>
    <row r="590" spans="1:5">
      <c r="A590" s="293"/>
      <c r="B590" s="293"/>
      <c r="C590" s="336"/>
      <c r="D590" s="337"/>
      <c r="E590" s="1"/>
    </row>
    <row r="591" spans="1:5">
      <c r="A591" s="293"/>
      <c r="B591" s="293"/>
      <c r="C591" s="336"/>
      <c r="D591" s="337"/>
      <c r="E591" s="1"/>
    </row>
    <row r="592" spans="1:5">
      <c r="A592" s="293"/>
      <c r="B592" s="293"/>
      <c r="C592" s="336"/>
      <c r="D592" s="337"/>
      <c r="E592" s="1"/>
    </row>
    <row r="593" spans="1:5">
      <c r="A593" s="293"/>
      <c r="B593" s="293"/>
      <c r="C593" s="336"/>
      <c r="D593" s="337"/>
      <c r="E593" s="1"/>
    </row>
    <row r="594" spans="1:5">
      <c r="A594" s="293"/>
      <c r="B594" s="293"/>
      <c r="C594" s="336"/>
      <c r="D594" s="337"/>
      <c r="E594" s="1"/>
    </row>
    <row r="595" spans="1:5">
      <c r="A595" s="293"/>
      <c r="B595" s="293"/>
      <c r="C595" s="336"/>
      <c r="D595" s="337"/>
      <c r="E595" s="1"/>
    </row>
    <row r="596" spans="1:5">
      <c r="A596" s="293"/>
      <c r="B596" s="293"/>
      <c r="C596" s="336"/>
      <c r="D596" s="337"/>
      <c r="E596" s="1"/>
    </row>
    <row r="597" spans="1:5">
      <c r="A597" s="293"/>
      <c r="B597" s="293"/>
      <c r="C597" s="336"/>
      <c r="D597" s="337"/>
      <c r="E597" s="1"/>
    </row>
    <row r="598" spans="1:5">
      <c r="A598" s="293"/>
      <c r="B598" s="293"/>
      <c r="C598" s="336"/>
      <c r="D598" s="337"/>
      <c r="E598" s="1"/>
    </row>
    <row r="599" spans="1:5">
      <c r="A599" s="293"/>
      <c r="B599" s="293"/>
      <c r="C599" s="336"/>
      <c r="D599" s="337"/>
      <c r="E599" s="1"/>
    </row>
    <row r="600" spans="1:5">
      <c r="A600" s="293"/>
      <c r="B600" s="293"/>
      <c r="C600" s="336"/>
      <c r="D600" s="337"/>
      <c r="E600" s="1"/>
    </row>
    <row r="601" spans="1:5">
      <c r="A601" s="293"/>
      <c r="B601" s="293"/>
      <c r="C601" s="336"/>
      <c r="D601" s="337"/>
      <c r="E601" s="1"/>
    </row>
    <row r="602" spans="1:5">
      <c r="A602" s="293"/>
      <c r="B602" s="293"/>
      <c r="C602" s="336"/>
      <c r="D602" s="337"/>
      <c r="E602" s="1"/>
    </row>
    <row r="603" spans="1:5">
      <c r="A603" s="293"/>
      <c r="B603" s="293"/>
      <c r="C603" s="336"/>
      <c r="D603" s="337"/>
      <c r="E603" s="1"/>
    </row>
    <row r="604" spans="1:5">
      <c r="A604" s="293"/>
      <c r="B604" s="293"/>
      <c r="C604" s="336"/>
      <c r="D604" s="337"/>
      <c r="E604" s="1"/>
    </row>
    <row r="605" spans="1:5">
      <c r="A605" s="293"/>
      <c r="B605" s="293"/>
      <c r="C605" s="336"/>
      <c r="D605" s="337"/>
      <c r="E605" s="1"/>
    </row>
    <row r="606" spans="1:5">
      <c r="A606" s="293"/>
      <c r="B606" s="293"/>
      <c r="C606" s="336"/>
      <c r="D606" s="337"/>
      <c r="E606" s="1"/>
    </row>
    <row r="607" spans="1:5">
      <c r="A607" s="293"/>
      <c r="B607" s="293"/>
      <c r="C607" s="336"/>
      <c r="D607" s="337"/>
      <c r="E607" s="1"/>
    </row>
    <row r="608" spans="1:5">
      <c r="A608" s="293"/>
      <c r="B608" s="293"/>
      <c r="C608" s="336"/>
      <c r="D608" s="337"/>
      <c r="E608" s="1"/>
    </row>
    <row r="609" spans="1:5">
      <c r="A609" s="293"/>
      <c r="B609" s="293"/>
      <c r="C609" s="336"/>
      <c r="D609" s="337"/>
      <c r="E609" s="1"/>
    </row>
    <row r="610" spans="1:5">
      <c r="A610" s="293"/>
      <c r="B610" s="293"/>
      <c r="C610" s="336"/>
      <c r="D610" s="337"/>
      <c r="E610" s="1"/>
    </row>
    <row r="611" spans="1:5">
      <c r="A611" s="293"/>
      <c r="B611" s="293"/>
      <c r="C611" s="336"/>
      <c r="D611" s="337"/>
      <c r="E611" s="1"/>
    </row>
    <row r="612" spans="1:5">
      <c r="A612" s="293"/>
      <c r="B612" s="293"/>
      <c r="C612" s="336"/>
      <c r="D612" s="337"/>
      <c r="E612" s="1"/>
    </row>
    <row r="613" spans="1:5">
      <c r="A613" s="293"/>
      <c r="B613" s="293"/>
      <c r="C613" s="336"/>
      <c r="D613" s="337"/>
      <c r="E613" s="1"/>
    </row>
    <row r="614" spans="1:5">
      <c r="A614" s="293"/>
      <c r="B614" s="293"/>
      <c r="C614" s="336"/>
      <c r="D614" s="337"/>
      <c r="E614" s="1"/>
    </row>
    <row r="615" spans="1:5">
      <c r="A615" s="293"/>
      <c r="B615" s="293"/>
      <c r="C615" s="336"/>
      <c r="D615" s="337"/>
      <c r="E615" s="1"/>
    </row>
    <row r="616" spans="1:5">
      <c r="A616" s="293"/>
      <c r="B616" s="293"/>
      <c r="C616" s="336"/>
      <c r="D616" s="337"/>
      <c r="E616" s="1"/>
    </row>
    <row r="617" spans="1:5">
      <c r="A617" s="293"/>
      <c r="B617" s="293"/>
      <c r="C617" s="336"/>
      <c r="D617" s="337"/>
      <c r="E617" s="1"/>
    </row>
    <row r="618" spans="1:5">
      <c r="A618" s="293"/>
      <c r="B618" s="293"/>
      <c r="C618" s="336"/>
      <c r="D618" s="337"/>
      <c r="E618" s="1"/>
    </row>
    <row r="619" spans="1:5">
      <c r="A619" s="293"/>
      <c r="B619" s="293"/>
      <c r="C619" s="336"/>
      <c r="D619" s="337"/>
      <c r="E619" s="1"/>
    </row>
    <row r="620" spans="1:5">
      <c r="A620" s="293"/>
      <c r="B620" s="293"/>
      <c r="C620" s="336"/>
      <c r="D620" s="337"/>
      <c r="E620" s="1"/>
    </row>
    <row r="621" spans="1:5">
      <c r="A621" s="293"/>
      <c r="B621" s="293"/>
      <c r="C621" s="336"/>
      <c r="D621" s="337"/>
      <c r="E621" s="1"/>
    </row>
    <row r="622" spans="1:5">
      <c r="A622" s="293"/>
      <c r="B622" s="293"/>
      <c r="C622" s="336"/>
      <c r="D622" s="337"/>
      <c r="E622" s="1"/>
    </row>
    <row r="623" spans="1:5">
      <c r="A623" s="293"/>
      <c r="B623" s="293"/>
      <c r="C623" s="336"/>
      <c r="D623" s="337"/>
      <c r="E623" s="1"/>
    </row>
    <row r="624" spans="1:5">
      <c r="A624" s="293"/>
      <c r="B624" s="293"/>
      <c r="C624" s="336"/>
      <c r="D624" s="337"/>
      <c r="E624" s="1"/>
    </row>
    <row r="625" spans="1:5">
      <c r="A625" s="293"/>
      <c r="B625" s="293"/>
      <c r="C625" s="336"/>
      <c r="D625" s="337"/>
      <c r="E625" s="1"/>
    </row>
    <row r="626" spans="1:5">
      <c r="A626" s="293"/>
      <c r="B626" s="293"/>
      <c r="C626" s="336"/>
      <c r="D626" s="337"/>
      <c r="E626" s="1"/>
    </row>
    <row r="627" spans="1:5">
      <c r="A627" s="293"/>
      <c r="B627" s="293"/>
      <c r="C627" s="336"/>
      <c r="D627" s="337"/>
      <c r="E627" s="1"/>
    </row>
    <row r="628" spans="1:5">
      <c r="A628" s="293"/>
      <c r="B628" s="293"/>
      <c r="C628" s="336"/>
      <c r="D628" s="337"/>
      <c r="E628" s="1"/>
    </row>
    <row r="629" spans="1:5">
      <c r="A629" s="293"/>
      <c r="B629" s="293"/>
      <c r="C629" s="336"/>
      <c r="D629" s="337"/>
      <c r="E629" s="1"/>
    </row>
    <row r="630" spans="1:5">
      <c r="A630" s="293"/>
      <c r="B630" s="293"/>
      <c r="C630" s="336"/>
      <c r="D630" s="337"/>
      <c r="E630" s="1"/>
    </row>
    <row r="631" spans="1:5">
      <c r="A631" s="293"/>
      <c r="B631" s="293"/>
      <c r="C631" s="336"/>
      <c r="D631" s="337"/>
      <c r="E631" s="1"/>
    </row>
    <row r="632" spans="1:5">
      <c r="A632" s="293"/>
      <c r="B632" s="293"/>
      <c r="C632" s="336"/>
      <c r="D632" s="337"/>
      <c r="E632" s="1"/>
    </row>
    <row r="633" spans="1:5">
      <c r="A633" s="293"/>
      <c r="B633" s="293"/>
      <c r="C633" s="336"/>
      <c r="D633" s="337"/>
      <c r="E633" s="1"/>
    </row>
    <row r="634" spans="1:5">
      <c r="A634" s="293"/>
      <c r="B634" s="293"/>
      <c r="C634" s="336"/>
      <c r="D634" s="337"/>
      <c r="E634" s="1"/>
    </row>
    <row r="635" spans="1:5">
      <c r="A635" s="293"/>
      <c r="B635" s="293"/>
      <c r="C635" s="336"/>
      <c r="D635" s="337"/>
      <c r="E635" s="1"/>
    </row>
    <row r="636" spans="1:5">
      <c r="A636" s="293"/>
      <c r="B636" s="293"/>
      <c r="C636" s="336"/>
      <c r="D636" s="337"/>
      <c r="E636" s="1"/>
    </row>
    <row r="637" spans="1:5">
      <c r="A637" s="293"/>
      <c r="B637" s="293"/>
      <c r="C637" s="336"/>
      <c r="D637" s="337"/>
      <c r="E637" s="1"/>
    </row>
    <row r="638" spans="1:5">
      <c r="A638" s="293"/>
      <c r="B638" s="293"/>
      <c r="C638" s="336"/>
      <c r="D638" s="337"/>
      <c r="E638" s="1"/>
    </row>
    <row r="639" spans="1:5">
      <c r="A639" s="293"/>
      <c r="B639" s="293"/>
      <c r="C639" s="336"/>
      <c r="D639" s="337"/>
      <c r="E639" s="1"/>
    </row>
    <row r="640" spans="1:5">
      <c r="A640" s="293"/>
      <c r="B640" s="293"/>
      <c r="C640" s="336"/>
      <c r="D640" s="337"/>
      <c r="E640" s="1"/>
    </row>
    <row r="641" spans="1:5">
      <c r="A641" s="293"/>
      <c r="B641" s="293"/>
      <c r="C641" s="336"/>
      <c r="D641" s="337"/>
      <c r="E641" s="1"/>
    </row>
    <row r="642" spans="1:5">
      <c r="A642" s="293"/>
      <c r="B642" s="293"/>
      <c r="C642" s="336"/>
      <c r="D642" s="337"/>
      <c r="E642" s="1"/>
    </row>
    <row r="643" spans="1:5">
      <c r="A643" s="293"/>
      <c r="B643" s="293"/>
      <c r="C643" s="336"/>
      <c r="D643" s="337"/>
      <c r="E643" s="1"/>
    </row>
    <row r="644" spans="1:5">
      <c r="A644" s="293"/>
      <c r="B644" s="293"/>
      <c r="C644" s="336"/>
      <c r="D644" s="337"/>
      <c r="E644" s="1"/>
    </row>
    <row r="645" spans="1:5">
      <c r="A645" s="293"/>
      <c r="B645" s="293"/>
      <c r="C645" s="336"/>
      <c r="D645" s="337"/>
      <c r="E645" s="1"/>
    </row>
    <row r="646" spans="1:5">
      <c r="A646" s="293"/>
      <c r="B646" s="293"/>
      <c r="C646" s="336"/>
      <c r="D646" s="337"/>
      <c r="E646" s="1"/>
    </row>
    <row r="647" spans="1:5">
      <c r="A647" s="293"/>
      <c r="B647" s="293"/>
      <c r="C647" s="336"/>
      <c r="D647" s="337"/>
      <c r="E647" s="1"/>
    </row>
    <row r="648" spans="1:5">
      <c r="A648" s="293"/>
      <c r="B648" s="293"/>
      <c r="C648" s="336"/>
      <c r="D648" s="337"/>
      <c r="E648" s="1"/>
    </row>
    <row r="649" spans="1:5">
      <c r="A649" s="293"/>
      <c r="B649" s="293"/>
      <c r="C649" s="336"/>
      <c r="D649" s="337"/>
      <c r="E649" s="1"/>
    </row>
    <row r="650" spans="1:5">
      <c r="A650" s="293"/>
      <c r="B650" s="293"/>
      <c r="C650" s="336"/>
      <c r="D650" s="337"/>
      <c r="E650" s="1"/>
    </row>
    <row r="651" spans="1:5">
      <c r="A651" s="293"/>
      <c r="B651" s="293"/>
      <c r="C651" s="336"/>
      <c r="D651" s="337"/>
      <c r="E651" s="1"/>
    </row>
    <row r="652" spans="1:5">
      <c r="A652" s="293"/>
      <c r="B652" s="293"/>
      <c r="C652" s="336"/>
      <c r="D652" s="337"/>
      <c r="E652" s="1"/>
    </row>
    <row r="653" spans="1:5">
      <c r="A653" s="293"/>
      <c r="B653" s="293"/>
      <c r="C653" s="336"/>
      <c r="D653" s="337"/>
      <c r="E653" s="1"/>
    </row>
    <row r="654" spans="1:5">
      <c r="A654" s="293"/>
      <c r="B654" s="293"/>
      <c r="C654" s="336"/>
      <c r="D654" s="337"/>
      <c r="E654" s="1"/>
    </row>
    <row r="655" spans="1:5">
      <c r="A655" s="293"/>
      <c r="B655" s="293"/>
      <c r="C655" s="336"/>
      <c r="D655" s="337"/>
      <c r="E655" s="1"/>
    </row>
    <row r="656" spans="1:5">
      <c r="A656" s="293"/>
      <c r="B656" s="293"/>
      <c r="C656" s="336"/>
      <c r="D656" s="337"/>
      <c r="E656" s="1"/>
    </row>
    <row r="657" spans="1:5">
      <c r="A657" s="293"/>
      <c r="B657" s="293"/>
      <c r="C657" s="336"/>
      <c r="D657" s="337"/>
      <c r="E657" s="1"/>
    </row>
    <row r="658" spans="1:5">
      <c r="A658" s="293"/>
      <c r="B658" s="293"/>
      <c r="C658" s="336"/>
      <c r="D658" s="337"/>
      <c r="E658" s="1"/>
    </row>
    <row r="659" spans="1:5">
      <c r="A659" s="293"/>
      <c r="B659" s="293"/>
      <c r="C659" s="336"/>
      <c r="D659" s="337"/>
      <c r="E659" s="1"/>
    </row>
    <row r="660" spans="1:5">
      <c r="A660" s="293"/>
      <c r="B660" s="293"/>
      <c r="C660" s="336"/>
      <c r="D660" s="337"/>
      <c r="E660" s="1"/>
    </row>
    <row r="661" spans="1:5">
      <c r="A661" s="293"/>
      <c r="B661" s="293"/>
      <c r="C661" s="336"/>
      <c r="D661" s="337"/>
      <c r="E661" s="1"/>
    </row>
    <row r="662" spans="1:5">
      <c r="A662" s="293"/>
      <c r="B662" s="293"/>
      <c r="C662" s="336"/>
      <c r="D662" s="337"/>
      <c r="E662" s="1"/>
    </row>
    <row r="663" spans="1:5">
      <c r="A663" s="293"/>
      <c r="B663" s="293"/>
      <c r="C663" s="336"/>
      <c r="D663" s="337"/>
      <c r="E663" s="1"/>
    </row>
    <row r="664" spans="1:5">
      <c r="A664" s="293"/>
      <c r="B664" s="293"/>
      <c r="C664" s="336"/>
      <c r="D664" s="337"/>
      <c r="E664" s="1"/>
    </row>
    <row r="665" spans="1:5">
      <c r="A665" s="293"/>
      <c r="B665" s="293"/>
      <c r="C665" s="336"/>
      <c r="D665" s="337"/>
      <c r="E665" s="1"/>
    </row>
    <row r="666" spans="1:5">
      <c r="A666" s="293"/>
      <c r="B666" s="293"/>
      <c r="C666" s="336"/>
      <c r="D666" s="337"/>
      <c r="E666" s="1"/>
    </row>
    <row r="667" spans="1:5">
      <c r="A667" s="293"/>
      <c r="B667" s="293"/>
      <c r="C667" s="336"/>
      <c r="D667" s="337"/>
      <c r="E667" s="1"/>
    </row>
    <row r="668" spans="1:5">
      <c r="A668" s="293"/>
      <c r="B668" s="293"/>
      <c r="C668" s="336"/>
      <c r="D668" s="337"/>
      <c r="E668" s="1"/>
    </row>
    <row r="669" spans="1:5">
      <c r="A669" s="293"/>
      <c r="B669" s="293"/>
      <c r="C669" s="336"/>
      <c r="D669" s="337"/>
      <c r="E669" s="1"/>
    </row>
    <row r="670" spans="1:5">
      <c r="A670" s="293"/>
      <c r="B670" s="293"/>
      <c r="C670" s="336"/>
      <c r="D670" s="337"/>
      <c r="E670" s="1"/>
    </row>
    <row r="671" spans="1:5">
      <c r="A671" s="293"/>
      <c r="B671" s="293"/>
      <c r="C671" s="336"/>
      <c r="D671" s="337"/>
      <c r="E671" s="1"/>
    </row>
    <row r="672" spans="1:5">
      <c r="A672" s="293"/>
      <c r="B672" s="293"/>
      <c r="C672" s="336"/>
      <c r="D672" s="337"/>
      <c r="E672" s="1"/>
    </row>
    <row r="673" spans="1:5">
      <c r="A673" s="293"/>
      <c r="B673" s="293"/>
      <c r="C673" s="336"/>
      <c r="D673" s="337"/>
      <c r="E673" s="1"/>
    </row>
    <row r="674" spans="1:5">
      <c r="A674" s="293"/>
      <c r="B674" s="293"/>
      <c r="C674" s="336"/>
      <c r="D674" s="337"/>
      <c r="E674" s="1"/>
    </row>
    <row r="675" spans="1:5">
      <c r="A675" s="293"/>
      <c r="B675" s="293"/>
      <c r="C675" s="336"/>
      <c r="D675" s="337"/>
      <c r="E675" s="1"/>
    </row>
    <row r="676" spans="1:5">
      <c r="A676" s="293"/>
      <c r="B676" s="293"/>
      <c r="C676" s="336"/>
      <c r="D676" s="337"/>
      <c r="E676" s="1"/>
    </row>
    <row r="677" spans="1:5">
      <c r="A677" s="293"/>
      <c r="B677" s="293"/>
      <c r="C677" s="336"/>
      <c r="D677" s="337"/>
      <c r="E677" s="1"/>
    </row>
    <row r="678" spans="1:5">
      <c r="A678" s="293"/>
      <c r="B678" s="293"/>
      <c r="C678" s="336"/>
      <c r="D678" s="337"/>
      <c r="E678" s="1"/>
    </row>
    <row r="679" spans="1:5">
      <c r="A679" s="293"/>
      <c r="B679" s="293"/>
      <c r="C679" s="336"/>
      <c r="D679" s="337"/>
      <c r="E679" s="1"/>
    </row>
    <row r="680" spans="1:5">
      <c r="A680" s="293"/>
      <c r="B680" s="293"/>
      <c r="C680" s="336"/>
      <c r="D680" s="337"/>
      <c r="E680" s="1"/>
    </row>
    <row r="681" spans="1:5">
      <c r="A681" s="293"/>
      <c r="B681" s="293"/>
      <c r="C681" s="336"/>
      <c r="D681" s="337"/>
      <c r="E681" s="1"/>
    </row>
    <row r="682" spans="1:5">
      <c r="A682" s="293"/>
      <c r="B682" s="293"/>
      <c r="C682" s="336"/>
      <c r="D682" s="337"/>
      <c r="E682" s="1"/>
    </row>
    <row r="683" spans="1:5">
      <c r="A683" s="293"/>
      <c r="B683" s="293"/>
      <c r="C683" s="336"/>
      <c r="D683" s="337"/>
      <c r="E683" s="1"/>
    </row>
    <row r="684" spans="1:5">
      <c r="A684" s="293"/>
      <c r="B684" s="293"/>
      <c r="C684" s="336"/>
      <c r="D684" s="337"/>
      <c r="E684" s="1"/>
    </row>
    <row r="685" spans="1:5">
      <c r="A685" s="293"/>
      <c r="B685" s="293"/>
      <c r="C685" s="336"/>
      <c r="D685" s="337"/>
      <c r="E685" s="1"/>
    </row>
    <row r="686" spans="1:5">
      <c r="A686" s="293"/>
      <c r="B686" s="293"/>
      <c r="C686" s="336"/>
      <c r="D686" s="337"/>
      <c r="E686" s="1"/>
    </row>
    <row r="687" spans="1:5">
      <c r="A687" s="293"/>
      <c r="B687" s="293"/>
      <c r="C687" s="336"/>
      <c r="D687" s="337"/>
      <c r="E687" s="1"/>
    </row>
    <row r="688" spans="1:5">
      <c r="A688" s="293"/>
      <c r="B688" s="293"/>
      <c r="C688" s="336"/>
      <c r="D688" s="337"/>
      <c r="E688" s="1"/>
    </row>
    <row r="689" spans="1:5">
      <c r="A689" s="293"/>
      <c r="B689" s="293"/>
      <c r="C689" s="336"/>
      <c r="D689" s="337"/>
      <c r="E689" s="1"/>
    </row>
    <row r="690" spans="1:5">
      <c r="A690" s="293"/>
      <c r="B690" s="293"/>
      <c r="C690" s="336"/>
      <c r="D690" s="337"/>
      <c r="E690" s="1"/>
    </row>
    <row r="691" spans="1:5">
      <c r="A691" s="293"/>
      <c r="B691" s="293"/>
      <c r="C691" s="336"/>
      <c r="D691" s="337"/>
      <c r="E691" s="1"/>
    </row>
    <row r="692" spans="1:5">
      <c r="A692" s="293"/>
      <c r="B692" s="293"/>
      <c r="C692" s="336"/>
      <c r="D692" s="337"/>
      <c r="E692" s="1"/>
    </row>
    <row r="693" spans="1:5">
      <c r="A693" s="293"/>
      <c r="B693" s="293"/>
      <c r="C693" s="336"/>
      <c r="D693" s="337"/>
      <c r="E693" s="1"/>
    </row>
    <row r="694" spans="1:5">
      <c r="A694" s="293"/>
      <c r="B694" s="293"/>
      <c r="C694" s="336"/>
      <c r="D694" s="337"/>
      <c r="E694" s="1"/>
    </row>
    <row r="695" spans="1:5">
      <c r="A695" s="293"/>
      <c r="B695" s="293"/>
      <c r="C695" s="336"/>
      <c r="D695" s="337"/>
      <c r="E695" s="1"/>
    </row>
    <row r="696" spans="1:5">
      <c r="A696" s="293"/>
      <c r="B696" s="293"/>
      <c r="C696" s="336"/>
      <c r="D696" s="337"/>
      <c r="E696" s="1"/>
    </row>
    <row r="697" spans="1:5">
      <c r="A697" s="293"/>
      <c r="B697" s="293"/>
      <c r="C697" s="336"/>
      <c r="D697" s="337"/>
      <c r="E697" s="1"/>
    </row>
    <row r="698" spans="1:5">
      <c r="A698" s="293"/>
      <c r="B698" s="293"/>
      <c r="C698" s="336"/>
      <c r="D698" s="337"/>
      <c r="E698" s="1"/>
    </row>
    <row r="699" spans="1:5">
      <c r="A699" s="293"/>
      <c r="B699" s="293"/>
      <c r="C699" s="336"/>
      <c r="D699" s="337"/>
      <c r="E699" s="1"/>
    </row>
    <row r="700" spans="1:5">
      <c r="A700" s="293"/>
      <c r="B700" s="293"/>
      <c r="C700" s="336"/>
      <c r="D700" s="337"/>
      <c r="E700" s="1"/>
    </row>
    <row r="701" spans="1:5">
      <c r="A701" s="293"/>
      <c r="B701" s="293"/>
      <c r="C701" s="336"/>
      <c r="D701" s="337"/>
      <c r="E701" s="1"/>
    </row>
    <row r="702" spans="1:5">
      <c r="A702" s="293"/>
      <c r="B702" s="293"/>
      <c r="C702" s="336"/>
      <c r="D702" s="337"/>
      <c r="E702" s="1"/>
    </row>
    <row r="703" spans="1:5">
      <c r="A703" s="293"/>
      <c r="B703" s="293"/>
      <c r="C703" s="336"/>
      <c r="D703" s="337"/>
      <c r="E703" s="1"/>
    </row>
    <row r="704" spans="1:5">
      <c r="A704" s="293"/>
      <c r="B704" s="293"/>
      <c r="C704" s="336"/>
      <c r="D704" s="337"/>
      <c r="E704" s="1"/>
    </row>
    <row r="705" spans="1:5">
      <c r="A705" s="293"/>
      <c r="B705" s="293"/>
      <c r="C705" s="336"/>
      <c r="D705" s="337"/>
      <c r="E705" s="1"/>
    </row>
    <row r="706" spans="1:5">
      <c r="A706" s="293"/>
      <c r="B706" s="293"/>
      <c r="C706" s="336"/>
      <c r="D706" s="337"/>
      <c r="E706" s="1"/>
    </row>
    <row r="707" spans="1:5">
      <c r="A707" s="293"/>
      <c r="B707" s="293"/>
      <c r="C707" s="336"/>
      <c r="D707" s="337"/>
      <c r="E707" s="1"/>
    </row>
    <row r="708" spans="1:5">
      <c r="A708" s="293"/>
      <c r="B708" s="293"/>
      <c r="C708" s="336"/>
      <c r="D708" s="337"/>
      <c r="E708" s="1"/>
    </row>
    <row r="709" spans="1:5">
      <c r="A709" s="293"/>
      <c r="B709" s="293"/>
      <c r="C709" s="336"/>
      <c r="D709" s="337"/>
      <c r="E709" s="1"/>
    </row>
    <row r="710" spans="1:5">
      <c r="A710" s="293"/>
      <c r="B710" s="293"/>
      <c r="C710" s="336"/>
      <c r="D710" s="337"/>
      <c r="E710" s="1"/>
    </row>
    <row r="711" spans="1:5">
      <c r="A711" s="293"/>
      <c r="B711" s="293"/>
      <c r="C711" s="336"/>
      <c r="D711" s="337"/>
      <c r="E711" s="1"/>
    </row>
    <row r="712" spans="1:5">
      <c r="A712" s="293"/>
      <c r="B712" s="293"/>
      <c r="C712" s="336"/>
      <c r="D712" s="337"/>
      <c r="E712" s="1"/>
    </row>
    <row r="713" spans="1:5">
      <c r="A713" s="293"/>
      <c r="B713" s="293"/>
      <c r="C713" s="336"/>
      <c r="D713" s="337"/>
      <c r="E713" s="1"/>
    </row>
    <row r="714" spans="1:5">
      <c r="A714" s="293"/>
      <c r="B714" s="293"/>
      <c r="C714" s="336"/>
      <c r="D714" s="337"/>
      <c r="E714" s="1"/>
    </row>
    <row r="715" spans="1:5">
      <c r="A715" s="293"/>
      <c r="B715" s="293"/>
      <c r="C715" s="336"/>
      <c r="D715" s="337"/>
      <c r="E715" s="1"/>
    </row>
    <row r="716" spans="1:5">
      <c r="A716" s="293"/>
      <c r="B716" s="293"/>
      <c r="C716" s="336"/>
      <c r="D716" s="337"/>
      <c r="E716" s="1"/>
    </row>
    <row r="717" spans="1:5">
      <c r="A717" s="293"/>
      <c r="B717" s="293"/>
      <c r="C717" s="336"/>
      <c r="D717" s="337"/>
      <c r="E717" s="1"/>
    </row>
    <row r="718" spans="1:5">
      <c r="A718" s="293"/>
      <c r="B718" s="293"/>
      <c r="C718" s="336"/>
      <c r="D718" s="337"/>
      <c r="E718" s="1"/>
    </row>
    <row r="719" spans="1:5">
      <c r="A719" s="293"/>
      <c r="B719" s="293"/>
      <c r="C719" s="336"/>
      <c r="D719" s="337"/>
      <c r="E719" s="1"/>
    </row>
    <row r="720" spans="1:5">
      <c r="A720" s="293"/>
      <c r="B720" s="293"/>
      <c r="C720" s="336"/>
      <c r="D720" s="337"/>
      <c r="E720" s="1"/>
    </row>
    <row r="721" spans="1:5">
      <c r="A721" s="293"/>
      <c r="B721" s="293"/>
      <c r="C721" s="336"/>
      <c r="D721" s="337"/>
      <c r="E721" s="1"/>
    </row>
    <row r="722" spans="1:5">
      <c r="A722" s="293"/>
      <c r="B722" s="293"/>
      <c r="C722" s="336"/>
      <c r="D722" s="337"/>
      <c r="E722" s="1"/>
    </row>
    <row r="723" spans="1:5">
      <c r="A723" s="293"/>
      <c r="B723" s="293"/>
      <c r="C723" s="336"/>
      <c r="D723" s="337"/>
      <c r="E723" s="1"/>
    </row>
    <row r="724" spans="1:5">
      <c r="A724" s="293"/>
      <c r="B724" s="293"/>
      <c r="C724" s="336"/>
      <c r="D724" s="337"/>
      <c r="E724" s="1"/>
    </row>
    <row r="725" spans="1:5">
      <c r="A725" s="293"/>
      <c r="B725" s="293"/>
      <c r="C725" s="336"/>
      <c r="D725" s="337"/>
      <c r="E725" s="1"/>
    </row>
    <row r="726" spans="1:5">
      <c r="A726" s="293"/>
      <c r="B726" s="293"/>
      <c r="C726" s="336"/>
      <c r="D726" s="337"/>
      <c r="E726" s="1"/>
    </row>
    <row r="727" spans="1:5">
      <c r="A727" s="293"/>
      <c r="B727" s="293"/>
      <c r="C727" s="336"/>
      <c r="D727" s="337"/>
      <c r="E727" s="1"/>
    </row>
    <row r="728" spans="1:5">
      <c r="A728" s="293"/>
      <c r="B728" s="293"/>
      <c r="C728" s="336"/>
      <c r="D728" s="337"/>
      <c r="E728" s="1"/>
    </row>
    <row r="729" spans="1:5">
      <c r="A729" s="293"/>
      <c r="B729" s="293"/>
      <c r="C729" s="336"/>
      <c r="D729" s="337"/>
      <c r="E729" s="1"/>
    </row>
    <row r="730" spans="1:5">
      <c r="A730" s="293"/>
      <c r="B730" s="293"/>
      <c r="C730" s="336"/>
      <c r="D730" s="337"/>
      <c r="E730" s="1"/>
    </row>
    <row r="731" spans="1:5">
      <c r="A731" s="293"/>
      <c r="B731" s="293"/>
      <c r="C731" s="336"/>
      <c r="D731" s="337"/>
      <c r="E731" s="1"/>
    </row>
    <row r="732" spans="1:5">
      <c r="A732" s="293"/>
      <c r="B732" s="293"/>
      <c r="C732" s="336"/>
      <c r="D732" s="337"/>
      <c r="E732" s="1"/>
    </row>
    <row r="733" spans="1:5">
      <c r="A733" s="293"/>
      <c r="B733" s="293"/>
      <c r="C733" s="336"/>
      <c r="D733" s="337"/>
      <c r="E733" s="1"/>
    </row>
    <row r="734" spans="1:5">
      <c r="A734" s="293"/>
      <c r="B734" s="293"/>
      <c r="C734" s="336"/>
      <c r="D734" s="337"/>
      <c r="E734" s="1"/>
    </row>
    <row r="735" spans="1:5">
      <c r="A735" s="293"/>
      <c r="B735" s="293"/>
      <c r="C735" s="336"/>
      <c r="D735" s="337"/>
      <c r="E735" s="1"/>
    </row>
    <row r="736" spans="1:5">
      <c r="A736" s="293"/>
      <c r="B736" s="293"/>
      <c r="C736" s="336"/>
      <c r="D736" s="337"/>
      <c r="E736" s="1"/>
    </row>
    <row r="737" spans="1:5">
      <c r="A737" s="293"/>
      <c r="B737" s="293"/>
      <c r="C737" s="336"/>
      <c r="D737" s="337"/>
      <c r="E737" s="1"/>
    </row>
    <row r="738" spans="1:5">
      <c r="A738" s="293"/>
      <c r="B738" s="293"/>
      <c r="C738" s="336"/>
      <c r="D738" s="337"/>
      <c r="E738" s="1"/>
    </row>
    <row r="739" spans="1:5">
      <c r="A739" s="293"/>
      <c r="B739" s="293"/>
      <c r="C739" s="336"/>
      <c r="D739" s="337"/>
      <c r="E739" s="1"/>
    </row>
    <row r="740" spans="1:5">
      <c r="A740" s="293"/>
      <c r="B740" s="293"/>
      <c r="C740" s="336"/>
      <c r="D740" s="337"/>
      <c r="E740" s="1"/>
    </row>
    <row r="741" spans="1:5">
      <c r="A741" s="293"/>
      <c r="B741" s="293"/>
      <c r="C741" s="336"/>
      <c r="D741" s="337"/>
      <c r="E741" s="1"/>
    </row>
    <row r="742" spans="1:5">
      <c r="A742" s="293"/>
      <c r="B742" s="293"/>
      <c r="C742" s="336"/>
      <c r="D742" s="337"/>
      <c r="E742" s="1"/>
    </row>
    <row r="743" spans="1:5">
      <c r="A743" s="293"/>
      <c r="B743" s="293"/>
      <c r="C743" s="336"/>
      <c r="D743" s="337"/>
      <c r="E743" s="1"/>
    </row>
    <row r="744" spans="1:5">
      <c r="A744" s="293"/>
      <c r="B744" s="293"/>
      <c r="C744" s="336"/>
      <c r="D744" s="337"/>
      <c r="E744" s="1"/>
    </row>
    <row r="745" spans="1:5">
      <c r="A745" s="293"/>
      <c r="B745" s="293"/>
      <c r="C745" s="336"/>
      <c r="D745" s="337"/>
      <c r="E745" s="1"/>
    </row>
    <row r="746" spans="1:5">
      <c r="A746" s="293"/>
      <c r="B746" s="293"/>
      <c r="C746" s="336"/>
      <c r="D746" s="337"/>
      <c r="E746" s="1"/>
    </row>
    <row r="747" spans="1:5">
      <c r="A747" s="293"/>
      <c r="B747" s="293"/>
      <c r="C747" s="336"/>
      <c r="D747" s="337"/>
      <c r="E747" s="1"/>
    </row>
    <row r="748" spans="1:5">
      <c r="A748" s="293"/>
      <c r="B748" s="293"/>
      <c r="C748" s="336"/>
      <c r="D748" s="337"/>
      <c r="E748" s="1"/>
    </row>
    <row r="749" spans="1:5">
      <c r="A749" s="293"/>
      <c r="B749" s="293"/>
      <c r="C749" s="336"/>
      <c r="D749" s="337"/>
      <c r="E749" s="1"/>
    </row>
    <row r="750" spans="1:5">
      <c r="A750" s="293"/>
      <c r="B750" s="293"/>
      <c r="C750" s="336"/>
      <c r="D750" s="337"/>
      <c r="E750" s="1"/>
    </row>
    <row r="751" spans="1:5">
      <c r="A751" s="293"/>
      <c r="B751" s="293"/>
      <c r="C751" s="336"/>
      <c r="D751" s="337"/>
      <c r="E751" s="1"/>
    </row>
    <row r="752" spans="1:5">
      <c r="A752" s="293"/>
      <c r="B752" s="293"/>
      <c r="C752" s="336"/>
      <c r="D752" s="337"/>
      <c r="E752" s="1"/>
    </row>
    <row r="753" spans="1:5">
      <c r="A753" s="293"/>
      <c r="B753" s="293"/>
      <c r="C753" s="336"/>
      <c r="D753" s="337"/>
      <c r="E753" s="1"/>
    </row>
    <row r="754" spans="1:5">
      <c r="A754" s="293"/>
      <c r="B754" s="293"/>
      <c r="C754" s="336"/>
      <c r="D754" s="337"/>
      <c r="E754" s="1"/>
    </row>
    <row r="755" spans="1:5">
      <c r="A755" s="293"/>
      <c r="B755" s="293"/>
      <c r="C755" s="336"/>
      <c r="D755" s="337"/>
      <c r="E755" s="1"/>
    </row>
    <row r="756" spans="1:5">
      <c r="A756" s="293"/>
      <c r="B756" s="293"/>
      <c r="C756" s="336"/>
      <c r="D756" s="337"/>
      <c r="E756" s="1"/>
    </row>
    <row r="757" spans="1:5">
      <c r="A757" s="293"/>
      <c r="B757" s="293"/>
      <c r="C757" s="336"/>
      <c r="D757" s="337"/>
      <c r="E757" s="1"/>
    </row>
    <row r="758" spans="1:5">
      <c r="A758" s="293"/>
      <c r="B758" s="293"/>
      <c r="C758" s="336"/>
      <c r="D758" s="337"/>
      <c r="E758" s="1"/>
    </row>
    <row r="759" spans="1:5">
      <c r="A759" s="293"/>
      <c r="B759" s="293"/>
      <c r="C759" s="336"/>
      <c r="D759" s="337"/>
      <c r="E759" s="1"/>
    </row>
    <row r="760" spans="1:5">
      <c r="A760" s="293"/>
      <c r="B760" s="293"/>
      <c r="C760" s="336"/>
      <c r="D760" s="337"/>
      <c r="E760" s="1"/>
    </row>
    <row r="761" spans="1:5">
      <c r="A761" s="293"/>
      <c r="B761" s="293"/>
      <c r="C761" s="336"/>
      <c r="D761" s="337"/>
      <c r="E761" s="1"/>
    </row>
    <row r="762" spans="1:5">
      <c r="A762" s="293"/>
      <c r="B762" s="293"/>
      <c r="C762" s="336"/>
      <c r="D762" s="337"/>
      <c r="E762" s="1"/>
    </row>
    <row r="763" spans="1:5">
      <c r="A763" s="293"/>
      <c r="B763" s="293"/>
      <c r="C763" s="336"/>
      <c r="D763" s="337"/>
      <c r="E763" s="1"/>
    </row>
    <row r="764" spans="1:5">
      <c r="A764" s="293"/>
      <c r="B764" s="293"/>
      <c r="C764" s="336"/>
      <c r="D764" s="337"/>
      <c r="E764" s="1"/>
    </row>
    <row r="765" spans="1:5">
      <c r="A765" s="293"/>
      <c r="B765" s="293"/>
      <c r="C765" s="336"/>
      <c r="D765" s="337"/>
      <c r="E765" s="1"/>
    </row>
    <row r="766" spans="1:5">
      <c r="A766" s="293"/>
      <c r="B766" s="293"/>
      <c r="C766" s="336"/>
      <c r="D766" s="337"/>
      <c r="E766" s="1"/>
    </row>
    <row r="767" spans="1:5">
      <c r="A767" s="293"/>
      <c r="B767" s="293"/>
      <c r="C767" s="336"/>
      <c r="D767" s="337"/>
      <c r="E767" s="1"/>
    </row>
    <row r="768" spans="1:5">
      <c r="A768" s="293"/>
      <c r="B768" s="293"/>
      <c r="C768" s="336"/>
      <c r="D768" s="337"/>
      <c r="E768" s="1"/>
    </row>
    <row r="769" spans="1:5">
      <c r="A769" s="293"/>
      <c r="B769" s="293"/>
      <c r="C769" s="336"/>
      <c r="D769" s="337"/>
      <c r="E769" s="1"/>
    </row>
    <row r="770" spans="1:5">
      <c r="A770" s="293"/>
      <c r="B770" s="293"/>
      <c r="C770" s="336"/>
      <c r="D770" s="337"/>
      <c r="E770" s="1"/>
    </row>
    <row r="771" spans="1:5">
      <c r="A771" s="293"/>
      <c r="B771" s="293"/>
      <c r="C771" s="336"/>
      <c r="D771" s="337"/>
      <c r="E771" s="1"/>
    </row>
    <row r="772" spans="1:5">
      <c r="A772" s="293"/>
      <c r="B772" s="293"/>
      <c r="C772" s="336"/>
      <c r="D772" s="337"/>
      <c r="E772" s="1"/>
    </row>
    <row r="773" spans="1:5">
      <c r="A773" s="293"/>
      <c r="B773" s="293"/>
      <c r="C773" s="336"/>
      <c r="D773" s="337"/>
      <c r="E773" s="1"/>
    </row>
    <row r="774" spans="1:5">
      <c r="A774" s="293"/>
      <c r="B774" s="293"/>
      <c r="C774" s="336"/>
      <c r="D774" s="337"/>
      <c r="E774" s="1"/>
    </row>
    <row r="775" spans="1:5">
      <c r="A775" s="293"/>
      <c r="B775" s="293"/>
      <c r="C775" s="336"/>
      <c r="D775" s="337"/>
      <c r="E775" s="1"/>
    </row>
    <row r="776" spans="1:5">
      <c r="A776" s="293"/>
      <c r="B776" s="293"/>
      <c r="C776" s="336"/>
      <c r="D776" s="337"/>
      <c r="E776" s="1"/>
    </row>
    <row r="777" spans="1:5">
      <c r="A777" s="293"/>
      <c r="B777" s="293"/>
      <c r="C777" s="336"/>
      <c r="D777" s="337"/>
      <c r="E777" s="1"/>
    </row>
    <row r="778" spans="1:5">
      <c r="A778" s="293"/>
      <c r="B778" s="293"/>
      <c r="C778" s="336"/>
      <c r="D778" s="337"/>
      <c r="E778" s="1"/>
    </row>
    <row r="779" spans="1:5">
      <c r="A779" s="293"/>
      <c r="B779" s="293"/>
      <c r="C779" s="336"/>
      <c r="D779" s="337"/>
      <c r="E779" s="1"/>
    </row>
    <row r="780" spans="1:5">
      <c r="A780" s="293"/>
      <c r="B780" s="293"/>
      <c r="C780" s="336"/>
      <c r="D780" s="337"/>
      <c r="E780" s="1"/>
    </row>
    <row r="781" spans="1:5">
      <c r="A781" s="293"/>
      <c r="B781" s="293"/>
      <c r="C781" s="336"/>
      <c r="D781" s="337"/>
      <c r="E781" s="1"/>
    </row>
    <row r="782" spans="1:5">
      <c r="A782" s="293"/>
      <c r="B782" s="293"/>
      <c r="C782" s="336"/>
      <c r="D782" s="337"/>
      <c r="E782" s="1"/>
    </row>
    <row r="783" spans="1:5">
      <c r="A783" s="293"/>
      <c r="B783" s="293"/>
      <c r="C783" s="336"/>
      <c r="D783" s="337"/>
      <c r="E783" s="1"/>
    </row>
    <row r="784" spans="1:5">
      <c r="A784" s="293"/>
      <c r="B784" s="293"/>
      <c r="C784" s="336"/>
      <c r="D784" s="337"/>
      <c r="E784" s="1"/>
    </row>
    <row r="785" spans="1:5">
      <c r="A785" s="293"/>
      <c r="B785" s="293"/>
      <c r="C785" s="336"/>
      <c r="D785" s="337"/>
      <c r="E785" s="1"/>
    </row>
    <row r="786" spans="1:5">
      <c r="A786" s="293"/>
      <c r="B786" s="293"/>
      <c r="C786" s="336"/>
      <c r="D786" s="337"/>
      <c r="E786" s="1"/>
    </row>
    <row r="787" spans="1:5">
      <c r="A787" s="293"/>
      <c r="B787" s="293"/>
      <c r="C787" s="336"/>
      <c r="D787" s="337"/>
      <c r="E787" s="1"/>
    </row>
    <row r="788" spans="1:5">
      <c r="A788" s="293"/>
      <c r="B788" s="293"/>
      <c r="C788" s="336"/>
      <c r="D788" s="337"/>
      <c r="E788" s="1"/>
    </row>
    <row r="789" spans="1:5">
      <c r="A789" s="293"/>
      <c r="B789" s="293"/>
      <c r="C789" s="336"/>
      <c r="D789" s="337"/>
      <c r="E789" s="1"/>
    </row>
    <row r="790" spans="1:5">
      <c r="A790" s="293"/>
      <c r="B790" s="293"/>
      <c r="C790" s="336"/>
      <c r="D790" s="337"/>
      <c r="E790" s="1"/>
    </row>
    <row r="791" spans="1:5">
      <c r="A791" s="293"/>
      <c r="B791" s="293"/>
      <c r="C791" s="336"/>
      <c r="D791" s="337"/>
      <c r="E791" s="1"/>
    </row>
    <row r="792" spans="1:5">
      <c r="A792" s="293"/>
      <c r="B792" s="293"/>
      <c r="C792" s="336"/>
      <c r="D792" s="337"/>
      <c r="E792" s="1"/>
    </row>
    <row r="793" spans="1:5">
      <c r="A793" s="293"/>
      <c r="B793" s="293"/>
      <c r="C793" s="336"/>
      <c r="D793" s="337"/>
      <c r="E793" s="1"/>
    </row>
    <row r="794" spans="1:5">
      <c r="A794" s="293"/>
      <c r="B794" s="293"/>
      <c r="C794" s="336"/>
      <c r="D794" s="337"/>
      <c r="E794" s="1"/>
    </row>
    <row r="795" spans="1:5">
      <c r="A795" s="293"/>
      <c r="B795" s="293"/>
      <c r="C795" s="336"/>
      <c r="D795" s="337"/>
      <c r="E795" s="1"/>
    </row>
    <row r="796" spans="1:5">
      <c r="A796" s="293"/>
      <c r="B796" s="293"/>
      <c r="C796" s="336"/>
      <c r="D796" s="337"/>
      <c r="E796" s="1"/>
    </row>
    <row r="797" spans="1:5">
      <c r="A797" s="293"/>
      <c r="B797" s="293"/>
      <c r="C797" s="336"/>
      <c r="D797" s="337"/>
      <c r="E797" s="1"/>
    </row>
    <row r="798" spans="1:5">
      <c r="A798" s="293"/>
      <c r="B798" s="293"/>
      <c r="C798" s="336"/>
      <c r="D798" s="337"/>
      <c r="E798" s="1"/>
    </row>
    <row r="799" spans="1:5">
      <c r="A799" s="293"/>
      <c r="B799" s="293"/>
      <c r="C799" s="336"/>
      <c r="D799" s="337"/>
      <c r="E799" s="1"/>
    </row>
    <row r="800" spans="1:5">
      <c r="A800" s="293"/>
      <c r="B800" s="293"/>
      <c r="C800" s="336"/>
      <c r="D800" s="337"/>
      <c r="E800" s="1"/>
    </row>
    <row r="801" spans="1:5">
      <c r="A801" s="293"/>
      <c r="B801" s="293"/>
      <c r="C801" s="336"/>
      <c r="D801" s="337"/>
      <c r="E801" s="1"/>
    </row>
    <row r="802" spans="1:5">
      <c r="A802" s="293"/>
      <c r="B802" s="293"/>
      <c r="C802" s="336"/>
      <c r="D802" s="337"/>
      <c r="E802" s="1"/>
    </row>
    <row r="803" spans="1:5">
      <c r="A803" s="293"/>
      <c r="B803" s="293"/>
      <c r="C803" s="336"/>
      <c r="D803" s="337"/>
      <c r="E803" s="1"/>
    </row>
    <row r="804" spans="1:5">
      <c r="A804" s="293"/>
      <c r="B804" s="293"/>
      <c r="C804" s="336"/>
      <c r="D804" s="337"/>
      <c r="E804" s="1"/>
    </row>
    <row r="805" spans="1:5">
      <c r="A805" s="293"/>
      <c r="B805" s="293"/>
      <c r="C805" s="336"/>
      <c r="D805" s="337"/>
      <c r="E805" s="1"/>
    </row>
    <row r="806" spans="1:5">
      <c r="A806" s="293"/>
      <c r="B806" s="293"/>
      <c r="C806" s="336"/>
      <c r="D806" s="337"/>
      <c r="E806" s="1"/>
    </row>
    <row r="807" spans="1:5">
      <c r="A807" s="293"/>
      <c r="B807" s="293"/>
      <c r="C807" s="336"/>
      <c r="D807" s="337"/>
      <c r="E807" s="1"/>
    </row>
    <row r="808" spans="1:5">
      <c r="A808" s="293"/>
      <c r="B808" s="293"/>
      <c r="C808" s="336"/>
      <c r="D808" s="337"/>
      <c r="E808" s="1"/>
    </row>
    <row r="809" spans="1:5">
      <c r="A809" s="293"/>
      <c r="B809" s="293"/>
      <c r="C809" s="336"/>
      <c r="D809" s="337"/>
      <c r="E809" s="1"/>
    </row>
    <row r="810" spans="1:5">
      <c r="A810" s="293"/>
      <c r="B810" s="293"/>
      <c r="C810" s="336"/>
      <c r="D810" s="337"/>
      <c r="E810" s="1"/>
    </row>
    <row r="811" spans="1:5">
      <c r="A811" s="293"/>
      <c r="B811" s="293"/>
      <c r="C811" s="336"/>
      <c r="D811" s="337"/>
      <c r="E811" s="1"/>
    </row>
    <row r="812" spans="1:5">
      <c r="A812" s="293"/>
      <c r="B812" s="293"/>
      <c r="C812" s="336"/>
      <c r="D812" s="337"/>
      <c r="E812" s="1"/>
    </row>
    <row r="813" spans="1:5">
      <c r="A813" s="293"/>
      <c r="B813" s="293"/>
      <c r="C813" s="336"/>
      <c r="D813" s="337"/>
      <c r="E813" s="1"/>
    </row>
    <row r="814" spans="1:5">
      <c r="A814" s="293"/>
      <c r="B814" s="293"/>
      <c r="C814" s="336"/>
      <c r="D814" s="337"/>
      <c r="E814" s="1"/>
    </row>
    <row r="815" spans="1:5">
      <c r="A815" s="293"/>
      <c r="B815" s="293"/>
      <c r="C815" s="336"/>
      <c r="D815" s="337"/>
      <c r="E815" s="1"/>
    </row>
    <row r="816" spans="1:5">
      <c r="A816" s="293"/>
      <c r="B816" s="293"/>
      <c r="C816" s="336"/>
      <c r="D816" s="337"/>
      <c r="E816" s="1"/>
    </row>
    <row r="817" spans="1:5">
      <c r="A817" s="293"/>
      <c r="B817" s="293"/>
      <c r="C817" s="336"/>
      <c r="D817" s="337"/>
      <c r="E817" s="1"/>
    </row>
    <row r="818" spans="1:5">
      <c r="A818" s="293"/>
      <c r="B818" s="293"/>
      <c r="C818" s="336"/>
      <c r="D818" s="337"/>
      <c r="E818" s="1"/>
    </row>
    <row r="819" spans="1:5">
      <c r="A819" s="293"/>
      <c r="B819" s="293"/>
      <c r="C819" s="336"/>
      <c r="D819" s="337"/>
      <c r="E819" s="1"/>
    </row>
    <row r="820" spans="1:5">
      <c r="A820" s="293"/>
      <c r="B820" s="293"/>
      <c r="C820" s="336"/>
      <c r="D820" s="337"/>
      <c r="E820" s="1"/>
    </row>
    <row r="821" spans="1:5">
      <c r="A821" s="293"/>
      <c r="B821" s="293"/>
      <c r="C821" s="336"/>
      <c r="D821" s="337"/>
      <c r="E821" s="1"/>
    </row>
    <row r="822" spans="1:5">
      <c r="A822" s="293"/>
      <c r="B822" s="293"/>
      <c r="C822" s="336"/>
      <c r="D822" s="337"/>
      <c r="E822" s="1"/>
    </row>
    <row r="823" spans="1:5">
      <c r="A823" s="293"/>
      <c r="B823" s="293"/>
      <c r="C823" s="336"/>
      <c r="D823" s="337"/>
      <c r="E823" s="1"/>
    </row>
    <row r="824" spans="1:5">
      <c r="A824" s="293"/>
      <c r="B824" s="293"/>
      <c r="C824" s="336"/>
      <c r="D824" s="337"/>
      <c r="E824" s="1"/>
    </row>
    <row r="825" spans="1:5">
      <c r="A825" s="293"/>
      <c r="B825" s="293"/>
      <c r="C825" s="336"/>
      <c r="D825" s="337"/>
      <c r="E825" s="1"/>
    </row>
    <row r="826" spans="1:5">
      <c r="A826" s="293"/>
      <c r="B826" s="293"/>
      <c r="C826" s="336"/>
      <c r="D826" s="337"/>
      <c r="E826" s="1"/>
    </row>
    <row r="827" spans="1:5">
      <c r="A827" s="293"/>
      <c r="B827" s="293"/>
      <c r="C827" s="336"/>
      <c r="D827" s="337"/>
      <c r="E827" s="1"/>
    </row>
    <row r="828" spans="1:5">
      <c r="A828" s="293"/>
      <c r="B828" s="293"/>
      <c r="C828" s="336"/>
      <c r="D828" s="337"/>
      <c r="E828" s="1"/>
    </row>
    <row r="829" spans="1:5">
      <c r="A829" s="293"/>
      <c r="B829" s="293"/>
      <c r="C829" s="336"/>
      <c r="D829" s="337"/>
      <c r="E829" s="1"/>
    </row>
    <row r="830" spans="1:5">
      <c r="A830" s="293"/>
      <c r="B830" s="293"/>
      <c r="C830" s="336"/>
      <c r="D830" s="337"/>
      <c r="E830" s="1"/>
    </row>
    <row r="831" spans="1:5">
      <c r="A831" s="293"/>
      <c r="B831" s="293"/>
      <c r="C831" s="336"/>
      <c r="D831" s="337"/>
      <c r="E831" s="1"/>
    </row>
    <row r="832" spans="1:5">
      <c r="A832" s="293"/>
      <c r="B832" s="293"/>
      <c r="C832" s="336"/>
      <c r="D832" s="337"/>
      <c r="E832" s="1"/>
    </row>
    <row r="833" spans="1:5">
      <c r="A833" s="293"/>
      <c r="B833" s="293"/>
      <c r="C833" s="336"/>
      <c r="D833" s="337"/>
      <c r="E833" s="1"/>
    </row>
    <row r="834" spans="1:5">
      <c r="A834" s="293"/>
      <c r="B834" s="293"/>
      <c r="C834" s="336"/>
      <c r="D834" s="337"/>
      <c r="E834" s="1"/>
    </row>
    <row r="835" spans="1:5">
      <c r="A835" s="293"/>
      <c r="B835" s="293"/>
      <c r="C835" s="336"/>
      <c r="D835" s="337"/>
      <c r="E835" s="1"/>
    </row>
    <row r="836" spans="1:5">
      <c r="A836" s="293"/>
      <c r="B836" s="293"/>
      <c r="C836" s="336"/>
      <c r="D836" s="337"/>
      <c r="E836" s="1"/>
    </row>
    <row r="837" spans="1:5">
      <c r="A837" s="293"/>
      <c r="B837" s="293"/>
      <c r="C837" s="336"/>
      <c r="D837" s="337"/>
      <c r="E837" s="1"/>
    </row>
    <row r="838" spans="1:5">
      <c r="A838" s="293"/>
      <c r="B838" s="293"/>
      <c r="C838" s="336"/>
      <c r="D838" s="337"/>
      <c r="E838" s="1"/>
    </row>
    <row r="839" spans="1:5">
      <c r="A839" s="293"/>
      <c r="B839" s="293"/>
      <c r="C839" s="336"/>
      <c r="D839" s="337"/>
      <c r="E839" s="1"/>
    </row>
    <row r="840" spans="1:5">
      <c r="A840" s="293"/>
      <c r="B840" s="293"/>
      <c r="C840" s="336"/>
      <c r="D840" s="337"/>
      <c r="E840" s="1"/>
    </row>
    <row r="841" spans="1:5">
      <c r="A841" s="293"/>
      <c r="B841" s="293"/>
      <c r="C841" s="336"/>
      <c r="D841" s="337"/>
      <c r="E841" s="1"/>
    </row>
    <row r="842" spans="1:5">
      <c r="A842" s="293"/>
      <c r="B842" s="293"/>
      <c r="C842" s="336"/>
      <c r="D842" s="337"/>
      <c r="E842" s="1"/>
    </row>
    <row r="843" spans="1:5">
      <c r="A843" s="293"/>
      <c r="B843" s="293"/>
      <c r="C843" s="336"/>
      <c r="D843" s="337"/>
      <c r="E843" s="1"/>
    </row>
    <row r="844" spans="1:5">
      <c r="A844" s="293"/>
      <c r="B844" s="293"/>
      <c r="C844" s="336"/>
      <c r="D844" s="337"/>
      <c r="E844" s="1"/>
    </row>
    <row r="845" spans="1:5">
      <c r="A845" s="293"/>
      <c r="B845" s="293"/>
      <c r="C845" s="336"/>
      <c r="D845" s="337"/>
      <c r="E845" s="1"/>
    </row>
    <row r="846" spans="1:5">
      <c r="A846" s="293"/>
      <c r="B846" s="293"/>
      <c r="C846" s="336"/>
      <c r="D846" s="337"/>
      <c r="E846" s="1"/>
    </row>
    <row r="847" spans="1:5">
      <c r="A847" s="293"/>
      <c r="B847" s="293"/>
      <c r="C847" s="336"/>
      <c r="D847" s="337"/>
      <c r="E847" s="1"/>
    </row>
    <row r="848" spans="1:5">
      <c r="A848" s="293"/>
      <c r="B848" s="293"/>
      <c r="C848" s="336"/>
      <c r="D848" s="337"/>
      <c r="E848" s="1"/>
    </row>
    <row r="849" spans="1:5">
      <c r="A849" s="293"/>
      <c r="B849" s="293"/>
      <c r="C849" s="336"/>
      <c r="D849" s="337"/>
      <c r="E849" s="1"/>
    </row>
    <row r="850" spans="1:5">
      <c r="A850" s="293"/>
      <c r="B850" s="293"/>
      <c r="C850" s="336"/>
      <c r="D850" s="337"/>
      <c r="E850" s="1"/>
    </row>
    <row r="851" spans="1:5">
      <c r="A851" s="293"/>
      <c r="B851" s="293"/>
      <c r="C851" s="336"/>
      <c r="D851" s="337"/>
      <c r="E851" s="1"/>
    </row>
    <row r="852" spans="1:5">
      <c r="A852" s="293"/>
      <c r="B852" s="293"/>
      <c r="C852" s="336"/>
      <c r="D852" s="337"/>
      <c r="E852" s="1"/>
    </row>
    <row r="853" spans="1:5">
      <c r="A853" s="293"/>
      <c r="B853" s="293"/>
      <c r="C853" s="336"/>
      <c r="D853" s="337"/>
      <c r="E853" s="1"/>
    </row>
    <row r="854" spans="1:5">
      <c r="A854" s="293"/>
      <c r="B854" s="293"/>
      <c r="C854" s="336"/>
      <c r="D854" s="337"/>
      <c r="E854" s="1"/>
    </row>
    <row r="855" spans="1:5">
      <c r="A855" s="293"/>
      <c r="B855" s="293"/>
      <c r="C855" s="336"/>
      <c r="D855" s="337"/>
      <c r="E855" s="1"/>
    </row>
    <row r="856" spans="1:5">
      <c r="A856" s="293"/>
      <c r="B856" s="293"/>
      <c r="C856" s="336"/>
      <c r="D856" s="337"/>
      <c r="E856" s="1"/>
    </row>
    <row r="857" spans="1:5">
      <c r="A857" s="293"/>
      <c r="B857" s="293"/>
      <c r="C857" s="336"/>
      <c r="D857" s="337"/>
      <c r="E857" s="1"/>
    </row>
    <row r="858" spans="1:5">
      <c r="A858" s="293"/>
      <c r="B858" s="293"/>
      <c r="C858" s="336"/>
      <c r="D858" s="337"/>
      <c r="E858" s="1"/>
    </row>
    <row r="859" spans="1:5">
      <c r="A859" s="293"/>
      <c r="B859" s="293"/>
      <c r="C859" s="336"/>
      <c r="D859" s="337"/>
      <c r="E859" s="1"/>
    </row>
    <row r="860" spans="1:5">
      <c r="A860" s="293"/>
      <c r="B860" s="293"/>
      <c r="C860" s="336"/>
      <c r="D860" s="337"/>
      <c r="E860" s="1"/>
    </row>
    <row r="861" spans="1:5">
      <c r="A861" s="293"/>
      <c r="B861" s="293"/>
      <c r="C861" s="336"/>
      <c r="D861" s="337"/>
      <c r="E861" s="1"/>
    </row>
    <row r="862" spans="1:5">
      <c r="A862" s="293"/>
      <c r="B862" s="293"/>
      <c r="C862" s="336"/>
      <c r="D862" s="337"/>
      <c r="E862" s="1"/>
    </row>
    <row r="863" spans="1:5">
      <c r="A863" s="293"/>
      <c r="B863" s="293"/>
      <c r="C863" s="336"/>
      <c r="D863" s="337"/>
      <c r="E863" s="1"/>
    </row>
    <row r="864" spans="1:5">
      <c r="A864" s="293"/>
      <c r="B864" s="293"/>
      <c r="C864" s="336"/>
      <c r="D864" s="337"/>
      <c r="E864" s="1"/>
    </row>
    <row r="865" spans="1:5">
      <c r="A865" s="293"/>
      <c r="B865" s="293"/>
      <c r="C865" s="336"/>
      <c r="D865" s="337"/>
      <c r="E865" s="1"/>
    </row>
    <row r="866" spans="1:5">
      <c r="A866" s="293"/>
      <c r="B866" s="293"/>
      <c r="C866" s="336"/>
      <c r="D866" s="337"/>
      <c r="E866" s="1"/>
    </row>
    <row r="867" spans="1:5">
      <c r="A867" s="293"/>
      <c r="B867" s="293"/>
      <c r="C867" s="336"/>
      <c r="D867" s="337"/>
      <c r="E867" s="1"/>
    </row>
    <row r="868" spans="1:5">
      <c r="A868" s="293"/>
      <c r="B868" s="293"/>
      <c r="C868" s="336"/>
      <c r="D868" s="337"/>
      <c r="E868" s="1"/>
    </row>
    <row r="869" spans="1:5">
      <c r="A869" s="293"/>
      <c r="B869" s="293"/>
      <c r="C869" s="336"/>
      <c r="D869" s="337"/>
      <c r="E869" s="1"/>
    </row>
    <row r="870" spans="1:5">
      <c r="A870" s="293"/>
      <c r="B870" s="293"/>
      <c r="C870" s="336"/>
      <c r="D870" s="337"/>
      <c r="E870" s="1"/>
    </row>
    <row r="871" spans="1:5">
      <c r="A871" s="293"/>
      <c r="B871" s="293"/>
      <c r="C871" s="336"/>
      <c r="D871" s="337"/>
      <c r="E871" s="1"/>
    </row>
    <row r="872" spans="1:5">
      <c r="A872" s="293"/>
      <c r="B872" s="293"/>
      <c r="C872" s="336"/>
      <c r="D872" s="337"/>
      <c r="E872" s="1"/>
    </row>
    <row r="873" spans="1:5">
      <c r="A873" s="293"/>
      <c r="B873" s="293"/>
      <c r="C873" s="336"/>
      <c r="D873" s="337"/>
      <c r="E873" s="1"/>
    </row>
    <row r="874" spans="1:5">
      <c r="A874" s="293"/>
      <c r="B874" s="293"/>
      <c r="C874" s="336"/>
      <c r="D874" s="337"/>
      <c r="E874" s="1"/>
    </row>
    <row r="875" spans="1:5">
      <c r="A875" s="293"/>
      <c r="B875" s="293"/>
      <c r="C875" s="336"/>
      <c r="D875" s="337"/>
      <c r="E875" s="1"/>
    </row>
    <row r="876" spans="1:5">
      <c r="A876" s="293"/>
      <c r="B876" s="293"/>
      <c r="C876" s="336"/>
      <c r="D876" s="337"/>
      <c r="E876" s="1"/>
    </row>
    <row r="877" spans="1:5">
      <c r="A877" s="293"/>
      <c r="B877" s="293"/>
      <c r="C877" s="336"/>
      <c r="D877" s="337"/>
      <c r="E877" s="1"/>
    </row>
    <row r="878" spans="1:5">
      <c r="A878" s="293"/>
      <c r="B878" s="293"/>
      <c r="C878" s="336"/>
      <c r="D878" s="337"/>
      <c r="E878" s="1"/>
    </row>
    <row r="879" spans="1:5">
      <c r="A879" s="293"/>
      <c r="B879" s="293"/>
      <c r="C879" s="336"/>
      <c r="D879" s="337"/>
      <c r="E879" s="1"/>
    </row>
    <row r="880" spans="1:5">
      <c r="A880" s="293"/>
      <c r="B880" s="293"/>
      <c r="C880" s="336"/>
      <c r="D880" s="337"/>
      <c r="E880" s="1"/>
    </row>
    <row r="881" spans="1:5">
      <c r="A881" s="293"/>
      <c r="B881" s="293"/>
      <c r="C881" s="336"/>
      <c r="D881" s="337"/>
      <c r="E881" s="1"/>
    </row>
    <row r="882" spans="1:5">
      <c r="A882" s="293"/>
      <c r="B882" s="293"/>
      <c r="C882" s="336"/>
      <c r="D882" s="337"/>
      <c r="E882" s="1"/>
    </row>
    <row r="883" spans="1:5">
      <c r="A883" s="293"/>
      <c r="B883" s="293"/>
      <c r="C883" s="336"/>
      <c r="D883" s="337"/>
      <c r="E883" s="1"/>
    </row>
    <row r="884" spans="1:5">
      <c r="A884" s="293"/>
      <c r="B884" s="293"/>
      <c r="C884" s="336"/>
      <c r="D884" s="337"/>
      <c r="E884" s="1"/>
    </row>
    <row r="885" spans="1:5">
      <c r="A885" s="293"/>
      <c r="B885" s="293"/>
      <c r="C885" s="336"/>
      <c r="D885" s="337"/>
      <c r="E885" s="1"/>
    </row>
    <row r="886" spans="1:5">
      <c r="A886" s="293"/>
      <c r="B886" s="293"/>
      <c r="C886" s="336"/>
      <c r="D886" s="337"/>
      <c r="E886" s="1"/>
    </row>
    <row r="887" spans="1:5">
      <c r="A887" s="293"/>
      <c r="B887" s="293"/>
      <c r="C887" s="336"/>
      <c r="D887" s="337"/>
      <c r="E887" s="1"/>
    </row>
    <row r="888" spans="1:5">
      <c r="A888" s="293"/>
      <c r="B888" s="293"/>
      <c r="C888" s="336"/>
      <c r="D888" s="337"/>
      <c r="E888" s="1"/>
    </row>
    <row r="889" spans="1:5">
      <c r="A889" s="293"/>
      <c r="B889" s="293"/>
      <c r="C889" s="336"/>
      <c r="D889" s="337"/>
      <c r="E889" s="1"/>
    </row>
    <row r="890" spans="1:5">
      <c r="A890" s="293"/>
      <c r="B890" s="293"/>
      <c r="C890" s="336"/>
      <c r="D890" s="337"/>
      <c r="E890" s="1"/>
    </row>
    <row r="891" spans="1:5">
      <c r="A891" s="293"/>
      <c r="B891" s="293"/>
      <c r="C891" s="336"/>
      <c r="D891" s="337"/>
      <c r="E891" s="1"/>
    </row>
    <row r="892" spans="1:5">
      <c r="A892" s="293"/>
      <c r="B892" s="293"/>
      <c r="C892" s="336"/>
      <c r="D892" s="337"/>
      <c r="E892" s="1"/>
    </row>
    <row r="893" spans="1:5">
      <c r="A893" s="293"/>
      <c r="B893" s="293"/>
      <c r="C893" s="336"/>
      <c r="D893" s="337"/>
      <c r="E893" s="1"/>
    </row>
    <row r="894" spans="1:5">
      <c r="A894" s="293"/>
      <c r="B894" s="293"/>
      <c r="C894" s="336"/>
      <c r="D894" s="337"/>
      <c r="E894" s="1"/>
    </row>
    <row r="895" spans="1:5">
      <c r="A895" s="293"/>
      <c r="B895" s="293"/>
      <c r="C895" s="336"/>
      <c r="D895" s="337"/>
      <c r="E895" s="1"/>
    </row>
    <row r="896" spans="1:5">
      <c r="A896" s="293"/>
      <c r="B896" s="293"/>
      <c r="C896" s="336"/>
      <c r="D896" s="337"/>
      <c r="E896" s="1"/>
    </row>
    <row r="897" spans="1:5">
      <c r="A897" s="293"/>
      <c r="B897" s="293"/>
      <c r="C897" s="336"/>
      <c r="D897" s="337"/>
      <c r="E897" s="1"/>
    </row>
    <row r="898" spans="1:5">
      <c r="A898" s="293"/>
      <c r="B898" s="293"/>
      <c r="C898" s="336"/>
      <c r="D898" s="337"/>
      <c r="E898" s="1"/>
    </row>
    <row r="899" spans="1:5">
      <c r="A899" s="293"/>
      <c r="B899" s="293"/>
      <c r="C899" s="336"/>
      <c r="D899" s="337"/>
      <c r="E899" s="1"/>
    </row>
    <row r="900" spans="1:5">
      <c r="A900" s="293"/>
      <c r="B900" s="293"/>
      <c r="C900" s="336"/>
      <c r="D900" s="337"/>
      <c r="E900" s="1"/>
    </row>
    <row r="901" spans="1:5">
      <c r="A901" s="293"/>
      <c r="B901" s="293"/>
      <c r="C901" s="336"/>
      <c r="D901" s="337"/>
      <c r="E901" s="1"/>
    </row>
    <row r="902" spans="1:5">
      <c r="A902" s="293"/>
      <c r="B902" s="293"/>
      <c r="C902" s="336"/>
      <c r="D902" s="337"/>
      <c r="E902" s="1"/>
    </row>
    <row r="903" spans="1:5">
      <c r="A903" s="293"/>
      <c r="B903" s="293"/>
      <c r="C903" s="336"/>
      <c r="D903" s="337"/>
      <c r="E903" s="1"/>
    </row>
    <row r="904" spans="1:5">
      <c r="A904" s="293"/>
      <c r="B904" s="293"/>
      <c r="C904" s="336"/>
      <c r="D904" s="337"/>
      <c r="E904" s="1"/>
    </row>
    <row r="905" spans="1:5">
      <c r="A905" s="293"/>
      <c r="B905" s="293"/>
      <c r="C905" s="336"/>
      <c r="D905" s="337"/>
      <c r="E905" s="1"/>
    </row>
    <row r="906" spans="1:5">
      <c r="A906" s="293"/>
      <c r="B906" s="293"/>
      <c r="C906" s="336"/>
      <c r="D906" s="337"/>
      <c r="E906" s="1"/>
    </row>
    <row r="907" spans="1:5">
      <c r="A907" s="293"/>
      <c r="B907" s="293"/>
      <c r="C907" s="336"/>
      <c r="D907" s="337"/>
      <c r="E907" s="1"/>
    </row>
    <row r="908" spans="1:5">
      <c r="A908" s="293"/>
      <c r="B908" s="293"/>
      <c r="C908" s="336"/>
      <c r="D908" s="337"/>
      <c r="E908" s="1"/>
    </row>
    <row r="909" spans="1:5">
      <c r="A909" s="293"/>
      <c r="B909" s="293"/>
      <c r="C909" s="336"/>
      <c r="D909" s="337"/>
      <c r="E909" s="1"/>
    </row>
    <row r="910" spans="1:5">
      <c r="A910" s="293"/>
      <c r="B910" s="293"/>
      <c r="C910" s="336"/>
      <c r="D910" s="337"/>
      <c r="E910" s="1"/>
    </row>
    <row r="911" spans="1:5">
      <c r="A911" s="293"/>
      <c r="B911" s="293"/>
      <c r="C911" s="336"/>
      <c r="D911" s="337"/>
      <c r="E911" s="1"/>
    </row>
    <row r="912" spans="1:5">
      <c r="A912" s="293"/>
      <c r="B912" s="293"/>
      <c r="C912" s="336"/>
      <c r="D912" s="337"/>
      <c r="E912" s="1"/>
    </row>
    <row r="913" spans="1:5">
      <c r="A913" s="293"/>
      <c r="B913" s="293"/>
      <c r="C913" s="336"/>
      <c r="D913" s="337"/>
      <c r="E913" s="1"/>
    </row>
    <row r="914" spans="1:5">
      <c r="A914" s="293"/>
      <c r="B914" s="293"/>
      <c r="C914" s="336"/>
      <c r="D914" s="337"/>
      <c r="E914" s="1"/>
    </row>
    <row r="915" spans="1:5">
      <c r="A915" s="293"/>
      <c r="B915" s="293"/>
      <c r="C915" s="336"/>
      <c r="D915" s="337"/>
      <c r="E915" s="1"/>
    </row>
    <row r="916" spans="1:5">
      <c r="A916" s="293"/>
      <c r="B916" s="293"/>
      <c r="C916" s="336"/>
      <c r="D916" s="337"/>
      <c r="E916" s="1"/>
    </row>
    <row r="917" spans="1:5">
      <c r="A917" s="293"/>
      <c r="B917" s="293"/>
      <c r="C917" s="336"/>
      <c r="D917" s="337"/>
      <c r="E917" s="1"/>
    </row>
    <row r="918" spans="1:5">
      <c r="A918" s="293"/>
      <c r="B918" s="293"/>
      <c r="C918" s="336"/>
      <c r="D918" s="337"/>
      <c r="E918" s="1"/>
    </row>
    <row r="919" spans="1:5">
      <c r="A919" s="293"/>
      <c r="B919" s="293"/>
      <c r="C919" s="336"/>
      <c r="D919" s="337"/>
      <c r="E919" s="1"/>
    </row>
    <row r="920" spans="1:5">
      <c r="A920" s="293"/>
      <c r="B920" s="293"/>
      <c r="C920" s="336"/>
      <c r="D920" s="337"/>
      <c r="E920" s="1"/>
    </row>
    <row r="921" spans="1:5">
      <c r="A921" s="293"/>
      <c r="B921" s="293"/>
      <c r="C921" s="336"/>
      <c r="D921" s="337"/>
      <c r="E921" s="1"/>
    </row>
    <row r="922" spans="1:5">
      <c r="A922" s="293"/>
      <c r="B922" s="293"/>
      <c r="C922" s="336"/>
      <c r="D922" s="337"/>
      <c r="E922" s="1"/>
    </row>
    <row r="923" spans="1:5">
      <c r="A923" s="293"/>
      <c r="B923" s="293"/>
      <c r="C923" s="336"/>
      <c r="D923" s="337"/>
      <c r="E923" s="1"/>
    </row>
    <row r="924" spans="1:5">
      <c r="A924" s="293"/>
      <c r="B924" s="293"/>
      <c r="C924" s="336"/>
      <c r="D924" s="337"/>
      <c r="E924" s="1"/>
    </row>
    <row r="925" spans="1:5">
      <c r="A925" s="293"/>
      <c r="B925" s="293"/>
      <c r="C925" s="336"/>
      <c r="D925" s="337"/>
      <c r="E925" s="1"/>
    </row>
    <row r="926" spans="1:5">
      <c r="A926" s="293"/>
      <c r="B926" s="293"/>
      <c r="C926" s="336"/>
      <c r="D926" s="337"/>
      <c r="E926" s="1"/>
    </row>
    <row r="927" spans="1:5">
      <c r="A927" s="293"/>
      <c r="B927" s="293"/>
      <c r="C927" s="336"/>
      <c r="D927" s="337"/>
      <c r="E927" s="1"/>
    </row>
    <row r="928" spans="1:5">
      <c r="A928" s="293"/>
      <c r="B928" s="293"/>
      <c r="C928" s="336"/>
      <c r="D928" s="337"/>
      <c r="E928" s="1"/>
    </row>
    <row r="929" spans="1:5">
      <c r="A929" s="293"/>
      <c r="B929" s="293"/>
      <c r="C929" s="336"/>
      <c r="D929" s="337"/>
      <c r="E929" s="1"/>
    </row>
    <row r="930" spans="1:5">
      <c r="A930" s="293"/>
      <c r="B930" s="293"/>
      <c r="C930" s="336"/>
      <c r="D930" s="337"/>
      <c r="E930" s="1"/>
    </row>
    <row r="931" spans="1:5">
      <c r="A931" s="293"/>
      <c r="B931" s="293"/>
      <c r="C931" s="336"/>
      <c r="D931" s="337"/>
      <c r="E931" s="1"/>
    </row>
    <row r="932" spans="1:5">
      <c r="A932" s="293"/>
      <c r="B932" s="293"/>
      <c r="C932" s="336"/>
      <c r="D932" s="337"/>
      <c r="E932" s="1"/>
    </row>
    <row r="933" spans="1:5">
      <c r="A933" s="293"/>
      <c r="B933" s="293"/>
      <c r="C933" s="336"/>
      <c r="D933" s="337"/>
      <c r="E933" s="1"/>
    </row>
    <row r="934" spans="1:5">
      <c r="A934" s="293"/>
      <c r="B934" s="293"/>
      <c r="C934" s="336"/>
      <c r="D934" s="337"/>
      <c r="E934" s="1"/>
    </row>
    <row r="935" spans="1:5">
      <c r="A935" s="293"/>
      <c r="B935" s="293"/>
      <c r="C935" s="336"/>
      <c r="D935" s="337"/>
      <c r="E935" s="1"/>
    </row>
    <row r="936" spans="1:5">
      <c r="A936" s="293"/>
      <c r="B936" s="293"/>
      <c r="C936" s="336"/>
      <c r="D936" s="337"/>
      <c r="E936" s="1"/>
    </row>
    <row r="937" spans="1:5">
      <c r="A937" s="293"/>
      <c r="B937" s="293"/>
      <c r="C937" s="336"/>
      <c r="D937" s="337"/>
      <c r="E937" s="1"/>
    </row>
    <row r="938" spans="1:5">
      <c r="A938" s="293"/>
      <c r="B938" s="293"/>
      <c r="C938" s="336"/>
      <c r="D938" s="337"/>
      <c r="E938" s="1"/>
    </row>
    <row r="939" spans="1:5">
      <c r="A939" s="293"/>
      <c r="B939" s="293"/>
      <c r="C939" s="336"/>
      <c r="D939" s="337"/>
      <c r="E939" s="1"/>
    </row>
    <row r="940" spans="1:5">
      <c r="A940" s="293"/>
      <c r="B940" s="293"/>
      <c r="C940" s="336"/>
      <c r="D940" s="337"/>
      <c r="E940" s="1"/>
    </row>
    <row r="941" spans="1:5">
      <c r="A941" s="293"/>
      <c r="B941" s="293"/>
      <c r="C941" s="336"/>
      <c r="D941" s="337"/>
      <c r="E941" s="1"/>
    </row>
    <row r="942" spans="1:5">
      <c r="A942" s="293"/>
      <c r="B942" s="293"/>
      <c r="C942" s="336"/>
      <c r="D942" s="337"/>
      <c r="E942" s="1"/>
    </row>
    <row r="943" spans="1:5">
      <c r="A943" s="293"/>
      <c r="B943" s="293"/>
      <c r="C943" s="336"/>
      <c r="D943" s="337"/>
      <c r="E943" s="1"/>
    </row>
    <row r="944" spans="1:5">
      <c r="A944" s="293"/>
      <c r="B944" s="293"/>
      <c r="C944" s="336"/>
      <c r="D944" s="337"/>
      <c r="E944" s="1"/>
    </row>
    <row r="945" spans="1:5">
      <c r="A945" s="293"/>
      <c r="B945" s="293"/>
      <c r="C945" s="336"/>
      <c r="D945" s="337"/>
      <c r="E945" s="1"/>
    </row>
    <row r="946" spans="1:5">
      <c r="A946" s="293"/>
      <c r="B946" s="293"/>
      <c r="C946" s="336"/>
      <c r="D946" s="337"/>
      <c r="E946" s="1"/>
    </row>
    <row r="947" spans="1:5">
      <c r="A947" s="293"/>
      <c r="B947" s="293"/>
      <c r="C947" s="336"/>
      <c r="D947" s="337"/>
      <c r="E947" s="1"/>
    </row>
    <row r="948" spans="1:5">
      <c r="A948" s="293"/>
      <c r="B948" s="293"/>
      <c r="C948" s="336"/>
      <c r="D948" s="337"/>
      <c r="E948" s="1"/>
    </row>
    <row r="949" spans="1:5">
      <c r="A949" s="293"/>
      <c r="B949" s="293"/>
      <c r="C949" s="336"/>
      <c r="D949" s="337"/>
      <c r="E949" s="1"/>
    </row>
    <row r="950" spans="1:5">
      <c r="A950" s="293"/>
      <c r="B950" s="293"/>
      <c r="C950" s="336"/>
      <c r="D950" s="337"/>
      <c r="E950" s="1"/>
    </row>
    <row r="951" spans="1:5">
      <c r="A951" s="293"/>
      <c r="B951" s="293"/>
      <c r="C951" s="336"/>
      <c r="D951" s="337"/>
      <c r="E951" s="1"/>
    </row>
    <row r="952" spans="1:5">
      <c r="A952" s="293"/>
      <c r="B952" s="293"/>
      <c r="C952" s="336"/>
      <c r="D952" s="337"/>
      <c r="E952" s="1"/>
    </row>
    <row r="953" spans="1:5">
      <c r="A953" s="293"/>
      <c r="B953" s="293"/>
      <c r="C953" s="336"/>
      <c r="D953" s="337"/>
      <c r="E953" s="1"/>
    </row>
    <row r="954" spans="1:5">
      <c r="A954" s="293"/>
      <c r="B954" s="293"/>
      <c r="C954" s="336"/>
      <c r="D954" s="337"/>
      <c r="E954" s="1"/>
    </row>
    <row r="955" spans="1:5">
      <c r="A955" s="293"/>
      <c r="B955" s="293"/>
      <c r="C955" s="336"/>
      <c r="D955" s="337"/>
      <c r="E955" s="1"/>
    </row>
    <row r="956" spans="1:5">
      <c r="A956" s="293"/>
      <c r="B956" s="293"/>
      <c r="C956" s="336"/>
      <c r="D956" s="337"/>
      <c r="E956" s="1"/>
    </row>
    <row r="957" spans="1:5">
      <c r="A957" s="293"/>
      <c r="B957" s="293"/>
      <c r="C957" s="336"/>
      <c r="D957" s="337"/>
      <c r="E957" s="1"/>
    </row>
    <row r="958" spans="1:5">
      <c r="A958" s="293"/>
      <c r="B958" s="293"/>
      <c r="C958" s="336"/>
      <c r="D958" s="337"/>
      <c r="E958" s="1"/>
    </row>
    <row r="959" spans="1:5">
      <c r="A959" s="293"/>
      <c r="B959" s="293"/>
      <c r="C959" s="336"/>
      <c r="D959" s="337"/>
      <c r="E959" s="1"/>
    </row>
    <row r="960" spans="1:5">
      <c r="A960" s="293"/>
      <c r="B960" s="293"/>
      <c r="C960" s="336"/>
      <c r="D960" s="337"/>
      <c r="E960" s="1"/>
    </row>
    <row r="961" spans="1:5">
      <c r="A961" s="293"/>
      <c r="B961" s="293"/>
      <c r="C961" s="336"/>
      <c r="D961" s="337"/>
      <c r="E961" s="1"/>
    </row>
    <row r="962" spans="1:5">
      <c r="A962" s="293"/>
      <c r="B962" s="293"/>
      <c r="C962" s="336"/>
      <c r="D962" s="337"/>
      <c r="E962" s="1"/>
    </row>
    <row r="963" spans="1:5">
      <c r="A963" s="293"/>
      <c r="B963" s="293"/>
      <c r="C963" s="336"/>
      <c r="D963" s="337"/>
      <c r="E963" s="1"/>
    </row>
    <row r="964" spans="1:5">
      <c r="A964" s="293"/>
      <c r="B964" s="293"/>
      <c r="C964" s="336"/>
      <c r="D964" s="337"/>
      <c r="E964" s="1"/>
    </row>
    <row r="965" spans="1:5">
      <c r="A965" s="293"/>
      <c r="B965" s="293"/>
      <c r="C965" s="336"/>
      <c r="D965" s="337"/>
      <c r="E965" s="1"/>
    </row>
    <row r="966" spans="1:5">
      <c r="A966" s="293"/>
      <c r="B966" s="293"/>
      <c r="C966" s="336"/>
      <c r="D966" s="337"/>
      <c r="E966" s="1"/>
    </row>
    <row r="967" spans="1:5">
      <c r="A967" s="293"/>
      <c r="B967" s="293"/>
      <c r="C967" s="336"/>
      <c r="D967" s="337"/>
      <c r="E967" s="1"/>
    </row>
    <row r="968" spans="1:5">
      <c r="A968" s="293"/>
      <c r="B968" s="293"/>
      <c r="C968" s="336"/>
      <c r="D968" s="337"/>
      <c r="E968" s="1"/>
    </row>
    <row r="969" spans="1:5">
      <c r="A969" s="293"/>
      <c r="B969" s="293"/>
      <c r="C969" s="336"/>
      <c r="D969" s="337"/>
      <c r="E969" s="1"/>
    </row>
    <row r="970" spans="1:5">
      <c r="A970" s="293"/>
      <c r="B970" s="293"/>
      <c r="C970" s="336"/>
      <c r="D970" s="337"/>
      <c r="E970" s="1"/>
    </row>
    <row r="971" spans="1:5">
      <c r="A971" s="293"/>
      <c r="B971" s="293"/>
      <c r="C971" s="336"/>
      <c r="D971" s="337"/>
      <c r="E971" s="1"/>
    </row>
    <row r="972" spans="1:5">
      <c r="A972" s="293"/>
      <c r="B972" s="293"/>
      <c r="C972" s="336"/>
      <c r="D972" s="337"/>
      <c r="E972" s="1"/>
    </row>
    <row r="973" spans="1:5">
      <c r="A973" s="293"/>
      <c r="B973" s="293"/>
      <c r="C973" s="336"/>
      <c r="D973" s="337"/>
      <c r="E973" s="1"/>
    </row>
    <row r="974" spans="1:5">
      <c r="A974" s="293"/>
      <c r="B974" s="293"/>
      <c r="C974" s="336"/>
      <c r="D974" s="337"/>
      <c r="E974" s="1"/>
    </row>
    <row r="975" spans="1:5">
      <c r="A975" s="293"/>
      <c r="B975" s="293"/>
      <c r="C975" s="336"/>
      <c r="D975" s="337"/>
      <c r="E975" s="1"/>
    </row>
    <row r="976" spans="1:5">
      <c r="A976" s="293"/>
      <c r="B976" s="293"/>
      <c r="C976" s="336"/>
      <c r="D976" s="337"/>
      <c r="E976" s="1"/>
    </row>
    <row r="977" spans="1:5">
      <c r="A977" s="293"/>
      <c r="B977" s="293"/>
      <c r="C977" s="336"/>
      <c r="D977" s="337"/>
      <c r="E977" s="1"/>
    </row>
    <row r="978" spans="1:5">
      <c r="A978" s="293"/>
      <c r="B978" s="293"/>
      <c r="C978" s="336"/>
      <c r="D978" s="337"/>
      <c r="E978" s="1"/>
    </row>
    <row r="979" spans="1:5">
      <c r="A979" s="293"/>
      <c r="B979" s="293"/>
      <c r="C979" s="336"/>
      <c r="D979" s="337"/>
      <c r="E979" s="1"/>
    </row>
    <row r="980" spans="1:5">
      <c r="A980" s="293"/>
      <c r="B980" s="293"/>
      <c r="C980" s="336"/>
      <c r="D980" s="337"/>
      <c r="E980" s="1"/>
    </row>
    <row r="981" spans="1:5">
      <c r="A981" s="293"/>
      <c r="B981" s="293"/>
      <c r="C981" s="336"/>
      <c r="D981" s="337"/>
      <c r="E981" s="1"/>
    </row>
    <row r="982" spans="1:5">
      <c r="A982" s="293"/>
      <c r="B982" s="293"/>
      <c r="C982" s="336"/>
      <c r="D982" s="337"/>
      <c r="E982" s="1"/>
    </row>
    <row r="983" spans="1:5">
      <c r="A983" s="293"/>
      <c r="B983" s="293"/>
      <c r="C983" s="336"/>
      <c r="D983" s="337"/>
      <c r="E983" s="1"/>
    </row>
    <row r="984" spans="1:5">
      <c r="A984" s="293"/>
      <c r="B984" s="293"/>
      <c r="C984" s="336"/>
      <c r="D984" s="337"/>
      <c r="E984" s="1"/>
    </row>
    <row r="985" spans="1:5">
      <c r="A985" s="293"/>
      <c r="B985" s="293"/>
      <c r="C985" s="336"/>
      <c r="D985" s="337"/>
      <c r="E985" s="1"/>
    </row>
    <row r="986" spans="1:5">
      <c r="A986" s="293"/>
      <c r="B986" s="293"/>
      <c r="C986" s="336"/>
      <c r="D986" s="337"/>
      <c r="E986" s="1"/>
    </row>
    <row r="987" spans="1:5">
      <c r="A987" s="293"/>
      <c r="B987" s="293"/>
      <c r="C987" s="336"/>
      <c r="D987" s="337"/>
      <c r="E987" s="1"/>
    </row>
    <row r="988" spans="1:5">
      <c r="A988" s="293"/>
      <c r="B988" s="293"/>
      <c r="C988" s="336"/>
      <c r="D988" s="337"/>
      <c r="E988" s="1"/>
    </row>
    <row r="989" spans="1:5">
      <c r="A989" s="293"/>
      <c r="B989" s="293"/>
      <c r="C989" s="336"/>
      <c r="D989" s="337"/>
      <c r="E989" s="1"/>
    </row>
    <row r="990" spans="1:5">
      <c r="A990" s="293"/>
      <c r="B990" s="293"/>
      <c r="C990" s="336"/>
      <c r="D990" s="337"/>
      <c r="E990" s="1"/>
    </row>
    <row r="991" spans="1:5">
      <c r="A991" s="293"/>
      <c r="B991" s="293"/>
      <c r="C991" s="336"/>
      <c r="D991" s="337"/>
      <c r="E991" s="1"/>
    </row>
  </sheetData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  <pageSetUpPr fitToPage="1"/>
  </sheetPr>
  <dimension ref="A1:AE791"/>
  <sheetViews>
    <sheetView workbookViewId="0"/>
  </sheetViews>
  <sheetFormatPr defaultColWidth="11.25" defaultRowHeight="15" customHeight="1"/>
  <cols>
    <col min="2" max="2" width="16.25" customWidth="1"/>
    <col min="3" max="3" width="11.875" customWidth="1"/>
    <col min="4" max="4" width="10.875" customWidth="1"/>
    <col min="11" max="11" width="11.875" customWidth="1"/>
    <col min="18" max="18" width="48.25" customWidth="1"/>
    <col min="19" max="19" width="15.125" customWidth="1"/>
  </cols>
  <sheetData>
    <row r="1" spans="1:31">
      <c r="A1" s="340" t="s">
        <v>0</v>
      </c>
      <c r="B1" s="340" t="s">
        <v>509</v>
      </c>
      <c r="C1" s="340" t="s">
        <v>849</v>
      </c>
      <c r="D1" s="340" t="s">
        <v>850</v>
      </c>
      <c r="E1" s="340" t="s">
        <v>851</v>
      </c>
      <c r="F1" s="340" t="s">
        <v>852</v>
      </c>
      <c r="G1" s="340" t="s">
        <v>847</v>
      </c>
      <c r="H1" s="340" t="s">
        <v>853</v>
      </c>
      <c r="I1" s="340" t="s">
        <v>854</v>
      </c>
      <c r="J1" s="340" t="s">
        <v>855</v>
      </c>
      <c r="K1" s="340" t="s">
        <v>856</v>
      </c>
      <c r="L1" s="340" t="s">
        <v>857</v>
      </c>
      <c r="M1" s="341" t="s">
        <v>858</v>
      </c>
      <c r="N1" s="342" t="s">
        <v>859</v>
      </c>
      <c r="O1" s="342" t="s">
        <v>860</v>
      </c>
      <c r="P1" s="342" t="s">
        <v>7</v>
      </c>
      <c r="Q1" s="342" t="s">
        <v>861</v>
      </c>
      <c r="R1" s="340" t="s">
        <v>278</v>
      </c>
      <c r="S1" s="288"/>
      <c r="T1" s="343"/>
      <c r="U1" s="344"/>
      <c r="V1" s="344"/>
      <c r="W1" s="344"/>
      <c r="X1" s="344"/>
      <c r="Y1" s="345"/>
      <c r="Z1" s="345"/>
      <c r="AA1" s="345"/>
      <c r="AB1" s="345"/>
      <c r="AC1" s="345"/>
      <c r="AD1" s="345"/>
      <c r="AE1" s="345"/>
    </row>
    <row r="2" spans="1:31">
      <c r="A2" s="346" t="s">
        <v>862</v>
      </c>
      <c r="B2" s="346" t="s">
        <v>863</v>
      </c>
      <c r="C2" s="347">
        <v>45469.379166666666</v>
      </c>
      <c r="D2" s="346">
        <v>20</v>
      </c>
      <c r="E2" s="346">
        <v>9.9751000000000006E-2</v>
      </c>
      <c r="F2" s="346" t="s">
        <v>864</v>
      </c>
      <c r="G2" s="346">
        <v>22.5</v>
      </c>
      <c r="H2" s="346">
        <v>1190.3399999999999</v>
      </c>
      <c r="I2" s="346">
        <v>0.99996799999999997</v>
      </c>
      <c r="J2" s="346">
        <v>0.419076</v>
      </c>
      <c r="K2" s="346">
        <v>2090.1999999999998</v>
      </c>
      <c r="L2" s="346"/>
      <c r="M2" s="348" t="e">
        <f t="shared" ref="M2:M150" si="0">(999.842594+0.06793952*G2-0.00909529*G2^2+0.0001001685*G2^3-0.000001120083*G2^4+0.000000006536332*G2^5+(0.824493-0.0040899*G2+0.000076438*G2^2-0.00000082467*G2^3+0.0000000053875*G2^4)*F2+ (-0.00572466 + 0.00010227*G2 - 0.0000016546*G2^2)*F2^1.5 + 0.00048314*F2^2)/1000</f>
        <v>#VALUE!</v>
      </c>
      <c r="N2" s="349" t="e">
        <f t="shared" ref="N2:N150" si="1">K2/M2</f>
        <v>#VALUE!</v>
      </c>
      <c r="O2" s="350" t="e">
        <f t="shared" ref="O2:O143" si="2">N2</f>
        <v>#VALUE!</v>
      </c>
      <c r="P2" s="351" t="s">
        <v>280</v>
      </c>
      <c r="Q2" s="351" t="s">
        <v>865</v>
      </c>
      <c r="R2" s="351"/>
      <c r="S2" s="352"/>
      <c r="T2" s="352"/>
      <c r="U2" s="352"/>
      <c r="V2" s="352"/>
      <c r="W2" s="352"/>
      <c r="X2" s="352"/>
      <c r="Y2" s="70"/>
      <c r="Z2" s="70"/>
      <c r="AA2" s="70"/>
      <c r="AB2" s="70"/>
      <c r="AC2" s="70"/>
      <c r="AD2" s="70"/>
      <c r="AE2" s="70"/>
    </row>
    <row r="3" spans="1:31">
      <c r="A3" s="346" t="s">
        <v>866</v>
      </c>
      <c r="B3" s="346" t="s">
        <v>863</v>
      </c>
      <c r="C3" s="347">
        <v>45469.386111111111</v>
      </c>
      <c r="D3" s="346">
        <v>20</v>
      </c>
      <c r="E3" s="346">
        <v>9.9751000000000006E-2</v>
      </c>
      <c r="F3" s="346" t="s">
        <v>864</v>
      </c>
      <c r="G3" s="346">
        <v>22.5</v>
      </c>
      <c r="H3" s="346">
        <v>1186.4939999999999</v>
      </c>
      <c r="I3" s="346">
        <v>0.99994499999999997</v>
      </c>
      <c r="J3" s="346">
        <v>0.41958299999999998</v>
      </c>
      <c r="K3" s="346">
        <v>2092.6999999999998</v>
      </c>
      <c r="L3" s="346">
        <v>1.7887</v>
      </c>
      <c r="M3" s="348" t="e">
        <f t="shared" si="0"/>
        <v>#VALUE!</v>
      </c>
      <c r="N3" s="349" t="e">
        <f t="shared" si="1"/>
        <v>#VALUE!</v>
      </c>
      <c r="O3" s="350" t="e">
        <f t="shared" si="2"/>
        <v>#VALUE!</v>
      </c>
      <c r="P3" s="351" t="s">
        <v>280</v>
      </c>
      <c r="Q3" s="351" t="s">
        <v>865</v>
      </c>
      <c r="R3" s="351"/>
      <c r="S3" s="352"/>
      <c r="T3" s="352"/>
      <c r="U3" s="352"/>
      <c r="V3" s="352"/>
      <c r="W3" s="352"/>
      <c r="X3" s="352"/>
      <c r="Y3" s="70"/>
      <c r="Z3" s="70"/>
      <c r="AA3" s="70"/>
      <c r="AB3" s="70"/>
      <c r="AC3" s="70"/>
      <c r="AD3" s="70"/>
      <c r="AE3" s="70"/>
    </row>
    <row r="4" spans="1:31">
      <c r="A4" s="346" t="s">
        <v>867</v>
      </c>
      <c r="B4" s="346" t="s">
        <v>863</v>
      </c>
      <c r="C4" s="347">
        <v>45469.393055555556</v>
      </c>
      <c r="D4" s="346">
        <v>20</v>
      </c>
      <c r="E4" s="346">
        <v>9.9751000000000006E-2</v>
      </c>
      <c r="F4" s="346" t="s">
        <v>864</v>
      </c>
      <c r="G4" s="346">
        <v>22.5</v>
      </c>
      <c r="H4" s="346">
        <v>1191.6959999999999</v>
      </c>
      <c r="I4" s="346">
        <v>0.999946</v>
      </c>
      <c r="J4" s="346">
        <v>0.41952899999999999</v>
      </c>
      <c r="K4" s="346">
        <v>2092.4</v>
      </c>
      <c r="L4" s="346">
        <v>0.18890000000000001</v>
      </c>
      <c r="M4" s="348" t="e">
        <f t="shared" si="0"/>
        <v>#VALUE!</v>
      </c>
      <c r="N4" s="349" t="e">
        <f t="shared" si="1"/>
        <v>#VALUE!</v>
      </c>
      <c r="O4" s="350" t="e">
        <f t="shared" si="2"/>
        <v>#VALUE!</v>
      </c>
      <c r="P4" s="351" t="s">
        <v>280</v>
      </c>
      <c r="Q4" s="351" t="s">
        <v>865</v>
      </c>
      <c r="R4" s="351"/>
      <c r="S4" s="352"/>
      <c r="T4" s="352"/>
      <c r="U4" s="352"/>
      <c r="V4" s="352"/>
      <c r="W4" s="352"/>
      <c r="X4" s="352"/>
      <c r="Y4" s="70"/>
      <c r="Z4" s="70"/>
      <c r="AA4" s="70"/>
      <c r="AB4" s="70"/>
      <c r="AC4" s="70"/>
      <c r="AD4" s="70"/>
      <c r="AE4" s="70"/>
    </row>
    <row r="5" spans="1:31">
      <c r="A5" s="346" t="s">
        <v>868</v>
      </c>
      <c r="B5" s="346" t="s">
        <v>552</v>
      </c>
      <c r="C5" s="347">
        <v>45469.407638888886</v>
      </c>
      <c r="D5" s="346">
        <v>20</v>
      </c>
      <c r="E5" s="346">
        <v>9.9839999999999998E-2</v>
      </c>
      <c r="F5" s="346">
        <v>33.200000000000003</v>
      </c>
      <c r="G5" s="346">
        <v>22.5</v>
      </c>
      <c r="H5" s="346">
        <v>992.49239999999998</v>
      </c>
      <c r="I5" s="346">
        <v>0.99976500000000001</v>
      </c>
      <c r="J5" s="346">
        <v>0.45145299999999999</v>
      </c>
      <c r="K5" s="346">
        <v>2253.6999999999998</v>
      </c>
      <c r="L5" s="346" t="s">
        <v>553</v>
      </c>
      <c r="M5" s="348">
        <f t="shared" si="0"/>
        <v>1.0227124503008802</v>
      </c>
      <c r="N5" s="349">
        <f t="shared" si="1"/>
        <v>2203.6497153593518</v>
      </c>
      <c r="O5" s="350">
        <f t="shared" si="2"/>
        <v>2203.6497153593518</v>
      </c>
      <c r="P5" s="351" t="s">
        <v>12</v>
      </c>
      <c r="Q5" s="351" t="s">
        <v>865</v>
      </c>
      <c r="R5" s="351" t="s">
        <v>869</v>
      </c>
      <c r="S5" s="352"/>
      <c r="T5" s="352"/>
      <c r="U5" s="352"/>
      <c r="V5" s="352"/>
      <c r="W5" s="352"/>
      <c r="X5" s="352"/>
      <c r="Y5" s="70"/>
      <c r="Z5" s="70"/>
      <c r="AA5" s="70"/>
      <c r="AB5" s="70"/>
      <c r="AC5" s="70"/>
      <c r="AD5" s="70"/>
      <c r="AE5" s="70"/>
    </row>
    <row r="6" spans="1:31">
      <c r="A6" s="346" t="s">
        <v>870</v>
      </c>
      <c r="B6" s="346" t="s">
        <v>552</v>
      </c>
      <c r="C6" s="347">
        <v>45469.413888888892</v>
      </c>
      <c r="D6" s="346">
        <v>20</v>
      </c>
      <c r="E6" s="346">
        <v>9.9867999999999998E-2</v>
      </c>
      <c r="F6" s="346">
        <v>33.200000000000003</v>
      </c>
      <c r="G6" s="346">
        <v>22.5</v>
      </c>
      <c r="H6" s="346">
        <v>986.83849999999995</v>
      </c>
      <c r="I6" s="346">
        <v>0.99975999999999998</v>
      </c>
      <c r="J6" s="346">
        <v>0.45132800000000001</v>
      </c>
      <c r="K6" s="346">
        <v>2253.6999999999998</v>
      </c>
      <c r="L6" s="353">
        <v>4.0000000000000002E-4</v>
      </c>
      <c r="M6" s="348">
        <f t="shared" si="0"/>
        <v>1.0227124503008802</v>
      </c>
      <c r="N6" s="349">
        <f t="shared" si="1"/>
        <v>2203.6497153593518</v>
      </c>
      <c r="O6" s="350">
        <f t="shared" si="2"/>
        <v>2203.6497153593518</v>
      </c>
      <c r="P6" s="351" t="s">
        <v>12</v>
      </c>
      <c r="Q6" s="351" t="s">
        <v>865</v>
      </c>
      <c r="R6" s="351" t="s">
        <v>869</v>
      </c>
      <c r="S6" s="352"/>
      <c r="T6" s="352"/>
      <c r="U6" s="352"/>
      <c r="V6" s="352"/>
      <c r="W6" s="352"/>
      <c r="X6" s="352"/>
      <c r="Y6" s="70"/>
      <c r="Z6" s="70"/>
      <c r="AA6" s="70"/>
      <c r="AB6" s="70"/>
      <c r="AC6" s="70"/>
      <c r="AD6" s="70"/>
      <c r="AE6" s="70"/>
    </row>
    <row r="7" spans="1:31">
      <c r="A7" s="346" t="s">
        <v>871</v>
      </c>
      <c r="B7" s="346" t="s">
        <v>552</v>
      </c>
      <c r="C7" s="347">
        <v>45469.420138888891</v>
      </c>
      <c r="D7" s="346">
        <v>20</v>
      </c>
      <c r="E7" s="346">
        <v>9.9918000000000007E-2</v>
      </c>
      <c r="F7" s="346">
        <v>33.200000000000003</v>
      </c>
      <c r="G7" s="346">
        <v>22.5</v>
      </c>
      <c r="H7" s="346">
        <v>987.71770000000004</v>
      </c>
      <c r="I7" s="346">
        <v>0.99978100000000003</v>
      </c>
      <c r="J7" s="346">
        <v>0.45110099999999997</v>
      </c>
      <c r="K7" s="346">
        <v>2253.6999999999998</v>
      </c>
      <c r="L7" s="353">
        <v>4.0000000000000002E-4</v>
      </c>
      <c r="M7" s="348">
        <f t="shared" si="0"/>
        <v>1.0227124503008802</v>
      </c>
      <c r="N7" s="349">
        <f t="shared" si="1"/>
        <v>2203.6497153593518</v>
      </c>
      <c r="O7" s="350">
        <f t="shared" si="2"/>
        <v>2203.6497153593518</v>
      </c>
      <c r="P7" s="351" t="s">
        <v>12</v>
      </c>
      <c r="Q7" s="351" t="s">
        <v>865</v>
      </c>
      <c r="R7" s="351" t="s">
        <v>869</v>
      </c>
      <c r="S7" s="352"/>
      <c r="T7" s="352"/>
      <c r="U7" s="352"/>
      <c r="V7" s="352"/>
      <c r="W7" s="352"/>
      <c r="X7" s="352"/>
      <c r="Y7" s="70"/>
      <c r="Z7" s="70"/>
      <c r="AA7" s="70"/>
      <c r="AB7" s="70"/>
      <c r="AC7" s="70"/>
      <c r="AD7" s="70"/>
      <c r="AE7" s="70"/>
    </row>
    <row r="8" spans="1:31">
      <c r="A8" s="354" t="s">
        <v>872</v>
      </c>
      <c r="B8" s="354" t="s">
        <v>552</v>
      </c>
      <c r="C8" s="355">
        <v>45469.427083333336</v>
      </c>
      <c r="D8" s="354">
        <v>20</v>
      </c>
      <c r="E8" s="354">
        <v>9.9892999999999996E-2</v>
      </c>
      <c r="F8" s="354">
        <v>33.200000000000003</v>
      </c>
      <c r="G8" s="354">
        <v>22.5</v>
      </c>
      <c r="H8" s="354">
        <v>986.51020000000005</v>
      </c>
      <c r="I8" s="354">
        <v>0.999803</v>
      </c>
      <c r="J8" s="354">
        <v>0.45111899999999999</v>
      </c>
      <c r="K8" s="354">
        <v>2253.1999999999998</v>
      </c>
      <c r="L8" s="354"/>
      <c r="M8" s="348">
        <f t="shared" si="0"/>
        <v>1.0227124503008802</v>
      </c>
      <c r="N8" s="349">
        <f t="shared" si="1"/>
        <v>2203.1608193848742</v>
      </c>
      <c r="O8" s="350">
        <f t="shared" si="2"/>
        <v>2203.1608193848742</v>
      </c>
      <c r="P8" s="351" t="s">
        <v>12</v>
      </c>
      <c r="Q8" s="356" t="s">
        <v>865</v>
      </c>
      <c r="R8" s="356"/>
      <c r="S8" s="352"/>
      <c r="T8" s="352"/>
      <c r="U8" s="352"/>
      <c r="V8" s="352"/>
      <c r="W8" s="352"/>
      <c r="X8" s="352"/>
      <c r="Y8" s="70"/>
      <c r="Z8" s="70"/>
      <c r="AA8" s="70"/>
      <c r="AB8" s="70"/>
      <c r="AC8" s="70"/>
      <c r="AD8" s="70"/>
      <c r="AE8" s="70"/>
    </row>
    <row r="9" spans="1:31">
      <c r="A9" s="346" t="s">
        <v>873</v>
      </c>
      <c r="B9" s="346">
        <v>1</v>
      </c>
      <c r="C9" s="347">
        <v>45469.43472222222</v>
      </c>
      <c r="D9" s="346">
        <v>20</v>
      </c>
      <c r="E9" s="346">
        <v>9.9892999999999996E-2</v>
      </c>
      <c r="F9" s="346">
        <v>37.299999999999997</v>
      </c>
      <c r="G9" s="346">
        <v>22.5</v>
      </c>
      <c r="H9" s="346">
        <v>984.56029999999998</v>
      </c>
      <c r="I9" s="346">
        <v>0.99981100000000001</v>
      </c>
      <c r="J9" s="346">
        <v>0.48752499999999999</v>
      </c>
      <c r="K9" s="346">
        <v>2435</v>
      </c>
      <c r="L9" s="346"/>
      <c r="M9" s="348">
        <f t="shared" si="0"/>
        <v>1.0258254635154704</v>
      </c>
      <c r="N9" s="349">
        <f t="shared" si="1"/>
        <v>2373.6981451555457</v>
      </c>
      <c r="O9" s="350">
        <f t="shared" si="2"/>
        <v>2373.6981451555457</v>
      </c>
      <c r="P9" s="351" t="s">
        <v>12</v>
      </c>
      <c r="Q9" s="351" t="s">
        <v>865</v>
      </c>
      <c r="R9" s="351"/>
      <c r="S9" s="352"/>
      <c r="T9" s="352"/>
      <c r="U9" s="352"/>
      <c r="V9" s="352"/>
      <c r="W9" s="352"/>
      <c r="X9" s="352"/>
      <c r="Y9" s="70"/>
      <c r="Z9" s="70"/>
      <c r="AA9" s="70"/>
      <c r="AB9" s="70"/>
      <c r="AC9" s="70"/>
      <c r="AD9" s="70"/>
      <c r="AE9" s="70"/>
    </row>
    <row r="10" spans="1:31">
      <c r="A10" s="346" t="s">
        <v>874</v>
      </c>
      <c r="B10" s="346">
        <v>2</v>
      </c>
      <c r="C10" s="347">
        <v>45469.44027777778</v>
      </c>
      <c r="D10" s="346">
        <v>20</v>
      </c>
      <c r="E10" s="346">
        <v>9.9892999999999996E-2</v>
      </c>
      <c r="F10" s="346">
        <v>37.299999999999997</v>
      </c>
      <c r="G10" s="346">
        <v>22.5</v>
      </c>
      <c r="H10" s="346">
        <v>987.48119999999994</v>
      </c>
      <c r="I10" s="346">
        <v>0.99978</v>
      </c>
      <c r="J10" s="346">
        <v>0.48725499999999999</v>
      </c>
      <c r="K10" s="346">
        <v>2433.6999999999998</v>
      </c>
      <c r="L10" s="346"/>
      <c r="M10" s="348">
        <f t="shared" si="0"/>
        <v>1.0258254635154704</v>
      </c>
      <c r="N10" s="349">
        <f t="shared" si="1"/>
        <v>2372.4308730451953</v>
      </c>
      <c r="O10" s="350">
        <f t="shared" si="2"/>
        <v>2372.4308730451953</v>
      </c>
      <c r="P10" s="351" t="s">
        <v>12</v>
      </c>
      <c r="Q10" s="351" t="s">
        <v>865</v>
      </c>
      <c r="R10" s="351"/>
      <c r="S10" s="352"/>
      <c r="T10" s="352"/>
      <c r="U10" s="352"/>
      <c r="V10" s="352"/>
      <c r="W10" s="352"/>
      <c r="X10" s="352"/>
      <c r="Y10" s="70"/>
      <c r="Z10" s="70"/>
      <c r="AA10" s="70"/>
      <c r="AB10" s="70"/>
      <c r="AC10" s="70"/>
      <c r="AD10" s="70"/>
      <c r="AE10" s="70"/>
    </row>
    <row r="11" spans="1:31">
      <c r="A11" s="346" t="s">
        <v>875</v>
      </c>
      <c r="B11" s="346">
        <v>118</v>
      </c>
      <c r="C11" s="347">
        <v>45469.445833333331</v>
      </c>
      <c r="D11" s="346">
        <v>20</v>
      </c>
      <c r="E11" s="346">
        <v>9.9892999999999996E-2</v>
      </c>
      <c r="F11" s="346">
        <v>37.200000000000003</v>
      </c>
      <c r="G11" s="346">
        <v>22.5</v>
      </c>
      <c r="H11" s="346">
        <v>991.1816</v>
      </c>
      <c r="I11" s="346">
        <v>0.99978100000000003</v>
      </c>
      <c r="J11" s="346">
        <v>0.48727500000000001</v>
      </c>
      <c r="K11" s="346">
        <v>2433.8000000000002</v>
      </c>
      <c r="L11" s="353"/>
      <c r="M11" s="348">
        <f t="shared" si="0"/>
        <v>1.0257494498155078</v>
      </c>
      <c r="N11" s="349">
        <f t="shared" si="1"/>
        <v>2372.7041729710368</v>
      </c>
      <c r="O11" s="350">
        <f t="shared" si="2"/>
        <v>2372.7041729710368</v>
      </c>
      <c r="P11" s="351" t="s">
        <v>12</v>
      </c>
      <c r="Q11" s="351" t="s">
        <v>865</v>
      </c>
      <c r="R11" s="351"/>
      <c r="S11" s="352"/>
      <c r="T11" s="352"/>
      <c r="U11" s="352"/>
      <c r="V11" s="352"/>
      <c r="W11" s="352"/>
      <c r="X11" s="352"/>
      <c r="Y11" s="70"/>
      <c r="Z11" s="70"/>
      <c r="AA11" s="70"/>
      <c r="AB11" s="70"/>
      <c r="AC11" s="70"/>
      <c r="AD11" s="70"/>
      <c r="AE11" s="70"/>
    </row>
    <row r="12" spans="1:31">
      <c r="A12" s="346" t="s">
        <v>876</v>
      </c>
      <c r="B12" s="346">
        <v>119</v>
      </c>
      <c r="C12" s="347">
        <v>45469.451388888891</v>
      </c>
      <c r="D12" s="346">
        <v>20</v>
      </c>
      <c r="E12" s="346">
        <v>9.9892999999999996E-2</v>
      </c>
      <c r="F12" s="346">
        <v>37.200000000000003</v>
      </c>
      <c r="G12" s="346">
        <v>22.5</v>
      </c>
      <c r="H12" s="346">
        <v>984.5009</v>
      </c>
      <c r="I12" s="346">
        <v>0.99981100000000001</v>
      </c>
      <c r="J12" s="346">
        <v>0.48626599999999998</v>
      </c>
      <c r="K12" s="346">
        <v>2428.6999999999998</v>
      </c>
      <c r="L12" s="353"/>
      <c r="M12" s="348">
        <f t="shared" si="0"/>
        <v>1.0257494498155078</v>
      </c>
      <c r="N12" s="349">
        <f t="shared" si="1"/>
        <v>2367.7321985762001</v>
      </c>
      <c r="O12" s="350">
        <f t="shared" si="2"/>
        <v>2367.7321985762001</v>
      </c>
      <c r="P12" s="351" t="s">
        <v>12</v>
      </c>
      <c r="Q12" s="351" t="s">
        <v>865</v>
      </c>
      <c r="R12" s="351"/>
      <c r="S12" s="352"/>
      <c r="T12" s="352"/>
      <c r="U12" s="352"/>
      <c r="V12" s="352"/>
      <c r="W12" s="352"/>
      <c r="X12" s="352"/>
      <c r="Y12" s="70"/>
      <c r="Z12" s="70"/>
      <c r="AA12" s="70"/>
      <c r="AB12" s="70"/>
      <c r="AC12" s="70"/>
      <c r="AD12" s="70"/>
      <c r="AE12" s="70"/>
    </row>
    <row r="13" spans="1:31">
      <c r="A13" s="346" t="s">
        <v>877</v>
      </c>
      <c r="B13" s="346">
        <v>105</v>
      </c>
      <c r="C13" s="347">
        <v>45469.457638888889</v>
      </c>
      <c r="D13" s="346">
        <v>20</v>
      </c>
      <c r="E13" s="346">
        <v>9.9892999999999996E-2</v>
      </c>
      <c r="F13" s="346">
        <v>37.299999999999997</v>
      </c>
      <c r="G13" s="346">
        <v>22.5</v>
      </c>
      <c r="H13" s="346">
        <v>984.56029999999998</v>
      </c>
      <c r="I13" s="346">
        <v>0.99981100000000001</v>
      </c>
      <c r="J13" s="346">
        <v>0.48752499999999999</v>
      </c>
      <c r="K13" s="346">
        <v>2435</v>
      </c>
      <c r="L13" s="346"/>
      <c r="M13" s="348">
        <f t="shared" si="0"/>
        <v>1.0258254635154704</v>
      </c>
      <c r="N13" s="349">
        <f t="shared" si="1"/>
        <v>2373.6981451555457</v>
      </c>
      <c r="O13" s="350">
        <f t="shared" si="2"/>
        <v>2373.6981451555457</v>
      </c>
      <c r="P13" s="351" t="s">
        <v>12</v>
      </c>
      <c r="Q13" s="351" t="s">
        <v>865</v>
      </c>
      <c r="R13" s="350"/>
      <c r="S13" s="352"/>
      <c r="T13" s="352"/>
      <c r="U13" s="352"/>
      <c r="V13" s="352"/>
      <c r="W13" s="352"/>
      <c r="X13" s="352"/>
      <c r="Y13" s="70"/>
      <c r="Z13" s="70"/>
      <c r="AA13" s="70"/>
      <c r="AB13" s="70"/>
      <c r="AC13" s="70"/>
      <c r="AD13" s="70"/>
      <c r="AE13" s="70"/>
    </row>
    <row r="14" spans="1:31">
      <c r="A14" s="346" t="s">
        <v>878</v>
      </c>
      <c r="B14" s="346">
        <v>106</v>
      </c>
      <c r="C14" s="347">
        <v>45469.462500000001</v>
      </c>
      <c r="D14" s="346">
        <v>20</v>
      </c>
      <c r="E14" s="346">
        <v>9.9892999999999996E-2</v>
      </c>
      <c r="F14" s="346">
        <v>37.299999999999997</v>
      </c>
      <c r="G14" s="346">
        <v>22.5</v>
      </c>
      <c r="H14" s="346">
        <v>984.56029999999998</v>
      </c>
      <c r="I14" s="346">
        <v>0.99981100000000001</v>
      </c>
      <c r="J14" s="346">
        <v>0.48752499999999999</v>
      </c>
      <c r="K14" s="346">
        <v>2435</v>
      </c>
      <c r="L14" s="346"/>
      <c r="M14" s="348">
        <f t="shared" si="0"/>
        <v>1.0258254635154704</v>
      </c>
      <c r="N14" s="349">
        <f t="shared" si="1"/>
        <v>2373.6981451555457</v>
      </c>
      <c r="O14" s="350">
        <f t="shared" si="2"/>
        <v>2373.6981451555457</v>
      </c>
      <c r="P14" s="351" t="s">
        <v>12</v>
      </c>
      <c r="Q14" s="351" t="s">
        <v>865</v>
      </c>
      <c r="R14" s="350"/>
      <c r="S14" s="352"/>
      <c r="T14" s="352"/>
      <c r="U14" s="352"/>
      <c r="V14" s="352"/>
      <c r="W14" s="352"/>
      <c r="X14" s="352"/>
      <c r="Y14" s="70"/>
      <c r="Z14" s="70"/>
      <c r="AA14" s="70"/>
      <c r="AB14" s="70"/>
      <c r="AC14" s="70"/>
      <c r="AD14" s="70"/>
      <c r="AE14" s="70"/>
    </row>
    <row r="15" spans="1:31">
      <c r="A15" s="346" t="s">
        <v>879</v>
      </c>
      <c r="B15" s="346">
        <v>14</v>
      </c>
      <c r="C15" s="347">
        <v>45469.468055555553</v>
      </c>
      <c r="D15" s="346">
        <v>20</v>
      </c>
      <c r="E15" s="346">
        <v>9.9892999999999996E-2</v>
      </c>
      <c r="F15" s="346">
        <v>36.9</v>
      </c>
      <c r="G15" s="346">
        <v>22.5</v>
      </c>
      <c r="H15" s="346">
        <v>984.18849999999998</v>
      </c>
      <c r="I15" s="346">
        <v>0.99976500000000001</v>
      </c>
      <c r="J15" s="346">
        <v>0.48422599999999999</v>
      </c>
      <c r="K15" s="346">
        <v>2418.5</v>
      </c>
      <c r="L15" s="346"/>
      <c r="M15" s="348">
        <f t="shared" si="0"/>
        <v>1.0255214352246484</v>
      </c>
      <c r="N15" s="349">
        <f t="shared" si="1"/>
        <v>2358.312480782236</v>
      </c>
      <c r="O15" s="350">
        <f t="shared" si="2"/>
        <v>2358.312480782236</v>
      </c>
      <c r="P15" s="351" t="s">
        <v>12</v>
      </c>
      <c r="Q15" s="351" t="s">
        <v>865</v>
      </c>
      <c r="R15" s="350"/>
      <c r="S15" s="352"/>
      <c r="T15" s="352"/>
      <c r="U15" s="352"/>
      <c r="V15" s="352"/>
      <c r="W15" s="352"/>
      <c r="X15" s="352"/>
      <c r="Y15" s="70"/>
      <c r="Z15" s="70"/>
      <c r="AA15" s="70"/>
      <c r="AB15" s="70"/>
      <c r="AC15" s="70"/>
      <c r="AD15" s="70"/>
      <c r="AE15" s="70"/>
    </row>
    <row r="16" spans="1:31">
      <c r="A16" s="346" t="s">
        <v>880</v>
      </c>
      <c r="B16" s="346">
        <v>15</v>
      </c>
      <c r="C16" s="347">
        <v>45469.473611111112</v>
      </c>
      <c r="D16" s="346">
        <v>20</v>
      </c>
      <c r="E16" s="346">
        <v>9.9892999999999996E-2</v>
      </c>
      <c r="F16" s="346">
        <v>37.1</v>
      </c>
      <c r="G16" s="346">
        <v>22.5</v>
      </c>
      <c r="H16" s="346">
        <v>985.51229999999998</v>
      </c>
      <c r="I16" s="346">
        <v>0.99982400000000005</v>
      </c>
      <c r="J16" s="346">
        <v>0.48394999999999999</v>
      </c>
      <c r="K16" s="346">
        <v>2417.1999999999998</v>
      </c>
      <c r="L16" s="346"/>
      <c r="M16" s="348">
        <f t="shared" si="0"/>
        <v>1.0256734405384258</v>
      </c>
      <c r="N16" s="349">
        <f t="shared" si="1"/>
        <v>2356.6955177576738</v>
      </c>
      <c r="O16" s="350">
        <f t="shared" si="2"/>
        <v>2356.6955177576738</v>
      </c>
      <c r="P16" s="351" t="s">
        <v>12</v>
      </c>
      <c r="Q16" s="351" t="s">
        <v>865</v>
      </c>
      <c r="R16" s="350"/>
      <c r="S16" s="352"/>
      <c r="T16" s="352"/>
      <c r="U16" s="352"/>
      <c r="V16" s="352"/>
      <c r="W16" s="352"/>
      <c r="X16" s="352"/>
      <c r="Y16" s="70"/>
      <c r="Z16" s="70"/>
      <c r="AA16" s="70"/>
      <c r="AB16" s="70"/>
      <c r="AC16" s="70"/>
      <c r="AD16" s="70"/>
      <c r="AE16" s="70"/>
    </row>
    <row r="17" spans="1:31">
      <c r="A17" s="346" t="s">
        <v>881</v>
      </c>
      <c r="B17" s="346">
        <v>79</v>
      </c>
      <c r="C17" s="347">
        <v>45469.479166666664</v>
      </c>
      <c r="D17" s="346">
        <v>20</v>
      </c>
      <c r="E17" s="346">
        <v>9.9892999999999996E-2</v>
      </c>
      <c r="F17" s="346">
        <v>37</v>
      </c>
      <c r="G17" s="346">
        <v>22.5</v>
      </c>
      <c r="H17" s="346">
        <v>986.38980000000004</v>
      </c>
      <c r="I17" s="346">
        <v>0.99976200000000004</v>
      </c>
      <c r="J17" s="346">
        <v>0.48457299999999998</v>
      </c>
      <c r="K17" s="346">
        <v>2420.3000000000002</v>
      </c>
      <c r="L17" s="346"/>
      <c r="M17" s="348">
        <f t="shared" si="0"/>
        <v>1.0255974356771682</v>
      </c>
      <c r="N17" s="349">
        <f t="shared" si="1"/>
        <v>2359.8927959506409</v>
      </c>
      <c r="O17" s="350">
        <f t="shared" si="2"/>
        <v>2359.8927959506409</v>
      </c>
      <c r="P17" s="351" t="s">
        <v>12</v>
      </c>
      <c r="Q17" s="351" t="s">
        <v>865</v>
      </c>
      <c r="R17" s="350"/>
      <c r="S17" s="352"/>
      <c r="T17" s="352"/>
      <c r="U17" s="352"/>
      <c r="V17" s="352"/>
      <c r="W17" s="352"/>
      <c r="X17" s="352"/>
      <c r="Y17" s="70"/>
      <c r="Z17" s="70"/>
      <c r="AA17" s="70"/>
      <c r="AB17" s="70"/>
      <c r="AC17" s="70"/>
      <c r="AD17" s="70"/>
      <c r="AE17" s="70"/>
    </row>
    <row r="18" spans="1:31">
      <c r="A18" s="346" t="s">
        <v>882</v>
      </c>
      <c r="B18" s="346">
        <v>80</v>
      </c>
      <c r="C18" s="347">
        <v>45469.48541666667</v>
      </c>
      <c r="D18" s="346">
        <v>20</v>
      </c>
      <c r="E18" s="346">
        <v>9.9892999999999996E-2</v>
      </c>
      <c r="F18" s="346">
        <v>37.200000000000003</v>
      </c>
      <c r="G18" s="346">
        <v>22.5</v>
      </c>
      <c r="H18" s="346">
        <v>986.4529</v>
      </c>
      <c r="I18" s="346">
        <v>0.99977000000000005</v>
      </c>
      <c r="J18" s="346">
        <v>0.48444999999999999</v>
      </c>
      <c r="K18" s="346">
        <v>2419.6999999999998</v>
      </c>
      <c r="L18" s="346"/>
      <c r="M18" s="348">
        <f t="shared" si="0"/>
        <v>1.0257494498155078</v>
      </c>
      <c r="N18" s="349">
        <f t="shared" si="1"/>
        <v>2358.9581261147246</v>
      </c>
      <c r="O18" s="350">
        <f t="shared" si="2"/>
        <v>2358.9581261147246</v>
      </c>
      <c r="P18" s="351" t="s">
        <v>12</v>
      </c>
      <c r="Q18" s="351" t="s">
        <v>865</v>
      </c>
      <c r="R18" s="350"/>
      <c r="S18" s="352"/>
      <c r="T18" s="352"/>
      <c r="U18" s="352"/>
      <c r="V18" s="352"/>
      <c r="W18" s="352"/>
      <c r="X18" s="352"/>
      <c r="Y18" s="70"/>
      <c r="Z18" s="70"/>
      <c r="AA18" s="70"/>
      <c r="AB18" s="70"/>
      <c r="AC18" s="70"/>
      <c r="AD18" s="70"/>
      <c r="AE18" s="70"/>
    </row>
    <row r="19" spans="1:31">
      <c r="A19" s="354" t="s">
        <v>883</v>
      </c>
      <c r="B19" s="354" t="s">
        <v>552</v>
      </c>
      <c r="C19" s="355">
        <v>45469.490972222222</v>
      </c>
      <c r="D19" s="354">
        <v>20</v>
      </c>
      <c r="E19" s="354">
        <v>9.9892999999999996E-2</v>
      </c>
      <c r="F19" s="354">
        <v>33.200000000000003</v>
      </c>
      <c r="G19" s="354">
        <v>22.5</v>
      </c>
      <c r="H19" s="354">
        <v>989.65189999999996</v>
      </c>
      <c r="I19" s="354">
        <v>0.99972899999999998</v>
      </c>
      <c r="J19" s="354">
        <v>0.45152999999999999</v>
      </c>
      <c r="K19" s="354">
        <v>2255.1999999999998</v>
      </c>
      <c r="L19" s="354"/>
      <c r="M19" s="348">
        <f t="shared" si="0"/>
        <v>1.0227124503008802</v>
      </c>
      <c r="N19" s="349">
        <f t="shared" si="1"/>
        <v>2205.1164032827837</v>
      </c>
      <c r="O19" s="350">
        <f t="shared" si="2"/>
        <v>2205.1164032827837</v>
      </c>
      <c r="P19" s="351" t="s">
        <v>12</v>
      </c>
      <c r="Q19" s="356" t="s">
        <v>865</v>
      </c>
      <c r="R19" s="357"/>
      <c r="S19" s="352"/>
      <c r="T19" s="352"/>
      <c r="U19" s="352"/>
      <c r="V19" s="352"/>
      <c r="W19" s="352"/>
      <c r="X19" s="352"/>
      <c r="Y19" s="70"/>
      <c r="Z19" s="70"/>
      <c r="AA19" s="70"/>
      <c r="AB19" s="70"/>
      <c r="AC19" s="70"/>
      <c r="AD19" s="70"/>
      <c r="AE19" s="70"/>
    </row>
    <row r="20" spans="1:31">
      <c r="A20" s="346" t="s">
        <v>884</v>
      </c>
      <c r="B20" s="346">
        <v>66</v>
      </c>
      <c r="C20" s="347">
        <v>45469.655555555553</v>
      </c>
      <c r="D20" s="346">
        <v>20</v>
      </c>
      <c r="E20" s="346">
        <v>9.9892999999999996E-2</v>
      </c>
      <c r="F20" s="346">
        <v>37.1</v>
      </c>
      <c r="G20" s="346">
        <v>22.5</v>
      </c>
      <c r="H20" s="346">
        <v>984.03369999999995</v>
      </c>
      <c r="I20" s="346">
        <v>0.99984099999999998</v>
      </c>
      <c r="J20" s="346">
        <v>0.48433599999999999</v>
      </c>
      <c r="K20" s="346">
        <v>2419.1</v>
      </c>
      <c r="L20" s="346"/>
      <c r="M20" s="348">
        <f t="shared" si="0"/>
        <v>1.0256734405384258</v>
      </c>
      <c r="N20" s="349">
        <f t="shared" si="1"/>
        <v>2358.5479592121414</v>
      </c>
      <c r="O20" s="350">
        <f t="shared" si="2"/>
        <v>2358.5479592121414</v>
      </c>
      <c r="P20" s="351" t="s">
        <v>12</v>
      </c>
      <c r="Q20" s="351" t="s">
        <v>865</v>
      </c>
      <c r="R20" s="350"/>
      <c r="S20" s="352"/>
      <c r="T20" s="352"/>
      <c r="U20" s="352"/>
      <c r="V20" s="352"/>
      <c r="W20" s="352"/>
      <c r="X20" s="352"/>
      <c r="Y20" s="70"/>
      <c r="Z20" s="70"/>
      <c r="AA20" s="70"/>
      <c r="AB20" s="70"/>
      <c r="AC20" s="70"/>
      <c r="AD20" s="70"/>
      <c r="AE20" s="70"/>
    </row>
    <row r="21" spans="1:31">
      <c r="A21" s="346" t="s">
        <v>885</v>
      </c>
      <c r="B21" s="346">
        <v>67</v>
      </c>
      <c r="C21" s="347">
        <v>45469.665972222225</v>
      </c>
      <c r="D21" s="346">
        <v>20</v>
      </c>
      <c r="E21" s="346">
        <v>9.9892999999999996E-2</v>
      </c>
      <c r="F21" s="346">
        <v>37.299999999999997</v>
      </c>
      <c r="G21" s="346">
        <v>22.5</v>
      </c>
      <c r="H21" s="346">
        <v>980.68669999999997</v>
      </c>
      <c r="I21" s="346">
        <v>0.99976900000000002</v>
      </c>
      <c r="J21" s="346">
        <v>0.48510599999999998</v>
      </c>
      <c r="K21" s="346">
        <v>2422.9</v>
      </c>
      <c r="L21" s="346"/>
      <c r="M21" s="348">
        <f t="shared" si="0"/>
        <v>1.0258254635154704</v>
      </c>
      <c r="N21" s="349">
        <f t="shared" si="1"/>
        <v>2361.9027662822882</v>
      </c>
      <c r="O21" s="350">
        <f t="shared" si="2"/>
        <v>2361.9027662822882</v>
      </c>
      <c r="P21" s="351" t="s">
        <v>12</v>
      </c>
      <c r="Q21" s="351" t="s">
        <v>865</v>
      </c>
      <c r="R21" s="350"/>
      <c r="S21" s="352"/>
      <c r="T21" s="352"/>
      <c r="U21" s="352"/>
      <c r="V21" s="352"/>
      <c r="W21" s="352"/>
      <c r="X21" s="352"/>
      <c r="Y21" s="70"/>
      <c r="Z21" s="70"/>
      <c r="AA21" s="70"/>
      <c r="AB21" s="70"/>
      <c r="AC21" s="70"/>
      <c r="AD21" s="70"/>
      <c r="AE21" s="70"/>
    </row>
    <row r="22" spans="1:31">
      <c r="A22" s="346" t="s">
        <v>886</v>
      </c>
      <c r="B22" s="346">
        <v>92</v>
      </c>
      <c r="C22" s="347">
        <v>45469.67083333333</v>
      </c>
      <c r="D22" s="346">
        <v>20</v>
      </c>
      <c r="E22" s="346">
        <v>9.9892999999999996E-2</v>
      </c>
      <c r="F22" s="346">
        <v>37.200000000000003</v>
      </c>
      <c r="G22" s="346">
        <v>22.5</v>
      </c>
      <c r="H22" s="346">
        <v>982.22190000000001</v>
      </c>
      <c r="I22" s="346">
        <v>0.99977899999999997</v>
      </c>
      <c r="J22" s="346">
        <v>0.484348</v>
      </c>
      <c r="K22" s="346">
        <v>2419.1999999999998</v>
      </c>
      <c r="L22" s="346"/>
      <c r="M22" s="348">
        <f t="shared" si="0"/>
        <v>1.0257494498155078</v>
      </c>
      <c r="N22" s="349">
        <f t="shared" si="1"/>
        <v>2358.4706776446424</v>
      </c>
      <c r="O22" s="350">
        <f t="shared" si="2"/>
        <v>2358.4706776446424</v>
      </c>
      <c r="P22" s="351" t="s">
        <v>12</v>
      </c>
      <c r="Q22" s="351" t="s">
        <v>865</v>
      </c>
      <c r="R22" s="350"/>
      <c r="S22" s="352"/>
      <c r="T22" s="352"/>
      <c r="U22" s="352"/>
      <c r="V22" s="352"/>
      <c r="W22" s="352"/>
      <c r="X22" s="352"/>
      <c r="Y22" s="70"/>
      <c r="Z22" s="70"/>
      <c r="AA22" s="70"/>
      <c r="AB22" s="70"/>
      <c r="AC22" s="70"/>
      <c r="AD22" s="70"/>
      <c r="AE22" s="70"/>
    </row>
    <row r="23" spans="1:31">
      <c r="A23" s="346" t="s">
        <v>887</v>
      </c>
      <c r="B23" s="346">
        <v>93</v>
      </c>
      <c r="C23" s="347">
        <v>45469.677777777775</v>
      </c>
      <c r="D23" s="346">
        <v>20</v>
      </c>
      <c r="E23" s="346">
        <v>9.9892999999999996E-2</v>
      </c>
      <c r="F23" s="346">
        <v>37.1</v>
      </c>
      <c r="G23" s="346">
        <v>22.5</v>
      </c>
      <c r="H23" s="346">
        <v>982.06979999999999</v>
      </c>
      <c r="I23" s="346">
        <v>0.99980999999999998</v>
      </c>
      <c r="J23" s="346">
        <v>0.484238</v>
      </c>
      <c r="K23" s="346">
        <v>2418.6</v>
      </c>
      <c r="L23" s="346"/>
      <c r="M23" s="348">
        <f t="shared" si="0"/>
        <v>1.0256734405384258</v>
      </c>
      <c r="N23" s="349">
        <f t="shared" si="1"/>
        <v>2358.0604746188606</v>
      </c>
      <c r="O23" s="350">
        <f t="shared" si="2"/>
        <v>2358.0604746188606</v>
      </c>
      <c r="P23" s="351" t="s">
        <v>12</v>
      </c>
      <c r="Q23" s="351" t="s">
        <v>865</v>
      </c>
      <c r="R23" s="350"/>
      <c r="S23" s="352"/>
      <c r="T23" s="352"/>
      <c r="U23" s="352"/>
      <c r="V23" s="352"/>
      <c r="W23" s="352"/>
      <c r="X23" s="352"/>
      <c r="Y23" s="70"/>
      <c r="Z23" s="70"/>
      <c r="AA23" s="70"/>
      <c r="AB23" s="70"/>
      <c r="AC23" s="70"/>
      <c r="AD23" s="70"/>
      <c r="AE23" s="70"/>
    </row>
    <row r="24" spans="1:31">
      <c r="A24" s="346" t="s">
        <v>888</v>
      </c>
      <c r="B24" s="346">
        <v>53</v>
      </c>
      <c r="C24" s="347">
        <v>45469.683333333334</v>
      </c>
      <c r="D24" s="346">
        <v>20</v>
      </c>
      <c r="E24" s="346">
        <v>9.9892999999999996E-2</v>
      </c>
      <c r="F24" s="346">
        <v>37.1</v>
      </c>
      <c r="G24" s="346">
        <v>22.5</v>
      </c>
      <c r="H24" s="346">
        <v>982.44889999999998</v>
      </c>
      <c r="I24" s="346">
        <v>0.99978800000000001</v>
      </c>
      <c r="J24" s="346">
        <v>0.484427</v>
      </c>
      <c r="K24" s="346">
        <v>2419.5</v>
      </c>
      <c r="L24" s="346"/>
      <c r="M24" s="348">
        <f t="shared" si="0"/>
        <v>1.0256734405384258</v>
      </c>
      <c r="N24" s="349">
        <f t="shared" si="1"/>
        <v>2358.9379468867664</v>
      </c>
      <c r="O24" s="350">
        <f t="shared" si="2"/>
        <v>2358.9379468867664</v>
      </c>
      <c r="P24" s="351" t="s">
        <v>12</v>
      </c>
      <c r="Q24" s="351" t="s">
        <v>865</v>
      </c>
      <c r="R24" s="350"/>
      <c r="S24" s="352"/>
      <c r="T24" s="352"/>
      <c r="U24" s="352"/>
      <c r="V24" s="352"/>
      <c r="W24" s="352"/>
      <c r="X24" s="352"/>
      <c r="Y24" s="70"/>
      <c r="Z24" s="70"/>
      <c r="AA24" s="70"/>
      <c r="AB24" s="70"/>
      <c r="AC24" s="70"/>
      <c r="AD24" s="70"/>
      <c r="AE24" s="70"/>
    </row>
    <row r="25" spans="1:31">
      <c r="A25" s="346" t="s">
        <v>889</v>
      </c>
      <c r="B25" s="346">
        <v>54</v>
      </c>
      <c r="C25" s="347">
        <v>45469.688194444447</v>
      </c>
      <c r="D25" s="346">
        <v>20</v>
      </c>
      <c r="E25" s="346">
        <v>9.9892999999999996E-2</v>
      </c>
      <c r="F25" s="346">
        <v>37.200000000000003</v>
      </c>
      <c r="G25" s="346">
        <v>22.5</v>
      </c>
      <c r="H25" s="346">
        <v>981.20690000000002</v>
      </c>
      <c r="I25" s="346">
        <v>0.99978</v>
      </c>
      <c r="J25" s="346">
        <v>0.484375</v>
      </c>
      <c r="K25" s="346">
        <v>2419.3000000000002</v>
      </c>
      <c r="L25" s="346"/>
      <c r="M25" s="348">
        <f t="shared" si="0"/>
        <v>1.0257494498155078</v>
      </c>
      <c r="N25" s="349">
        <f t="shared" si="1"/>
        <v>2358.5681673386594</v>
      </c>
      <c r="O25" s="350">
        <f t="shared" si="2"/>
        <v>2358.5681673386594</v>
      </c>
      <c r="P25" s="351" t="s">
        <v>12</v>
      </c>
      <c r="Q25" s="351" t="s">
        <v>865</v>
      </c>
      <c r="R25" s="350"/>
      <c r="S25" s="352"/>
      <c r="T25" s="352"/>
      <c r="U25" s="352"/>
      <c r="V25" s="352"/>
      <c r="W25" s="352"/>
      <c r="X25" s="352"/>
      <c r="Y25" s="70"/>
      <c r="Z25" s="70"/>
      <c r="AA25" s="70"/>
      <c r="AB25" s="70"/>
      <c r="AC25" s="70"/>
      <c r="AD25" s="70"/>
      <c r="AE25" s="70"/>
    </row>
    <row r="26" spans="1:31">
      <c r="A26" s="346" t="s">
        <v>890</v>
      </c>
      <c r="B26" s="346">
        <v>40</v>
      </c>
      <c r="C26" s="347">
        <v>45469.693749999999</v>
      </c>
      <c r="D26" s="346">
        <v>20</v>
      </c>
      <c r="E26" s="346">
        <v>9.9892999999999996E-2</v>
      </c>
      <c r="F26" s="346">
        <v>37.299999999999997</v>
      </c>
      <c r="G26" s="346">
        <v>22.5</v>
      </c>
      <c r="H26" s="346">
        <v>980.76639999999998</v>
      </c>
      <c r="I26" s="346">
        <v>0.99978100000000003</v>
      </c>
      <c r="J26" s="346">
        <v>0.48636699999999999</v>
      </c>
      <c r="K26" s="346">
        <v>2429.1999999999998</v>
      </c>
      <c r="L26" s="346"/>
      <c r="M26" s="348">
        <f t="shared" si="0"/>
        <v>1.0258254635154704</v>
      </c>
      <c r="N26" s="349">
        <f t="shared" si="1"/>
        <v>2368.044161893984</v>
      </c>
      <c r="O26" s="350">
        <f t="shared" si="2"/>
        <v>2368.044161893984</v>
      </c>
      <c r="P26" s="351" t="s">
        <v>12</v>
      </c>
      <c r="Q26" s="351" t="s">
        <v>865</v>
      </c>
      <c r="R26" s="350"/>
      <c r="S26" s="352"/>
      <c r="T26" s="352"/>
      <c r="U26" s="352"/>
      <c r="V26" s="352"/>
      <c r="W26" s="352"/>
      <c r="X26" s="352"/>
      <c r="Y26" s="70"/>
      <c r="Z26" s="70"/>
      <c r="AA26" s="70"/>
      <c r="AB26" s="70"/>
      <c r="AC26" s="70"/>
      <c r="AD26" s="70"/>
      <c r="AE26" s="70"/>
    </row>
    <row r="27" spans="1:31">
      <c r="A27" s="346" t="s">
        <v>891</v>
      </c>
      <c r="B27" s="346">
        <v>41</v>
      </c>
      <c r="C27" s="347">
        <v>45469.700694444444</v>
      </c>
      <c r="D27" s="346">
        <v>20</v>
      </c>
      <c r="E27" s="346">
        <v>9.9892999999999996E-2</v>
      </c>
      <c r="F27" s="346">
        <v>37.299999999999997</v>
      </c>
      <c r="G27" s="346">
        <v>22.5</v>
      </c>
      <c r="H27" s="346">
        <v>982.80939999999998</v>
      </c>
      <c r="I27" s="346">
        <v>0.99975599999999998</v>
      </c>
      <c r="J27" s="346">
        <v>0.48489300000000002</v>
      </c>
      <c r="K27" s="346">
        <v>2421.9</v>
      </c>
      <c r="L27" s="346"/>
      <c r="M27" s="348">
        <f t="shared" si="0"/>
        <v>1.0258254635154704</v>
      </c>
      <c r="N27" s="349">
        <f t="shared" si="1"/>
        <v>2360.9279415820188</v>
      </c>
      <c r="O27" s="350">
        <f t="shared" si="2"/>
        <v>2360.9279415820188</v>
      </c>
      <c r="P27" s="351" t="s">
        <v>12</v>
      </c>
      <c r="Q27" s="351" t="s">
        <v>865</v>
      </c>
      <c r="R27" s="350"/>
      <c r="S27" s="352"/>
      <c r="T27" s="352"/>
      <c r="U27" s="352"/>
      <c r="V27" s="352"/>
      <c r="W27" s="352"/>
      <c r="X27" s="352"/>
      <c r="Y27" s="70"/>
      <c r="Z27" s="70"/>
      <c r="AA27" s="70"/>
      <c r="AB27" s="70"/>
      <c r="AC27" s="70"/>
      <c r="AD27" s="70"/>
      <c r="AE27" s="70"/>
    </row>
    <row r="28" spans="1:31">
      <c r="A28" s="346" t="s">
        <v>892</v>
      </c>
      <c r="B28" s="346">
        <v>144</v>
      </c>
      <c r="C28" s="347">
        <v>45469.706250000003</v>
      </c>
      <c r="D28" s="346">
        <v>20</v>
      </c>
      <c r="E28" s="346">
        <v>9.9892999999999996E-2</v>
      </c>
      <c r="F28" s="346">
        <v>37.5</v>
      </c>
      <c r="G28" s="346">
        <v>22.5</v>
      </c>
      <c r="H28" s="346">
        <v>977.85329999999999</v>
      </c>
      <c r="I28" s="346">
        <v>0.99976200000000004</v>
      </c>
      <c r="J28" s="346">
        <v>0.47085700000000003</v>
      </c>
      <c r="K28" s="346">
        <v>2351.8000000000002</v>
      </c>
      <c r="L28" s="346"/>
      <c r="M28" s="348">
        <f t="shared" si="0"/>
        <v>1.0259775042121249</v>
      </c>
      <c r="N28" s="349">
        <f t="shared" si="1"/>
        <v>2292.2529883401385</v>
      </c>
      <c r="O28" s="350">
        <f t="shared" si="2"/>
        <v>2292.2529883401385</v>
      </c>
      <c r="P28" s="351" t="s">
        <v>12</v>
      </c>
      <c r="Q28" s="351" t="s">
        <v>865</v>
      </c>
      <c r="R28" s="350"/>
      <c r="S28" s="352"/>
      <c r="T28" s="352"/>
      <c r="U28" s="352"/>
      <c r="V28" s="352"/>
      <c r="W28" s="352"/>
      <c r="X28" s="352"/>
      <c r="Y28" s="70"/>
      <c r="Z28" s="70"/>
      <c r="AA28" s="70"/>
      <c r="AB28" s="70"/>
      <c r="AC28" s="70"/>
      <c r="AD28" s="70"/>
      <c r="AE28" s="70"/>
    </row>
    <row r="29" spans="1:31">
      <c r="A29" s="346" t="s">
        <v>893</v>
      </c>
      <c r="B29" s="346">
        <v>145</v>
      </c>
      <c r="C29" s="347">
        <v>45469.711805555555</v>
      </c>
      <c r="D29" s="346">
        <v>20</v>
      </c>
      <c r="E29" s="346">
        <v>9.9892999999999996E-2</v>
      </c>
      <c r="F29" s="346">
        <v>37.5</v>
      </c>
      <c r="G29" s="346">
        <v>22.5</v>
      </c>
      <c r="H29" s="346">
        <v>983.58399999999995</v>
      </c>
      <c r="I29" s="346">
        <v>0.99980800000000003</v>
      </c>
      <c r="J29" s="346">
        <v>0.47320400000000001</v>
      </c>
      <c r="K29" s="346">
        <v>2363.5</v>
      </c>
      <c r="L29" s="346"/>
      <c r="M29" s="348">
        <f t="shared" si="0"/>
        <v>1.0259775042121249</v>
      </c>
      <c r="N29" s="349">
        <f t="shared" si="1"/>
        <v>2303.6567471476815</v>
      </c>
      <c r="O29" s="350">
        <f t="shared" si="2"/>
        <v>2303.6567471476815</v>
      </c>
      <c r="P29" s="351" t="s">
        <v>12</v>
      </c>
      <c r="Q29" s="351" t="s">
        <v>865</v>
      </c>
      <c r="R29" s="350"/>
      <c r="S29" s="352"/>
      <c r="T29" s="352"/>
      <c r="U29" s="352"/>
      <c r="V29" s="352"/>
      <c r="W29" s="352"/>
      <c r="X29" s="352"/>
      <c r="Y29" s="70"/>
      <c r="Z29" s="70"/>
      <c r="AA29" s="70"/>
      <c r="AB29" s="70"/>
      <c r="AC29" s="70"/>
      <c r="AD29" s="70"/>
      <c r="AE29" s="70"/>
    </row>
    <row r="30" spans="1:31">
      <c r="A30" s="354" t="s">
        <v>894</v>
      </c>
      <c r="B30" s="354" t="s">
        <v>895</v>
      </c>
      <c r="C30" s="355">
        <v>45469.717361111114</v>
      </c>
      <c r="D30" s="354">
        <v>20</v>
      </c>
      <c r="E30" s="354">
        <v>9.9892999999999996E-2</v>
      </c>
      <c r="F30" s="354">
        <v>33.200000000000003</v>
      </c>
      <c r="G30" s="354">
        <v>22.5</v>
      </c>
      <c r="H30" s="354">
        <v>987.64080000000001</v>
      </c>
      <c r="I30" s="354">
        <v>0.99977400000000005</v>
      </c>
      <c r="J30" s="354">
        <v>0.451681</v>
      </c>
      <c r="K30" s="354">
        <v>2256</v>
      </c>
      <c r="L30" s="354"/>
      <c r="M30" s="348">
        <f t="shared" si="0"/>
        <v>1.0227124503008802</v>
      </c>
      <c r="N30" s="349">
        <f t="shared" si="1"/>
        <v>2205.8986368419478</v>
      </c>
      <c r="O30" s="350">
        <f t="shared" si="2"/>
        <v>2205.8986368419478</v>
      </c>
      <c r="P30" s="351" t="s">
        <v>12</v>
      </c>
      <c r="Q30" s="356" t="s">
        <v>865</v>
      </c>
      <c r="R30" s="357"/>
      <c r="S30" s="352"/>
      <c r="T30" s="352"/>
      <c r="U30" s="352"/>
      <c r="V30" s="352"/>
      <c r="W30" s="352"/>
      <c r="X30" s="352"/>
      <c r="Y30" s="70"/>
      <c r="Z30" s="70"/>
      <c r="AA30" s="70"/>
      <c r="AB30" s="70"/>
      <c r="AC30" s="70"/>
      <c r="AD30" s="70"/>
      <c r="AE30" s="70"/>
    </row>
    <row r="31" spans="1:31">
      <c r="A31" s="346" t="s">
        <v>862</v>
      </c>
      <c r="B31" s="346" t="s">
        <v>863</v>
      </c>
      <c r="C31" s="347">
        <v>45470.384027777778</v>
      </c>
      <c r="D31" s="346">
        <v>20</v>
      </c>
      <c r="E31" s="346">
        <v>9.9892999999999996E-2</v>
      </c>
      <c r="F31" s="346" t="s">
        <v>864</v>
      </c>
      <c r="G31" s="346">
        <v>22.5</v>
      </c>
      <c r="H31" s="346">
        <v>1177.104</v>
      </c>
      <c r="I31" s="346">
        <v>0.99992000000000003</v>
      </c>
      <c r="J31" s="346">
        <v>0.421149</v>
      </c>
      <c r="K31" s="346">
        <v>2103.5</v>
      </c>
      <c r="L31" s="346"/>
      <c r="M31" s="348" t="e">
        <f t="shared" si="0"/>
        <v>#VALUE!</v>
      </c>
      <c r="N31" s="349" t="e">
        <f t="shared" si="1"/>
        <v>#VALUE!</v>
      </c>
      <c r="O31" s="350" t="e">
        <f t="shared" si="2"/>
        <v>#VALUE!</v>
      </c>
      <c r="P31" s="351" t="s">
        <v>280</v>
      </c>
      <c r="Q31" s="351" t="s">
        <v>865</v>
      </c>
      <c r="R31" s="350"/>
      <c r="S31" s="352"/>
      <c r="T31" s="352"/>
      <c r="U31" s="352"/>
      <c r="V31" s="352"/>
      <c r="W31" s="352"/>
      <c r="X31" s="352"/>
      <c r="Y31" s="70"/>
      <c r="Z31" s="70"/>
      <c r="AA31" s="70"/>
      <c r="AB31" s="70"/>
      <c r="AC31" s="70"/>
      <c r="AD31" s="70"/>
      <c r="AE31" s="70"/>
    </row>
    <row r="32" spans="1:31">
      <c r="A32" s="346" t="s">
        <v>896</v>
      </c>
      <c r="B32" s="346" t="s">
        <v>863</v>
      </c>
      <c r="C32" s="347">
        <v>45470.390972222223</v>
      </c>
      <c r="D32" s="346">
        <v>20</v>
      </c>
      <c r="E32" s="346">
        <v>9.9892999999999996E-2</v>
      </c>
      <c r="F32" s="346" t="s">
        <v>864</v>
      </c>
      <c r="G32" s="346">
        <v>22.5</v>
      </c>
      <c r="H32" s="346">
        <v>1176.8699999999999</v>
      </c>
      <c r="I32" s="346">
        <v>0.99995500000000004</v>
      </c>
      <c r="J32" s="346">
        <v>0.41832399999999997</v>
      </c>
      <c r="K32" s="346">
        <v>2089.4</v>
      </c>
      <c r="L32" s="346"/>
      <c r="M32" s="348" t="e">
        <f t="shared" si="0"/>
        <v>#VALUE!</v>
      </c>
      <c r="N32" s="349" t="e">
        <f t="shared" si="1"/>
        <v>#VALUE!</v>
      </c>
      <c r="O32" s="350" t="e">
        <f t="shared" si="2"/>
        <v>#VALUE!</v>
      </c>
      <c r="P32" s="351" t="s">
        <v>280</v>
      </c>
      <c r="Q32" s="351" t="s">
        <v>865</v>
      </c>
      <c r="R32" s="350"/>
      <c r="S32" s="352"/>
      <c r="T32" s="352"/>
      <c r="U32" s="352"/>
      <c r="V32" s="352"/>
      <c r="W32" s="352"/>
      <c r="X32" s="352"/>
      <c r="Y32" s="70"/>
      <c r="Z32" s="70"/>
      <c r="AA32" s="70"/>
      <c r="AB32" s="70"/>
      <c r="AC32" s="70"/>
      <c r="AD32" s="70"/>
      <c r="AE32" s="70"/>
    </row>
    <row r="33" spans="1:31">
      <c r="A33" s="346" t="s">
        <v>897</v>
      </c>
      <c r="B33" s="346" t="s">
        <v>863</v>
      </c>
      <c r="C33" s="347">
        <v>45470.396527777775</v>
      </c>
      <c r="D33" s="346">
        <v>20</v>
      </c>
      <c r="E33" s="346">
        <v>9.9892999999999996E-2</v>
      </c>
      <c r="F33" s="346" t="s">
        <v>864</v>
      </c>
      <c r="G33" s="346">
        <v>22.5</v>
      </c>
      <c r="H33" s="346">
        <v>1179.873</v>
      </c>
      <c r="I33" s="346">
        <v>0.99997199999999997</v>
      </c>
      <c r="J33" s="346">
        <v>0.41821999999999998</v>
      </c>
      <c r="K33" s="346">
        <v>2088.9</v>
      </c>
      <c r="L33" s="346">
        <v>0.36799999999999999</v>
      </c>
      <c r="M33" s="348" t="e">
        <f t="shared" si="0"/>
        <v>#VALUE!</v>
      </c>
      <c r="N33" s="349" t="e">
        <f t="shared" si="1"/>
        <v>#VALUE!</v>
      </c>
      <c r="O33" s="350" t="e">
        <f t="shared" si="2"/>
        <v>#VALUE!</v>
      </c>
      <c r="P33" s="351" t="s">
        <v>280</v>
      </c>
      <c r="Q33" s="351" t="s">
        <v>865</v>
      </c>
      <c r="R33" s="351"/>
      <c r="S33" s="352"/>
      <c r="T33" s="352"/>
      <c r="U33" s="352"/>
      <c r="V33" s="352"/>
      <c r="W33" s="352"/>
      <c r="X33" s="352"/>
      <c r="Y33" s="70"/>
      <c r="Z33" s="70"/>
      <c r="AA33" s="70"/>
      <c r="AB33" s="70"/>
      <c r="AC33" s="70"/>
      <c r="AD33" s="70"/>
      <c r="AE33" s="70"/>
    </row>
    <row r="34" spans="1:31">
      <c r="A34" s="346" t="s">
        <v>898</v>
      </c>
      <c r="B34" s="346" t="s">
        <v>863</v>
      </c>
      <c r="C34" s="347">
        <v>45470.402083333334</v>
      </c>
      <c r="D34" s="346">
        <v>20</v>
      </c>
      <c r="E34" s="346">
        <v>9.9892999999999996E-2</v>
      </c>
      <c r="F34" s="346" t="s">
        <v>864</v>
      </c>
      <c r="G34" s="346">
        <v>22.5</v>
      </c>
      <c r="H34" s="346">
        <v>1183.1379999999999</v>
      </c>
      <c r="I34" s="346">
        <v>0.99995500000000004</v>
      </c>
      <c r="J34" s="346">
        <v>0.41868</v>
      </c>
      <c r="K34" s="346">
        <v>2091.1999999999998</v>
      </c>
      <c r="L34" s="346">
        <v>1.6258999999999999</v>
      </c>
      <c r="M34" s="348" t="e">
        <f t="shared" si="0"/>
        <v>#VALUE!</v>
      </c>
      <c r="N34" s="349" t="e">
        <f t="shared" si="1"/>
        <v>#VALUE!</v>
      </c>
      <c r="O34" s="350" t="e">
        <f t="shared" si="2"/>
        <v>#VALUE!</v>
      </c>
      <c r="P34" s="351" t="s">
        <v>280</v>
      </c>
      <c r="Q34" s="351" t="s">
        <v>865</v>
      </c>
      <c r="R34" s="351"/>
      <c r="S34" s="352"/>
      <c r="T34" s="70"/>
      <c r="U34" s="70"/>
      <c r="V34" s="70"/>
      <c r="W34" s="70"/>
      <c r="X34" s="70"/>
      <c r="Y34" s="71"/>
    </row>
    <row r="35" spans="1:31">
      <c r="A35" s="346" t="s">
        <v>872</v>
      </c>
      <c r="B35" s="346" t="s">
        <v>552</v>
      </c>
      <c r="C35" s="347">
        <v>45470.409722222219</v>
      </c>
      <c r="D35" s="346">
        <v>20</v>
      </c>
      <c r="E35" s="346">
        <v>9.9892999999999996E-2</v>
      </c>
      <c r="F35" s="346">
        <v>33.200000000000003</v>
      </c>
      <c r="G35" s="346">
        <v>22.5</v>
      </c>
      <c r="H35" s="346">
        <v>985.13049999999998</v>
      </c>
      <c r="I35" s="346">
        <v>0.99979700000000005</v>
      </c>
      <c r="J35" s="346">
        <v>0.45209700000000003</v>
      </c>
      <c r="K35" s="346">
        <v>2258.1</v>
      </c>
      <c r="L35" s="346"/>
      <c r="M35" s="348">
        <f t="shared" si="0"/>
        <v>1.0227124503008802</v>
      </c>
      <c r="N35" s="349">
        <f t="shared" si="1"/>
        <v>2207.9519999347526</v>
      </c>
      <c r="O35" s="350">
        <f t="shared" si="2"/>
        <v>2207.9519999347526</v>
      </c>
      <c r="P35" s="351" t="s">
        <v>12</v>
      </c>
      <c r="Q35" s="351" t="s">
        <v>865</v>
      </c>
      <c r="R35" s="351"/>
      <c r="S35" s="352"/>
      <c r="T35" s="70"/>
      <c r="U35" s="70"/>
      <c r="V35" s="70"/>
      <c r="W35" s="70"/>
      <c r="X35" s="70"/>
      <c r="Y35" s="71"/>
    </row>
    <row r="36" spans="1:31">
      <c r="A36" s="354" t="s">
        <v>899</v>
      </c>
      <c r="B36" s="354" t="s">
        <v>552</v>
      </c>
      <c r="C36" s="355">
        <v>45470.415972222225</v>
      </c>
      <c r="D36" s="354">
        <v>20</v>
      </c>
      <c r="E36" s="354">
        <v>9.9892999999999996E-2</v>
      </c>
      <c r="F36" s="354">
        <v>33.200000000000003</v>
      </c>
      <c r="G36" s="354">
        <v>22.5</v>
      </c>
      <c r="H36" s="354">
        <v>980.41639999999995</v>
      </c>
      <c r="I36" s="354">
        <v>0.99973999999999996</v>
      </c>
      <c r="J36" s="354">
        <v>0.45103900000000002</v>
      </c>
      <c r="K36" s="354">
        <v>2252.8000000000002</v>
      </c>
      <c r="L36" s="354">
        <v>3.7362000000000002</v>
      </c>
      <c r="M36" s="348">
        <f t="shared" si="0"/>
        <v>1.0227124503008802</v>
      </c>
      <c r="N36" s="349">
        <f t="shared" si="1"/>
        <v>2202.7697026052929</v>
      </c>
      <c r="O36" s="350">
        <f t="shared" si="2"/>
        <v>2202.7697026052929</v>
      </c>
      <c r="P36" s="351" t="s">
        <v>12</v>
      </c>
      <c r="Q36" s="356" t="s">
        <v>865</v>
      </c>
      <c r="R36" s="351"/>
      <c r="S36" s="352"/>
      <c r="T36" s="70"/>
      <c r="U36" s="70"/>
      <c r="V36" s="70"/>
      <c r="W36" s="70"/>
      <c r="X36" s="70"/>
      <c r="Y36" s="71"/>
    </row>
    <row r="37" spans="1:31">
      <c r="A37" s="346" t="s">
        <v>873</v>
      </c>
      <c r="B37" s="346">
        <v>157</v>
      </c>
      <c r="C37" s="347">
        <v>45470.424305555556</v>
      </c>
      <c r="D37" s="346">
        <v>20</v>
      </c>
      <c r="E37" s="346">
        <v>9.9892999999999996E-2</v>
      </c>
      <c r="F37" s="346">
        <v>37.4</v>
      </c>
      <c r="G37" s="346">
        <v>22.5</v>
      </c>
      <c r="H37" s="346">
        <v>979.00149999999996</v>
      </c>
      <c r="I37" s="346">
        <v>0.99979200000000001</v>
      </c>
      <c r="J37" s="346">
        <v>0.47178599999999998</v>
      </c>
      <c r="K37" s="346">
        <v>2356.4</v>
      </c>
      <c r="L37" s="346"/>
      <c r="M37" s="348">
        <f t="shared" si="0"/>
        <v>1.0259014816453425</v>
      </c>
      <c r="N37" s="349">
        <f t="shared" si="1"/>
        <v>2296.9067129338791</v>
      </c>
      <c r="O37" s="350">
        <f t="shared" si="2"/>
        <v>2296.9067129338791</v>
      </c>
      <c r="P37" s="351" t="s">
        <v>12</v>
      </c>
      <c r="Q37" s="351" t="s">
        <v>865</v>
      </c>
      <c r="R37" s="351"/>
      <c r="S37" s="352"/>
      <c r="T37" s="70"/>
      <c r="U37" s="70"/>
      <c r="V37" s="70"/>
      <c r="W37" s="70"/>
      <c r="X37" s="70"/>
      <c r="Y37" s="71"/>
    </row>
    <row r="38" spans="1:31">
      <c r="A38" s="346" t="s">
        <v>874</v>
      </c>
      <c r="B38" s="346">
        <v>158</v>
      </c>
      <c r="C38" s="347">
        <v>45470.430555555555</v>
      </c>
      <c r="D38" s="346">
        <v>20</v>
      </c>
      <c r="E38" s="346">
        <v>9.9892999999999996E-2</v>
      </c>
      <c r="F38" s="346">
        <v>37.5</v>
      </c>
      <c r="G38" s="346">
        <v>22.5</v>
      </c>
      <c r="H38" s="346">
        <v>982.8691</v>
      </c>
      <c r="I38" s="346">
        <v>0.99980999999999998</v>
      </c>
      <c r="J38" s="346">
        <v>0.47100399999999998</v>
      </c>
      <c r="K38" s="346">
        <v>2352.5</v>
      </c>
      <c r="L38" s="346"/>
      <c r="M38" s="348">
        <f t="shared" si="0"/>
        <v>1.0259775042121249</v>
      </c>
      <c r="N38" s="349">
        <f t="shared" si="1"/>
        <v>2292.9352645081108</v>
      </c>
      <c r="O38" s="350">
        <f t="shared" si="2"/>
        <v>2292.9352645081108</v>
      </c>
      <c r="P38" s="351" t="s">
        <v>12</v>
      </c>
      <c r="Q38" s="351" t="s">
        <v>865</v>
      </c>
      <c r="R38" s="351"/>
      <c r="S38" s="352"/>
      <c r="T38" s="70"/>
      <c r="U38" s="70"/>
      <c r="V38" s="70"/>
      <c r="W38" s="70"/>
      <c r="X38" s="70"/>
      <c r="Y38" s="71"/>
    </row>
    <row r="39" spans="1:31">
      <c r="A39" s="346" t="s">
        <v>875</v>
      </c>
      <c r="B39" s="346">
        <v>131</v>
      </c>
      <c r="C39" s="347">
        <v>45470.436111111114</v>
      </c>
      <c r="D39" s="346">
        <v>20</v>
      </c>
      <c r="E39" s="346">
        <v>9.9892999999999996E-2</v>
      </c>
      <c r="F39" s="346">
        <v>37.299999999999997</v>
      </c>
      <c r="G39" s="346">
        <v>22.5</v>
      </c>
      <c r="H39" s="346">
        <v>983.22190000000001</v>
      </c>
      <c r="I39" s="346">
        <v>0.99979799999999996</v>
      </c>
      <c r="J39" s="346">
        <v>0.48183799999999999</v>
      </c>
      <c r="K39" s="346">
        <v>2406.6</v>
      </c>
      <c r="L39" s="346"/>
      <c r="M39" s="348">
        <f t="shared" si="0"/>
        <v>1.0258254635154704</v>
      </c>
      <c r="N39" s="349">
        <f t="shared" si="1"/>
        <v>2346.0131236678999</v>
      </c>
      <c r="O39" s="350">
        <f t="shared" si="2"/>
        <v>2346.0131236678999</v>
      </c>
      <c r="P39" s="351" t="s">
        <v>12</v>
      </c>
      <c r="Q39" s="351" t="s">
        <v>865</v>
      </c>
      <c r="R39" s="351"/>
      <c r="S39" s="352"/>
      <c r="T39" s="70"/>
      <c r="U39" s="70"/>
      <c r="V39" s="70"/>
      <c r="W39" s="70"/>
      <c r="X39" s="70"/>
      <c r="Y39" s="71"/>
    </row>
    <row r="40" spans="1:31">
      <c r="A40" s="346" t="s">
        <v>876</v>
      </c>
      <c r="B40" s="346">
        <v>132</v>
      </c>
      <c r="C40" s="347">
        <v>45470.442361111112</v>
      </c>
      <c r="D40" s="346">
        <v>20</v>
      </c>
      <c r="E40" s="346">
        <v>9.9892999999999996E-2</v>
      </c>
      <c r="F40" s="346">
        <v>37.5</v>
      </c>
      <c r="G40" s="346">
        <v>22.5</v>
      </c>
      <c r="H40" s="346">
        <v>981.22260000000006</v>
      </c>
      <c r="I40" s="346">
        <v>0.99978599999999995</v>
      </c>
      <c r="J40" s="346">
        <v>0.481908</v>
      </c>
      <c r="K40" s="346">
        <v>2407</v>
      </c>
      <c r="L40" s="346"/>
      <c r="M40" s="348">
        <f t="shared" si="0"/>
        <v>1.0259775042121249</v>
      </c>
      <c r="N40" s="349">
        <f t="shared" si="1"/>
        <v>2346.0553375859822</v>
      </c>
      <c r="O40" s="350">
        <f t="shared" si="2"/>
        <v>2346.0553375859822</v>
      </c>
      <c r="P40" s="351" t="s">
        <v>12</v>
      </c>
      <c r="Q40" s="351" t="s">
        <v>865</v>
      </c>
      <c r="R40" s="351"/>
      <c r="S40" s="352"/>
      <c r="T40" s="70"/>
      <c r="U40" s="70"/>
      <c r="V40" s="70"/>
      <c r="W40" s="70"/>
      <c r="X40" s="70"/>
      <c r="Y40" s="71"/>
    </row>
    <row r="41" spans="1:31">
      <c r="A41" s="346" t="s">
        <v>877</v>
      </c>
      <c r="B41" s="346">
        <v>27</v>
      </c>
      <c r="C41" s="347">
        <v>45470.449305555558</v>
      </c>
      <c r="D41" s="346">
        <v>20</v>
      </c>
      <c r="E41" s="346">
        <v>9.9892999999999996E-2</v>
      </c>
      <c r="F41" s="346">
        <v>37.299999999999997</v>
      </c>
      <c r="G41" s="346">
        <v>22.5</v>
      </c>
      <c r="H41" s="346">
        <v>999.20439999999996</v>
      </c>
      <c r="I41" s="346">
        <v>0.99979300000000004</v>
      </c>
      <c r="J41" s="346">
        <v>0.48020000000000002</v>
      </c>
      <c r="K41" s="346">
        <v>2398.4</v>
      </c>
      <c r="L41" s="346"/>
      <c r="M41" s="348">
        <f t="shared" si="0"/>
        <v>1.0258254635154704</v>
      </c>
      <c r="N41" s="349">
        <f t="shared" si="1"/>
        <v>2338.0195611256922</v>
      </c>
      <c r="O41" s="350">
        <f t="shared" si="2"/>
        <v>2338.0195611256922</v>
      </c>
      <c r="P41" s="351" t="s">
        <v>12</v>
      </c>
      <c r="Q41" s="351" t="s">
        <v>865</v>
      </c>
      <c r="R41" s="351"/>
      <c r="S41" s="352"/>
      <c r="T41" s="70"/>
      <c r="U41" s="70"/>
      <c r="V41" s="70"/>
      <c r="W41" s="70"/>
      <c r="X41" s="70"/>
      <c r="Y41" s="71"/>
    </row>
    <row r="42" spans="1:31">
      <c r="A42" s="346" t="s">
        <v>878</v>
      </c>
      <c r="B42" s="346">
        <v>28</v>
      </c>
      <c r="C42" s="347">
        <v>45470.459027777775</v>
      </c>
      <c r="D42" s="346">
        <v>20</v>
      </c>
      <c r="E42" s="346">
        <v>9.9892999999999996E-2</v>
      </c>
      <c r="F42" s="346">
        <v>37.4</v>
      </c>
      <c r="G42" s="346">
        <v>22.5</v>
      </c>
      <c r="H42" s="346">
        <v>993.20770000000005</v>
      </c>
      <c r="I42" s="346">
        <v>0.99982700000000002</v>
      </c>
      <c r="J42" s="346">
        <v>0.481651</v>
      </c>
      <c r="K42" s="346">
        <v>2405.6999999999998</v>
      </c>
      <c r="L42" s="346"/>
      <c r="M42" s="348">
        <f t="shared" si="0"/>
        <v>1.0259014816453425</v>
      </c>
      <c r="N42" s="349">
        <f t="shared" si="1"/>
        <v>2344.9620095505998</v>
      </c>
      <c r="O42" s="350">
        <f t="shared" si="2"/>
        <v>2344.9620095505998</v>
      </c>
      <c r="P42" s="351" t="s">
        <v>12</v>
      </c>
      <c r="Q42" s="351" t="s">
        <v>865</v>
      </c>
      <c r="R42" s="351"/>
      <c r="S42" s="352"/>
      <c r="T42" s="70"/>
      <c r="U42" s="70"/>
      <c r="V42" s="70"/>
      <c r="W42" s="70"/>
      <c r="X42" s="70"/>
      <c r="Y42" s="71"/>
    </row>
    <row r="43" spans="1:31">
      <c r="A43" s="346" t="s">
        <v>879</v>
      </c>
      <c r="B43" s="346">
        <v>170</v>
      </c>
      <c r="C43" s="347">
        <v>45470.46597222222</v>
      </c>
      <c r="D43" s="346">
        <v>20</v>
      </c>
      <c r="E43" s="346">
        <v>9.9892999999999996E-2</v>
      </c>
      <c r="F43" s="346">
        <v>36.9</v>
      </c>
      <c r="G43" s="346">
        <v>22.5</v>
      </c>
      <c r="H43" s="346">
        <v>991.00220000000002</v>
      </c>
      <c r="I43" s="346">
        <v>0.99978100000000003</v>
      </c>
      <c r="J43" s="346">
        <v>0.48349700000000001</v>
      </c>
      <c r="K43" s="346">
        <v>2414.9</v>
      </c>
      <c r="L43" s="346"/>
      <c r="M43" s="348">
        <f t="shared" si="0"/>
        <v>1.0255214352246484</v>
      </c>
      <c r="N43" s="349">
        <f t="shared" si="1"/>
        <v>2354.8020714662075</v>
      </c>
      <c r="O43" s="350">
        <f t="shared" si="2"/>
        <v>2354.8020714662075</v>
      </c>
      <c r="P43" s="351" t="s">
        <v>12</v>
      </c>
      <c r="Q43" s="351" t="s">
        <v>865</v>
      </c>
      <c r="R43" s="351"/>
      <c r="S43" s="352"/>
      <c r="T43" s="70"/>
      <c r="U43" s="70"/>
      <c r="V43" s="70"/>
      <c r="W43" s="70"/>
      <c r="X43" s="70"/>
      <c r="Y43" s="71"/>
    </row>
    <row r="44" spans="1:31">
      <c r="A44" s="346" t="s">
        <v>880</v>
      </c>
      <c r="B44" s="346">
        <v>171</v>
      </c>
      <c r="C44" s="347">
        <v>45470.47152777778</v>
      </c>
      <c r="D44" s="346">
        <v>20</v>
      </c>
      <c r="E44" s="346">
        <v>9.9892999999999996E-2</v>
      </c>
      <c r="F44" s="346">
        <v>37.1</v>
      </c>
      <c r="G44" s="346">
        <v>22.5</v>
      </c>
      <c r="H44" s="346">
        <v>983.57449999999994</v>
      </c>
      <c r="I44" s="346">
        <v>0.99980999999999998</v>
      </c>
      <c r="J44" s="346">
        <v>0.48597899999999999</v>
      </c>
      <c r="K44" s="346">
        <v>2427.3000000000002</v>
      </c>
      <c r="L44" s="346"/>
      <c r="M44" s="348">
        <f t="shared" si="0"/>
        <v>1.0256734405384258</v>
      </c>
      <c r="N44" s="349">
        <f t="shared" si="1"/>
        <v>2366.5427065419503</v>
      </c>
      <c r="O44" s="350">
        <f t="shared" si="2"/>
        <v>2366.5427065419503</v>
      </c>
      <c r="P44" s="351" t="s">
        <v>12</v>
      </c>
      <c r="Q44" s="351" t="s">
        <v>865</v>
      </c>
      <c r="R44" s="350"/>
      <c r="S44" s="352"/>
      <c r="T44" s="70"/>
      <c r="U44" s="70"/>
      <c r="V44" s="70"/>
      <c r="W44" s="70"/>
      <c r="X44" s="70"/>
      <c r="Y44" s="71"/>
    </row>
    <row r="45" spans="1:31">
      <c r="A45" s="346" t="s">
        <v>881</v>
      </c>
      <c r="B45" s="346">
        <v>287</v>
      </c>
      <c r="C45" s="347">
        <v>45470.477777777778</v>
      </c>
      <c r="D45" s="346">
        <v>20</v>
      </c>
      <c r="E45" s="346">
        <v>9.9892999999999996E-2</v>
      </c>
      <c r="F45" s="346">
        <v>37</v>
      </c>
      <c r="G45" s="346">
        <v>22.5</v>
      </c>
      <c r="H45" s="346">
        <v>988.05600000000004</v>
      </c>
      <c r="I45" s="346">
        <v>0.99981200000000003</v>
      </c>
      <c r="J45" s="346">
        <v>0.48240499999999997</v>
      </c>
      <c r="K45" s="346">
        <v>2409.4</v>
      </c>
      <c r="L45" s="346"/>
      <c r="M45" s="348">
        <f t="shared" si="0"/>
        <v>1.0255974356771682</v>
      </c>
      <c r="N45" s="349">
        <f t="shared" si="1"/>
        <v>2349.2648442604118</v>
      </c>
      <c r="O45" s="350">
        <f t="shared" si="2"/>
        <v>2349.2648442604118</v>
      </c>
      <c r="P45" s="351" t="s">
        <v>12</v>
      </c>
      <c r="Q45" s="351" t="s">
        <v>865</v>
      </c>
      <c r="R45" s="350"/>
      <c r="S45" s="352"/>
      <c r="T45" s="70"/>
      <c r="U45" s="70"/>
      <c r="V45" s="70"/>
      <c r="W45" s="70"/>
      <c r="X45" s="70"/>
      <c r="Y45" s="71"/>
    </row>
    <row r="46" spans="1:31">
      <c r="A46" s="346" t="s">
        <v>882</v>
      </c>
      <c r="B46" s="346">
        <v>288</v>
      </c>
      <c r="C46" s="347">
        <v>45470.48333333333</v>
      </c>
      <c r="D46" s="346">
        <v>20</v>
      </c>
      <c r="E46" s="346">
        <v>9.9892999999999996E-2</v>
      </c>
      <c r="F46" s="346">
        <v>37</v>
      </c>
      <c r="G46" s="346">
        <v>22.5</v>
      </c>
      <c r="H46" s="346">
        <v>985.92719999999997</v>
      </c>
      <c r="I46" s="346">
        <v>0.99979499999999999</v>
      </c>
      <c r="J46" s="346">
        <v>0.48210900000000001</v>
      </c>
      <c r="K46" s="346">
        <v>2408</v>
      </c>
      <c r="L46" s="346"/>
      <c r="M46" s="348">
        <f t="shared" si="0"/>
        <v>1.0255974356771682</v>
      </c>
      <c r="N46" s="349">
        <f t="shared" si="1"/>
        <v>2347.8997862451529</v>
      </c>
      <c r="O46" s="350">
        <f t="shared" si="2"/>
        <v>2347.8997862451529</v>
      </c>
      <c r="P46" s="351" t="s">
        <v>12</v>
      </c>
      <c r="Q46" s="351" t="s">
        <v>865</v>
      </c>
      <c r="R46" s="350"/>
      <c r="S46" s="352"/>
      <c r="T46" s="70"/>
      <c r="U46" s="70"/>
      <c r="V46" s="70"/>
      <c r="W46" s="70"/>
      <c r="X46" s="70"/>
      <c r="Y46" s="71"/>
    </row>
    <row r="47" spans="1:31">
      <c r="A47" s="354" t="s">
        <v>883</v>
      </c>
      <c r="B47" s="354" t="s">
        <v>552</v>
      </c>
      <c r="C47" s="355">
        <v>45470.489583333336</v>
      </c>
      <c r="D47" s="354">
        <v>20</v>
      </c>
      <c r="E47" s="354">
        <v>9.9892999999999996E-2</v>
      </c>
      <c r="F47" s="354">
        <v>33.200000000000003</v>
      </c>
      <c r="G47" s="354">
        <v>22.5</v>
      </c>
      <c r="H47" s="354">
        <v>987.64080000000001</v>
      </c>
      <c r="I47" s="354">
        <v>0.99977400000000005</v>
      </c>
      <c r="J47" s="354">
        <v>0.451681</v>
      </c>
      <c r="K47" s="354">
        <v>2256</v>
      </c>
      <c r="L47" s="354"/>
      <c r="M47" s="348">
        <f t="shared" si="0"/>
        <v>1.0227124503008802</v>
      </c>
      <c r="N47" s="349">
        <f t="shared" si="1"/>
        <v>2205.8986368419478</v>
      </c>
      <c r="O47" s="350">
        <f t="shared" si="2"/>
        <v>2205.8986368419478</v>
      </c>
      <c r="P47" s="351" t="s">
        <v>12</v>
      </c>
      <c r="Q47" s="356" t="s">
        <v>865</v>
      </c>
      <c r="R47" s="350"/>
      <c r="S47" s="352"/>
      <c r="T47" s="70"/>
      <c r="U47" s="70"/>
      <c r="V47" s="70"/>
      <c r="W47" s="70"/>
      <c r="X47" s="70"/>
      <c r="Y47" s="71"/>
    </row>
    <row r="48" spans="1:31">
      <c r="A48" s="346" t="s">
        <v>884</v>
      </c>
      <c r="B48" s="346">
        <v>209</v>
      </c>
      <c r="C48" s="347">
        <v>45470.547222222223</v>
      </c>
      <c r="D48" s="346">
        <v>20</v>
      </c>
      <c r="E48" s="346">
        <v>9.9892999999999996E-2</v>
      </c>
      <c r="F48" s="346">
        <v>37</v>
      </c>
      <c r="G48" s="346">
        <v>22.5</v>
      </c>
      <c r="H48" s="346">
        <v>987.48599999999999</v>
      </c>
      <c r="I48" s="346">
        <v>0.99979700000000005</v>
      </c>
      <c r="J48" s="346">
        <v>0.48225099999999999</v>
      </c>
      <c r="K48" s="346">
        <v>2408.6999999999998</v>
      </c>
      <c r="L48" s="346"/>
      <c r="M48" s="348">
        <f t="shared" si="0"/>
        <v>1.0255974356771682</v>
      </c>
      <c r="N48" s="349">
        <f t="shared" si="1"/>
        <v>2348.5823152527819</v>
      </c>
      <c r="O48" s="350">
        <f t="shared" si="2"/>
        <v>2348.5823152527819</v>
      </c>
      <c r="P48" s="351" t="s">
        <v>12</v>
      </c>
      <c r="Q48" s="351" t="s">
        <v>865</v>
      </c>
      <c r="R48" s="350"/>
      <c r="S48" s="352"/>
      <c r="T48" s="70"/>
      <c r="U48" s="70"/>
      <c r="V48" s="70"/>
      <c r="W48" s="70"/>
      <c r="X48" s="70"/>
      <c r="Y48" s="71"/>
    </row>
    <row r="49" spans="1:25">
      <c r="A49" s="346" t="s">
        <v>885</v>
      </c>
      <c r="B49" s="346">
        <v>210</v>
      </c>
      <c r="C49" s="347">
        <v>45470.552777777775</v>
      </c>
      <c r="D49" s="346">
        <v>20</v>
      </c>
      <c r="E49" s="346">
        <v>9.9892999999999996E-2</v>
      </c>
      <c r="F49" s="346">
        <v>37</v>
      </c>
      <c r="G49" s="346">
        <v>22.5</v>
      </c>
      <c r="H49" s="346">
        <v>988.4194</v>
      </c>
      <c r="I49" s="346">
        <v>0.99976900000000002</v>
      </c>
      <c r="J49" s="346">
        <v>0.48132799999999998</v>
      </c>
      <c r="K49" s="346">
        <v>2404.1</v>
      </c>
      <c r="L49" s="346"/>
      <c r="M49" s="348">
        <f t="shared" si="0"/>
        <v>1.0255974356771682</v>
      </c>
      <c r="N49" s="349">
        <f t="shared" si="1"/>
        <v>2344.0971246312174</v>
      </c>
      <c r="O49" s="350">
        <f t="shared" si="2"/>
        <v>2344.0971246312174</v>
      </c>
      <c r="P49" s="351" t="s">
        <v>12</v>
      </c>
      <c r="Q49" s="351" t="s">
        <v>865</v>
      </c>
      <c r="R49" s="350"/>
      <c r="S49" s="352"/>
      <c r="T49" s="70"/>
      <c r="U49" s="70"/>
      <c r="V49" s="70"/>
      <c r="W49" s="70"/>
      <c r="X49" s="70"/>
      <c r="Y49" s="71"/>
    </row>
    <row r="50" spans="1:25">
      <c r="A50" s="346" t="s">
        <v>886</v>
      </c>
      <c r="B50" s="346">
        <v>183</v>
      </c>
      <c r="C50" s="347">
        <v>45470.558333333334</v>
      </c>
      <c r="D50" s="346">
        <v>20</v>
      </c>
      <c r="E50" s="346">
        <v>9.9892999999999996E-2</v>
      </c>
      <c r="F50" s="346">
        <v>36.9</v>
      </c>
      <c r="G50" s="346">
        <v>22.5</v>
      </c>
      <c r="H50" s="346">
        <v>987.97559999999999</v>
      </c>
      <c r="I50" s="346">
        <v>0.99984200000000001</v>
      </c>
      <c r="J50" s="346">
        <v>0.48207100000000003</v>
      </c>
      <c r="K50" s="346">
        <v>2407.8000000000002</v>
      </c>
      <c r="L50" s="346"/>
      <c r="M50" s="348">
        <f t="shared" si="0"/>
        <v>1.0255214352246484</v>
      </c>
      <c r="N50" s="349">
        <f t="shared" si="1"/>
        <v>2347.8787642040393</v>
      </c>
      <c r="O50" s="350">
        <f t="shared" si="2"/>
        <v>2347.8787642040393</v>
      </c>
      <c r="P50" s="351" t="s">
        <v>12</v>
      </c>
      <c r="Q50" s="351" t="s">
        <v>865</v>
      </c>
      <c r="R50" s="350"/>
      <c r="S50" s="352"/>
      <c r="T50" s="70"/>
      <c r="U50" s="70"/>
      <c r="V50" s="70"/>
      <c r="W50" s="70"/>
      <c r="X50" s="70"/>
      <c r="Y50" s="71"/>
    </row>
    <row r="51" spans="1:25">
      <c r="A51" s="346" t="s">
        <v>887</v>
      </c>
      <c r="B51" s="346">
        <v>184</v>
      </c>
      <c r="C51" s="347">
        <v>45470.563888888886</v>
      </c>
      <c r="D51" s="346">
        <v>20</v>
      </c>
      <c r="E51" s="346">
        <v>9.9892999999999996E-2</v>
      </c>
      <c r="F51" s="346">
        <v>37.1</v>
      </c>
      <c r="G51" s="346">
        <v>22.5</v>
      </c>
      <c r="H51" s="346">
        <v>986.1164</v>
      </c>
      <c r="I51" s="346">
        <v>0.99977899999999997</v>
      </c>
      <c r="J51" s="346">
        <v>0.48308899999999999</v>
      </c>
      <c r="K51" s="346">
        <v>2412.9</v>
      </c>
      <c r="L51" s="346"/>
      <c r="M51" s="348">
        <f t="shared" si="0"/>
        <v>1.0256734405384258</v>
      </c>
      <c r="N51" s="349">
        <f t="shared" si="1"/>
        <v>2352.5031502554571</v>
      </c>
      <c r="O51" s="350">
        <f t="shared" si="2"/>
        <v>2352.5031502554571</v>
      </c>
      <c r="P51" s="351" t="s">
        <v>12</v>
      </c>
      <c r="Q51" s="351" t="s">
        <v>865</v>
      </c>
      <c r="R51" s="350"/>
      <c r="S51" s="352"/>
      <c r="T51" s="70"/>
      <c r="U51" s="70"/>
      <c r="V51" s="70"/>
      <c r="W51" s="70"/>
      <c r="X51" s="70"/>
      <c r="Y51" s="71"/>
    </row>
    <row r="52" spans="1:25">
      <c r="A52" s="346" t="s">
        <v>888</v>
      </c>
      <c r="B52" s="346">
        <v>274</v>
      </c>
      <c r="C52" s="347">
        <v>45470.569444444445</v>
      </c>
      <c r="D52" s="346">
        <v>20</v>
      </c>
      <c r="E52" s="346">
        <v>9.9892999999999996E-2</v>
      </c>
      <c r="F52" s="346">
        <v>36.799999999999997</v>
      </c>
      <c r="G52" s="346">
        <v>22.5</v>
      </c>
      <c r="H52" s="346">
        <v>980.31719999999996</v>
      </c>
      <c r="I52" s="346">
        <v>0.99981100000000001</v>
      </c>
      <c r="J52" s="346">
        <v>0.48122900000000002</v>
      </c>
      <c r="K52" s="346">
        <v>2403.6</v>
      </c>
      <c r="L52" s="346"/>
      <c r="M52" s="348">
        <f t="shared" si="0"/>
        <v>1.0254454391737517</v>
      </c>
      <c r="N52" s="349">
        <f t="shared" si="1"/>
        <v>2343.9569851095052</v>
      </c>
      <c r="O52" s="350">
        <f t="shared" si="2"/>
        <v>2343.9569851095052</v>
      </c>
      <c r="P52" s="351" t="s">
        <v>12</v>
      </c>
      <c r="Q52" s="351" t="s">
        <v>865</v>
      </c>
      <c r="R52" s="350"/>
      <c r="S52" s="352"/>
      <c r="T52" s="70"/>
      <c r="U52" s="70"/>
      <c r="V52" s="70"/>
      <c r="W52" s="70"/>
      <c r="X52" s="70"/>
      <c r="Y52" s="71"/>
    </row>
    <row r="53" spans="1:25">
      <c r="A53" s="346" t="s">
        <v>889</v>
      </c>
      <c r="B53" s="346">
        <v>275</v>
      </c>
      <c r="C53" s="347">
        <v>45470.574305555558</v>
      </c>
      <c r="D53" s="346">
        <v>20</v>
      </c>
      <c r="E53" s="346">
        <v>9.9892999999999996E-2</v>
      </c>
      <c r="F53" s="346">
        <v>36.9</v>
      </c>
      <c r="G53" s="346">
        <v>22.5</v>
      </c>
      <c r="H53" s="346">
        <v>979.09230000000002</v>
      </c>
      <c r="I53" s="346">
        <v>0.99979799999999996</v>
      </c>
      <c r="J53" s="346">
        <v>0.48210700000000001</v>
      </c>
      <c r="K53" s="346">
        <v>2408</v>
      </c>
      <c r="L53" s="346"/>
      <c r="M53" s="348">
        <f t="shared" si="0"/>
        <v>1.0255214352246484</v>
      </c>
      <c r="N53" s="349">
        <f t="shared" si="1"/>
        <v>2348.0737869438185</v>
      </c>
      <c r="O53" s="350">
        <f t="shared" si="2"/>
        <v>2348.0737869438185</v>
      </c>
      <c r="P53" s="351" t="s">
        <v>12</v>
      </c>
      <c r="Q53" s="351" t="s">
        <v>865</v>
      </c>
      <c r="R53" s="350"/>
      <c r="S53" s="352"/>
      <c r="T53" s="70"/>
      <c r="U53" s="70"/>
      <c r="V53" s="70"/>
      <c r="W53" s="70"/>
      <c r="X53" s="70"/>
      <c r="Y53" s="71"/>
    </row>
    <row r="54" spans="1:25">
      <c r="A54" s="354" t="s">
        <v>890</v>
      </c>
      <c r="B54" s="354" t="s">
        <v>552</v>
      </c>
      <c r="C54" s="355">
        <v>45470.580555555556</v>
      </c>
      <c r="D54" s="354">
        <v>20</v>
      </c>
      <c r="E54" s="354">
        <v>9.9892999999999996E-2</v>
      </c>
      <c r="F54" s="354">
        <v>33.200000000000003</v>
      </c>
      <c r="G54" s="354">
        <v>22.5</v>
      </c>
      <c r="H54" s="354">
        <v>982.60469999999998</v>
      </c>
      <c r="I54" s="354">
        <v>0.99980100000000005</v>
      </c>
      <c r="J54" s="354">
        <v>0.45114900000000002</v>
      </c>
      <c r="K54" s="354">
        <v>2253.3000000000002</v>
      </c>
      <c r="L54" s="354"/>
      <c r="M54" s="348">
        <f t="shared" si="0"/>
        <v>1.0227124503008802</v>
      </c>
      <c r="N54" s="349">
        <f t="shared" si="1"/>
        <v>2203.25859857977</v>
      </c>
      <c r="O54" s="350">
        <f t="shared" si="2"/>
        <v>2203.25859857977</v>
      </c>
      <c r="P54" s="351" t="s">
        <v>12</v>
      </c>
      <c r="Q54" s="356" t="s">
        <v>865</v>
      </c>
      <c r="R54" s="350"/>
      <c r="S54" s="352"/>
      <c r="T54" s="70"/>
      <c r="U54" s="70"/>
      <c r="V54" s="70"/>
      <c r="W54" s="70"/>
      <c r="X54" s="70"/>
      <c r="Y54" s="71"/>
    </row>
    <row r="55" spans="1:25">
      <c r="A55" s="346" t="s">
        <v>891</v>
      </c>
      <c r="B55" s="346">
        <v>235</v>
      </c>
      <c r="C55" s="347">
        <v>45470.587500000001</v>
      </c>
      <c r="D55" s="346">
        <v>20</v>
      </c>
      <c r="E55" s="346">
        <v>9.9892999999999996E-2</v>
      </c>
      <c r="F55" s="346">
        <v>36.799999999999997</v>
      </c>
      <c r="G55" s="346">
        <v>22.5</v>
      </c>
      <c r="H55" s="346">
        <v>982.33429999999998</v>
      </c>
      <c r="I55" s="346">
        <v>0.99979399999999996</v>
      </c>
      <c r="J55" s="346">
        <v>0.481906</v>
      </c>
      <c r="K55" s="346">
        <v>2407</v>
      </c>
      <c r="L55" s="346"/>
      <c r="M55" s="348">
        <f t="shared" si="0"/>
        <v>1.0254454391737517</v>
      </c>
      <c r="N55" s="349">
        <f t="shared" si="1"/>
        <v>2347.27261738999</v>
      </c>
      <c r="O55" s="350">
        <f t="shared" si="2"/>
        <v>2347.27261738999</v>
      </c>
      <c r="P55" s="351" t="s">
        <v>12</v>
      </c>
      <c r="Q55" s="351" t="s">
        <v>865</v>
      </c>
      <c r="R55" s="350"/>
      <c r="S55" s="352"/>
      <c r="T55" s="70"/>
      <c r="U55" s="70"/>
      <c r="V55" s="70"/>
      <c r="W55" s="70"/>
      <c r="X55" s="70"/>
      <c r="Y55" s="71"/>
    </row>
    <row r="56" spans="1:25">
      <c r="A56" s="346" t="s">
        <v>892</v>
      </c>
      <c r="B56" s="346">
        <v>236</v>
      </c>
      <c r="C56" s="347">
        <v>45470.593055555553</v>
      </c>
      <c r="D56" s="346">
        <v>20</v>
      </c>
      <c r="E56" s="346">
        <v>9.9892999999999996E-2</v>
      </c>
      <c r="F56" s="346">
        <v>36.799999999999997</v>
      </c>
      <c r="G56" s="346">
        <v>22.5</v>
      </c>
      <c r="H56" s="346">
        <v>989.30359999999996</v>
      </c>
      <c r="I56" s="346">
        <v>0.99982599999999999</v>
      </c>
      <c r="J56" s="346">
        <v>0.48152800000000001</v>
      </c>
      <c r="K56" s="346">
        <v>2405.1</v>
      </c>
      <c r="L56" s="346"/>
      <c r="M56" s="348">
        <f t="shared" si="0"/>
        <v>1.0254454391737517</v>
      </c>
      <c r="N56" s="349">
        <f t="shared" si="1"/>
        <v>2345.4197640567781</v>
      </c>
      <c r="O56" s="350">
        <f t="shared" si="2"/>
        <v>2345.4197640567781</v>
      </c>
      <c r="P56" s="351" t="s">
        <v>12</v>
      </c>
      <c r="Q56" s="351" t="s">
        <v>865</v>
      </c>
      <c r="R56" s="350"/>
      <c r="S56" s="352"/>
      <c r="T56" s="70"/>
      <c r="U56" s="70"/>
      <c r="V56" s="70"/>
      <c r="W56" s="70"/>
      <c r="X56" s="70"/>
      <c r="Y56" s="71"/>
    </row>
    <row r="57" spans="1:25">
      <c r="A57" s="346" t="s">
        <v>893</v>
      </c>
      <c r="B57" s="346">
        <v>222</v>
      </c>
      <c r="C57" s="347">
        <v>45470.599305555559</v>
      </c>
      <c r="D57" s="346">
        <v>20</v>
      </c>
      <c r="E57" s="346">
        <v>9.9892999999999996E-2</v>
      </c>
      <c r="F57" s="346">
        <v>36.799999999999997</v>
      </c>
      <c r="G57" s="346">
        <v>22.5</v>
      </c>
      <c r="H57" s="346">
        <v>980.31719999999996</v>
      </c>
      <c r="I57" s="346">
        <v>0.99981100000000001</v>
      </c>
      <c r="J57" s="346">
        <v>0.48122900000000002</v>
      </c>
      <c r="K57" s="346">
        <v>2403.6</v>
      </c>
      <c r="L57" s="346"/>
      <c r="M57" s="348">
        <f t="shared" si="0"/>
        <v>1.0254454391737517</v>
      </c>
      <c r="N57" s="349">
        <f t="shared" si="1"/>
        <v>2343.9569851095052</v>
      </c>
      <c r="O57" s="350">
        <f t="shared" si="2"/>
        <v>2343.9569851095052</v>
      </c>
      <c r="P57" s="351" t="s">
        <v>12</v>
      </c>
      <c r="Q57" s="351" t="s">
        <v>865</v>
      </c>
      <c r="R57" s="350"/>
      <c r="S57" s="352"/>
      <c r="T57" s="70"/>
      <c r="U57" s="70"/>
      <c r="V57" s="70"/>
      <c r="W57" s="70"/>
      <c r="X57" s="70"/>
      <c r="Y57" s="71"/>
    </row>
    <row r="58" spans="1:25">
      <c r="A58" s="346" t="s">
        <v>894</v>
      </c>
      <c r="B58" s="346">
        <v>223</v>
      </c>
      <c r="C58" s="347">
        <v>45470.604861111111</v>
      </c>
      <c r="D58" s="346">
        <v>20</v>
      </c>
      <c r="E58" s="346">
        <v>9.9892999999999996E-2</v>
      </c>
      <c r="F58" s="346">
        <v>36.9</v>
      </c>
      <c r="G58" s="346">
        <v>22.5</v>
      </c>
      <c r="H58" s="346">
        <v>983.28480000000002</v>
      </c>
      <c r="I58" s="346">
        <v>0.99978</v>
      </c>
      <c r="J58" s="346">
        <v>0.48221799999999998</v>
      </c>
      <c r="K58" s="346">
        <v>2408.5</v>
      </c>
      <c r="L58" s="346"/>
      <c r="M58" s="348">
        <f t="shared" si="0"/>
        <v>1.0255214352246484</v>
      </c>
      <c r="N58" s="349">
        <f t="shared" si="1"/>
        <v>2348.561343793267</v>
      </c>
      <c r="O58" s="350">
        <f t="shared" si="2"/>
        <v>2348.561343793267</v>
      </c>
      <c r="P58" s="351" t="s">
        <v>12</v>
      </c>
      <c r="Q58" s="351" t="s">
        <v>865</v>
      </c>
      <c r="R58" s="350"/>
      <c r="S58" s="352"/>
      <c r="T58" s="70"/>
      <c r="U58" s="70"/>
      <c r="V58" s="70"/>
      <c r="W58" s="70"/>
      <c r="X58" s="70"/>
      <c r="Y58" s="71"/>
    </row>
    <row r="59" spans="1:25">
      <c r="A59" s="346" t="s">
        <v>900</v>
      </c>
      <c r="B59" s="354">
        <v>261</v>
      </c>
      <c r="C59" s="347">
        <v>45470.609722222223</v>
      </c>
      <c r="D59" s="346">
        <v>20</v>
      </c>
      <c r="E59" s="346">
        <v>9.9892999999999996E-2</v>
      </c>
      <c r="F59" s="346">
        <v>36.799999999999997</v>
      </c>
      <c r="G59" s="346">
        <v>22.5</v>
      </c>
      <c r="H59" s="346">
        <v>986.47739999999999</v>
      </c>
      <c r="I59" s="346">
        <v>0.99976799999999999</v>
      </c>
      <c r="J59" s="346">
        <v>0.48076000000000002</v>
      </c>
      <c r="K59" s="346">
        <v>2401.1999999999998</v>
      </c>
      <c r="L59" s="71"/>
      <c r="M59" s="348">
        <f t="shared" si="0"/>
        <v>1.0254454391737517</v>
      </c>
      <c r="N59" s="349">
        <f t="shared" si="1"/>
        <v>2341.6165387938695</v>
      </c>
      <c r="O59" s="350">
        <f t="shared" si="2"/>
        <v>2341.6165387938695</v>
      </c>
      <c r="P59" s="351" t="s">
        <v>12</v>
      </c>
      <c r="Q59" s="351" t="s">
        <v>865</v>
      </c>
      <c r="R59" s="350"/>
      <c r="S59" s="352"/>
      <c r="T59" s="70"/>
      <c r="U59" s="70"/>
      <c r="V59" s="70"/>
      <c r="W59" s="70"/>
      <c r="X59" s="70"/>
      <c r="Y59" s="71"/>
    </row>
    <row r="60" spans="1:25">
      <c r="A60" s="346" t="s">
        <v>901</v>
      </c>
      <c r="B60" s="346">
        <v>262</v>
      </c>
      <c r="C60" s="347">
        <v>45470.615972222222</v>
      </c>
      <c r="D60" s="346">
        <v>20</v>
      </c>
      <c r="E60" s="346">
        <v>9.9892999999999996E-2</v>
      </c>
      <c r="F60" s="346">
        <v>36.799999999999997</v>
      </c>
      <c r="G60" s="346">
        <v>22.5</v>
      </c>
      <c r="H60" s="346">
        <v>982.27110000000005</v>
      </c>
      <c r="I60" s="346">
        <v>0.99978800000000001</v>
      </c>
      <c r="J60" s="346">
        <v>0.48064899999999999</v>
      </c>
      <c r="K60" s="346">
        <v>2400.6999999999998</v>
      </c>
      <c r="L60" s="346"/>
      <c r="M60" s="348">
        <f t="shared" si="0"/>
        <v>1.0254454391737517</v>
      </c>
      <c r="N60" s="349">
        <f t="shared" si="1"/>
        <v>2341.1289458114452</v>
      </c>
      <c r="O60" s="350">
        <f t="shared" si="2"/>
        <v>2341.1289458114452</v>
      </c>
      <c r="P60" s="351" t="s">
        <v>12</v>
      </c>
      <c r="Q60" s="351" t="s">
        <v>865</v>
      </c>
      <c r="R60" s="350"/>
      <c r="S60" s="352"/>
      <c r="T60" s="70"/>
      <c r="U60" s="70"/>
      <c r="V60" s="70"/>
      <c r="W60" s="70"/>
      <c r="X60" s="70"/>
      <c r="Y60" s="71"/>
    </row>
    <row r="61" spans="1:25">
      <c r="A61" s="346" t="s">
        <v>902</v>
      </c>
      <c r="B61" s="354">
        <v>261</v>
      </c>
      <c r="C61" s="347">
        <v>45470.621527777781</v>
      </c>
      <c r="D61" s="346">
        <v>20</v>
      </c>
      <c r="E61" s="346">
        <v>9.9892999999999996E-2</v>
      </c>
      <c r="F61" s="346">
        <v>36.6</v>
      </c>
      <c r="G61" s="346">
        <v>22.5</v>
      </c>
      <c r="H61" s="346">
        <v>985.57380000000001</v>
      </c>
      <c r="I61" s="346">
        <v>0.99977499999999997</v>
      </c>
      <c r="J61" s="346">
        <v>0.48057699999999998</v>
      </c>
      <c r="K61" s="346">
        <v>2400.3000000000002</v>
      </c>
      <c r="L61" s="346" t="s">
        <v>903</v>
      </c>
      <c r="M61" s="348">
        <f t="shared" si="0"/>
        <v>1.0252934602482262</v>
      </c>
      <c r="N61" s="349">
        <f t="shared" si="1"/>
        <v>2341.0858384085286</v>
      </c>
      <c r="O61" s="350">
        <f t="shared" si="2"/>
        <v>2341.0858384085286</v>
      </c>
      <c r="P61" s="351" t="s">
        <v>280</v>
      </c>
      <c r="Q61" s="351" t="s">
        <v>865</v>
      </c>
      <c r="R61" s="350" t="s">
        <v>904</v>
      </c>
      <c r="S61" s="352"/>
      <c r="T61" s="70"/>
      <c r="U61" s="70"/>
      <c r="V61" s="70"/>
      <c r="W61" s="70"/>
      <c r="X61" s="70"/>
      <c r="Y61" s="71"/>
    </row>
    <row r="62" spans="1:25">
      <c r="A62" s="354" t="s">
        <v>905</v>
      </c>
      <c r="B62" s="354" t="s">
        <v>552</v>
      </c>
      <c r="C62" s="355">
        <v>45470.628472222219</v>
      </c>
      <c r="D62" s="354">
        <v>20</v>
      </c>
      <c r="E62" s="354">
        <v>9.9892999999999996E-2</v>
      </c>
      <c r="F62" s="354">
        <v>33.200000000000003</v>
      </c>
      <c r="G62" s="354">
        <v>22.5</v>
      </c>
      <c r="H62" s="354">
        <v>991.22749999999996</v>
      </c>
      <c r="I62" s="354">
        <v>0.99972899999999998</v>
      </c>
      <c r="J62" s="354">
        <v>0.452046</v>
      </c>
      <c r="K62" s="354">
        <v>2257.8000000000002</v>
      </c>
      <c r="L62" s="354"/>
      <c r="M62" s="348">
        <f t="shared" si="0"/>
        <v>1.0227124503008802</v>
      </c>
      <c r="N62" s="349">
        <f t="shared" si="1"/>
        <v>2207.6586623500666</v>
      </c>
      <c r="O62" s="350">
        <f t="shared" si="2"/>
        <v>2207.6586623500666</v>
      </c>
      <c r="P62" s="351" t="s">
        <v>12</v>
      </c>
      <c r="Q62" s="356" t="s">
        <v>865</v>
      </c>
      <c r="R62" s="350"/>
      <c r="S62" s="352"/>
      <c r="T62" s="70"/>
      <c r="U62" s="70"/>
      <c r="V62" s="70"/>
      <c r="W62" s="70"/>
      <c r="X62" s="70"/>
      <c r="Y62" s="71"/>
    </row>
    <row r="63" spans="1:25">
      <c r="A63" s="354" t="s">
        <v>906</v>
      </c>
      <c r="B63" s="354" t="s">
        <v>552</v>
      </c>
      <c r="C63" s="355">
        <v>45470.634027777778</v>
      </c>
      <c r="D63" s="354">
        <v>20</v>
      </c>
      <c r="E63" s="354">
        <v>9.9892999999999996E-2</v>
      </c>
      <c r="F63" s="354">
        <v>33.200000000000003</v>
      </c>
      <c r="G63" s="354">
        <v>22.5</v>
      </c>
      <c r="H63" s="354">
        <v>981.0729</v>
      </c>
      <c r="I63" s="354">
        <v>0.99973500000000004</v>
      </c>
      <c r="J63" s="354">
        <v>0.45274799999999998</v>
      </c>
      <c r="K63" s="354">
        <v>2261.3000000000002</v>
      </c>
      <c r="L63" s="354">
        <v>2.4771000000000001</v>
      </c>
      <c r="M63" s="348">
        <f t="shared" si="0"/>
        <v>1.0227124503008802</v>
      </c>
      <c r="N63" s="349">
        <f t="shared" si="1"/>
        <v>2211.0809341714084</v>
      </c>
      <c r="O63" s="350">
        <f t="shared" si="2"/>
        <v>2211.0809341714084</v>
      </c>
      <c r="P63" s="351" t="s">
        <v>12</v>
      </c>
      <c r="Q63" s="356" t="s">
        <v>865</v>
      </c>
      <c r="R63" s="350"/>
      <c r="S63" s="352"/>
      <c r="T63" s="70"/>
      <c r="U63" s="70"/>
      <c r="V63" s="70"/>
      <c r="W63" s="70"/>
      <c r="X63" s="70"/>
      <c r="Y63" s="71"/>
    </row>
    <row r="64" spans="1:25">
      <c r="A64" s="354" t="s">
        <v>907</v>
      </c>
      <c r="B64" s="354" t="s">
        <v>552</v>
      </c>
      <c r="C64" s="355">
        <v>45470.640277777777</v>
      </c>
      <c r="D64" s="354">
        <v>20</v>
      </c>
      <c r="E64" s="354">
        <v>9.9892999999999996E-2</v>
      </c>
      <c r="F64" s="354">
        <v>33.200000000000003</v>
      </c>
      <c r="G64" s="354">
        <v>22.5</v>
      </c>
      <c r="H64" s="354">
        <v>980.62580000000003</v>
      </c>
      <c r="I64" s="354">
        <v>0.99978699999999998</v>
      </c>
      <c r="J64" s="354">
        <v>0.45193499999999998</v>
      </c>
      <c r="K64" s="354">
        <v>2257.3000000000002</v>
      </c>
      <c r="L64" s="354">
        <v>2.871</v>
      </c>
      <c r="M64" s="348">
        <f t="shared" si="0"/>
        <v>1.0227124503008802</v>
      </c>
      <c r="N64" s="349">
        <f t="shared" si="1"/>
        <v>2207.1697663755895</v>
      </c>
      <c r="O64" s="350">
        <f t="shared" si="2"/>
        <v>2207.1697663755895</v>
      </c>
      <c r="P64" s="351" t="s">
        <v>12</v>
      </c>
      <c r="Q64" s="356" t="s">
        <v>865</v>
      </c>
      <c r="R64" s="350"/>
      <c r="S64" s="352"/>
      <c r="T64" s="70"/>
      <c r="U64" s="70"/>
      <c r="V64" s="70"/>
      <c r="W64" s="70"/>
      <c r="X64" s="70"/>
      <c r="Y64" s="71"/>
    </row>
    <row r="65" spans="1:25">
      <c r="A65" s="346" t="s">
        <v>862</v>
      </c>
      <c r="B65" s="346" t="s">
        <v>863</v>
      </c>
      <c r="C65" s="347">
        <v>45492.481944444444</v>
      </c>
      <c r="D65" s="346">
        <v>20</v>
      </c>
      <c r="E65" s="346">
        <v>9.9893099999999999E-2</v>
      </c>
      <c r="F65" s="346" t="s">
        <v>864</v>
      </c>
      <c r="G65" s="346">
        <v>22.5</v>
      </c>
      <c r="H65" s="346">
        <v>1143.49101</v>
      </c>
      <c r="I65" s="346">
        <v>0.99994799999999995</v>
      </c>
      <c r="J65" s="346">
        <v>0.41425200000000001</v>
      </c>
      <c r="K65" s="346">
        <v>2069</v>
      </c>
      <c r="L65" s="346"/>
      <c r="M65" s="348" t="e">
        <f t="shared" si="0"/>
        <v>#VALUE!</v>
      </c>
      <c r="N65" s="349" t="e">
        <f t="shared" si="1"/>
        <v>#VALUE!</v>
      </c>
      <c r="O65" s="350" t="e">
        <f t="shared" si="2"/>
        <v>#VALUE!</v>
      </c>
      <c r="P65" s="351" t="s">
        <v>280</v>
      </c>
      <c r="Q65" s="351" t="s">
        <v>13</v>
      </c>
      <c r="R65" s="358"/>
      <c r="S65" s="70"/>
      <c r="T65" s="70"/>
      <c r="U65" s="70"/>
      <c r="V65" s="70"/>
      <c r="W65" s="70"/>
      <c r="X65" s="70"/>
      <c r="Y65" s="71"/>
    </row>
    <row r="66" spans="1:25">
      <c r="A66" s="346" t="s">
        <v>866</v>
      </c>
      <c r="B66" s="346" t="s">
        <v>863</v>
      </c>
      <c r="C66" s="347">
        <v>45492.491666666669</v>
      </c>
      <c r="D66" s="346">
        <v>20</v>
      </c>
      <c r="E66" s="346">
        <v>9.9893099999999999E-2</v>
      </c>
      <c r="F66" s="346" t="s">
        <v>864</v>
      </c>
      <c r="G66" s="346">
        <v>22.5</v>
      </c>
      <c r="H66" s="346">
        <v>1143.1494499999999</v>
      </c>
      <c r="I66" s="346">
        <v>0.99995800000000001</v>
      </c>
      <c r="J66" s="346">
        <v>0.41316199999999997</v>
      </c>
      <c r="K66" s="346">
        <v>2063.6</v>
      </c>
      <c r="L66" s="346">
        <v>3.8462999999999998</v>
      </c>
      <c r="M66" s="348" t="e">
        <f t="shared" si="0"/>
        <v>#VALUE!</v>
      </c>
      <c r="N66" s="349" t="e">
        <f t="shared" si="1"/>
        <v>#VALUE!</v>
      </c>
      <c r="O66" s="350" t="e">
        <f t="shared" si="2"/>
        <v>#VALUE!</v>
      </c>
      <c r="P66" s="351" t="s">
        <v>280</v>
      </c>
      <c r="Q66" s="351" t="s">
        <v>13</v>
      </c>
      <c r="R66" s="358"/>
      <c r="S66" s="70"/>
      <c r="T66" s="70"/>
      <c r="U66" s="70"/>
      <c r="V66" s="70"/>
      <c r="W66" s="70"/>
      <c r="X66" s="70"/>
      <c r="Y66" s="71"/>
    </row>
    <row r="67" spans="1:25">
      <c r="A67" s="346" t="s">
        <v>867</v>
      </c>
      <c r="B67" s="346" t="s">
        <v>863</v>
      </c>
      <c r="C67" s="347">
        <v>45492.497916666667</v>
      </c>
      <c r="D67" s="346">
        <v>20</v>
      </c>
      <c r="E67" s="346">
        <v>9.9893099999999999E-2</v>
      </c>
      <c r="F67" s="346" t="s">
        <v>864</v>
      </c>
      <c r="G67" s="346">
        <v>22.5</v>
      </c>
      <c r="H67" s="346">
        <v>1136.46468</v>
      </c>
      <c r="I67" s="346">
        <v>0.999892</v>
      </c>
      <c r="J67" s="346">
        <v>0.414157</v>
      </c>
      <c r="K67" s="346">
        <v>2068.6</v>
      </c>
      <c r="L67" s="346">
        <v>3.5108000000000001</v>
      </c>
      <c r="M67" s="348" t="e">
        <f t="shared" si="0"/>
        <v>#VALUE!</v>
      </c>
      <c r="N67" s="349" t="e">
        <f t="shared" si="1"/>
        <v>#VALUE!</v>
      </c>
      <c r="O67" s="350" t="e">
        <f t="shared" si="2"/>
        <v>#VALUE!</v>
      </c>
      <c r="P67" s="351" t="s">
        <v>280</v>
      </c>
      <c r="Q67" s="351" t="s">
        <v>13</v>
      </c>
      <c r="R67" s="358"/>
      <c r="S67" s="70"/>
      <c r="T67" s="70"/>
      <c r="U67" s="70"/>
      <c r="V67" s="70"/>
      <c r="W67" s="70"/>
      <c r="X67" s="70"/>
      <c r="Y67" s="71"/>
    </row>
    <row r="68" spans="1:25">
      <c r="A68" s="346" t="s">
        <v>908</v>
      </c>
      <c r="B68" s="346" t="s">
        <v>863</v>
      </c>
      <c r="C68" s="347">
        <v>45492.513194444444</v>
      </c>
      <c r="D68" s="346">
        <v>20</v>
      </c>
      <c r="E68" s="346">
        <v>9.9893099999999999E-2</v>
      </c>
      <c r="F68" s="346" t="s">
        <v>864</v>
      </c>
      <c r="G68" s="346">
        <v>22.5</v>
      </c>
      <c r="H68" s="346">
        <v>1136.12554</v>
      </c>
      <c r="I68" s="346">
        <v>0.99995100000000003</v>
      </c>
      <c r="J68" s="346">
        <v>0.41334100000000001</v>
      </c>
      <c r="K68" s="346">
        <v>2064.5</v>
      </c>
      <c r="L68" s="346">
        <v>2.8803999999999998</v>
      </c>
      <c r="M68" s="348" t="e">
        <f t="shared" si="0"/>
        <v>#VALUE!</v>
      </c>
      <c r="N68" s="349" t="e">
        <f t="shared" si="1"/>
        <v>#VALUE!</v>
      </c>
      <c r="O68" s="350" t="e">
        <f t="shared" si="2"/>
        <v>#VALUE!</v>
      </c>
      <c r="P68" s="351" t="s">
        <v>280</v>
      </c>
      <c r="Q68" s="351" t="s">
        <v>13</v>
      </c>
      <c r="R68" s="358"/>
      <c r="S68" s="70"/>
      <c r="T68" s="70"/>
      <c r="U68" s="70"/>
      <c r="V68" s="70"/>
      <c r="W68" s="70"/>
      <c r="X68" s="70"/>
      <c r="Y68" s="71"/>
    </row>
    <row r="69" spans="1:25">
      <c r="A69" s="346" t="s">
        <v>909</v>
      </c>
      <c r="B69" s="346" t="s">
        <v>863</v>
      </c>
      <c r="C69" s="347">
        <v>45492.522222222222</v>
      </c>
      <c r="D69" s="346">
        <v>20</v>
      </c>
      <c r="E69" s="346">
        <v>9.9893099999999999E-2</v>
      </c>
      <c r="F69" s="346" t="s">
        <v>864</v>
      </c>
      <c r="G69" s="346">
        <v>22.5</v>
      </c>
      <c r="H69" s="346">
        <v>1147.54946</v>
      </c>
      <c r="I69" s="346">
        <v>0.99996200000000002</v>
      </c>
      <c r="J69" s="346">
        <v>0.41341699999999998</v>
      </c>
      <c r="K69" s="346">
        <v>2064.9</v>
      </c>
      <c r="L69" s="346">
        <v>0.26910000000000001</v>
      </c>
      <c r="M69" s="348" t="e">
        <f t="shared" si="0"/>
        <v>#VALUE!</v>
      </c>
      <c r="N69" s="349" t="e">
        <f t="shared" si="1"/>
        <v>#VALUE!</v>
      </c>
      <c r="O69" s="350" t="e">
        <f t="shared" si="2"/>
        <v>#VALUE!</v>
      </c>
      <c r="P69" s="351" t="s">
        <v>280</v>
      </c>
      <c r="Q69" s="351" t="s">
        <v>13</v>
      </c>
      <c r="R69" s="358"/>
      <c r="S69" s="70"/>
      <c r="T69" s="70"/>
      <c r="U69" s="70"/>
      <c r="V69" s="70"/>
      <c r="W69" s="70"/>
      <c r="X69" s="70"/>
      <c r="Y69" s="71"/>
    </row>
    <row r="70" spans="1:25">
      <c r="A70" s="346" t="s">
        <v>910</v>
      </c>
      <c r="B70" s="346" t="s">
        <v>863</v>
      </c>
      <c r="C70" s="347">
        <v>45492.529166666667</v>
      </c>
      <c r="D70" s="346">
        <v>20</v>
      </c>
      <c r="E70" s="346">
        <v>9.9893099999999999E-2</v>
      </c>
      <c r="F70" s="346" t="s">
        <v>864</v>
      </c>
      <c r="G70" s="346">
        <v>22.5</v>
      </c>
      <c r="H70" s="346">
        <v>1137.73578</v>
      </c>
      <c r="I70" s="346">
        <v>0.99997400000000003</v>
      </c>
      <c r="J70" s="346">
        <v>0.41287299999999999</v>
      </c>
      <c r="K70" s="346">
        <v>2062.1999999999998</v>
      </c>
      <c r="L70" s="346">
        <v>1.9227000000000001</v>
      </c>
      <c r="M70" s="348" t="e">
        <f t="shared" si="0"/>
        <v>#VALUE!</v>
      </c>
      <c r="N70" s="349" t="e">
        <f t="shared" si="1"/>
        <v>#VALUE!</v>
      </c>
      <c r="O70" s="350" t="e">
        <f t="shared" si="2"/>
        <v>#VALUE!</v>
      </c>
      <c r="P70" s="351" t="s">
        <v>280</v>
      </c>
      <c r="Q70" s="351" t="s">
        <v>13</v>
      </c>
      <c r="R70" s="358"/>
      <c r="S70" s="70"/>
      <c r="T70" s="70"/>
      <c r="U70" s="70"/>
      <c r="V70" s="70"/>
      <c r="W70" s="70"/>
      <c r="X70" s="70"/>
      <c r="Y70" s="71"/>
    </row>
    <row r="71" spans="1:25">
      <c r="A71" s="354" t="s">
        <v>896</v>
      </c>
      <c r="B71" s="354" t="s">
        <v>726</v>
      </c>
      <c r="C71" s="355">
        <v>45492.541666666664</v>
      </c>
      <c r="D71" s="354">
        <v>20</v>
      </c>
      <c r="E71" s="354">
        <v>9.9893099999999999E-2</v>
      </c>
      <c r="F71" s="354">
        <v>33.200000000000003</v>
      </c>
      <c r="G71" s="354">
        <v>22.5</v>
      </c>
      <c r="H71" s="354">
        <v>948.25616200000002</v>
      </c>
      <c r="I71" s="354">
        <v>0.99978800000000001</v>
      </c>
      <c r="J71" s="354">
        <v>0.45117099999999999</v>
      </c>
      <c r="K71" s="354">
        <v>2253.4</v>
      </c>
      <c r="L71" s="346"/>
      <c r="M71" s="348">
        <f t="shared" si="0"/>
        <v>1.0227124503008802</v>
      </c>
      <c r="N71" s="349">
        <f t="shared" si="1"/>
        <v>2203.3563777746654</v>
      </c>
      <c r="O71" s="350">
        <f t="shared" si="2"/>
        <v>2203.3563777746654</v>
      </c>
      <c r="P71" s="351" t="s">
        <v>12</v>
      </c>
      <c r="Q71" s="351" t="s">
        <v>13</v>
      </c>
      <c r="R71" s="358"/>
      <c r="S71" s="70"/>
      <c r="T71" s="70"/>
      <c r="U71" s="70"/>
      <c r="V71" s="70"/>
      <c r="W71" s="70"/>
      <c r="X71" s="70"/>
      <c r="Y71" s="71"/>
    </row>
    <row r="72" spans="1:25">
      <c r="A72" s="346" t="s">
        <v>872</v>
      </c>
      <c r="B72" s="346">
        <v>300</v>
      </c>
      <c r="C72" s="347">
        <v>45492.568749999999</v>
      </c>
      <c r="D72" s="346">
        <v>20</v>
      </c>
      <c r="E72" s="346">
        <v>9.9893099999999999E-2</v>
      </c>
      <c r="F72" s="346">
        <v>37.4</v>
      </c>
      <c r="G72" s="346">
        <v>22.5</v>
      </c>
      <c r="H72" s="346">
        <v>968.15957100000003</v>
      </c>
      <c r="I72" s="346">
        <v>0.99983900000000003</v>
      </c>
      <c r="J72" s="346">
        <v>0.48343199999999997</v>
      </c>
      <c r="K72" s="346">
        <v>2414.6</v>
      </c>
      <c r="L72" s="346"/>
      <c r="M72" s="348">
        <f t="shared" si="0"/>
        <v>1.0259014816453425</v>
      </c>
      <c r="N72" s="349">
        <f t="shared" si="1"/>
        <v>2353.6373065057483</v>
      </c>
      <c r="O72" s="350">
        <f t="shared" si="2"/>
        <v>2353.6373065057483</v>
      </c>
      <c r="P72" s="351" t="s">
        <v>12</v>
      </c>
      <c r="Q72" s="351" t="s">
        <v>13</v>
      </c>
      <c r="R72" s="358"/>
      <c r="S72" s="70"/>
      <c r="T72" s="70"/>
      <c r="U72" s="70"/>
      <c r="V72" s="70"/>
      <c r="W72" s="70"/>
      <c r="X72" s="70"/>
      <c r="Y72" s="71"/>
    </row>
    <row r="73" spans="1:25">
      <c r="A73" s="346" t="s">
        <v>873</v>
      </c>
      <c r="B73" s="346">
        <v>301</v>
      </c>
      <c r="C73" s="347">
        <v>45492.575694444444</v>
      </c>
      <c r="D73" s="346">
        <v>20</v>
      </c>
      <c r="E73" s="346">
        <v>9.9893099999999999E-2</v>
      </c>
      <c r="F73" s="346">
        <v>37.5</v>
      </c>
      <c r="G73" s="346">
        <v>22.5</v>
      </c>
      <c r="H73" s="346">
        <v>955.16660200000001</v>
      </c>
      <c r="I73" s="346">
        <v>0.99988100000000002</v>
      </c>
      <c r="J73" s="346">
        <v>0.48427700000000001</v>
      </c>
      <c r="K73" s="346">
        <v>2418.8000000000002</v>
      </c>
      <c r="L73" s="346"/>
      <c r="M73" s="348">
        <f t="shared" si="0"/>
        <v>1.0259775042121249</v>
      </c>
      <c r="N73" s="349">
        <f t="shared" si="1"/>
        <v>2357.5565644175213</v>
      </c>
      <c r="O73" s="350">
        <f t="shared" si="2"/>
        <v>2357.5565644175213</v>
      </c>
      <c r="P73" s="351" t="s">
        <v>12</v>
      </c>
      <c r="Q73" s="351" t="s">
        <v>13</v>
      </c>
      <c r="R73" s="358"/>
      <c r="S73" s="70"/>
      <c r="T73" s="70"/>
      <c r="U73" s="70"/>
      <c r="V73" s="70"/>
      <c r="W73" s="70"/>
      <c r="X73" s="70"/>
      <c r="Y73" s="71"/>
    </row>
    <row r="74" spans="1:25">
      <c r="A74" s="346" t="s">
        <v>874</v>
      </c>
      <c r="B74" s="346">
        <v>196</v>
      </c>
      <c r="C74" s="347">
        <v>45492.584722222222</v>
      </c>
      <c r="D74" s="346">
        <v>20</v>
      </c>
      <c r="E74" s="346">
        <v>9.9893099999999999E-2</v>
      </c>
      <c r="F74" s="346">
        <v>37.4</v>
      </c>
      <c r="G74" s="346">
        <v>22.5</v>
      </c>
      <c r="H74" s="346">
        <v>973.30864499999996</v>
      </c>
      <c r="I74" s="346">
        <v>0.99983299999999997</v>
      </c>
      <c r="J74" s="346">
        <v>0.48256700000000002</v>
      </c>
      <c r="K74" s="346">
        <v>2410.3000000000002</v>
      </c>
      <c r="L74" s="346"/>
      <c r="M74" s="348">
        <f t="shared" si="0"/>
        <v>1.0259014816453425</v>
      </c>
      <c r="N74" s="349">
        <f t="shared" si="1"/>
        <v>2349.4458708982047</v>
      </c>
      <c r="O74" s="350">
        <f t="shared" si="2"/>
        <v>2349.4458708982047</v>
      </c>
      <c r="P74" s="351" t="s">
        <v>12</v>
      </c>
      <c r="Q74" s="351" t="s">
        <v>13</v>
      </c>
      <c r="R74" s="358"/>
      <c r="S74" s="70"/>
      <c r="T74" s="70"/>
      <c r="U74" s="70"/>
      <c r="V74" s="70"/>
      <c r="W74" s="70"/>
      <c r="X74" s="70"/>
      <c r="Y74" s="71"/>
    </row>
    <row r="75" spans="1:25">
      <c r="A75" s="346" t="s">
        <v>875</v>
      </c>
      <c r="B75" s="346">
        <v>197</v>
      </c>
      <c r="C75" s="347">
        <v>45492.59097222222</v>
      </c>
      <c r="D75" s="346">
        <v>20</v>
      </c>
      <c r="E75" s="346">
        <v>9.9893099999999999E-2</v>
      </c>
      <c r="F75" s="346">
        <v>37.5</v>
      </c>
      <c r="G75" s="346">
        <v>22.5</v>
      </c>
      <c r="H75" s="346">
        <v>950.64127199999996</v>
      </c>
      <c r="I75" s="346">
        <v>0.99979700000000005</v>
      </c>
      <c r="J75" s="346">
        <v>0.483184</v>
      </c>
      <c r="K75" s="346">
        <v>2413.3000000000002</v>
      </c>
      <c r="L75" s="346"/>
      <c r="M75" s="348">
        <f t="shared" si="0"/>
        <v>1.0259775042121249</v>
      </c>
      <c r="N75" s="349">
        <f t="shared" si="1"/>
        <v>2352.1958230977361</v>
      </c>
      <c r="O75" s="350">
        <f t="shared" si="2"/>
        <v>2352.1958230977361</v>
      </c>
      <c r="P75" s="351" t="s">
        <v>12</v>
      </c>
      <c r="Q75" s="351" t="s">
        <v>13</v>
      </c>
      <c r="R75" s="358"/>
      <c r="S75" s="70"/>
      <c r="T75" s="70"/>
      <c r="U75" s="70"/>
      <c r="V75" s="70"/>
      <c r="W75" s="70"/>
      <c r="X75" s="70"/>
      <c r="Y75" s="71"/>
    </row>
    <row r="76" spans="1:25">
      <c r="A76" s="346" t="s">
        <v>876</v>
      </c>
      <c r="B76" s="346">
        <v>339</v>
      </c>
      <c r="C76" s="347">
        <v>45492.598611111112</v>
      </c>
      <c r="D76" s="346">
        <v>20</v>
      </c>
      <c r="E76" s="346">
        <v>9.9893099999999999E-2</v>
      </c>
      <c r="F76" s="346">
        <v>37.4</v>
      </c>
      <c r="G76" s="346">
        <v>22.5</v>
      </c>
      <c r="H76" s="346">
        <v>951.97889999999995</v>
      </c>
      <c r="I76" s="346">
        <v>0.99986600000000003</v>
      </c>
      <c r="J76" s="346">
        <v>0.48729600000000001</v>
      </c>
      <c r="K76" s="346">
        <v>2433.9</v>
      </c>
      <c r="L76" s="346"/>
      <c r="M76" s="348">
        <f t="shared" si="0"/>
        <v>1.0259014816453425</v>
      </c>
      <c r="N76" s="349">
        <f t="shared" si="1"/>
        <v>2372.4500291163508</v>
      </c>
      <c r="O76" s="350">
        <f t="shared" si="2"/>
        <v>2372.4500291163508</v>
      </c>
      <c r="P76" s="351" t="s">
        <v>12</v>
      </c>
      <c r="Q76" s="351" t="s">
        <v>13</v>
      </c>
      <c r="R76" s="358"/>
      <c r="S76" s="70"/>
      <c r="T76" s="70"/>
      <c r="U76" s="70"/>
      <c r="V76" s="70"/>
      <c r="W76" s="70"/>
      <c r="X76" s="70"/>
      <c r="Y76" s="71"/>
    </row>
    <row r="77" spans="1:25">
      <c r="A77" s="346" t="s">
        <v>877</v>
      </c>
      <c r="B77" s="346">
        <v>340</v>
      </c>
      <c r="C77" s="347">
        <v>45492.606249999997</v>
      </c>
      <c r="D77" s="346">
        <v>20</v>
      </c>
      <c r="E77" s="346">
        <v>9.9893099999999999E-2</v>
      </c>
      <c r="F77" s="346">
        <v>37.4</v>
      </c>
      <c r="G77" s="346">
        <v>22.5</v>
      </c>
      <c r="H77" s="346">
        <v>962.48281299999996</v>
      </c>
      <c r="I77" s="346">
        <v>0.99975800000000004</v>
      </c>
      <c r="J77" s="346">
        <v>0.48564400000000002</v>
      </c>
      <c r="K77" s="346">
        <v>2425.6</v>
      </c>
      <c r="L77" s="346"/>
      <c r="M77" s="348">
        <f t="shared" si="0"/>
        <v>1.0259014816453425</v>
      </c>
      <c r="N77" s="349">
        <f t="shared" si="1"/>
        <v>2364.3595836413247</v>
      </c>
      <c r="O77" s="350">
        <f t="shared" si="2"/>
        <v>2364.3595836413247</v>
      </c>
      <c r="P77" s="351" t="s">
        <v>12</v>
      </c>
      <c r="Q77" s="351" t="s">
        <v>13</v>
      </c>
      <c r="R77" s="358"/>
      <c r="S77" s="70"/>
      <c r="T77" s="70"/>
      <c r="U77" s="70"/>
      <c r="V77" s="70"/>
      <c r="W77" s="70"/>
      <c r="X77" s="70"/>
      <c r="Y77" s="71"/>
    </row>
    <row r="78" spans="1:25">
      <c r="A78" s="346" t="s">
        <v>878</v>
      </c>
      <c r="B78" s="346">
        <v>248</v>
      </c>
      <c r="C78" s="347">
        <v>45492.614583333336</v>
      </c>
      <c r="D78" s="346">
        <v>20</v>
      </c>
      <c r="E78" s="346">
        <v>9.9893099999999999E-2</v>
      </c>
      <c r="F78" s="346">
        <v>37.4</v>
      </c>
      <c r="G78" s="346">
        <v>22.5</v>
      </c>
      <c r="H78" s="346">
        <v>947.32473900000002</v>
      </c>
      <c r="I78" s="346">
        <v>0.99981500000000001</v>
      </c>
      <c r="J78" s="346">
        <v>0.48629600000000001</v>
      </c>
      <c r="K78" s="346">
        <v>2428.9</v>
      </c>
      <c r="L78" s="346"/>
      <c r="M78" s="348">
        <f t="shared" si="0"/>
        <v>1.0259014816453425</v>
      </c>
      <c r="N78" s="349">
        <f t="shared" si="1"/>
        <v>2367.5762667819977</v>
      </c>
      <c r="O78" s="350">
        <f t="shared" si="2"/>
        <v>2367.5762667819977</v>
      </c>
      <c r="P78" s="351" t="s">
        <v>12</v>
      </c>
      <c r="Q78" s="351" t="s">
        <v>13</v>
      </c>
      <c r="R78" s="358"/>
      <c r="S78" s="70"/>
      <c r="T78" s="70"/>
      <c r="U78" s="70"/>
      <c r="V78" s="70"/>
      <c r="W78" s="70"/>
      <c r="X78" s="70"/>
      <c r="Y78" s="71"/>
    </row>
    <row r="79" spans="1:25">
      <c r="A79" s="346" t="s">
        <v>879</v>
      </c>
      <c r="B79" s="346">
        <v>249</v>
      </c>
      <c r="C79" s="347">
        <v>45492.621527777781</v>
      </c>
      <c r="D79" s="346">
        <v>20</v>
      </c>
      <c r="E79" s="346">
        <v>9.9893099999999999E-2</v>
      </c>
      <c r="F79" s="346">
        <v>37.5</v>
      </c>
      <c r="G79" s="346">
        <v>22.5</v>
      </c>
      <c r="H79" s="346">
        <v>949.56948699999998</v>
      </c>
      <c r="I79" s="346">
        <v>0.99979099999999999</v>
      </c>
      <c r="J79" s="346">
        <v>0.48706899999999997</v>
      </c>
      <c r="K79" s="346">
        <v>2432.6999999999998</v>
      </c>
      <c r="L79" s="346"/>
      <c r="M79" s="348">
        <f t="shared" si="0"/>
        <v>1.0259775042121249</v>
      </c>
      <c r="N79" s="349">
        <f t="shared" si="1"/>
        <v>2371.1046197529781</v>
      </c>
      <c r="O79" s="350">
        <f t="shared" si="2"/>
        <v>2371.1046197529781</v>
      </c>
      <c r="P79" s="351" t="s">
        <v>12</v>
      </c>
      <c r="Q79" s="351" t="s">
        <v>13</v>
      </c>
      <c r="R79" s="358"/>
      <c r="S79" s="70"/>
      <c r="T79" s="70"/>
      <c r="U79" s="70"/>
      <c r="V79" s="70"/>
      <c r="W79" s="70"/>
      <c r="X79" s="70"/>
      <c r="Y79" s="71"/>
    </row>
    <row r="80" spans="1:25">
      <c r="A80" s="346" t="s">
        <v>880</v>
      </c>
      <c r="B80" s="346">
        <v>313</v>
      </c>
      <c r="C80" s="347">
        <v>45492.629166666666</v>
      </c>
      <c r="D80" s="346">
        <v>20</v>
      </c>
      <c r="E80" s="346">
        <v>9.9893099999999999E-2</v>
      </c>
      <c r="F80" s="346">
        <v>37.5</v>
      </c>
      <c r="G80" s="346">
        <v>22.5</v>
      </c>
      <c r="H80" s="346">
        <v>945.00266899999997</v>
      </c>
      <c r="I80" s="346">
        <v>0.99982899999999997</v>
      </c>
      <c r="J80" s="346">
        <v>0.48384100000000002</v>
      </c>
      <c r="K80" s="346">
        <v>2416.6</v>
      </c>
      <c r="L80" s="346"/>
      <c r="M80" s="348">
        <f t="shared" si="0"/>
        <v>1.0259775042121249</v>
      </c>
      <c r="N80" s="349">
        <f t="shared" si="1"/>
        <v>2355.4122678896069</v>
      </c>
      <c r="O80" s="350">
        <f t="shared" si="2"/>
        <v>2355.4122678896069</v>
      </c>
      <c r="P80" s="351" t="s">
        <v>12</v>
      </c>
      <c r="Q80" s="351" t="s">
        <v>13</v>
      </c>
      <c r="R80" s="358"/>
      <c r="S80" s="70"/>
      <c r="T80" s="70"/>
      <c r="U80" s="70"/>
      <c r="V80" s="70"/>
      <c r="W80" s="70"/>
      <c r="X80" s="70"/>
      <c r="Y80" s="71"/>
    </row>
    <row r="81" spans="1:31">
      <c r="A81" s="346" t="s">
        <v>881</v>
      </c>
      <c r="B81" s="346">
        <v>314</v>
      </c>
      <c r="C81" s="347">
        <v>45492.636805555558</v>
      </c>
      <c r="D81" s="346">
        <v>20</v>
      </c>
      <c r="E81" s="346">
        <v>9.9893099999999999E-2</v>
      </c>
      <c r="F81" s="346">
        <v>37.6</v>
      </c>
      <c r="G81" s="346">
        <v>22.5</v>
      </c>
      <c r="H81" s="346">
        <v>939.70497999999998</v>
      </c>
      <c r="I81" s="346">
        <v>0.99986600000000003</v>
      </c>
      <c r="J81" s="346">
        <v>0.48430499999999999</v>
      </c>
      <c r="K81" s="346">
        <v>2418.9</v>
      </c>
      <c r="L81" s="346"/>
      <c r="M81" s="348">
        <f t="shared" si="0"/>
        <v>1.0260535312227896</v>
      </c>
      <c r="N81" s="349">
        <f t="shared" si="1"/>
        <v>2357.479338448647</v>
      </c>
      <c r="O81" s="350">
        <f t="shared" si="2"/>
        <v>2357.479338448647</v>
      </c>
      <c r="P81" s="351" t="s">
        <v>12</v>
      </c>
      <c r="Q81" s="351" t="s">
        <v>13</v>
      </c>
      <c r="R81" s="358"/>
      <c r="S81" s="70"/>
      <c r="T81" s="70"/>
      <c r="U81" s="70"/>
      <c r="V81" s="70"/>
      <c r="W81" s="70"/>
      <c r="X81" s="70"/>
      <c r="Y81" s="71"/>
    </row>
    <row r="82" spans="1:31">
      <c r="A82" s="354" t="s">
        <v>882</v>
      </c>
      <c r="B82" s="354" t="s">
        <v>726</v>
      </c>
      <c r="C82" s="355">
        <v>45492.647916666669</v>
      </c>
      <c r="D82" s="354">
        <v>20</v>
      </c>
      <c r="E82" s="354">
        <v>9.9893099999999999E-2</v>
      </c>
      <c r="F82" s="354">
        <v>33.200000000000003</v>
      </c>
      <c r="G82" s="354">
        <v>22.5</v>
      </c>
      <c r="H82" s="354">
        <v>928.55043599999999</v>
      </c>
      <c r="I82" s="354">
        <v>0.99978800000000001</v>
      </c>
      <c r="J82" s="354">
        <v>0.45116800000000001</v>
      </c>
      <c r="K82" s="354">
        <v>2253.3000000000002</v>
      </c>
      <c r="L82" s="346"/>
      <c r="M82" s="348">
        <f t="shared" si="0"/>
        <v>1.0227124503008802</v>
      </c>
      <c r="N82" s="349">
        <f t="shared" si="1"/>
        <v>2203.25859857977</v>
      </c>
      <c r="O82" s="350">
        <f t="shared" si="2"/>
        <v>2203.25859857977</v>
      </c>
      <c r="P82" s="351" t="s">
        <v>12</v>
      </c>
      <c r="Q82" s="351" t="s">
        <v>13</v>
      </c>
      <c r="R82" s="358"/>
      <c r="S82" s="70"/>
      <c r="T82" s="70"/>
      <c r="U82" s="70"/>
      <c r="V82" s="70"/>
      <c r="W82" s="70"/>
      <c r="X82" s="70"/>
      <c r="Y82" s="71"/>
    </row>
    <row r="83" spans="1:31">
      <c r="A83" s="346" t="s">
        <v>862</v>
      </c>
      <c r="B83" s="346" t="s">
        <v>863</v>
      </c>
      <c r="C83" s="347">
        <v>45495.397916666669</v>
      </c>
      <c r="D83" s="346">
        <v>20</v>
      </c>
      <c r="E83" s="346">
        <v>9.9893099999999999E-2</v>
      </c>
      <c r="F83" s="346">
        <v>33.200000000000003</v>
      </c>
      <c r="G83" s="346">
        <v>22.5</v>
      </c>
      <c r="H83" s="346">
        <v>1096.77692</v>
      </c>
      <c r="I83" s="346">
        <v>0.99997100000000005</v>
      </c>
      <c r="J83" s="346">
        <v>0.41326499999999999</v>
      </c>
      <c r="K83" s="346">
        <v>2064.1</v>
      </c>
      <c r="L83" s="346"/>
      <c r="M83" s="348">
        <f t="shared" si="0"/>
        <v>1.0227124503008802</v>
      </c>
      <c r="N83" s="349">
        <f t="shared" si="1"/>
        <v>2018.2603618375285</v>
      </c>
      <c r="O83" s="350">
        <f t="shared" si="2"/>
        <v>2018.2603618375285</v>
      </c>
      <c r="P83" s="351" t="s">
        <v>12</v>
      </c>
      <c r="Q83" s="351" t="s">
        <v>13</v>
      </c>
      <c r="R83" s="359"/>
      <c r="S83" s="70"/>
      <c r="T83" s="70"/>
      <c r="U83" s="70"/>
      <c r="V83" s="70"/>
      <c r="W83" s="70"/>
      <c r="X83" s="70"/>
      <c r="Y83" s="71"/>
    </row>
    <row r="84" spans="1:31">
      <c r="A84" s="346" t="s">
        <v>866</v>
      </c>
      <c r="B84" s="346" t="s">
        <v>863</v>
      </c>
      <c r="C84" s="347">
        <v>45495.405555555553</v>
      </c>
      <c r="D84" s="346">
        <v>20</v>
      </c>
      <c r="E84" s="346">
        <v>9.9893099999999999E-2</v>
      </c>
      <c r="F84" s="346">
        <v>33.200000000000003</v>
      </c>
      <c r="G84" s="346">
        <v>22.5</v>
      </c>
      <c r="H84" s="346">
        <v>1100.5957900000001</v>
      </c>
      <c r="I84" s="346">
        <v>0.99997599999999998</v>
      </c>
      <c r="J84" s="346">
        <v>0.41195500000000002</v>
      </c>
      <c r="K84" s="346">
        <v>2057.6</v>
      </c>
      <c r="L84" s="346">
        <v>4.6277999999999997</v>
      </c>
      <c r="M84" s="348">
        <f t="shared" si="0"/>
        <v>1.0227124503008802</v>
      </c>
      <c r="N84" s="349">
        <f t="shared" si="1"/>
        <v>2011.9047141693227</v>
      </c>
      <c r="O84" s="350">
        <f t="shared" si="2"/>
        <v>2011.9047141693227</v>
      </c>
      <c r="P84" s="351" t="s">
        <v>12</v>
      </c>
      <c r="Q84" s="351" t="s">
        <v>13</v>
      </c>
      <c r="R84" s="359"/>
      <c r="S84" s="70"/>
      <c r="T84" s="70"/>
      <c r="U84" s="70"/>
      <c r="V84" s="70"/>
      <c r="W84" s="70"/>
      <c r="X84" s="70"/>
      <c r="Y84" s="71"/>
    </row>
    <row r="85" spans="1:31">
      <c r="A85" s="346" t="s">
        <v>867</v>
      </c>
      <c r="B85" s="346" t="s">
        <v>863</v>
      </c>
      <c r="C85" s="347">
        <v>45495.413194444445</v>
      </c>
      <c r="D85" s="346">
        <v>20</v>
      </c>
      <c r="E85" s="346">
        <v>9.9893099999999999E-2</v>
      </c>
      <c r="F85" s="346">
        <v>33.200000000000003</v>
      </c>
      <c r="G85" s="346">
        <v>22.5</v>
      </c>
      <c r="H85" s="346">
        <v>1100.3614500000001</v>
      </c>
      <c r="I85" s="346">
        <v>0.99998500000000001</v>
      </c>
      <c r="J85" s="346">
        <v>0.41258600000000001</v>
      </c>
      <c r="K85" s="346">
        <v>2060.6999999999998</v>
      </c>
      <c r="L85" s="346">
        <v>2.2315</v>
      </c>
      <c r="M85" s="348">
        <f t="shared" si="0"/>
        <v>1.0227124503008802</v>
      </c>
      <c r="N85" s="349">
        <f t="shared" si="1"/>
        <v>2014.9358692110823</v>
      </c>
      <c r="O85" s="350">
        <f t="shared" si="2"/>
        <v>2014.9358692110823</v>
      </c>
      <c r="P85" s="351" t="s">
        <v>12</v>
      </c>
      <c r="Q85" s="351" t="s">
        <v>13</v>
      </c>
      <c r="R85" s="359"/>
      <c r="S85" s="70"/>
      <c r="T85" s="70"/>
      <c r="U85" s="70"/>
      <c r="V85" s="70"/>
      <c r="W85" s="70"/>
      <c r="X85" s="70"/>
      <c r="Y85" s="71"/>
    </row>
    <row r="86" spans="1:31">
      <c r="A86" s="346" t="s">
        <v>908</v>
      </c>
      <c r="B86" s="346" t="s">
        <v>863</v>
      </c>
      <c r="C86" s="347">
        <v>45495.420138888891</v>
      </c>
      <c r="D86" s="346">
        <v>20</v>
      </c>
      <c r="E86" s="346">
        <v>9.9893099999999999E-2</v>
      </c>
      <c r="F86" s="346">
        <v>33.200000000000003</v>
      </c>
      <c r="G86" s="346">
        <v>22.5</v>
      </c>
      <c r="H86" s="346">
        <v>1107.1528900000001</v>
      </c>
      <c r="I86" s="346">
        <v>0.99997899999999995</v>
      </c>
      <c r="J86" s="346">
        <v>0.41209800000000002</v>
      </c>
      <c r="K86" s="346">
        <v>2058.3000000000002</v>
      </c>
      <c r="L86" s="346">
        <v>1.7262999999999999</v>
      </c>
      <c r="M86" s="348">
        <f t="shared" si="0"/>
        <v>1.0227124503008802</v>
      </c>
      <c r="N86" s="349">
        <f t="shared" si="1"/>
        <v>2012.5891685335912</v>
      </c>
      <c r="O86" s="350">
        <f t="shared" si="2"/>
        <v>2012.5891685335912</v>
      </c>
      <c r="P86" s="351" t="s">
        <v>12</v>
      </c>
      <c r="Q86" s="351" t="s">
        <v>13</v>
      </c>
      <c r="R86" s="359"/>
      <c r="S86" s="70"/>
      <c r="T86" s="70"/>
      <c r="U86" s="70"/>
      <c r="V86" s="70"/>
      <c r="W86" s="70"/>
      <c r="X86" s="70"/>
      <c r="Y86" s="71"/>
    </row>
    <row r="87" spans="1:31">
      <c r="A87" s="354" t="s">
        <v>896</v>
      </c>
      <c r="B87" s="354" t="s">
        <v>911</v>
      </c>
      <c r="C87" s="355">
        <v>45495.43472222222</v>
      </c>
      <c r="D87" s="354">
        <v>20</v>
      </c>
      <c r="E87" s="354">
        <v>9.9893099999999999E-2</v>
      </c>
      <c r="F87" s="354">
        <v>33.200000000000003</v>
      </c>
      <c r="G87" s="354">
        <v>22.5</v>
      </c>
      <c r="H87" s="354">
        <v>1083.3788099999999</v>
      </c>
      <c r="I87" s="354">
        <v>0.99985599999999997</v>
      </c>
      <c r="J87" s="354">
        <v>0.45135700000000001</v>
      </c>
      <c r="K87" s="354">
        <v>2252.1999999999998</v>
      </c>
      <c r="L87" s="346"/>
      <c r="M87" s="348">
        <f t="shared" si="0"/>
        <v>1.0227124503008802</v>
      </c>
      <c r="N87" s="349">
        <f t="shared" si="1"/>
        <v>2202.1830274359195</v>
      </c>
      <c r="O87" s="350">
        <f t="shared" si="2"/>
        <v>2202.1830274359195</v>
      </c>
      <c r="P87" s="351" t="s">
        <v>12</v>
      </c>
      <c r="Q87" s="351" t="s">
        <v>13</v>
      </c>
      <c r="R87" s="359"/>
      <c r="S87" s="70"/>
      <c r="T87" s="70"/>
      <c r="U87" s="70"/>
      <c r="V87" s="70"/>
      <c r="W87" s="70"/>
      <c r="X87" s="70"/>
      <c r="Y87" s="71"/>
    </row>
    <row r="88" spans="1:31">
      <c r="A88" s="346" t="s">
        <v>874</v>
      </c>
      <c r="B88" s="346">
        <v>326</v>
      </c>
      <c r="C88" s="347">
        <v>45495.534722222219</v>
      </c>
      <c r="D88" s="346">
        <v>20</v>
      </c>
      <c r="E88" s="346">
        <v>9.9893099999999999E-2</v>
      </c>
      <c r="F88" s="346">
        <v>36.9</v>
      </c>
      <c r="G88" s="346">
        <v>22.5</v>
      </c>
      <c r="H88" s="346">
        <v>926.92959299999995</v>
      </c>
      <c r="I88" s="346">
        <v>0.99981600000000004</v>
      </c>
      <c r="J88" s="346">
        <v>0.483711</v>
      </c>
      <c r="K88" s="346">
        <v>2416</v>
      </c>
      <c r="L88" s="346"/>
      <c r="M88" s="348">
        <f t="shared" si="0"/>
        <v>1.0255214352246484</v>
      </c>
      <c r="N88" s="349">
        <f t="shared" si="1"/>
        <v>2355.8746965349937</v>
      </c>
      <c r="O88" s="350">
        <f t="shared" si="2"/>
        <v>2355.8746965349937</v>
      </c>
      <c r="P88" s="351" t="s">
        <v>12</v>
      </c>
      <c r="Q88" s="351" t="s">
        <v>13</v>
      </c>
      <c r="R88" s="359"/>
      <c r="S88" s="70"/>
      <c r="T88" s="70"/>
      <c r="U88" s="70"/>
      <c r="V88" s="70"/>
      <c r="W88" s="70"/>
      <c r="X88" s="70"/>
      <c r="Y88" s="71"/>
    </row>
    <row r="89" spans="1:31">
      <c r="A89" s="346" t="s">
        <v>875</v>
      </c>
      <c r="B89" s="346">
        <v>327</v>
      </c>
      <c r="C89" s="347">
        <v>45495.543749999997</v>
      </c>
      <c r="D89" s="346">
        <v>20</v>
      </c>
      <c r="E89" s="346">
        <v>9.9893099999999999E-2</v>
      </c>
      <c r="F89" s="346">
        <v>37.1</v>
      </c>
      <c r="G89" s="346">
        <v>22.5</v>
      </c>
      <c r="H89" s="346">
        <v>928.93795499999999</v>
      </c>
      <c r="I89" s="346">
        <v>0.999807</v>
      </c>
      <c r="J89" s="346">
        <v>0.48302299999999998</v>
      </c>
      <c r="K89" s="346">
        <v>2412.5</v>
      </c>
      <c r="L89" s="346"/>
      <c r="M89" s="348">
        <f t="shared" si="0"/>
        <v>1.0256734405384258</v>
      </c>
      <c r="N89" s="349">
        <f t="shared" si="1"/>
        <v>2352.1131625808325</v>
      </c>
      <c r="O89" s="350">
        <f t="shared" si="2"/>
        <v>2352.1131625808325</v>
      </c>
      <c r="P89" s="351" t="s">
        <v>12</v>
      </c>
      <c r="Q89" s="351" t="s">
        <v>13</v>
      </c>
      <c r="R89" s="359"/>
      <c r="S89" s="70"/>
      <c r="T89" s="70"/>
      <c r="U89" s="70"/>
      <c r="V89" s="70"/>
      <c r="W89" s="70"/>
      <c r="X89" s="70"/>
      <c r="Y89" s="71"/>
    </row>
    <row r="90" spans="1:31">
      <c r="A90" s="346" t="s">
        <v>876</v>
      </c>
      <c r="B90" s="346">
        <v>391</v>
      </c>
      <c r="C90" s="347">
        <v>45495.55</v>
      </c>
      <c r="D90" s="346">
        <v>20</v>
      </c>
      <c r="E90" s="346">
        <v>9.9893099999999999E-2</v>
      </c>
      <c r="F90" s="346">
        <v>36.9</v>
      </c>
      <c r="G90" s="346">
        <v>22.5</v>
      </c>
      <c r="H90" s="346">
        <v>923.62812599999995</v>
      </c>
      <c r="I90" s="346">
        <v>0.99979399999999996</v>
      </c>
      <c r="J90" s="346">
        <v>0.48381299999999999</v>
      </c>
      <c r="K90" s="346">
        <v>2416.5</v>
      </c>
      <c r="L90" s="346"/>
      <c r="M90" s="348">
        <f t="shared" si="0"/>
        <v>1.0255214352246484</v>
      </c>
      <c r="N90" s="349">
        <f t="shared" si="1"/>
        <v>2356.3622533844423</v>
      </c>
      <c r="O90" s="350">
        <f t="shared" si="2"/>
        <v>2356.3622533844423</v>
      </c>
      <c r="P90" s="351" t="s">
        <v>12</v>
      </c>
      <c r="Q90" s="351" t="s">
        <v>13</v>
      </c>
      <c r="R90" s="359"/>
      <c r="S90" s="70"/>
      <c r="T90" s="70"/>
      <c r="U90" s="70"/>
      <c r="V90" s="70"/>
      <c r="W90" s="70"/>
      <c r="X90" s="70"/>
      <c r="Y90" s="71"/>
    </row>
    <row r="91" spans="1:31">
      <c r="A91" s="346" t="s">
        <v>877</v>
      </c>
      <c r="B91" s="346">
        <v>392</v>
      </c>
      <c r="C91" s="347">
        <v>45495.556250000001</v>
      </c>
      <c r="D91" s="346">
        <v>20</v>
      </c>
      <c r="E91" s="346">
        <v>9.9893099999999999E-2</v>
      </c>
      <c r="F91" s="346">
        <v>37.1</v>
      </c>
      <c r="G91" s="346">
        <v>22.5</v>
      </c>
      <c r="H91" s="346">
        <v>925.89710600000001</v>
      </c>
      <c r="I91" s="346">
        <v>0.99981900000000001</v>
      </c>
      <c r="J91" s="346">
        <v>0.48274</v>
      </c>
      <c r="K91" s="346">
        <v>2411.1</v>
      </c>
      <c r="L91" s="346"/>
      <c r="M91" s="348">
        <f t="shared" si="0"/>
        <v>1.0256734405384258</v>
      </c>
      <c r="N91" s="349">
        <f t="shared" si="1"/>
        <v>2350.7482057196453</v>
      </c>
      <c r="O91" s="350">
        <f t="shared" si="2"/>
        <v>2350.7482057196453</v>
      </c>
      <c r="P91" s="351" t="s">
        <v>12</v>
      </c>
      <c r="Q91" s="351" t="s">
        <v>13</v>
      </c>
      <c r="R91" s="359"/>
      <c r="S91" s="70"/>
      <c r="T91" s="70"/>
      <c r="U91" s="70"/>
      <c r="V91" s="70"/>
      <c r="W91" s="70"/>
      <c r="X91" s="70"/>
      <c r="Y91" s="71"/>
    </row>
    <row r="92" spans="1:31">
      <c r="A92" s="346" t="s">
        <v>878</v>
      </c>
      <c r="B92" s="346">
        <v>352</v>
      </c>
      <c r="C92" s="347">
        <v>45495.565972222219</v>
      </c>
      <c r="D92" s="346">
        <v>20</v>
      </c>
      <c r="E92" s="346">
        <v>9.9893099999999999E-2</v>
      </c>
      <c r="F92" s="346">
        <v>36.799999999999997</v>
      </c>
      <c r="G92" s="346">
        <v>22.5</v>
      </c>
      <c r="H92" s="346">
        <v>919.15924700000005</v>
      </c>
      <c r="I92" s="346">
        <v>0.99978699999999998</v>
      </c>
      <c r="J92" s="346">
        <v>0.48036000000000001</v>
      </c>
      <c r="K92" s="346">
        <v>2399.1999999999998</v>
      </c>
      <c r="L92" s="346"/>
      <c r="M92" s="348">
        <f t="shared" si="0"/>
        <v>1.0254454391737517</v>
      </c>
      <c r="N92" s="349">
        <f t="shared" si="1"/>
        <v>2339.6661668641727</v>
      </c>
      <c r="O92" s="350">
        <f t="shared" si="2"/>
        <v>2339.6661668641727</v>
      </c>
      <c r="P92" s="351" t="s">
        <v>12</v>
      </c>
      <c r="Q92" s="351" t="s">
        <v>13</v>
      </c>
      <c r="R92" s="359"/>
      <c r="S92" s="70"/>
      <c r="T92" s="70"/>
      <c r="U92" s="70"/>
      <c r="V92" s="70"/>
      <c r="W92" s="70"/>
      <c r="X92" s="70"/>
      <c r="Y92" s="71"/>
    </row>
    <row r="93" spans="1:31">
      <c r="A93" s="346" t="s">
        <v>879</v>
      </c>
      <c r="B93" s="346">
        <v>353</v>
      </c>
      <c r="C93" s="347">
        <v>45495.577777777777</v>
      </c>
      <c r="D93" s="346">
        <v>20</v>
      </c>
      <c r="E93" s="346">
        <v>9.9893099999999999E-2</v>
      </c>
      <c r="F93" s="346">
        <v>37.200000000000003</v>
      </c>
      <c r="G93" s="346">
        <v>22.5</v>
      </c>
      <c r="H93" s="346">
        <v>927.520445</v>
      </c>
      <c r="I93" s="346">
        <v>0.99983200000000005</v>
      </c>
      <c r="J93" s="346">
        <v>0.483653</v>
      </c>
      <c r="K93" s="346">
        <v>2415.6999999999998</v>
      </c>
      <c r="L93" s="346"/>
      <c r="M93" s="348">
        <f t="shared" si="0"/>
        <v>1.0257494498155078</v>
      </c>
      <c r="N93" s="349">
        <f t="shared" si="1"/>
        <v>2355.0585383540688</v>
      </c>
      <c r="O93" s="350">
        <f t="shared" si="2"/>
        <v>2355.0585383540688</v>
      </c>
      <c r="P93" s="351" t="s">
        <v>12</v>
      </c>
      <c r="Q93" s="351" t="s">
        <v>13</v>
      </c>
      <c r="R93" s="359"/>
      <c r="S93" s="70"/>
      <c r="T93" s="70"/>
      <c r="U93" s="70"/>
      <c r="V93" s="70"/>
      <c r="W93" s="70"/>
      <c r="X93" s="70"/>
      <c r="Y93" s="71"/>
    </row>
    <row r="94" spans="1:31">
      <c r="A94" s="346" t="s">
        <v>880</v>
      </c>
      <c r="B94" s="346">
        <v>365</v>
      </c>
      <c r="C94" s="347">
        <v>45495.587500000001</v>
      </c>
      <c r="D94" s="346">
        <v>20</v>
      </c>
      <c r="E94" s="346">
        <v>9.9893099999999999E-2</v>
      </c>
      <c r="F94" s="346">
        <v>37.200000000000003</v>
      </c>
      <c r="G94" s="346">
        <v>22.5</v>
      </c>
      <c r="H94" s="346">
        <v>925.61801000000003</v>
      </c>
      <c r="I94" s="346">
        <v>0.99979300000000004</v>
      </c>
      <c r="J94" s="346">
        <v>0.48348000000000002</v>
      </c>
      <c r="K94" s="346">
        <v>2414.8000000000002</v>
      </c>
      <c r="L94" s="346"/>
      <c r="M94" s="348">
        <f t="shared" si="0"/>
        <v>1.0257494498155078</v>
      </c>
      <c r="N94" s="349">
        <f t="shared" si="1"/>
        <v>2354.1811311079214</v>
      </c>
      <c r="O94" s="350">
        <f t="shared" si="2"/>
        <v>2354.1811311079214</v>
      </c>
      <c r="P94" s="351" t="s">
        <v>12</v>
      </c>
      <c r="Q94" s="351" t="s">
        <v>13</v>
      </c>
      <c r="R94" s="359"/>
      <c r="S94" s="54"/>
      <c r="T94" s="54"/>
      <c r="U94" s="70"/>
      <c r="V94" s="70"/>
      <c r="W94" s="70"/>
      <c r="X94" s="70"/>
      <c r="Y94" s="71"/>
      <c r="Z94" s="71"/>
      <c r="AA94" s="71"/>
      <c r="AB94" s="71"/>
      <c r="AC94" s="71"/>
      <c r="AD94" s="71"/>
      <c r="AE94" s="71"/>
    </row>
    <row r="95" spans="1:31">
      <c r="A95" s="346" t="s">
        <v>881</v>
      </c>
      <c r="B95" s="346">
        <v>366</v>
      </c>
      <c r="C95" s="347">
        <v>45495.595138888886</v>
      </c>
      <c r="D95" s="346">
        <v>20</v>
      </c>
      <c r="E95" s="346">
        <v>9.9893099999999999E-2</v>
      </c>
      <c r="F95" s="346">
        <v>37.299999999999997</v>
      </c>
      <c r="G95" s="346">
        <v>22.5</v>
      </c>
      <c r="H95" s="346">
        <v>925.82420200000001</v>
      </c>
      <c r="I95" s="346">
        <v>0.99982400000000005</v>
      </c>
      <c r="J95" s="346">
        <v>0.48402299999999998</v>
      </c>
      <c r="K95" s="346">
        <v>2417.5</v>
      </c>
      <c r="L95" s="346"/>
      <c r="M95" s="348">
        <f t="shared" si="0"/>
        <v>1.0258254635154704</v>
      </c>
      <c r="N95" s="349">
        <f t="shared" si="1"/>
        <v>2356.6387129008344</v>
      </c>
      <c r="O95" s="350">
        <f t="shared" si="2"/>
        <v>2356.6387129008344</v>
      </c>
      <c r="P95" s="351" t="s">
        <v>12</v>
      </c>
      <c r="Q95" s="351" t="s">
        <v>13</v>
      </c>
      <c r="R95" s="359"/>
      <c r="S95" s="54"/>
      <c r="T95" s="54"/>
      <c r="U95" s="70"/>
      <c r="V95" s="70"/>
      <c r="W95" s="70"/>
      <c r="X95" s="70"/>
      <c r="Y95" s="71"/>
      <c r="Z95" s="71"/>
      <c r="AA95" s="71"/>
      <c r="AB95" s="71"/>
      <c r="AC95" s="71"/>
      <c r="AD95" s="71"/>
      <c r="AE95" s="71"/>
    </row>
    <row r="96" spans="1:31">
      <c r="A96" s="346" t="s">
        <v>882</v>
      </c>
      <c r="B96" s="346">
        <v>443</v>
      </c>
      <c r="C96" s="347">
        <v>45495.600694444445</v>
      </c>
      <c r="D96" s="346">
        <v>20</v>
      </c>
      <c r="E96" s="346">
        <v>9.9893099999999999E-2</v>
      </c>
      <c r="F96" s="346">
        <v>36.799999999999997</v>
      </c>
      <c r="G96" s="346">
        <v>22.5</v>
      </c>
      <c r="H96" s="346">
        <v>933.17048699999998</v>
      </c>
      <c r="I96" s="346">
        <v>0.999807</v>
      </c>
      <c r="J96" s="346">
        <v>0.48327199999999998</v>
      </c>
      <c r="K96" s="346">
        <v>2413.8000000000002</v>
      </c>
      <c r="L96" s="346"/>
      <c r="M96" s="348">
        <f t="shared" si="0"/>
        <v>1.0254454391737517</v>
      </c>
      <c r="N96" s="349">
        <f t="shared" si="1"/>
        <v>2353.9038819509587</v>
      </c>
      <c r="O96" s="350">
        <f t="shared" si="2"/>
        <v>2353.9038819509587</v>
      </c>
      <c r="P96" s="351" t="s">
        <v>12</v>
      </c>
      <c r="Q96" s="351" t="s">
        <v>13</v>
      </c>
      <c r="R96" s="359"/>
      <c r="S96" s="54"/>
      <c r="T96" s="54"/>
      <c r="U96" s="70"/>
      <c r="V96" s="70"/>
      <c r="W96" s="70"/>
      <c r="X96" s="70"/>
      <c r="Y96" s="71"/>
      <c r="Z96" s="71"/>
      <c r="AA96" s="71"/>
      <c r="AB96" s="71"/>
      <c r="AC96" s="71"/>
      <c r="AD96" s="71"/>
      <c r="AE96" s="71"/>
    </row>
    <row r="97" spans="1:31">
      <c r="A97" s="346" t="s">
        <v>883</v>
      </c>
      <c r="B97" s="346">
        <v>444</v>
      </c>
      <c r="C97" s="347">
        <v>45495.613194444442</v>
      </c>
      <c r="D97" s="346">
        <v>20</v>
      </c>
      <c r="E97" s="346">
        <v>9.9893099999999999E-2</v>
      </c>
      <c r="F97" s="346">
        <v>36.9</v>
      </c>
      <c r="G97" s="346">
        <v>22.5</v>
      </c>
      <c r="H97" s="346">
        <v>924.90679899999998</v>
      </c>
      <c r="I97" s="346">
        <v>0.99973100000000004</v>
      </c>
      <c r="J97" s="346">
        <v>0.48447699999999999</v>
      </c>
      <c r="K97" s="346">
        <v>2419.8000000000002</v>
      </c>
      <c r="L97" s="346"/>
      <c r="M97" s="348">
        <f t="shared" si="0"/>
        <v>1.0255214352246484</v>
      </c>
      <c r="N97" s="349">
        <f t="shared" si="1"/>
        <v>2359.5801285908024</v>
      </c>
      <c r="O97" s="350">
        <f t="shared" si="2"/>
        <v>2359.5801285908024</v>
      </c>
      <c r="P97" s="351" t="s">
        <v>12</v>
      </c>
      <c r="Q97" s="351" t="s">
        <v>13</v>
      </c>
      <c r="R97" s="359"/>
      <c r="S97" s="54"/>
      <c r="T97" s="54"/>
      <c r="U97" s="70"/>
      <c r="V97" s="70"/>
      <c r="W97" s="70"/>
      <c r="X97" s="70"/>
      <c r="Y97" s="71"/>
      <c r="Z97" s="71"/>
      <c r="AA97" s="71"/>
      <c r="AB97" s="71"/>
      <c r="AC97" s="71"/>
      <c r="AD97" s="71"/>
      <c r="AE97" s="71"/>
    </row>
    <row r="98" spans="1:31">
      <c r="A98" s="354" t="s">
        <v>884</v>
      </c>
      <c r="B98" s="354" t="s">
        <v>912</v>
      </c>
      <c r="C98" s="355">
        <v>45495.620833333334</v>
      </c>
      <c r="D98" s="354">
        <v>20</v>
      </c>
      <c r="E98" s="354">
        <v>9.9893099999999999E-2</v>
      </c>
      <c r="F98" s="354">
        <v>33.200000000000003</v>
      </c>
      <c r="G98" s="354">
        <v>22.5</v>
      </c>
      <c r="H98" s="354">
        <v>1083.3888099999999</v>
      </c>
      <c r="I98" s="354">
        <v>0.99985599999999997</v>
      </c>
      <c r="J98" s="354">
        <v>0.45125799999999999</v>
      </c>
      <c r="K98" s="354">
        <v>2252.1999999999998</v>
      </c>
      <c r="L98" s="346"/>
      <c r="M98" s="348">
        <f t="shared" si="0"/>
        <v>1.0227124503008802</v>
      </c>
      <c r="N98" s="349">
        <f t="shared" si="1"/>
        <v>2202.1830274359195</v>
      </c>
      <c r="O98" s="350">
        <f t="shared" si="2"/>
        <v>2202.1830274359195</v>
      </c>
      <c r="P98" s="351" t="s">
        <v>12</v>
      </c>
      <c r="Q98" s="351" t="s">
        <v>13</v>
      </c>
      <c r="R98" s="359"/>
      <c r="S98" s="54"/>
      <c r="T98" s="54"/>
      <c r="U98" s="70"/>
      <c r="V98" s="70"/>
      <c r="W98" s="70"/>
      <c r="X98" s="70"/>
      <c r="Y98" s="71"/>
      <c r="Z98" s="71"/>
      <c r="AA98" s="71"/>
      <c r="AB98" s="71"/>
      <c r="AC98" s="71"/>
      <c r="AD98" s="71"/>
      <c r="AE98" s="71"/>
    </row>
    <row r="99" spans="1:31">
      <c r="A99" s="346" t="s">
        <v>885</v>
      </c>
      <c r="B99" s="346">
        <v>417</v>
      </c>
      <c r="C99" s="347">
        <v>45495.629166666666</v>
      </c>
      <c r="D99" s="346">
        <v>20</v>
      </c>
      <c r="E99" s="346">
        <v>9.9893099999999999E-2</v>
      </c>
      <c r="F99" s="346">
        <v>36.9</v>
      </c>
      <c r="G99" s="346">
        <v>22.5</v>
      </c>
      <c r="H99" s="346">
        <v>927.762339</v>
      </c>
      <c r="I99" s="346">
        <v>0.99978</v>
      </c>
      <c r="J99" s="346">
        <v>0.48349799999999998</v>
      </c>
      <c r="K99" s="346">
        <v>2414.9</v>
      </c>
      <c r="L99" s="346"/>
      <c r="M99" s="348">
        <f t="shared" si="0"/>
        <v>1.0255214352246484</v>
      </c>
      <c r="N99" s="349">
        <f t="shared" si="1"/>
        <v>2354.8020714662075</v>
      </c>
      <c r="O99" s="350">
        <f t="shared" si="2"/>
        <v>2354.8020714662075</v>
      </c>
      <c r="P99" s="351" t="s">
        <v>12</v>
      </c>
      <c r="Q99" s="351" t="s">
        <v>13</v>
      </c>
      <c r="R99" s="359"/>
      <c r="S99" s="54"/>
      <c r="T99" s="54"/>
      <c r="U99" s="70"/>
      <c r="V99" s="70"/>
      <c r="W99" s="70"/>
      <c r="X99" s="70"/>
      <c r="Y99" s="71"/>
      <c r="Z99" s="71"/>
      <c r="AA99" s="71"/>
      <c r="AB99" s="71"/>
      <c r="AC99" s="71"/>
      <c r="AD99" s="71"/>
      <c r="AE99" s="71"/>
    </row>
    <row r="100" spans="1:31">
      <c r="A100" s="346" t="s">
        <v>886</v>
      </c>
      <c r="B100" s="346">
        <v>418</v>
      </c>
      <c r="C100" s="347">
        <v>45495.636805555558</v>
      </c>
      <c r="D100" s="346">
        <v>20</v>
      </c>
      <c r="E100" s="346">
        <v>9.9893099999999999E-2</v>
      </c>
      <c r="F100" s="346">
        <v>37</v>
      </c>
      <c r="G100" s="346">
        <v>22.5</v>
      </c>
      <c r="H100" s="346">
        <v>930.45950600000003</v>
      </c>
      <c r="I100" s="346">
        <v>0.999776</v>
      </c>
      <c r="J100" s="346">
        <v>0.48290699999999998</v>
      </c>
      <c r="K100" s="346">
        <v>2412</v>
      </c>
      <c r="L100" s="346"/>
      <c r="M100" s="348">
        <f t="shared" si="0"/>
        <v>1.0255974356771682</v>
      </c>
      <c r="N100" s="349">
        <f t="shared" si="1"/>
        <v>2351.7999520030348</v>
      </c>
      <c r="O100" s="350">
        <f t="shared" si="2"/>
        <v>2351.7999520030348</v>
      </c>
      <c r="P100" s="351" t="s">
        <v>12</v>
      </c>
      <c r="Q100" s="351" t="s">
        <v>13</v>
      </c>
      <c r="R100" s="359"/>
      <c r="S100" s="54"/>
      <c r="T100" s="54"/>
      <c r="U100" s="70"/>
      <c r="V100" s="70"/>
      <c r="W100" s="70"/>
      <c r="X100" s="70"/>
      <c r="Y100" s="71"/>
      <c r="Z100" s="71"/>
      <c r="AA100" s="71"/>
      <c r="AB100" s="71"/>
      <c r="AC100" s="71"/>
      <c r="AD100" s="71"/>
      <c r="AE100" s="71"/>
    </row>
    <row r="101" spans="1:31">
      <c r="A101" s="346" t="s">
        <v>887</v>
      </c>
      <c r="B101" s="346">
        <v>404</v>
      </c>
      <c r="C101" s="347">
        <v>45495.643055555556</v>
      </c>
      <c r="D101" s="346">
        <v>20</v>
      </c>
      <c r="E101" s="346">
        <v>9.9893099999999999E-2</v>
      </c>
      <c r="F101" s="346">
        <v>36.9</v>
      </c>
      <c r="G101" s="346">
        <v>22.5</v>
      </c>
      <c r="H101" s="346">
        <v>929.27176099999997</v>
      </c>
      <c r="I101" s="346">
        <v>0.99982700000000002</v>
      </c>
      <c r="J101" s="346">
        <v>0.48244300000000001</v>
      </c>
      <c r="K101" s="346">
        <v>2409.6</v>
      </c>
      <c r="L101" s="346"/>
      <c r="M101" s="348">
        <f t="shared" si="0"/>
        <v>1.0255214352246484</v>
      </c>
      <c r="N101" s="349">
        <f t="shared" si="1"/>
        <v>2349.6339688620533</v>
      </c>
      <c r="O101" s="350">
        <f t="shared" si="2"/>
        <v>2349.6339688620533</v>
      </c>
      <c r="P101" s="351" t="s">
        <v>12</v>
      </c>
      <c r="Q101" s="351" t="s">
        <v>13</v>
      </c>
      <c r="R101" s="359"/>
      <c r="S101" s="54"/>
      <c r="T101" s="54"/>
      <c r="U101" s="70"/>
      <c r="V101" s="70"/>
      <c r="W101" s="70"/>
      <c r="X101" s="70"/>
      <c r="Y101" s="71"/>
      <c r="Z101" s="71"/>
      <c r="AA101" s="71"/>
      <c r="AB101" s="71"/>
      <c r="AC101" s="71"/>
      <c r="AD101" s="71"/>
      <c r="AE101" s="71"/>
    </row>
    <row r="102" spans="1:31">
      <c r="A102" s="346" t="s">
        <v>888</v>
      </c>
      <c r="B102" s="346">
        <v>405</v>
      </c>
      <c r="C102" s="347">
        <v>45495.651388888888</v>
      </c>
      <c r="D102" s="346">
        <v>20</v>
      </c>
      <c r="E102" s="346">
        <v>9.9893099999999999E-2</v>
      </c>
      <c r="F102" s="346">
        <v>37</v>
      </c>
      <c r="G102" s="346">
        <v>22.5</v>
      </c>
      <c r="H102" s="346">
        <v>927.55537000000004</v>
      </c>
      <c r="I102" s="346">
        <v>0.99976900000000002</v>
      </c>
      <c r="J102" s="346">
        <v>0.48468299999999997</v>
      </c>
      <c r="K102" s="346">
        <v>2420.8000000000002</v>
      </c>
      <c r="L102" s="346"/>
      <c r="M102" s="348">
        <f t="shared" si="0"/>
        <v>1.0255974356771682</v>
      </c>
      <c r="N102" s="349">
        <f t="shared" si="1"/>
        <v>2360.3803166703765</v>
      </c>
      <c r="O102" s="350">
        <f t="shared" si="2"/>
        <v>2360.3803166703765</v>
      </c>
      <c r="P102" s="351" t="s">
        <v>12</v>
      </c>
      <c r="Q102" s="351" t="s">
        <v>13</v>
      </c>
      <c r="R102" s="359"/>
      <c r="S102" s="415"/>
      <c r="T102" s="413"/>
      <c r="U102" s="70"/>
      <c r="V102" s="70"/>
      <c r="W102" s="70"/>
      <c r="X102" s="70"/>
      <c r="Y102" s="71"/>
      <c r="Z102" s="71"/>
      <c r="AA102" s="71"/>
      <c r="AB102" s="71"/>
      <c r="AC102" s="71"/>
      <c r="AD102" s="71"/>
      <c r="AE102" s="71"/>
    </row>
    <row r="103" spans="1:31">
      <c r="A103" s="346" t="s">
        <v>889</v>
      </c>
      <c r="B103" s="346">
        <v>456</v>
      </c>
      <c r="C103" s="347">
        <v>45495.661805555559</v>
      </c>
      <c r="D103" s="346">
        <v>20</v>
      </c>
      <c r="E103" s="346">
        <v>9.9893099999999999E-2</v>
      </c>
      <c r="F103" s="346">
        <v>37.1</v>
      </c>
      <c r="G103" s="346">
        <v>22.5</v>
      </c>
      <c r="H103" s="346">
        <v>919.23573599999997</v>
      </c>
      <c r="I103" s="346">
        <v>0.99986399999999998</v>
      </c>
      <c r="J103" s="346">
        <v>0.48432199999999997</v>
      </c>
      <c r="K103" s="346">
        <v>2419</v>
      </c>
      <c r="L103" s="346"/>
      <c r="M103" s="348">
        <f t="shared" si="0"/>
        <v>1.0256734405384258</v>
      </c>
      <c r="N103" s="349">
        <f t="shared" si="1"/>
        <v>2358.4504622934855</v>
      </c>
      <c r="O103" s="350">
        <f t="shared" si="2"/>
        <v>2358.4504622934855</v>
      </c>
      <c r="P103" s="351" t="s">
        <v>12</v>
      </c>
      <c r="Q103" s="351" t="s">
        <v>13</v>
      </c>
      <c r="R103" s="359"/>
      <c r="S103" s="415"/>
      <c r="T103" s="413"/>
      <c r="U103" s="70"/>
      <c r="V103" s="70"/>
      <c r="W103" s="70"/>
      <c r="X103" s="70"/>
      <c r="Y103" s="71"/>
      <c r="Z103" s="71"/>
      <c r="AA103" s="71"/>
      <c r="AB103" s="71"/>
      <c r="AC103" s="71"/>
      <c r="AD103" s="71"/>
      <c r="AE103" s="71"/>
    </row>
    <row r="104" spans="1:31">
      <c r="A104" s="346" t="s">
        <v>890</v>
      </c>
      <c r="B104" s="346">
        <v>457</v>
      </c>
      <c r="C104" s="347">
        <v>45495.67083333333</v>
      </c>
      <c r="D104" s="346">
        <v>20</v>
      </c>
      <c r="E104" s="346">
        <v>9.9893099999999999E-2</v>
      </c>
      <c r="F104" s="346">
        <v>37.200000000000003</v>
      </c>
      <c r="G104" s="346">
        <v>22.5</v>
      </c>
      <c r="H104" s="346">
        <v>922.02152000000001</v>
      </c>
      <c r="I104" s="346">
        <v>0.99976399999999999</v>
      </c>
      <c r="J104" s="346">
        <v>0.48457299999999998</v>
      </c>
      <c r="K104" s="346">
        <v>2420.3000000000002</v>
      </c>
      <c r="L104" s="346"/>
      <c r="M104" s="348">
        <f t="shared" si="0"/>
        <v>1.0257494498155078</v>
      </c>
      <c r="N104" s="349">
        <f t="shared" si="1"/>
        <v>2359.5430642788233</v>
      </c>
      <c r="O104" s="350">
        <f t="shared" si="2"/>
        <v>2359.5430642788233</v>
      </c>
      <c r="P104" s="351" t="s">
        <v>12</v>
      </c>
      <c r="Q104" s="351" t="s">
        <v>13</v>
      </c>
      <c r="R104" s="359"/>
      <c r="S104" s="415"/>
      <c r="T104" s="413"/>
      <c r="U104" s="70"/>
      <c r="V104" s="70"/>
      <c r="W104" s="70"/>
      <c r="X104" s="70"/>
      <c r="Y104" s="71"/>
      <c r="Z104" s="71"/>
      <c r="AA104" s="71"/>
      <c r="AB104" s="71"/>
      <c r="AC104" s="71"/>
      <c r="AD104" s="71"/>
      <c r="AE104" s="71"/>
    </row>
    <row r="105" spans="1:31">
      <c r="A105" s="346" t="s">
        <v>891</v>
      </c>
      <c r="B105" s="346">
        <v>482</v>
      </c>
      <c r="C105" s="347">
        <v>45495.677083333336</v>
      </c>
      <c r="D105" s="346">
        <v>20</v>
      </c>
      <c r="E105" s="346">
        <v>9.9893099999999999E-2</v>
      </c>
      <c r="F105" s="346">
        <v>37.200000000000003</v>
      </c>
      <c r="G105" s="346">
        <v>22.5</v>
      </c>
      <c r="H105" s="346">
        <v>919.79760499999998</v>
      </c>
      <c r="I105" s="346">
        <v>0.99979200000000001</v>
      </c>
      <c r="J105" s="346">
        <v>0.48404799999999998</v>
      </c>
      <c r="K105" s="346">
        <v>2417.6999999999998</v>
      </c>
      <c r="L105" s="346"/>
      <c r="M105" s="348">
        <f t="shared" si="0"/>
        <v>1.0257494498155078</v>
      </c>
      <c r="N105" s="349">
        <f t="shared" si="1"/>
        <v>2357.0083322343967</v>
      </c>
      <c r="O105" s="350">
        <f t="shared" si="2"/>
        <v>2357.0083322343967</v>
      </c>
      <c r="P105" s="351" t="s">
        <v>12</v>
      </c>
      <c r="Q105" s="351" t="s">
        <v>13</v>
      </c>
      <c r="R105" s="359"/>
      <c r="S105" s="415"/>
      <c r="T105" s="413"/>
      <c r="U105" s="70"/>
      <c r="V105" s="70"/>
      <c r="W105" s="70"/>
      <c r="X105" s="70"/>
      <c r="Y105" s="71"/>
      <c r="Z105" s="71"/>
      <c r="AA105" s="71"/>
      <c r="AB105" s="71"/>
      <c r="AC105" s="71"/>
      <c r="AD105" s="71"/>
      <c r="AE105" s="71"/>
    </row>
    <row r="106" spans="1:31">
      <c r="A106" s="346" t="s">
        <v>892</v>
      </c>
      <c r="B106" s="346">
        <v>483</v>
      </c>
      <c r="C106" s="347">
        <v>45495.684027777781</v>
      </c>
      <c r="D106" s="346">
        <v>20</v>
      </c>
      <c r="E106" s="346">
        <v>9.9893099999999999E-2</v>
      </c>
      <c r="F106" s="346">
        <v>37.200000000000003</v>
      </c>
      <c r="G106" s="346">
        <v>22.5</v>
      </c>
      <c r="H106" s="346">
        <v>921.81273599999997</v>
      </c>
      <c r="I106" s="346">
        <v>0.99982400000000005</v>
      </c>
      <c r="J106" s="346">
        <v>0.48433100000000001</v>
      </c>
      <c r="K106" s="346">
        <v>2419.1</v>
      </c>
      <c r="L106" s="346"/>
      <c r="M106" s="348">
        <f t="shared" si="0"/>
        <v>1.0257494498155078</v>
      </c>
      <c r="N106" s="349">
        <f t="shared" si="1"/>
        <v>2358.3731879506263</v>
      </c>
      <c r="O106" s="350">
        <f t="shared" si="2"/>
        <v>2358.3731879506263</v>
      </c>
      <c r="P106" s="351" t="s">
        <v>12</v>
      </c>
      <c r="Q106" s="351" t="s">
        <v>13</v>
      </c>
      <c r="R106" s="359"/>
      <c r="S106" s="415"/>
      <c r="T106" s="413"/>
      <c r="U106" s="70"/>
      <c r="V106" s="70"/>
      <c r="W106" s="70"/>
      <c r="X106" s="70"/>
      <c r="Y106" s="71"/>
      <c r="Z106" s="71"/>
      <c r="AA106" s="71"/>
      <c r="AB106" s="71"/>
      <c r="AC106" s="71"/>
      <c r="AD106" s="71"/>
      <c r="AE106" s="71"/>
    </row>
    <row r="107" spans="1:31">
      <c r="A107" s="346" t="s">
        <v>893</v>
      </c>
      <c r="B107" s="346">
        <v>378</v>
      </c>
      <c r="C107" s="347">
        <v>45495.690972222219</v>
      </c>
      <c r="D107" s="346">
        <v>20</v>
      </c>
      <c r="E107" s="346">
        <v>9.9893099999999999E-2</v>
      </c>
      <c r="F107" s="346">
        <v>37.299999999999997</v>
      </c>
      <c r="G107" s="346">
        <v>22.5</v>
      </c>
      <c r="H107" s="346">
        <v>956.70613800000001</v>
      </c>
      <c r="I107" s="346">
        <v>0.99981500000000001</v>
      </c>
      <c r="J107" s="346">
        <v>0.46761599999999998</v>
      </c>
      <c r="K107" s="346">
        <v>2335.6</v>
      </c>
      <c r="L107" s="346"/>
      <c r="M107" s="348">
        <f t="shared" si="0"/>
        <v>1.0258254635154704</v>
      </c>
      <c r="N107" s="349">
        <f t="shared" si="1"/>
        <v>2276.8005699487853</v>
      </c>
      <c r="O107" s="350">
        <f t="shared" si="2"/>
        <v>2276.8005699487853</v>
      </c>
      <c r="P107" s="351" t="s">
        <v>12</v>
      </c>
      <c r="Q107" s="351" t="s">
        <v>13</v>
      </c>
      <c r="R107" s="359"/>
      <c r="S107" s="415"/>
      <c r="T107" s="413"/>
      <c r="U107" s="70"/>
      <c r="V107" s="70"/>
      <c r="W107" s="70"/>
      <c r="X107" s="70"/>
      <c r="Y107" s="71"/>
      <c r="Z107" s="71"/>
      <c r="AA107" s="71"/>
      <c r="AB107" s="71"/>
      <c r="AC107" s="71"/>
      <c r="AD107" s="71"/>
      <c r="AE107" s="71"/>
    </row>
    <row r="108" spans="1:31">
      <c r="A108" s="346" t="s">
        <v>894</v>
      </c>
      <c r="B108" s="346">
        <v>379</v>
      </c>
      <c r="C108" s="347">
        <v>45495.697222222225</v>
      </c>
      <c r="D108" s="346">
        <v>20</v>
      </c>
      <c r="E108" s="346">
        <v>9.9893099999999999E-2</v>
      </c>
      <c r="F108" s="346">
        <v>37.299999999999997</v>
      </c>
      <c r="G108" s="346">
        <v>22.5</v>
      </c>
      <c r="H108" s="346">
        <v>924.84957699999995</v>
      </c>
      <c r="I108" s="346">
        <v>0.999838</v>
      </c>
      <c r="J108" s="346">
        <v>0.48368</v>
      </c>
      <c r="K108" s="346">
        <v>2415.8000000000002</v>
      </c>
      <c r="L108" s="346"/>
      <c r="M108" s="348">
        <f t="shared" si="0"/>
        <v>1.0258254635154704</v>
      </c>
      <c r="N108" s="349">
        <f t="shared" si="1"/>
        <v>2354.981510910377</v>
      </c>
      <c r="O108" s="350">
        <f t="shared" si="2"/>
        <v>2354.981510910377</v>
      </c>
      <c r="P108" s="351" t="s">
        <v>12</v>
      </c>
      <c r="Q108" s="351" t="s">
        <v>13</v>
      </c>
      <c r="R108" s="359"/>
      <c r="S108" s="415"/>
      <c r="T108" s="413"/>
      <c r="U108" s="70"/>
      <c r="V108" s="70"/>
      <c r="W108" s="70"/>
      <c r="X108" s="70"/>
      <c r="Y108" s="71"/>
      <c r="Z108" s="71"/>
      <c r="AA108" s="71"/>
      <c r="AB108" s="71"/>
      <c r="AC108" s="71"/>
      <c r="AD108" s="71"/>
      <c r="AE108" s="71"/>
    </row>
    <row r="109" spans="1:31">
      <c r="A109" s="354" t="s">
        <v>900</v>
      </c>
      <c r="B109" s="354" t="s">
        <v>913</v>
      </c>
      <c r="C109" s="355">
        <v>45495.706250000003</v>
      </c>
      <c r="D109" s="354">
        <v>20</v>
      </c>
      <c r="E109" s="354">
        <v>9.9893099999999999E-2</v>
      </c>
      <c r="F109" s="354">
        <v>33.200000000000003</v>
      </c>
      <c r="G109" s="354">
        <v>22.5</v>
      </c>
      <c r="H109" s="354">
        <v>1082.18589</v>
      </c>
      <c r="I109" s="354">
        <v>0.99980899999999995</v>
      </c>
      <c r="J109" s="354">
        <v>0.45113399999999998</v>
      </c>
      <c r="K109" s="354">
        <v>2251</v>
      </c>
      <c r="L109" s="346"/>
      <c r="M109" s="348">
        <f t="shared" si="0"/>
        <v>1.0227124503008802</v>
      </c>
      <c r="N109" s="349">
        <f t="shared" si="1"/>
        <v>2201.0096770971741</v>
      </c>
      <c r="O109" s="350">
        <f t="shared" si="2"/>
        <v>2201.0096770971741</v>
      </c>
      <c r="P109" s="351" t="s">
        <v>12</v>
      </c>
      <c r="Q109" s="351" t="s">
        <v>13</v>
      </c>
      <c r="R109" s="360"/>
      <c r="S109" s="54"/>
      <c r="T109" s="54"/>
      <c r="U109" s="70"/>
      <c r="V109" s="70"/>
      <c r="W109" s="70"/>
      <c r="X109" s="70"/>
      <c r="Y109" s="71"/>
    </row>
    <row r="110" spans="1:31">
      <c r="A110" s="346" t="s">
        <v>862</v>
      </c>
      <c r="B110" s="346" t="s">
        <v>863</v>
      </c>
      <c r="C110" s="347">
        <v>45496.374305555553</v>
      </c>
      <c r="D110" s="346">
        <v>20</v>
      </c>
      <c r="E110" s="346">
        <v>9.9893099999999999E-2</v>
      </c>
      <c r="F110" s="346" t="s">
        <v>864</v>
      </c>
      <c r="G110" s="346">
        <v>22.5</v>
      </c>
      <c r="H110" s="346">
        <v>1067.1185499999999</v>
      </c>
      <c r="I110" s="346">
        <v>0.99996300000000005</v>
      </c>
      <c r="J110" s="346">
        <v>0.41467999999999999</v>
      </c>
      <c r="K110" s="346">
        <v>2071.1999999999998</v>
      </c>
      <c r="L110" s="346"/>
      <c r="M110" s="348" t="e">
        <f t="shared" si="0"/>
        <v>#VALUE!</v>
      </c>
      <c r="N110" s="349" t="e">
        <f t="shared" si="1"/>
        <v>#VALUE!</v>
      </c>
      <c r="O110" s="350" t="e">
        <f t="shared" si="2"/>
        <v>#VALUE!</v>
      </c>
      <c r="P110" s="351" t="s">
        <v>280</v>
      </c>
      <c r="Q110" s="351" t="s">
        <v>13</v>
      </c>
      <c r="R110" s="359"/>
      <c r="S110" s="54"/>
      <c r="T110" s="54"/>
      <c r="U110" s="70"/>
      <c r="V110" s="70"/>
      <c r="W110" s="70"/>
      <c r="X110" s="70"/>
      <c r="Y110" s="71"/>
    </row>
    <row r="111" spans="1:31">
      <c r="A111" s="346" t="s">
        <v>866</v>
      </c>
      <c r="B111" s="346" t="s">
        <v>863</v>
      </c>
      <c r="C111" s="347">
        <v>45496.384027777778</v>
      </c>
      <c r="D111" s="346">
        <v>20</v>
      </c>
      <c r="E111" s="346">
        <v>9.9893099999999999E-2</v>
      </c>
      <c r="F111" s="346" t="s">
        <v>864</v>
      </c>
      <c r="G111" s="346">
        <v>22.5</v>
      </c>
      <c r="H111" s="346">
        <v>1072.4659200000001</v>
      </c>
      <c r="I111" s="346">
        <v>0.99995100000000003</v>
      </c>
      <c r="J111" s="346">
        <v>0.41144700000000001</v>
      </c>
      <c r="K111" s="346">
        <v>2055</v>
      </c>
      <c r="L111" s="346">
        <v>11.415800000000001</v>
      </c>
      <c r="M111" s="348" t="e">
        <f t="shared" si="0"/>
        <v>#VALUE!</v>
      </c>
      <c r="N111" s="349" t="e">
        <f t="shared" si="1"/>
        <v>#VALUE!</v>
      </c>
      <c r="O111" s="350" t="e">
        <f t="shared" si="2"/>
        <v>#VALUE!</v>
      </c>
      <c r="P111" s="351" t="s">
        <v>280</v>
      </c>
      <c r="Q111" s="351" t="s">
        <v>13</v>
      </c>
      <c r="R111" s="359"/>
      <c r="S111" s="54"/>
      <c r="T111" s="54"/>
      <c r="U111" s="70"/>
      <c r="V111" s="70"/>
      <c r="W111" s="70"/>
      <c r="X111" s="70"/>
      <c r="Y111" s="71"/>
    </row>
    <row r="112" spans="1:31">
      <c r="A112" s="346" t="s">
        <v>867</v>
      </c>
      <c r="B112" s="346" t="s">
        <v>863</v>
      </c>
      <c r="C112" s="347">
        <v>45496.396527777775</v>
      </c>
      <c r="D112" s="346">
        <v>20</v>
      </c>
      <c r="E112" s="346">
        <v>9.9893099999999999E-2</v>
      </c>
      <c r="F112" s="346" t="s">
        <v>864</v>
      </c>
      <c r="G112" s="346">
        <v>22.5</v>
      </c>
      <c r="H112" s="346">
        <v>1074.2578900000001</v>
      </c>
      <c r="I112" s="346">
        <v>0.99995400000000001</v>
      </c>
      <c r="J112" s="346">
        <v>0.41154000000000002</v>
      </c>
      <c r="K112" s="346">
        <v>2055.5</v>
      </c>
      <c r="L112" s="346">
        <v>0.32819999999999999</v>
      </c>
      <c r="M112" s="348" t="e">
        <f t="shared" si="0"/>
        <v>#VALUE!</v>
      </c>
      <c r="N112" s="349" t="e">
        <f t="shared" si="1"/>
        <v>#VALUE!</v>
      </c>
      <c r="O112" s="350" t="e">
        <f t="shared" si="2"/>
        <v>#VALUE!</v>
      </c>
      <c r="P112" s="351" t="s">
        <v>280</v>
      </c>
      <c r="Q112" s="351" t="s">
        <v>13</v>
      </c>
      <c r="R112" s="359"/>
      <c r="S112" s="54"/>
      <c r="T112" s="54"/>
      <c r="U112" s="70"/>
      <c r="V112" s="70"/>
      <c r="W112" s="70"/>
      <c r="X112" s="70"/>
      <c r="Y112" s="71"/>
    </row>
    <row r="113" spans="1:25">
      <c r="A113" s="346" t="s">
        <v>908</v>
      </c>
      <c r="B113" s="346" t="s">
        <v>863</v>
      </c>
      <c r="C113" s="347">
        <v>45496.406944444447</v>
      </c>
      <c r="D113" s="346">
        <v>20</v>
      </c>
      <c r="E113" s="346">
        <v>9.9893099999999999E-2</v>
      </c>
      <c r="F113" s="346" t="s">
        <v>864</v>
      </c>
      <c r="G113" s="346">
        <v>22.5</v>
      </c>
      <c r="H113" s="346">
        <v>0</v>
      </c>
      <c r="I113" s="346">
        <v>0</v>
      </c>
      <c r="J113" s="346">
        <v>0</v>
      </c>
      <c r="K113" s="346">
        <v>0</v>
      </c>
      <c r="L113" s="346" t="s">
        <v>914</v>
      </c>
      <c r="M113" s="348" t="e">
        <f t="shared" si="0"/>
        <v>#VALUE!</v>
      </c>
      <c r="N113" s="349" t="e">
        <f t="shared" si="1"/>
        <v>#VALUE!</v>
      </c>
      <c r="O113" s="350" t="e">
        <f t="shared" si="2"/>
        <v>#VALUE!</v>
      </c>
      <c r="P113" s="351" t="s">
        <v>280</v>
      </c>
      <c r="Q113" s="351" t="s">
        <v>13</v>
      </c>
      <c r="R113" s="359"/>
      <c r="S113" s="54"/>
      <c r="T113" s="54"/>
      <c r="U113" s="70"/>
      <c r="V113" s="70"/>
      <c r="W113" s="70"/>
      <c r="X113" s="70"/>
      <c r="Y113" s="71"/>
    </row>
    <row r="114" spans="1:25">
      <c r="A114" s="346" t="s">
        <v>909</v>
      </c>
      <c r="B114" s="346" t="s">
        <v>863</v>
      </c>
      <c r="C114" s="347">
        <v>45496.408333333333</v>
      </c>
      <c r="D114" s="346">
        <v>20</v>
      </c>
      <c r="E114" s="346">
        <v>9.9893099999999999E-2</v>
      </c>
      <c r="F114" s="346" t="s">
        <v>864</v>
      </c>
      <c r="G114" s="346">
        <v>22.5</v>
      </c>
      <c r="H114" s="346">
        <v>1077.76539</v>
      </c>
      <c r="I114" s="346">
        <v>0.99996499999999999</v>
      </c>
      <c r="J114" s="346">
        <v>0.41134199999999999</v>
      </c>
      <c r="K114" s="346">
        <v>2054.5</v>
      </c>
      <c r="L114" s="346"/>
      <c r="M114" s="348" t="e">
        <f t="shared" si="0"/>
        <v>#VALUE!</v>
      </c>
      <c r="N114" s="349" t="e">
        <f t="shared" si="1"/>
        <v>#VALUE!</v>
      </c>
      <c r="O114" s="350" t="e">
        <f t="shared" si="2"/>
        <v>#VALUE!</v>
      </c>
      <c r="P114" s="351" t="s">
        <v>280</v>
      </c>
      <c r="Q114" s="351" t="s">
        <v>13</v>
      </c>
      <c r="R114" s="359"/>
      <c r="S114" s="54"/>
      <c r="T114" s="54"/>
      <c r="U114" s="70"/>
      <c r="V114" s="70"/>
      <c r="W114" s="70"/>
      <c r="X114" s="70"/>
      <c r="Y114" s="71"/>
    </row>
    <row r="115" spans="1:25">
      <c r="A115" s="354" t="s">
        <v>896</v>
      </c>
      <c r="B115" s="354" t="s">
        <v>776</v>
      </c>
      <c r="C115" s="355">
        <v>45496.42291666667</v>
      </c>
      <c r="D115" s="354">
        <v>20</v>
      </c>
      <c r="E115" s="354">
        <v>9.9893099999999999E-2</v>
      </c>
      <c r="F115" s="354">
        <v>33.200000000000003</v>
      </c>
      <c r="G115" s="354">
        <v>22.5</v>
      </c>
      <c r="H115" s="354">
        <v>905.42388200000005</v>
      </c>
      <c r="I115" s="354">
        <v>0.99984099999999998</v>
      </c>
      <c r="J115" s="354">
        <v>0.450351</v>
      </c>
      <c r="K115" s="354">
        <v>2249.3000000000002</v>
      </c>
      <c r="L115" s="354"/>
      <c r="M115" s="348">
        <f t="shared" si="0"/>
        <v>1.0227124503008802</v>
      </c>
      <c r="N115" s="349">
        <f t="shared" si="1"/>
        <v>2199.347430783951</v>
      </c>
      <c r="O115" s="350">
        <f t="shared" si="2"/>
        <v>2199.347430783951</v>
      </c>
      <c r="P115" s="351" t="s">
        <v>12</v>
      </c>
      <c r="Q115" s="356" t="s">
        <v>13</v>
      </c>
      <c r="R115" s="359"/>
      <c r="S115" s="54"/>
      <c r="T115" s="54"/>
      <c r="U115" s="70"/>
      <c r="V115" s="70"/>
      <c r="W115" s="70"/>
      <c r="X115" s="70"/>
      <c r="Y115" s="71"/>
    </row>
    <row r="116" spans="1:25">
      <c r="A116" s="346" t="s">
        <v>873</v>
      </c>
      <c r="B116" s="346">
        <v>521</v>
      </c>
      <c r="C116" s="347">
        <v>45496.445833333331</v>
      </c>
      <c r="D116" s="346">
        <v>20</v>
      </c>
      <c r="E116" s="346">
        <v>9.9893099999999999E-2</v>
      </c>
      <c r="F116" s="346">
        <v>37</v>
      </c>
      <c r="G116" s="346">
        <v>22.5</v>
      </c>
      <c r="H116" s="346">
        <v>916.16623600000003</v>
      </c>
      <c r="I116" s="346">
        <v>0.99973599999999996</v>
      </c>
      <c r="J116" s="346">
        <v>0.48133700000000001</v>
      </c>
      <c r="K116" s="346">
        <v>2404.1</v>
      </c>
      <c r="L116" s="346"/>
      <c r="M116" s="348">
        <f t="shared" si="0"/>
        <v>1.0255974356771682</v>
      </c>
      <c r="N116" s="349">
        <f t="shared" si="1"/>
        <v>2344.0971246312174</v>
      </c>
      <c r="O116" s="350">
        <f t="shared" si="2"/>
        <v>2344.0971246312174</v>
      </c>
      <c r="P116" s="351" t="s">
        <v>12</v>
      </c>
      <c r="Q116" s="351" t="s">
        <v>13</v>
      </c>
      <c r="R116" s="359"/>
      <c r="S116" s="54"/>
      <c r="T116" s="54"/>
      <c r="U116" s="70"/>
      <c r="V116" s="70"/>
      <c r="W116" s="70"/>
      <c r="X116" s="70"/>
      <c r="Y116" s="71"/>
    </row>
    <row r="117" spans="1:25">
      <c r="A117" s="346" t="s">
        <v>874</v>
      </c>
      <c r="B117" s="346">
        <v>522</v>
      </c>
      <c r="C117" s="347">
        <v>45496.456250000003</v>
      </c>
      <c r="D117" s="346">
        <v>20</v>
      </c>
      <c r="E117" s="346">
        <v>9.9893099999999999E-2</v>
      </c>
      <c r="F117" s="346">
        <v>37</v>
      </c>
      <c r="G117" s="346">
        <v>22.5</v>
      </c>
      <c r="H117" s="346">
        <v>912.85253699999998</v>
      </c>
      <c r="I117" s="346">
        <v>0.99985900000000005</v>
      </c>
      <c r="J117" s="346">
        <v>0.48092699999999999</v>
      </c>
      <c r="K117" s="346">
        <v>2402.1</v>
      </c>
      <c r="L117" s="346"/>
      <c r="M117" s="348">
        <f t="shared" si="0"/>
        <v>1.0255974356771682</v>
      </c>
      <c r="N117" s="349">
        <f t="shared" si="1"/>
        <v>2342.147041752276</v>
      </c>
      <c r="O117" s="350">
        <f t="shared" si="2"/>
        <v>2342.147041752276</v>
      </c>
      <c r="P117" s="351" t="s">
        <v>12</v>
      </c>
      <c r="Q117" s="351" t="s">
        <v>13</v>
      </c>
      <c r="R117" s="359"/>
      <c r="S117" s="54"/>
      <c r="T117" s="54"/>
      <c r="U117" s="70"/>
      <c r="V117" s="70"/>
      <c r="W117" s="70"/>
      <c r="X117" s="70"/>
      <c r="Y117" s="71"/>
    </row>
    <row r="118" spans="1:25">
      <c r="A118" s="346" t="s">
        <v>875</v>
      </c>
      <c r="B118" s="346">
        <v>495</v>
      </c>
      <c r="C118" s="347">
        <v>45496.46597222222</v>
      </c>
      <c r="D118" s="346">
        <v>20</v>
      </c>
      <c r="E118" s="346">
        <v>9.9893099999999999E-2</v>
      </c>
      <c r="F118" s="346">
        <v>37</v>
      </c>
      <c r="G118" s="346">
        <v>22.5</v>
      </c>
      <c r="H118" s="346">
        <v>913.28660100000002</v>
      </c>
      <c r="I118" s="346">
        <v>0.99977899999999997</v>
      </c>
      <c r="J118" s="346">
        <v>0.48119299999999998</v>
      </c>
      <c r="K118" s="346">
        <v>2403.4</v>
      </c>
      <c r="L118" s="346"/>
      <c r="M118" s="348">
        <f t="shared" si="0"/>
        <v>1.0255974356771682</v>
      </c>
      <c r="N118" s="349">
        <f t="shared" si="1"/>
        <v>2343.414595623588</v>
      </c>
      <c r="O118" s="350">
        <f t="shared" si="2"/>
        <v>2343.414595623588</v>
      </c>
      <c r="P118" s="351" t="s">
        <v>12</v>
      </c>
      <c r="Q118" s="351" t="s">
        <v>13</v>
      </c>
      <c r="R118" s="359"/>
      <c r="S118" s="54"/>
      <c r="T118" s="54"/>
      <c r="U118" s="70"/>
      <c r="V118" s="70"/>
      <c r="W118" s="70"/>
      <c r="X118" s="70"/>
      <c r="Y118" s="71"/>
    </row>
    <row r="119" spans="1:25">
      <c r="A119" s="346" t="s">
        <v>876</v>
      </c>
      <c r="B119" s="346">
        <v>496</v>
      </c>
      <c r="C119" s="347">
        <v>45496.484722222223</v>
      </c>
      <c r="D119" s="346">
        <v>20</v>
      </c>
      <c r="E119" s="346">
        <v>9.9893099999999999E-2</v>
      </c>
      <c r="F119" s="346">
        <v>37</v>
      </c>
      <c r="G119" s="346">
        <v>22.5</v>
      </c>
      <c r="H119" s="346">
        <v>915.36483299999998</v>
      </c>
      <c r="I119" s="346">
        <v>0.99980199999999997</v>
      </c>
      <c r="J119" s="346">
        <v>0.481709</v>
      </c>
      <c r="K119" s="346">
        <v>2406</v>
      </c>
      <c r="L119" s="346"/>
      <c r="M119" s="348">
        <f t="shared" si="0"/>
        <v>1.0255974356771682</v>
      </c>
      <c r="N119" s="349">
        <f t="shared" si="1"/>
        <v>2345.9497033662115</v>
      </c>
      <c r="O119" s="350">
        <f t="shared" si="2"/>
        <v>2345.9497033662115</v>
      </c>
      <c r="P119" s="351" t="s">
        <v>12</v>
      </c>
      <c r="Q119" s="351" t="s">
        <v>13</v>
      </c>
      <c r="R119" s="359"/>
      <c r="S119" s="70"/>
      <c r="T119" s="70"/>
      <c r="U119" s="70"/>
      <c r="V119" s="70"/>
      <c r="W119" s="70"/>
      <c r="X119" s="70"/>
      <c r="Y119" s="71"/>
    </row>
    <row r="120" spans="1:25">
      <c r="A120" s="346" t="s">
        <v>877</v>
      </c>
      <c r="B120" s="346">
        <v>560</v>
      </c>
      <c r="C120" s="347">
        <v>45496.491666666669</v>
      </c>
      <c r="D120" s="346">
        <v>20</v>
      </c>
      <c r="E120" s="346">
        <v>9.9893099999999999E-2</v>
      </c>
      <c r="F120" s="346">
        <v>37</v>
      </c>
      <c r="G120" s="346">
        <v>22.5</v>
      </c>
      <c r="H120" s="346">
        <v>914.57292399999994</v>
      </c>
      <c r="I120" s="346">
        <v>0.99982300000000002</v>
      </c>
      <c r="J120" s="346">
        <v>0.47994399999999998</v>
      </c>
      <c r="K120" s="346">
        <v>2397.1999999999998</v>
      </c>
      <c r="L120" s="346"/>
      <c r="M120" s="348">
        <f t="shared" si="0"/>
        <v>1.0255974356771682</v>
      </c>
      <c r="N120" s="349">
        <f t="shared" si="1"/>
        <v>2337.3693386988703</v>
      </c>
      <c r="O120" s="350">
        <f t="shared" si="2"/>
        <v>2337.3693386988703</v>
      </c>
      <c r="P120" s="351" t="s">
        <v>12</v>
      </c>
      <c r="Q120" s="351" t="s">
        <v>13</v>
      </c>
      <c r="R120" s="359"/>
      <c r="S120" s="70"/>
      <c r="T120" s="70"/>
      <c r="U120" s="70"/>
      <c r="V120" s="70"/>
      <c r="W120" s="70"/>
      <c r="X120" s="70"/>
      <c r="Y120" s="71"/>
    </row>
    <row r="121" spans="1:25">
      <c r="A121" s="346" t="s">
        <v>878</v>
      </c>
      <c r="B121" s="346">
        <v>561</v>
      </c>
      <c r="C121" s="347">
        <v>45496.5</v>
      </c>
      <c r="D121" s="346">
        <v>20</v>
      </c>
      <c r="E121" s="346">
        <v>9.9893099999999999E-2</v>
      </c>
      <c r="F121" s="346">
        <v>37.1</v>
      </c>
      <c r="G121" s="346">
        <v>22.5</v>
      </c>
      <c r="H121" s="346">
        <v>911.23297200000002</v>
      </c>
      <c r="I121" s="346">
        <v>0.999857</v>
      </c>
      <c r="J121" s="346">
        <v>0.47908800000000001</v>
      </c>
      <c r="K121" s="346">
        <v>2392.9</v>
      </c>
      <c r="L121" s="346"/>
      <c r="M121" s="348">
        <f t="shared" si="0"/>
        <v>1.0256734405384258</v>
      </c>
      <c r="N121" s="349">
        <f t="shared" si="1"/>
        <v>2333.0037665242171</v>
      </c>
      <c r="O121" s="350">
        <f t="shared" si="2"/>
        <v>2333.0037665242171</v>
      </c>
      <c r="P121" s="351" t="s">
        <v>12</v>
      </c>
      <c r="Q121" s="351" t="s">
        <v>13</v>
      </c>
      <c r="R121" s="359"/>
      <c r="S121" s="70"/>
      <c r="T121" s="70"/>
      <c r="U121" s="70"/>
      <c r="V121" s="70"/>
      <c r="W121" s="70"/>
      <c r="X121" s="70"/>
      <c r="Y121" s="71"/>
    </row>
    <row r="122" spans="1:25">
      <c r="A122" s="346" t="s">
        <v>879</v>
      </c>
      <c r="B122" s="346">
        <v>430</v>
      </c>
      <c r="C122" s="347">
        <v>45496.506944444445</v>
      </c>
      <c r="D122" s="346">
        <v>20</v>
      </c>
      <c r="E122" s="346">
        <v>9.9893099999999999E-2</v>
      </c>
      <c r="F122" s="346">
        <v>36.799999999999997</v>
      </c>
      <c r="G122" s="346">
        <v>22.5</v>
      </c>
      <c r="H122" s="346">
        <v>919.89741400000003</v>
      </c>
      <c r="I122" s="346">
        <v>0.99981100000000001</v>
      </c>
      <c r="J122" s="346">
        <v>0.479717</v>
      </c>
      <c r="K122" s="346">
        <v>2396</v>
      </c>
      <c r="L122" s="346"/>
      <c r="M122" s="348">
        <f t="shared" si="0"/>
        <v>1.0254454391737517</v>
      </c>
      <c r="N122" s="349">
        <f t="shared" si="1"/>
        <v>2336.5455717766581</v>
      </c>
      <c r="O122" s="350">
        <f t="shared" si="2"/>
        <v>2336.5455717766581</v>
      </c>
      <c r="P122" s="351" t="s">
        <v>12</v>
      </c>
      <c r="Q122" s="351" t="s">
        <v>13</v>
      </c>
      <c r="R122" s="359"/>
      <c r="S122" s="70"/>
      <c r="T122" s="70"/>
      <c r="U122" s="70"/>
      <c r="V122" s="70"/>
      <c r="W122" s="70"/>
      <c r="X122" s="70"/>
      <c r="Y122" s="71"/>
    </row>
    <row r="123" spans="1:25">
      <c r="A123" s="346" t="s">
        <v>880</v>
      </c>
      <c r="B123" s="346">
        <v>431</v>
      </c>
      <c r="C123" s="347">
        <v>45496.515277777777</v>
      </c>
      <c r="D123" s="346">
        <v>20</v>
      </c>
      <c r="E123" s="346">
        <v>9.9893099999999999E-2</v>
      </c>
      <c r="F123" s="346">
        <v>36.9</v>
      </c>
      <c r="G123" s="346">
        <v>22.5</v>
      </c>
      <c r="H123" s="346">
        <v>912.84771599999999</v>
      </c>
      <c r="I123" s="346">
        <v>0.99987899999999996</v>
      </c>
      <c r="J123" s="346">
        <v>0.48009800000000002</v>
      </c>
      <c r="K123" s="346">
        <v>2397.9</v>
      </c>
      <c r="L123" s="346"/>
      <c r="M123" s="348">
        <f t="shared" si="0"/>
        <v>1.0255214352246484</v>
      </c>
      <c r="N123" s="349">
        <f t="shared" si="1"/>
        <v>2338.2251385849595</v>
      </c>
      <c r="O123" s="350">
        <f t="shared" si="2"/>
        <v>2338.2251385849595</v>
      </c>
      <c r="P123" s="351" t="s">
        <v>12</v>
      </c>
      <c r="Q123" s="351" t="s">
        <v>13</v>
      </c>
      <c r="R123" s="359"/>
      <c r="S123" s="70"/>
      <c r="T123" s="70"/>
      <c r="U123" s="70"/>
      <c r="V123" s="70"/>
      <c r="W123" s="70"/>
      <c r="X123" s="70"/>
      <c r="Y123" s="71"/>
    </row>
    <row r="124" spans="1:25">
      <c r="A124" s="346" t="s">
        <v>881</v>
      </c>
      <c r="B124" s="346">
        <v>534</v>
      </c>
      <c r="C124" s="347">
        <v>45496.546527777777</v>
      </c>
      <c r="D124" s="346">
        <v>20</v>
      </c>
      <c r="E124" s="346">
        <v>9.9893099999999999E-2</v>
      </c>
      <c r="F124" s="346">
        <v>37</v>
      </c>
      <c r="G124" s="346">
        <v>22.5</v>
      </c>
      <c r="H124" s="346">
        <v>908.26836800000001</v>
      </c>
      <c r="I124" s="346">
        <v>0.99987999999999999</v>
      </c>
      <c r="J124" s="346">
        <v>0.47889900000000002</v>
      </c>
      <c r="K124" s="346">
        <v>2391.9</v>
      </c>
      <c r="L124" s="346"/>
      <c r="M124" s="348">
        <f t="shared" si="0"/>
        <v>1.0255974356771682</v>
      </c>
      <c r="N124" s="349">
        <f t="shared" si="1"/>
        <v>2332.2016190696763</v>
      </c>
      <c r="O124" s="350">
        <f t="shared" si="2"/>
        <v>2332.2016190696763</v>
      </c>
      <c r="P124" s="351" t="s">
        <v>12</v>
      </c>
      <c r="Q124" s="351" t="s">
        <v>13</v>
      </c>
      <c r="R124" s="359"/>
      <c r="S124" s="70"/>
      <c r="T124" s="70"/>
      <c r="U124" s="70"/>
      <c r="V124" s="70"/>
      <c r="W124" s="70"/>
      <c r="X124" s="70"/>
      <c r="Y124" s="71"/>
    </row>
    <row r="125" spans="1:25">
      <c r="A125" s="346" t="s">
        <v>882</v>
      </c>
      <c r="B125" s="346">
        <v>535</v>
      </c>
      <c r="C125" s="347">
        <v>45496.554861111108</v>
      </c>
      <c r="D125" s="346">
        <v>20</v>
      </c>
      <c r="E125" s="346">
        <v>9.9893099999999999E-2</v>
      </c>
      <c r="F125" s="346">
        <v>37</v>
      </c>
      <c r="G125" s="346">
        <v>22.5</v>
      </c>
      <c r="H125" s="346">
        <v>910.28966300000002</v>
      </c>
      <c r="I125" s="346">
        <v>0.99981600000000004</v>
      </c>
      <c r="J125" s="346">
        <v>0.47872999999999999</v>
      </c>
      <c r="K125" s="346">
        <v>2391.1</v>
      </c>
      <c r="L125" s="353"/>
      <c r="M125" s="348">
        <f t="shared" si="0"/>
        <v>1.0255974356771682</v>
      </c>
      <c r="N125" s="349">
        <f t="shared" si="1"/>
        <v>2331.4215859180999</v>
      </c>
      <c r="O125" s="350">
        <f t="shared" si="2"/>
        <v>2331.4215859180999</v>
      </c>
      <c r="P125" s="351" t="s">
        <v>12</v>
      </c>
      <c r="Q125" s="351" t="s">
        <v>13</v>
      </c>
      <c r="R125" s="359"/>
      <c r="S125" s="70"/>
      <c r="T125" s="70"/>
      <c r="U125" s="70"/>
      <c r="V125" s="70"/>
      <c r="W125" s="70"/>
      <c r="X125" s="70"/>
      <c r="Y125" s="71"/>
    </row>
    <row r="126" spans="1:25">
      <c r="A126" s="354" t="s">
        <v>883</v>
      </c>
      <c r="B126" s="354" t="s">
        <v>776</v>
      </c>
      <c r="C126" s="355">
        <v>45496.568055555559</v>
      </c>
      <c r="D126" s="354">
        <v>20</v>
      </c>
      <c r="E126" s="354">
        <v>9.9893099999999999E-2</v>
      </c>
      <c r="F126" s="354">
        <v>33.200000000000003</v>
      </c>
      <c r="G126" s="354">
        <v>22.5</v>
      </c>
      <c r="H126" s="354">
        <v>901.47989099999995</v>
      </c>
      <c r="I126" s="354">
        <v>0.99987099999999995</v>
      </c>
      <c r="J126" s="354">
        <v>0.45112000000000002</v>
      </c>
      <c r="K126" s="354">
        <v>2253.1999999999998</v>
      </c>
      <c r="L126" s="361"/>
      <c r="M126" s="348">
        <f t="shared" si="0"/>
        <v>1.0227124503008802</v>
      </c>
      <c r="N126" s="349">
        <f t="shared" si="1"/>
        <v>2203.1608193848742</v>
      </c>
      <c r="O126" s="350">
        <f t="shared" si="2"/>
        <v>2203.1608193848742</v>
      </c>
      <c r="P126" s="351" t="s">
        <v>12</v>
      </c>
      <c r="Q126" s="356" t="s">
        <v>13</v>
      </c>
      <c r="R126" s="359"/>
      <c r="S126" s="70"/>
      <c r="T126" s="70"/>
      <c r="U126" s="70"/>
      <c r="V126" s="70"/>
      <c r="W126" s="70"/>
      <c r="X126" s="70"/>
      <c r="Y126" s="71"/>
    </row>
    <row r="127" spans="1:25">
      <c r="A127" s="346" t="s">
        <v>884</v>
      </c>
      <c r="B127" s="346">
        <v>508</v>
      </c>
      <c r="C127" s="347">
        <v>45496.579861111109</v>
      </c>
      <c r="D127" s="346">
        <v>20</v>
      </c>
      <c r="E127" s="346">
        <v>9.9893099999999999E-2</v>
      </c>
      <c r="F127" s="346">
        <v>37</v>
      </c>
      <c r="G127" s="346">
        <v>22.5</v>
      </c>
      <c r="H127" s="346">
        <v>904.87317199999995</v>
      </c>
      <c r="I127" s="346">
        <v>0.999749</v>
      </c>
      <c r="J127" s="346">
        <v>0.48024699999999998</v>
      </c>
      <c r="K127" s="346">
        <v>2398.6999999999998</v>
      </c>
      <c r="L127" s="346"/>
      <c r="M127" s="348">
        <f t="shared" si="0"/>
        <v>1.0255974356771682</v>
      </c>
      <c r="N127" s="349">
        <f t="shared" si="1"/>
        <v>2338.8319008580761</v>
      </c>
      <c r="O127" s="350">
        <f t="shared" si="2"/>
        <v>2338.8319008580761</v>
      </c>
      <c r="P127" s="351" t="s">
        <v>12</v>
      </c>
      <c r="Q127" s="351" t="s">
        <v>13</v>
      </c>
      <c r="R127" s="359"/>
      <c r="S127" s="70"/>
      <c r="T127" s="70"/>
      <c r="U127" s="70"/>
      <c r="V127" s="70"/>
      <c r="W127" s="70"/>
      <c r="X127" s="70"/>
      <c r="Y127" s="71"/>
    </row>
    <row r="128" spans="1:25">
      <c r="A128" s="346" t="s">
        <v>885</v>
      </c>
      <c r="B128" s="346">
        <v>509</v>
      </c>
      <c r="C128" s="347">
        <v>45496.590277777781</v>
      </c>
      <c r="D128" s="346">
        <v>20</v>
      </c>
      <c r="E128" s="346">
        <v>9.9893099999999999E-2</v>
      </c>
      <c r="F128" s="346">
        <v>37</v>
      </c>
      <c r="G128" s="346">
        <v>22.5</v>
      </c>
      <c r="H128" s="346">
        <v>912.94110599999999</v>
      </c>
      <c r="I128" s="346">
        <v>0.99972499999999997</v>
      </c>
      <c r="J128" s="346">
        <v>0.48189799999999999</v>
      </c>
      <c r="K128" s="346">
        <v>2406.9</v>
      </c>
      <c r="L128" s="346"/>
      <c r="M128" s="348">
        <f t="shared" si="0"/>
        <v>1.0255974356771682</v>
      </c>
      <c r="N128" s="349">
        <f t="shared" si="1"/>
        <v>2346.8272406617352</v>
      </c>
      <c r="O128" s="350">
        <f t="shared" si="2"/>
        <v>2346.8272406617352</v>
      </c>
      <c r="P128" s="351" t="s">
        <v>12</v>
      </c>
      <c r="Q128" s="351" t="s">
        <v>13</v>
      </c>
      <c r="R128" s="359"/>
      <c r="S128" s="70"/>
      <c r="T128" s="70"/>
      <c r="U128" s="70"/>
      <c r="V128" s="70"/>
      <c r="W128" s="70"/>
      <c r="X128" s="70"/>
      <c r="Y128" s="71"/>
    </row>
    <row r="129" spans="1:25">
      <c r="A129" s="346" t="s">
        <v>886</v>
      </c>
      <c r="B129" s="346">
        <v>469</v>
      </c>
      <c r="C129" s="347">
        <v>45496.598611111112</v>
      </c>
      <c r="D129" s="346">
        <v>20</v>
      </c>
      <c r="E129" s="346">
        <v>9.9893099999999999E-2</v>
      </c>
      <c r="F129" s="346">
        <v>36.799999999999997</v>
      </c>
      <c r="G129" s="346">
        <v>22.5</v>
      </c>
      <c r="H129" s="346">
        <v>911.78247399999998</v>
      </c>
      <c r="I129" s="346">
        <v>0.99981500000000001</v>
      </c>
      <c r="J129" s="346">
        <v>0.48234300000000002</v>
      </c>
      <c r="K129" s="346">
        <v>2409.1</v>
      </c>
      <c r="L129" s="346"/>
      <c r="M129" s="348">
        <f t="shared" si="0"/>
        <v>1.0254454391737517</v>
      </c>
      <c r="N129" s="349">
        <f t="shared" si="1"/>
        <v>2349.3205079161712</v>
      </c>
      <c r="O129" s="350">
        <f t="shared" si="2"/>
        <v>2349.3205079161712</v>
      </c>
      <c r="P129" s="351" t="s">
        <v>12</v>
      </c>
      <c r="Q129" s="351" t="s">
        <v>13</v>
      </c>
      <c r="R129" s="359"/>
      <c r="S129" s="70"/>
      <c r="T129" s="70"/>
      <c r="U129" s="70"/>
      <c r="V129" s="70"/>
      <c r="W129" s="70"/>
      <c r="X129" s="70"/>
      <c r="Y129" s="71"/>
    </row>
    <row r="130" spans="1:25">
      <c r="A130" s="346" t="s">
        <v>887</v>
      </c>
      <c r="B130" s="346">
        <v>470</v>
      </c>
      <c r="C130" s="347">
        <v>45496.606944444444</v>
      </c>
      <c r="D130" s="346">
        <v>20</v>
      </c>
      <c r="E130" s="346">
        <v>9.9893099999999999E-2</v>
      </c>
      <c r="F130" s="346">
        <v>36.9</v>
      </c>
      <c r="G130" s="346">
        <v>22.5</v>
      </c>
      <c r="H130" s="346">
        <v>906.73947199999998</v>
      </c>
      <c r="I130" s="346">
        <v>0.99986900000000001</v>
      </c>
      <c r="J130" s="346">
        <v>0.47970200000000002</v>
      </c>
      <c r="K130" s="346">
        <v>2395.9</v>
      </c>
      <c r="L130" s="346"/>
      <c r="M130" s="348">
        <f t="shared" si="0"/>
        <v>1.0255214352246484</v>
      </c>
      <c r="N130" s="349">
        <f t="shared" si="1"/>
        <v>2336.2749111871653</v>
      </c>
      <c r="O130" s="350">
        <f t="shared" si="2"/>
        <v>2336.2749111871653</v>
      </c>
      <c r="P130" s="351" t="s">
        <v>12</v>
      </c>
      <c r="Q130" s="351" t="s">
        <v>13</v>
      </c>
      <c r="R130" s="359"/>
      <c r="S130" s="70"/>
      <c r="T130" s="70"/>
      <c r="U130" s="70"/>
      <c r="V130" s="70"/>
      <c r="W130" s="70"/>
      <c r="X130" s="70"/>
      <c r="Y130" s="71"/>
    </row>
    <row r="131" spans="1:25">
      <c r="A131" s="346" t="s">
        <v>888</v>
      </c>
      <c r="B131" s="346">
        <v>573</v>
      </c>
      <c r="C131" s="347">
        <v>45496.615972222222</v>
      </c>
      <c r="D131" s="346">
        <v>20</v>
      </c>
      <c r="E131" s="346">
        <v>9.9893099999999999E-2</v>
      </c>
      <c r="F131" s="346">
        <v>36.799999999999997</v>
      </c>
      <c r="G131" s="346">
        <v>22.5</v>
      </c>
      <c r="H131" s="346">
        <v>909.45769199999995</v>
      </c>
      <c r="I131" s="346">
        <v>0.999942</v>
      </c>
      <c r="J131" s="346">
        <v>0.481873</v>
      </c>
      <c r="K131" s="346">
        <v>2406.8000000000002</v>
      </c>
      <c r="L131" s="346"/>
      <c r="M131" s="348">
        <f t="shared" si="0"/>
        <v>1.0254454391737517</v>
      </c>
      <c r="N131" s="349">
        <f t="shared" si="1"/>
        <v>2347.0775801970203</v>
      </c>
      <c r="O131" s="350">
        <f t="shared" si="2"/>
        <v>2347.0775801970203</v>
      </c>
      <c r="P131" s="351" t="s">
        <v>12</v>
      </c>
      <c r="Q131" s="351" t="s">
        <v>13</v>
      </c>
      <c r="R131" s="359"/>
      <c r="S131" s="70"/>
      <c r="T131" s="70"/>
      <c r="U131" s="70"/>
      <c r="V131" s="70"/>
      <c r="W131" s="70"/>
      <c r="X131" s="70"/>
      <c r="Y131" s="71"/>
    </row>
    <row r="132" spans="1:25">
      <c r="A132" s="346" t="s">
        <v>889</v>
      </c>
      <c r="B132" s="346">
        <v>574</v>
      </c>
      <c r="C132" s="347">
        <v>45496.62777777778</v>
      </c>
      <c r="D132" s="346">
        <v>20</v>
      </c>
      <c r="E132" s="346">
        <v>9.9893099999999999E-2</v>
      </c>
      <c r="F132" s="346">
        <v>36.9</v>
      </c>
      <c r="G132" s="346">
        <v>22.5</v>
      </c>
      <c r="H132" s="346">
        <v>904.07360200000005</v>
      </c>
      <c r="I132" s="346">
        <v>0.999861</v>
      </c>
      <c r="J132" s="346">
        <v>0.48059600000000002</v>
      </c>
      <c r="K132" s="346">
        <v>2400.4</v>
      </c>
      <c r="L132" s="346"/>
      <c r="M132" s="348">
        <f t="shared" si="0"/>
        <v>1.0255214352246484</v>
      </c>
      <c r="N132" s="349">
        <f t="shared" si="1"/>
        <v>2340.6629228322017</v>
      </c>
      <c r="O132" s="350">
        <f t="shared" si="2"/>
        <v>2340.6629228322017</v>
      </c>
      <c r="P132" s="351" t="s">
        <v>12</v>
      </c>
      <c r="Q132" s="351" t="s">
        <v>13</v>
      </c>
      <c r="R132" s="359"/>
      <c r="S132" s="70"/>
      <c r="T132" s="70"/>
      <c r="U132" s="70"/>
      <c r="V132" s="70"/>
      <c r="W132" s="70"/>
      <c r="X132" s="70"/>
      <c r="Y132" s="71"/>
    </row>
    <row r="133" spans="1:25">
      <c r="A133" s="346" t="s">
        <v>890</v>
      </c>
      <c r="B133" s="346">
        <v>612</v>
      </c>
      <c r="C133" s="347">
        <v>45496.636111111111</v>
      </c>
      <c r="D133" s="346">
        <v>20</v>
      </c>
      <c r="E133" s="346">
        <v>9.9893099999999999E-2</v>
      </c>
      <c r="F133" s="346">
        <v>37</v>
      </c>
      <c r="G133" s="346">
        <v>22.5</v>
      </c>
      <c r="H133" s="346">
        <v>908.86927400000002</v>
      </c>
      <c r="I133" s="346">
        <v>0.99991699999999994</v>
      </c>
      <c r="J133" s="346">
        <v>0.48143799999999998</v>
      </c>
      <c r="K133" s="346">
        <v>2404.6</v>
      </c>
      <c r="L133" s="346"/>
      <c r="M133" s="348">
        <f t="shared" si="0"/>
        <v>1.0255974356771682</v>
      </c>
      <c r="N133" s="349">
        <f t="shared" si="1"/>
        <v>2344.5846453509525</v>
      </c>
      <c r="O133" s="350">
        <f t="shared" si="2"/>
        <v>2344.5846453509525</v>
      </c>
      <c r="P133" s="351" t="s">
        <v>12</v>
      </c>
      <c r="Q133" s="351" t="s">
        <v>13</v>
      </c>
      <c r="R133" s="359"/>
      <c r="S133" s="70"/>
      <c r="T133" s="70"/>
      <c r="U133" s="70"/>
      <c r="V133" s="70"/>
      <c r="W133" s="70"/>
      <c r="X133" s="70"/>
      <c r="Y133" s="71"/>
    </row>
    <row r="134" spans="1:25">
      <c r="A134" s="346" t="s">
        <v>891</v>
      </c>
      <c r="B134" s="346">
        <v>613</v>
      </c>
      <c r="C134" s="347">
        <v>45496.645138888889</v>
      </c>
      <c r="D134" s="346">
        <v>20</v>
      </c>
      <c r="E134" s="346">
        <v>9.9893099999999999E-2</v>
      </c>
      <c r="F134" s="346">
        <v>37</v>
      </c>
      <c r="G134" s="346">
        <v>22.5</v>
      </c>
      <c r="H134" s="346">
        <v>908.20973800000002</v>
      </c>
      <c r="I134" s="346">
        <v>0.99990599999999996</v>
      </c>
      <c r="J134" s="346">
        <v>0.48266700000000001</v>
      </c>
      <c r="K134" s="346">
        <v>2410.8000000000002</v>
      </c>
      <c r="L134" s="346"/>
      <c r="M134" s="348">
        <f t="shared" si="0"/>
        <v>1.0255974356771682</v>
      </c>
      <c r="N134" s="349">
        <f t="shared" si="1"/>
        <v>2350.6299022756707</v>
      </c>
      <c r="O134" s="350">
        <f t="shared" si="2"/>
        <v>2350.6299022756707</v>
      </c>
      <c r="P134" s="351" t="s">
        <v>12</v>
      </c>
      <c r="Q134" s="351" t="s">
        <v>13</v>
      </c>
      <c r="R134" s="359"/>
      <c r="S134" s="70"/>
      <c r="T134" s="70"/>
      <c r="U134" s="70"/>
      <c r="V134" s="70"/>
      <c r="W134" s="70"/>
      <c r="X134" s="70"/>
      <c r="Y134" s="71"/>
    </row>
    <row r="135" spans="1:25">
      <c r="A135" s="354" t="s">
        <v>892</v>
      </c>
      <c r="B135" s="354" t="s">
        <v>776</v>
      </c>
      <c r="C135" s="355">
        <v>45496.665972222225</v>
      </c>
      <c r="D135" s="354">
        <v>20</v>
      </c>
      <c r="E135" s="354">
        <v>9.9893099999999999E-2</v>
      </c>
      <c r="F135" s="354">
        <v>33.200000000000003</v>
      </c>
      <c r="G135" s="354">
        <v>22.5</v>
      </c>
      <c r="H135" s="354">
        <v>910.47319900000002</v>
      </c>
      <c r="I135" s="354">
        <v>0.99985599999999997</v>
      </c>
      <c r="J135" s="354">
        <v>0.45135700000000001</v>
      </c>
      <c r="K135" s="354">
        <v>2251.9</v>
      </c>
      <c r="L135" s="354"/>
      <c r="M135" s="348">
        <f t="shared" si="0"/>
        <v>1.0227124503008802</v>
      </c>
      <c r="N135" s="349">
        <f t="shared" si="1"/>
        <v>2201.8896898512335</v>
      </c>
      <c r="O135" s="350">
        <f t="shared" si="2"/>
        <v>2201.8896898512335</v>
      </c>
      <c r="P135" s="351" t="s">
        <v>12</v>
      </c>
      <c r="Q135" s="356" t="s">
        <v>13</v>
      </c>
      <c r="R135" s="359"/>
      <c r="S135" s="70"/>
      <c r="T135" s="70"/>
      <c r="U135" s="70"/>
      <c r="V135" s="70"/>
      <c r="W135" s="70"/>
      <c r="X135" s="70"/>
      <c r="Y135" s="71"/>
    </row>
    <row r="136" spans="1:25">
      <c r="A136" s="346" t="s">
        <v>862</v>
      </c>
      <c r="B136" s="346" t="s">
        <v>726</v>
      </c>
      <c r="C136" s="347">
        <v>45503.555555555555</v>
      </c>
      <c r="D136" s="346">
        <v>20</v>
      </c>
      <c r="E136" s="346">
        <v>9.9893099999999999E-2</v>
      </c>
      <c r="F136" s="346">
        <v>33.200000000000003</v>
      </c>
      <c r="G136" s="346">
        <v>22.5</v>
      </c>
      <c r="H136" s="346">
        <v>0</v>
      </c>
      <c r="I136" s="346">
        <v>0</v>
      </c>
      <c r="J136" s="346">
        <v>0</v>
      </c>
      <c r="K136" s="346">
        <v>0</v>
      </c>
      <c r="L136" s="346" t="s">
        <v>914</v>
      </c>
      <c r="M136" s="348">
        <f t="shared" si="0"/>
        <v>1.0227124503008802</v>
      </c>
      <c r="N136" s="349">
        <f t="shared" si="1"/>
        <v>0</v>
      </c>
      <c r="O136" s="350">
        <f t="shared" si="2"/>
        <v>0</v>
      </c>
      <c r="P136" s="351" t="s">
        <v>280</v>
      </c>
      <c r="Q136" s="351" t="s">
        <v>13</v>
      </c>
      <c r="R136" s="359"/>
      <c r="S136" s="70"/>
      <c r="T136" s="70"/>
      <c r="U136" s="70"/>
      <c r="V136" s="70"/>
      <c r="W136" s="70"/>
      <c r="X136" s="70"/>
      <c r="Y136" s="71"/>
    </row>
    <row r="137" spans="1:25">
      <c r="A137" s="346" t="s">
        <v>866</v>
      </c>
      <c r="B137" s="346" t="s">
        <v>726</v>
      </c>
      <c r="C137" s="347">
        <v>45503.55972222222</v>
      </c>
      <c r="D137" s="346">
        <v>20</v>
      </c>
      <c r="E137" s="346">
        <v>9.9893099999999999E-2</v>
      </c>
      <c r="F137" s="346">
        <v>33.200000000000003</v>
      </c>
      <c r="G137" s="346">
        <v>22.5</v>
      </c>
      <c r="H137" s="346">
        <v>886.38682100000005</v>
      </c>
      <c r="I137" s="346">
        <v>0.99979799999999996</v>
      </c>
      <c r="J137" s="346">
        <v>0.44943100000000002</v>
      </c>
      <c r="K137" s="346">
        <v>2244.8000000000002</v>
      </c>
      <c r="L137" s="346"/>
      <c r="M137" s="348">
        <f t="shared" si="0"/>
        <v>1.0227124503008802</v>
      </c>
      <c r="N137" s="349">
        <f t="shared" si="1"/>
        <v>2194.9473670136549</v>
      </c>
      <c r="O137" s="350">
        <f t="shared" si="2"/>
        <v>2194.9473670136549</v>
      </c>
      <c r="P137" s="351" t="s">
        <v>12</v>
      </c>
      <c r="Q137" s="351" t="s">
        <v>13</v>
      </c>
      <c r="R137" s="359"/>
      <c r="S137" s="70"/>
      <c r="T137" s="70"/>
      <c r="U137" s="70"/>
      <c r="V137" s="70"/>
      <c r="W137" s="70"/>
      <c r="X137" s="70"/>
      <c r="Y137" s="71"/>
    </row>
    <row r="138" spans="1:25">
      <c r="A138" s="346" t="s">
        <v>867</v>
      </c>
      <c r="B138" s="346" t="s">
        <v>726</v>
      </c>
      <c r="C138" s="347">
        <v>45503.569444444445</v>
      </c>
      <c r="D138" s="346">
        <v>20</v>
      </c>
      <c r="E138" s="346">
        <v>9.9893099999999999E-2</v>
      </c>
      <c r="F138" s="346">
        <v>33.200000000000003</v>
      </c>
      <c r="G138" s="346">
        <v>22.5</v>
      </c>
      <c r="H138" s="346">
        <v>888.32343200000003</v>
      </c>
      <c r="I138" s="346">
        <v>0.99980500000000005</v>
      </c>
      <c r="J138" s="346">
        <v>0.449766</v>
      </c>
      <c r="K138" s="346">
        <v>2246.4</v>
      </c>
      <c r="L138" s="346">
        <v>1.1849000000000001</v>
      </c>
      <c r="M138" s="348">
        <f t="shared" si="0"/>
        <v>1.0227124503008802</v>
      </c>
      <c r="N138" s="349">
        <f t="shared" si="1"/>
        <v>2196.5118341319821</v>
      </c>
      <c r="O138" s="350">
        <f t="shared" si="2"/>
        <v>2196.5118341319821</v>
      </c>
      <c r="P138" s="351" t="s">
        <v>12</v>
      </c>
      <c r="Q138" s="351" t="s">
        <v>13</v>
      </c>
      <c r="R138" s="359"/>
      <c r="S138" s="70"/>
      <c r="T138" s="70"/>
      <c r="U138" s="70"/>
      <c r="V138" s="70"/>
      <c r="W138" s="70"/>
      <c r="X138" s="70"/>
      <c r="Y138" s="71"/>
    </row>
    <row r="139" spans="1:25">
      <c r="A139" s="346" t="s">
        <v>908</v>
      </c>
      <c r="B139" s="346" t="s">
        <v>726</v>
      </c>
      <c r="C139" s="347">
        <v>45503.588194444441</v>
      </c>
      <c r="D139" s="346">
        <v>20</v>
      </c>
      <c r="E139" s="346">
        <v>9.9893099999999999E-2</v>
      </c>
      <c r="F139" s="346">
        <v>33.200000000000003</v>
      </c>
      <c r="G139" s="346">
        <v>22.5</v>
      </c>
      <c r="H139" s="346">
        <v>883.47317899999996</v>
      </c>
      <c r="I139" s="346">
        <v>0.999834</v>
      </c>
      <c r="J139" s="346">
        <v>0.449096</v>
      </c>
      <c r="K139" s="346">
        <v>2243.1</v>
      </c>
      <c r="L139" s="346">
        <v>2.3672</v>
      </c>
      <c r="M139" s="348">
        <f t="shared" si="0"/>
        <v>1.0227124503008802</v>
      </c>
      <c r="N139" s="349">
        <f t="shared" si="1"/>
        <v>2193.2851207004314</v>
      </c>
      <c r="O139" s="350">
        <f t="shared" si="2"/>
        <v>2193.2851207004314</v>
      </c>
      <c r="P139" s="351" t="s">
        <v>12</v>
      </c>
      <c r="Q139" s="351" t="s">
        <v>13</v>
      </c>
      <c r="R139" s="359"/>
      <c r="S139" s="70"/>
      <c r="T139" s="70"/>
      <c r="U139" s="70"/>
      <c r="V139" s="70"/>
      <c r="W139" s="70"/>
      <c r="X139" s="70"/>
      <c r="Y139" s="71"/>
    </row>
    <row r="140" spans="1:25">
      <c r="A140" s="346" t="s">
        <v>909</v>
      </c>
      <c r="B140" s="346" t="s">
        <v>726</v>
      </c>
      <c r="C140" s="347">
        <v>45503.615972222222</v>
      </c>
      <c r="D140" s="346">
        <v>20</v>
      </c>
      <c r="E140" s="346">
        <v>9.9893099999999999E-2</v>
      </c>
      <c r="F140" s="346">
        <v>33.200000000000003</v>
      </c>
      <c r="G140" s="346">
        <v>22.5</v>
      </c>
      <c r="H140" s="346">
        <v>883.16982199999995</v>
      </c>
      <c r="I140" s="346">
        <v>0.99982599999999999</v>
      </c>
      <c r="J140" s="346">
        <v>0.44965300000000002</v>
      </c>
      <c r="K140" s="346">
        <v>2245.9</v>
      </c>
      <c r="L140" s="346">
        <v>1.9685999999999999</v>
      </c>
      <c r="M140" s="348">
        <f t="shared" si="0"/>
        <v>1.0227124503008802</v>
      </c>
      <c r="N140" s="349">
        <f t="shared" si="1"/>
        <v>2196.022938157505</v>
      </c>
      <c r="O140" s="350">
        <f t="shared" si="2"/>
        <v>2196.022938157505</v>
      </c>
      <c r="P140" s="351" t="s">
        <v>12</v>
      </c>
      <c r="Q140" s="351" t="s">
        <v>13</v>
      </c>
      <c r="R140" s="359"/>
      <c r="S140" s="70"/>
      <c r="T140" s="70"/>
      <c r="U140" s="70"/>
      <c r="V140" s="70"/>
      <c r="W140" s="70"/>
      <c r="X140" s="70"/>
      <c r="Y140" s="71"/>
    </row>
    <row r="141" spans="1:25">
      <c r="A141" s="346" t="s">
        <v>910</v>
      </c>
      <c r="B141" s="346" t="s">
        <v>726</v>
      </c>
      <c r="C141" s="347">
        <v>45503.625694444447</v>
      </c>
      <c r="D141" s="346">
        <v>20</v>
      </c>
      <c r="E141" s="346">
        <v>9.9893099999999999E-2</v>
      </c>
      <c r="F141" s="346">
        <v>33.200000000000003</v>
      </c>
      <c r="G141" s="346">
        <v>22.5</v>
      </c>
      <c r="H141" s="346">
        <v>884.61773700000003</v>
      </c>
      <c r="I141" s="346">
        <v>0.99984200000000001</v>
      </c>
      <c r="J141" s="346">
        <v>0.448656</v>
      </c>
      <c r="K141" s="346">
        <v>2240.9</v>
      </c>
      <c r="L141" s="346">
        <v>3.5211000000000001</v>
      </c>
      <c r="M141" s="348">
        <f t="shared" si="0"/>
        <v>1.0227124503008802</v>
      </c>
      <c r="N141" s="349">
        <f t="shared" si="1"/>
        <v>2191.1339784127308</v>
      </c>
      <c r="O141" s="350">
        <f t="shared" si="2"/>
        <v>2191.1339784127308</v>
      </c>
      <c r="P141" s="351" t="s">
        <v>12</v>
      </c>
      <c r="Q141" s="351" t="s">
        <v>13</v>
      </c>
      <c r="R141" s="359"/>
      <c r="S141" s="70"/>
      <c r="T141" s="70"/>
      <c r="U141" s="70"/>
      <c r="V141" s="70"/>
      <c r="W141" s="70"/>
      <c r="X141" s="70"/>
      <c r="Y141" s="71"/>
    </row>
    <row r="142" spans="1:25">
      <c r="A142" s="346" t="s">
        <v>896</v>
      </c>
      <c r="B142" s="346" t="s">
        <v>915</v>
      </c>
      <c r="C142" s="347">
        <v>45503.63958333333</v>
      </c>
      <c r="D142" s="346">
        <v>20</v>
      </c>
      <c r="E142" s="346">
        <v>9.9893099999999999E-2</v>
      </c>
      <c r="F142" s="346">
        <v>33.200000000000003</v>
      </c>
      <c r="G142" s="346">
        <v>22.5</v>
      </c>
      <c r="H142" s="346">
        <v>890.90506700000003</v>
      </c>
      <c r="I142" s="346">
        <v>0.99982800000000005</v>
      </c>
      <c r="J142" s="346">
        <v>0.44985599999999998</v>
      </c>
      <c r="K142" s="346">
        <v>2246.9</v>
      </c>
      <c r="L142" s="346"/>
      <c r="M142" s="348">
        <f t="shared" si="0"/>
        <v>1.0227124503008802</v>
      </c>
      <c r="N142" s="349">
        <f t="shared" si="1"/>
        <v>2197.0007301064597</v>
      </c>
      <c r="O142" s="350">
        <f t="shared" si="2"/>
        <v>2197.0007301064597</v>
      </c>
      <c r="P142" s="351" t="s">
        <v>12</v>
      </c>
      <c r="Q142" s="351" t="s">
        <v>13</v>
      </c>
      <c r="R142" s="359"/>
      <c r="S142" s="70"/>
      <c r="T142" s="70"/>
      <c r="U142" s="70"/>
      <c r="V142" s="70"/>
      <c r="W142" s="70"/>
      <c r="X142" s="70"/>
      <c r="Y142" s="71"/>
    </row>
    <row r="143" spans="1:25">
      <c r="A143" s="346" t="s">
        <v>872</v>
      </c>
      <c r="B143" s="346" t="s">
        <v>916</v>
      </c>
      <c r="C143" s="347">
        <v>45503.650694444441</v>
      </c>
      <c r="D143" s="346">
        <v>20</v>
      </c>
      <c r="E143" s="346">
        <v>9.9893099999999999E-2</v>
      </c>
      <c r="F143" s="346">
        <v>33.200000000000003</v>
      </c>
      <c r="G143" s="346">
        <v>22.5</v>
      </c>
      <c r="H143" s="346">
        <v>893.52975400000003</v>
      </c>
      <c r="I143" s="346">
        <v>0.99977899999999997</v>
      </c>
      <c r="J143" s="346">
        <v>0.44952199999999998</v>
      </c>
      <c r="K143" s="346">
        <v>2245.1999999999998</v>
      </c>
      <c r="L143" s="346"/>
      <c r="M143" s="348">
        <f t="shared" si="0"/>
        <v>1.0227124503008802</v>
      </c>
      <c r="N143" s="349">
        <f t="shared" si="1"/>
        <v>2195.3384837932363</v>
      </c>
      <c r="O143" s="350">
        <f t="shared" si="2"/>
        <v>2195.3384837932363</v>
      </c>
      <c r="P143" s="351" t="s">
        <v>12</v>
      </c>
      <c r="Q143" s="351" t="s">
        <v>13</v>
      </c>
      <c r="R143" s="359"/>
      <c r="S143" s="70"/>
      <c r="T143" s="70"/>
      <c r="U143" s="70"/>
      <c r="V143" s="70"/>
      <c r="W143" s="70"/>
      <c r="X143" s="70"/>
      <c r="Y143" s="71"/>
    </row>
    <row r="144" spans="1:25">
      <c r="A144" s="354" t="s">
        <v>873</v>
      </c>
      <c r="B144" s="354" t="s">
        <v>678</v>
      </c>
      <c r="C144" s="355">
        <v>45503.659722222219</v>
      </c>
      <c r="D144" s="354">
        <v>20</v>
      </c>
      <c r="E144" s="354">
        <v>9.9893099999999999E-2</v>
      </c>
      <c r="F144" s="354">
        <v>33.200000000000003</v>
      </c>
      <c r="G144" s="354">
        <v>22.5</v>
      </c>
      <c r="H144" s="354">
        <v>893.79783799999996</v>
      </c>
      <c r="I144" s="354">
        <v>0.99980999999999998</v>
      </c>
      <c r="J144" s="354">
        <v>0.44950699999999999</v>
      </c>
      <c r="K144" s="354">
        <v>2245.1</v>
      </c>
      <c r="L144" s="346"/>
      <c r="M144" s="348">
        <f t="shared" si="0"/>
        <v>1.0227124503008802</v>
      </c>
      <c r="N144" s="349">
        <f t="shared" si="1"/>
        <v>2195.2407045983409</v>
      </c>
      <c r="O144" s="350">
        <f t="shared" ref="O144:O150" si="3">(2203.7/AVERAGE(N$144,N$150))*N144</f>
        <v>2203.3074460031166</v>
      </c>
      <c r="P144" s="351" t="s">
        <v>12</v>
      </c>
      <c r="Q144" s="351" t="s">
        <v>13</v>
      </c>
      <c r="R144" s="359"/>
      <c r="S144" s="352"/>
      <c r="T144" s="352"/>
      <c r="U144" s="70"/>
      <c r="V144" s="70"/>
      <c r="W144" s="70"/>
      <c r="X144" s="70"/>
      <c r="Y144" s="71"/>
    </row>
    <row r="145" spans="1:25">
      <c r="A145" s="346" t="s">
        <v>874</v>
      </c>
      <c r="B145" s="346">
        <v>599</v>
      </c>
      <c r="C145" s="347">
        <v>45503.703472222223</v>
      </c>
      <c r="D145" s="346">
        <v>20</v>
      </c>
      <c r="E145" s="346">
        <v>9.9893099999999999E-2</v>
      </c>
      <c r="F145" s="346">
        <v>33.200000000000003</v>
      </c>
      <c r="G145" s="346">
        <v>22.5</v>
      </c>
      <c r="H145" s="346">
        <v>906.02958000000001</v>
      </c>
      <c r="I145" s="346">
        <v>0.99983599999999995</v>
      </c>
      <c r="J145" s="346">
        <v>0.47375600000000001</v>
      </c>
      <c r="K145" s="346">
        <v>2366.1999999999998</v>
      </c>
      <c r="L145" s="346"/>
      <c r="M145" s="348">
        <f t="shared" si="0"/>
        <v>1.0227124503008802</v>
      </c>
      <c r="N145" s="349">
        <f t="shared" si="1"/>
        <v>2313.6513096167628</v>
      </c>
      <c r="O145" s="350">
        <f t="shared" si="3"/>
        <v>2322.15316855934</v>
      </c>
      <c r="P145" s="351" t="s">
        <v>280</v>
      </c>
      <c r="Q145" s="351" t="s">
        <v>13</v>
      </c>
      <c r="R145" s="350" t="s">
        <v>280</v>
      </c>
      <c r="S145" s="288"/>
      <c r="T145" s="288"/>
      <c r="U145" s="71"/>
      <c r="V145" s="71"/>
      <c r="W145" s="71"/>
      <c r="X145" s="71"/>
      <c r="Y145" s="71"/>
    </row>
    <row r="146" spans="1:25">
      <c r="A146" s="346" t="s">
        <v>875</v>
      </c>
      <c r="B146" s="346">
        <v>600</v>
      </c>
      <c r="C146" s="347">
        <v>45503.711805555555</v>
      </c>
      <c r="D146" s="346">
        <v>20</v>
      </c>
      <c r="E146" s="346">
        <v>9.9893099999999999E-2</v>
      </c>
      <c r="F146" s="346">
        <v>37.200000000000003</v>
      </c>
      <c r="G146" s="346">
        <v>22.5</v>
      </c>
      <c r="H146" s="346">
        <v>881.38647900000001</v>
      </c>
      <c r="I146" s="346">
        <v>0.99979600000000002</v>
      </c>
      <c r="J146" s="346">
        <v>0.48465200000000003</v>
      </c>
      <c r="K146" s="346">
        <v>2420.6999999999998</v>
      </c>
      <c r="L146" s="346"/>
      <c r="M146" s="348">
        <f t="shared" si="0"/>
        <v>1.0257494498155078</v>
      </c>
      <c r="N146" s="349">
        <f t="shared" si="1"/>
        <v>2359.9330230548885</v>
      </c>
      <c r="O146" s="350">
        <f t="shared" si="3"/>
        <v>2368.604951098906</v>
      </c>
      <c r="P146" s="351" t="s">
        <v>12</v>
      </c>
      <c r="Q146" s="351" t="s">
        <v>13</v>
      </c>
      <c r="R146" s="359"/>
      <c r="S146" s="352"/>
      <c r="T146" s="352"/>
      <c r="U146" s="70"/>
      <c r="V146" s="70"/>
      <c r="W146" s="70"/>
      <c r="X146" s="70"/>
      <c r="Y146" s="71"/>
    </row>
    <row r="147" spans="1:25">
      <c r="A147" s="346" t="s">
        <v>876</v>
      </c>
      <c r="B147" s="346">
        <v>547</v>
      </c>
      <c r="C147" s="347">
        <v>45503.720138888886</v>
      </c>
      <c r="D147" s="346">
        <v>20</v>
      </c>
      <c r="E147" s="346">
        <v>9.9893099999999999E-2</v>
      </c>
      <c r="F147" s="346">
        <v>37.1</v>
      </c>
      <c r="G147" s="346">
        <v>22.5</v>
      </c>
      <c r="H147" s="346">
        <v>884.34963900000002</v>
      </c>
      <c r="I147" s="346">
        <v>0.99982000000000004</v>
      </c>
      <c r="J147" s="346">
        <v>0.48463699999999998</v>
      </c>
      <c r="K147" s="346">
        <v>2420.6</v>
      </c>
      <c r="L147" s="346"/>
      <c r="M147" s="348">
        <f t="shared" si="0"/>
        <v>1.0256734405384258</v>
      </c>
      <c r="N147" s="349">
        <f t="shared" si="1"/>
        <v>2360.0104129919846</v>
      </c>
      <c r="O147" s="350">
        <f t="shared" si="3"/>
        <v>2368.6826254169396</v>
      </c>
      <c r="P147" s="351" t="s">
        <v>12</v>
      </c>
      <c r="Q147" s="351" t="s">
        <v>13</v>
      </c>
      <c r="R147" s="359"/>
      <c r="S147" s="352"/>
      <c r="T147" s="352"/>
      <c r="U147" s="70"/>
      <c r="V147" s="70"/>
      <c r="W147" s="70"/>
      <c r="X147" s="70"/>
      <c r="Y147" s="71"/>
    </row>
    <row r="148" spans="1:25">
      <c r="A148" s="346" t="s">
        <v>877</v>
      </c>
      <c r="B148" s="346">
        <v>548</v>
      </c>
      <c r="C148" s="362">
        <v>45503.727083333331</v>
      </c>
      <c r="D148" s="346">
        <v>20</v>
      </c>
      <c r="E148" s="346">
        <v>9.9893099999999999E-2</v>
      </c>
      <c r="F148" s="346">
        <v>37.200000000000003</v>
      </c>
      <c r="G148" s="346">
        <v>22.5</v>
      </c>
      <c r="H148" s="346">
        <v>885.87159399999996</v>
      </c>
      <c r="I148" s="346">
        <v>0.99979399999999996</v>
      </c>
      <c r="J148" s="346">
        <v>0.48431099999999999</v>
      </c>
      <c r="K148" s="346">
        <v>2419</v>
      </c>
      <c r="L148" s="346"/>
      <c r="M148" s="348">
        <f t="shared" si="0"/>
        <v>1.0257494498155078</v>
      </c>
      <c r="N148" s="349">
        <f t="shared" si="1"/>
        <v>2358.2756982566098</v>
      </c>
      <c r="O148" s="350">
        <f t="shared" si="3"/>
        <v>2366.9415362119439</v>
      </c>
      <c r="P148" s="351" t="s">
        <v>12</v>
      </c>
      <c r="Q148" s="351" t="s">
        <v>13</v>
      </c>
      <c r="R148" s="363"/>
      <c r="S148" s="352"/>
      <c r="T148" s="352"/>
      <c r="U148" s="70"/>
      <c r="V148" s="70"/>
      <c r="W148" s="70"/>
      <c r="X148" s="70"/>
      <c r="Y148" s="71"/>
    </row>
    <row r="149" spans="1:25">
      <c r="A149" s="346" t="s">
        <v>878</v>
      </c>
      <c r="B149" s="346">
        <v>599</v>
      </c>
      <c r="C149" s="362">
        <v>45503.73541666667</v>
      </c>
      <c r="D149" s="346">
        <v>20</v>
      </c>
      <c r="E149" s="346">
        <v>9.9893099999999999E-2</v>
      </c>
      <c r="F149" s="346">
        <v>37</v>
      </c>
      <c r="G149" s="346">
        <v>22.5</v>
      </c>
      <c r="H149" s="346">
        <v>884.38173300000005</v>
      </c>
      <c r="I149" s="346">
        <v>0.99982000000000004</v>
      </c>
      <c r="J149" s="346">
        <v>0.48539599999999999</v>
      </c>
      <c r="K149" s="346">
        <v>2424.4</v>
      </c>
      <c r="L149" s="346"/>
      <c r="M149" s="348">
        <f t="shared" si="0"/>
        <v>1.0255974356771682</v>
      </c>
      <c r="N149" s="349">
        <f t="shared" si="1"/>
        <v>2363.8904658524702</v>
      </c>
      <c r="O149" s="350">
        <f t="shared" si="3"/>
        <v>2372.5769361139332</v>
      </c>
      <c r="P149" s="351" t="s">
        <v>12</v>
      </c>
      <c r="Q149" s="351" t="s">
        <v>13</v>
      </c>
      <c r="R149" s="363"/>
      <c r="S149" s="352"/>
      <c r="T149" s="352"/>
      <c r="U149" s="70"/>
      <c r="V149" s="70"/>
      <c r="W149" s="70"/>
      <c r="X149" s="70"/>
      <c r="Y149" s="71"/>
    </row>
    <row r="150" spans="1:25">
      <c r="A150" s="354" t="s">
        <v>917</v>
      </c>
      <c r="B150" s="354" t="s">
        <v>821</v>
      </c>
      <c r="C150" s="364">
        <v>45503.758333333331</v>
      </c>
      <c r="D150" s="354">
        <v>20</v>
      </c>
      <c r="E150" s="354">
        <v>9.9893099999999999E-2</v>
      </c>
      <c r="F150" s="354">
        <v>33.200000000000003</v>
      </c>
      <c r="G150" s="354">
        <v>22.5</v>
      </c>
      <c r="H150" s="354">
        <v>883.16982199999995</v>
      </c>
      <c r="I150" s="354">
        <v>0.99982599999999999</v>
      </c>
      <c r="J150" s="354">
        <v>0.44965300000000002</v>
      </c>
      <c r="K150" s="354">
        <v>2245.9</v>
      </c>
      <c r="L150" s="346"/>
      <c r="M150" s="348">
        <f t="shared" si="0"/>
        <v>1.0227124503008802</v>
      </c>
      <c r="N150" s="349">
        <f t="shared" si="1"/>
        <v>2196.022938157505</v>
      </c>
      <c r="O150" s="350">
        <f t="shared" si="3"/>
        <v>2204.0925539968825</v>
      </c>
      <c r="P150" s="351" t="s">
        <v>12</v>
      </c>
      <c r="Q150" s="351" t="s">
        <v>13</v>
      </c>
      <c r="R150" s="363"/>
      <c r="S150" s="352"/>
      <c r="T150" s="352"/>
      <c r="U150" s="70"/>
      <c r="V150" s="70"/>
      <c r="W150" s="70"/>
      <c r="X150" s="70"/>
      <c r="Y150" s="71"/>
    </row>
    <row r="151" spans="1:25">
      <c r="A151" s="54"/>
      <c r="B151" s="365"/>
      <c r="C151" s="54"/>
      <c r="D151" s="54"/>
      <c r="E151" s="54"/>
      <c r="F151" s="54"/>
      <c r="G151" s="54"/>
      <c r="H151" s="54"/>
      <c r="I151" s="54"/>
      <c r="J151" s="54"/>
      <c r="K151" s="54"/>
      <c r="L151" s="366"/>
      <c r="M151" s="367"/>
      <c r="N151" s="363"/>
      <c r="O151" s="363"/>
      <c r="P151" s="363"/>
      <c r="Q151" s="363"/>
      <c r="R151" s="54"/>
      <c r="S151" s="352"/>
      <c r="T151" s="352"/>
      <c r="U151" s="70"/>
      <c r="V151" s="70"/>
      <c r="W151" s="70"/>
      <c r="X151" s="70"/>
      <c r="Y151" s="71"/>
    </row>
    <row r="152" spans="1:25">
      <c r="A152" s="54"/>
      <c r="B152" s="365"/>
      <c r="C152" s="54"/>
      <c r="D152" s="54"/>
      <c r="E152" s="54"/>
      <c r="F152" s="54"/>
      <c r="G152" s="54"/>
      <c r="H152" s="54"/>
      <c r="I152" s="54"/>
      <c r="J152" s="54"/>
      <c r="K152" s="54"/>
      <c r="L152" s="366"/>
      <c r="M152" s="367"/>
      <c r="N152" s="363"/>
      <c r="O152" s="363"/>
      <c r="P152" s="363"/>
      <c r="Q152" s="363"/>
      <c r="R152" s="54"/>
      <c r="S152" s="352"/>
      <c r="T152" s="352"/>
      <c r="U152" s="70"/>
      <c r="V152" s="70"/>
      <c r="W152" s="70"/>
      <c r="X152" s="70"/>
      <c r="Y152" s="71"/>
    </row>
    <row r="153" spans="1:25">
      <c r="A153" s="54"/>
      <c r="B153" s="365"/>
      <c r="C153" s="54"/>
      <c r="D153" s="54"/>
      <c r="E153" s="54"/>
      <c r="F153" s="54"/>
      <c r="G153" s="54"/>
      <c r="H153" s="54"/>
      <c r="I153" s="54"/>
      <c r="J153" s="54"/>
      <c r="K153" s="54"/>
      <c r="L153" s="366"/>
      <c r="M153" s="367"/>
      <c r="N153" s="363"/>
      <c r="O153" s="363"/>
      <c r="P153" s="363"/>
      <c r="Q153" s="363"/>
      <c r="R153" s="54"/>
      <c r="S153" s="352"/>
      <c r="T153" s="352"/>
      <c r="U153" s="70"/>
      <c r="V153" s="70"/>
      <c r="W153" s="70"/>
      <c r="X153" s="70"/>
      <c r="Y153" s="71"/>
    </row>
    <row r="154" spans="1:25">
      <c r="A154" s="54"/>
      <c r="B154" s="365"/>
      <c r="C154" s="54"/>
      <c r="D154" s="54"/>
      <c r="E154" s="54"/>
      <c r="F154" s="54"/>
      <c r="G154" s="54"/>
      <c r="H154" s="54"/>
      <c r="I154" s="54"/>
      <c r="J154" s="54"/>
      <c r="K154" s="54"/>
      <c r="L154" s="366"/>
      <c r="M154" s="367"/>
      <c r="N154" s="363"/>
      <c r="O154" s="363"/>
      <c r="P154" s="363"/>
      <c r="Q154" s="363"/>
      <c r="R154" s="54"/>
      <c r="S154" s="352"/>
      <c r="T154" s="352"/>
      <c r="U154" s="70"/>
      <c r="V154" s="70"/>
      <c r="W154" s="70"/>
      <c r="X154" s="70"/>
      <c r="Y154" s="71"/>
    </row>
    <row r="155" spans="1:25">
      <c r="A155" s="54"/>
      <c r="B155" s="365"/>
      <c r="C155" s="54"/>
      <c r="D155" s="54"/>
      <c r="E155" s="54"/>
      <c r="F155" s="54"/>
      <c r="G155" s="54"/>
      <c r="H155" s="54"/>
      <c r="I155" s="54"/>
      <c r="J155" s="54"/>
      <c r="K155" s="54"/>
      <c r="L155" s="366"/>
      <c r="M155" s="367"/>
      <c r="N155" s="363"/>
      <c r="O155" s="363"/>
      <c r="P155" s="363"/>
      <c r="Q155" s="363"/>
      <c r="R155" s="54"/>
      <c r="S155" s="352"/>
      <c r="T155" s="352"/>
      <c r="U155" s="70"/>
      <c r="V155" s="70"/>
      <c r="W155" s="70"/>
      <c r="X155" s="70"/>
      <c r="Y155" s="71"/>
    </row>
    <row r="156" spans="1:25">
      <c r="A156" s="54"/>
      <c r="B156" s="365"/>
      <c r="C156" s="54"/>
      <c r="D156" s="54"/>
      <c r="E156" s="54"/>
      <c r="F156" s="54"/>
      <c r="G156" s="54"/>
      <c r="H156" s="54"/>
      <c r="I156" s="54"/>
      <c r="J156" s="54"/>
      <c r="K156" s="54"/>
      <c r="L156" s="366"/>
      <c r="M156" s="367"/>
      <c r="N156" s="363"/>
      <c r="O156" s="363"/>
      <c r="P156" s="363"/>
      <c r="Q156" s="363"/>
      <c r="R156" s="54"/>
      <c r="S156" s="352"/>
      <c r="T156" s="352"/>
      <c r="U156" s="70"/>
      <c r="V156" s="70"/>
      <c r="W156" s="70"/>
      <c r="X156" s="70"/>
      <c r="Y156" s="71"/>
    </row>
    <row r="157" spans="1:25">
      <c r="A157" s="54"/>
      <c r="B157" s="365"/>
      <c r="C157" s="54"/>
      <c r="D157" s="54"/>
      <c r="E157" s="54"/>
      <c r="F157" s="54"/>
      <c r="G157" s="54"/>
      <c r="H157" s="54"/>
      <c r="I157" s="54"/>
      <c r="J157" s="54"/>
      <c r="K157" s="54"/>
      <c r="L157" s="366"/>
      <c r="M157" s="367"/>
      <c r="N157" s="363"/>
      <c r="O157" s="363"/>
      <c r="P157" s="363"/>
      <c r="Q157" s="363"/>
      <c r="R157" s="54"/>
      <c r="S157" s="352"/>
      <c r="T157" s="352"/>
      <c r="U157" s="70"/>
      <c r="V157" s="70"/>
      <c r="W157" s="70"/>
      <c r="X157" s="70"/>
      <c r="Y157" s="71"/>
    </row>
    <row r="158" spans="1:25">
      <c r="A158" s="54"/>
      <c r="B158" s="365"/>
      <c r="C158" s="54"/>
      <c r="D158" s="54"/>
      <c r="E158" s="54"/>
      <c r="F158" s="54"/>
      <c r="G158" s="54"/>
      <c r="H158" s="54"/>
      <c r="I158" s="54"/>
      <c r="J158" s="54"/>
      <c r="K158" s="54"/>
      <c r="L158" s="366"/>
      <c r="M158" s="367"/>
      <c r="N158" s="363"/>
      <c r="O158" s="363"/>
      <c r="P158" s="363"/>
      <c r="Q158" s="363"/>
      <c r="R158" s="54"/>
      <c r="S158" s="352"/>
      <c r="T158" s="352"/>
      <c r="U158" s="70"/>
      <c r="V158" s="70"/>
      <c r="W158" s="70"/>
      <c r="X158" s="70"/>
      <c r="Y158" s="71"/>
    </row>
    <row r="159" spans="1:25">
      <c r="A159" s="54"/>
      <c r="B159" s="365"/>
      <c r="C159" s="54"/>
      <c r="D159" s="54"/>
      <c r="E159" s="54"/>
      <c r="F159" s="54"/>
      <c r="G159" s="54"/>
      <c r="H159" s="54"/>
      <c r="I159" s="54"/>
      <c r="J159" s="54"/>
      <c r="K159" s="54"/>
      <c r="L159" s="366"/>
      <c r="M159" s="367"/>
      <c r="N159" s="363"/>
      <c r="O159" s="363"/>
      <c r="P159" s="363"/>
      <c r="Q159" s="363"/>
      <c r="R159" s="54"/>
      <c r="S159" s="352"/>
      <c r="T159" s="352"/>
      <c r="U159" s="70"/>
      <c r="V159" s="70"/>
      <c r="W159" s="70"/>
      <c r="X159" s="70"/>
      <c r="Y159" s="71"/>
    </row>
    <row r="160" spans="1:25">
      <c r="A160" s="54"/>
      <c r="B160" s="365"/>
      <c r="C160" s="54"/>
      <c r="D160" s="54"/>
      <c r="E160" s="54"/>
      <c r="F160" s="54"/>
      <c r="G160" s="54"/>
      <c r="H160" s="54"/>
      <c r="I160" s="54"/>
      <c r="J160" s="54"/>
      <c r="K160" s="54"/>
      <c r="L160" s="366"/>
      <c r="M160" s="367"/>
      <c r="N160" s="363"/>
      <c r="O160" s="363"/>
      <c r="P160" s="363"/>
      <c r="Q160" s="363"/>
      <c r="R160" s="54"/>
      <c r="S160" s="352"/>
      <c r="T160" s="352"/>
      <c r="U160" s="70"/>
      <c r="V160" s="70"/>
      <c r="W160" s="70"/>
      <c r="X160" s="70"/>
      <c r="Y160" s="71"/>
    </row>
    <row r="161" spans="1:25">
      <c r="A161" s="54"/>
      <c r="B161" s="365"/>
      <c r="C161" s="54"/>
      <c r="D161" s="54"/>
      <c r="E161" s="54"/>
      <c r="F161" s="54"/>
      <c r="G161" s="54"/>
      <c r="H161" s="54"/>
      <c r="I161" s="54"/>
      <c r="J161" s="54"/>
      <c r="K161" s="54"/>
      <c r="L161" s="366"/>
      <c r="M161" s="367"/>
      <c r="N161" s="363"/>
      <c r="O161" s="363"/>
      <c r="P161" s="363"/>
      <c r="Q161" s="363"/>
      <c r="R161" s="54"/>
      <c r="S161" s="352"/>
      <c r="T161" s="352"/>
      <c r="U161" s="70"/>
      <c r="V161" s="70"/>
      <c r="W161" s="70"/>
      <c r="X161" s="70"/>
      <c r="Y161" s="71"/>
    </row>
    <row r="162" spans="1:25">
      <c r="A162" s="54"/>
      <c r="B162" s="365"/>
      <c r="C162" s="54"/>
      <c r="D162" s="54"/>
      <c r="E162" s="54"/>
      <c r="F162" s="54"/>
      <c r="G162" s="54"/>
      <c r="H162" s="54"/>
      <c r="I162" s="54"/>
      <c r="J162" s="54"/>
      <c r="K162" s="54"/>
      <c r="L162" s="366"/>
      <c r="M162" s="367"/>
      <c r="N162" s="363"/>
      <c r="O162" s="363"/>
      <c r="P162" s="363"/>
      <c r="Q162" s="363"/>
      <c r="R162" s="54"/>
      <c r="S162" s="352"/>
      <c r="T162" s="352"/>
      <c r="U162" s="70"/>
      <c r="V162" s="70"/>
      <c r="W162" s="70"/>
      <c r="X162" s="70"/>
      <c r="Y162" s="71"/>
    </row>
    <row r="163" spans="1:25">
      <c r="A163" s="54"/>
      <c r="B163" s="365"/>
      <c r="C163" s="54"/>
      <c r="D163" s="54"/>
      <c r="E163" s="54"/>
      <c r="F163" s="54"/>
      <c r="G163" s="54"/>
      <c r="H163" s="54"/>
      <c r="I163" s="54"/>
      <c r="J163" s="54"/>
      <c r="K163" s="54"/>
      <c r="L163" s="366"/>
      <c r="M163" s="367"/>
      <c r="N163" s="363"/>
      <c r="O163" s="363"/>
      <c r="P163" s="363"/>
      <c r="Q163" s="363"/>
      <c r="R163" s="54"/>
      <c r="S163" s="352"/>
      <c r="T163" s="352"/>
      <c r="U163" s="70"/>
      <c r="V163" s="70"/>
      <c r="W163" s="70"/>
      <c r="X163" s="70"/>
      <c r="Y163" s="71"/>
    </row>
    <row r="164" spans="1:25">
      <c r="A164" s="54"/>
      <c r="B164" s="365"/>
      <c r="C164" s="54"/>
      <c r="D164" s="54"/>
      <c r="E164" s="54"/>
      <c r="F164" s="54"/>
      <c r="G164" s="54"/>
      <c r="H164" s="54"/>
      <c r="I164" s="54"/>
      <c r="J164" s="54"/>
      <c r="K164" s="54"/>
      <c r="L164" s="366"/>
      <c r="M164" s="367"/>
      <c r="N164" s="363"/>
      <c r="O164" s="363"/>
      <c r="P164" s="363"/>
      <c r="Q164" s="363"/>
      <c r="R164" s="54"/>
      <c r="S164" s="352"/>
      <c r="T164" s="352"/>
      <c r="U164" s="70"/>
      <c r="V164" s="70"/>
      <c r="W164" s="70"/>
      <c r="X164" s="70"/>
      <c r="Y164" s="71"/>
    </row>
    <row r="165" spans="1:25">
      <c r="A165" s="54"/>
      <c r="B165" s="365"/>
      <c r="C165" s="54"/>
      <c r="D165" s="54"/>
      <c r="E165" s="54"/>
      <c r="F165" s="54"/>
      <c r="G165" s="54"/>
      <c r="H165" s="54"/>
      <c r="I165" s="54"/>
      <c r="J165" s="54"/>
      <c r="K165" s="54"/>
      <c r="L165" s="366"/>
      <c r="M165" s="367"/>
      <c r="N165" s="363"/>
      <c r="O165" s="363"/>
      <c r="P165" s="363"/>
      <c r="Q165" s="363"/>
      <c r="R165" s="54"/>
      <c r="S165" s="352"/>
      <c r="T165" s="352"/>
      <c r="U165" s="70"/>
      <c r="V165" s="70"/>
      <c r="W165" s="70"/>
      <c r="X165" s="70"/>
      <c r="Y165" s="71"/>
    </row>
    <row r="166" spans="1:25">
      <c r="A166" s="54"/>
      <c r="B166" s="365"/>
      <c r="C166" s="54"/>
      <c r="D166" s="54"/>
      <c r="E166" s="54"/>
      <c r="F166" s="54"/>
      <c r="G166" s="54"/>
      <c r="H166" s="54"/>
      <c r="I166" s="54"/>
      <c r="J166" s="54"/>
      <c r="K166" s="54"/>
      <c r="L166" s="366"/>
      <c r="M166" s="367"/>
      <c r="N166" s="363"/>
      <c r="O166" s="363"/>
      <c r="P166" s="363"/>
      <c r="Q166" s="363"/>
      <c r="R166" s="54"/>
      <c r="S166" s="352"/>
      <c r="T166" s="352"/>
      <c r="U166" s="70"/>
      <c r="V166" s="70"/>
      <c r="W166" s="70"/>
      <c r="X166" s="70"/>
      <c r="Y166" s="71"/>
    </row>
    <row r="167" spans="1:25">
      <c r="A167" s="54"/>
      <c r="B167" s="365"/>
      <c r="C167" s="54"/>
      <c r="D167" s="54"/>
      <c r="E167" s="54"/>
      <c r="F167" s="54"/>
      <c r="G167" s="54"/>
      <c r="H167" s="54"/>
      <c r="I167" s="54"/>
      <c r="J167" s="54"/>
      <c r="K167" s="54"/>
      <c r="L167" s="366"/>
      <c r="M167" s="367"/>
      <c r="N167" s="363"/>
      <c r="O167" s="363"/>
      <c r="P167" s="363"/>
      <c r="Q167" s="363"/>
      <c r="R167" s="54"/>
      <c r="S167" s="352"/>
      <c r="T167" s="352"/>
      <c r="U167" s="70"/>
      <c r="V167" s="70"/>
      <c r="W167" s="70"/>
      <c r="X167" s="70"/>
      <c r="Y167" s="71"/>
    </row>
    <row r="168" spans="1:25">
      <c r="A168" s="54"/>
      <c r="B168" s="365"/>
      <c r="C168" s="54"/>
      <c r="D168" s="54"/>
      <c r="E168" s="54"/>
      <c r="F168" s="54"/>
      <c r="G168" s="54"/>
      <c r="H168" s="54"/>
      <c r="I168" s="54"/>
      <c r="J168" s="54"/>
      <c r="K168" s="54"/>
      <c r="L168" s="366"/>
      <c r="M168" s="367"/>
      <c r="N168" s="363"/>
      <c r="O168" s="363"/>
      <c r="P168" s="363"/>
      <c r="Q168" s="363"/>
      <c r="R168" s="54"/>
      <c r="S168" s="352"/>
      <c r="T168" s="352"/>
      <c r="U168" s="70"/>
      <c r="V168" s="70"/>
      <c r="W168" s="70"/>
      <c r="X168" s="70"/>
      <c r="Y168" s="71"/>
    </row>
    <row r="169" spans="1:25">
      <c r="A169" s="54"/>
      <c r="B169" s="365"/>
      <c r="C169" s="54"/>
      <c r="D169" s="54"/>
      <c r="E169" s="54"/>
      <c r="F169" s="54"/>
      <c r="G169" s="54"/>
      <c r="H169" s="54"/>
      <c r="I169" s="54"/>
      <c r="J169" s="54"/>
      <c r="K169" s="54"/>
      <c r="L169" s="366"/>
      <c r="M169" s="367"/>
      <c r="N169" s="363"/>
      <c r="O169" s="363"/>
      <c r="P169" s="363"/>
      <c r="Q169" s="363"/>
      <c r="R169" s="54"/>
      <c r="S169" s="352"/>
      <c r="T169" s="352"/>
      <c r="U169" s="70"/>
      <c r="V169" s="70"/>
      <c r="W169" s="70"/>
      <c r="X169" s="70"/>
      <c r="Y169" s="71"/>
    </row>
    <row r="170" spans="1:25">
      <c r="A170" s="54"/>
      <c r="B170" s="365"/>
      <c r="C170" s="54"/>
      <c r="D170" s="54"/>
      <c r="E170" s="54"/>
      <c r="F170" s="54"/>
      <c r="G170" s="54"/>
      <c r="H170" s="54"/>
      <c r="I170" s="54"/>
      <c r="J170" s="54"/>
      <c r="K170" s="54"/>
      <c r="L170" s="366"/>
      <c r="M170" s="367"/>
      <c r="N170" s="363"/>
      <c r="O170" s="363"/>
      <c r="P170" s="363"/>
      <c r="Q170" s="363"/>
      <c r="R170" s="54"/>
      <c r="S170" s="352"/>
      <c r="T170" s="352"/>
      <c r="U170" s="70"/>
      <c r="V170" s="70"/>
      <c r="W170" s="70"/>
      <c r="X170" s="70"/>
      <c r="Y170" s="71"/>
    </row>
    <row r="171" spans="1:25">
      <c r="A171" s="54"/>
      <c r="B171" s="365"/>
      <c r="C171" s="54"/>
      <c r="D171" s="54"/>
      <c r="E171" s="54"/>
      <c r="F171" s="54"/>
      <c r="G171" s="54"/>
      <c r="H171" s="54"/>
      <c r="I171" s="54"/>
      <c r="J171" s="54"/>
      <c r="K171" s="54"/>
      <c r="L171" s="366"/>
      <c r="M171" s="367"/>
      <c r="N171" s="363"/>
      <c r="O171" s="363"/>
      <c r="P171" s="363"/>
      <c r="Q171" s="363"/>
      <c r="R171" s="54"/>
      <c r="S171" s="352"/>
      <c r="T171" s="352"/>
      <c r="U171" s="70"/>
      <c r="V171" s="70"/>
      <c r="W171" s="70"/>
      <c r="X171" s="70"/>
      <c r="Y171" s="71"/>
    </row>
    <row r="172" spans="1:25">
      <c r="A172" s="54"/>
      <c r="B172" s="365"/>
      <c r="C172" s="54"/>
      <c r="D172" s="54"/>
      <c r="E172" s="54"/>
      <c r="F172" s="54"/>
      <c r="G172" s="54"/>
      <c r="H172" s="54"/>
      <c r="I172" s="54"/>
      <c r="J172" s="54"/>
      <c r="K172" s="54"/>
      <c r="L172" s="366"/>
      <c r="M172" s="367"/>
      <c r="N172" s="363"/>
      <c r="O172" s="363"/>
      <c r="P172" s="363"/>
      <c r="Q172" s="363"/>
      <c r="R172" s="54"/>
      <c r="S172" s="352"/>
      <c r="T172" s="352"/>
      <c r="U172" s="70"/>
      <c r="V172" s="70"/>
      <c r="W172" s="70"/>
      <c r="X172" s="70"/>
      <c r="Y172" s="71"/>
    </row>
    <row r="173" spans="1:25">
      <c r="A173" s="54"/>
      <c r="B173" s="365"/>
      <c r="C173" s="54"/>
      <c r="D173" s="54"/>
      <c r="E173" s="54"/>
      <c r="F173" s="54"/>
      <c r="G173" s="54"/>
      <c r="H173" s="54"/>
      <c r="I173" s="54"/>
      <c r="J173" s="54"/>
      <c r="K173" s="54"/>
      <c r="L173" s="366"/>
      <c r="M173" s="367"/>
      <c r="N173" s="363"/>
      <c r="O173" s="363"/>
      <c r="P173" s="363"/>
      <c r="Q173" s="363"/>
      <c r="R173" s="54"/>
      <c r="S173" s="352"/>
      <c r="T173" s="352"/>
      <c r="U173" s="70"/>
      <c r="V173" s="70"/>
      <c r="W173" s="70"/>
      <c r="X173" s="70"/>
      <c r="Y173" s="71"/>
    </row>
    <row r="174" spans="1:25">
      <c r="A174" s="54"/>
      <c r="B174" s="365"/>
      <c r="C174" s="54"/>
      <c r="D174" s="54"/>
      <c r="E174" s="54"/>
      <c r="F174" s="54"/>
      <c r="G174" s="54"/>
      <c r="H174" s="54"/>
      <c r="I174" s="54"/>
      <c r="J174" s="54"/>
      <c r="K174" s="54"/>
      <c r="L174" s="366"/>
      <c r="M174" s="367"/>
      <c r="N174" s="363"/>
      <c r="O174" s="363"/>
      <c r="P174" s="363"/>
      <c r="Q174" s="363"/>
      <c r="R174" s="54"/>
      <c r="S174" s="416"/>
      <c r="T174" s="413"/>
      <c r="U174" s="70"/>
      <c r="V174" s="70"/>
      <c r="W174" s="70"/>
      <c r="X174" s="70"/>
      <c r="Y174" s="71"/>
    </row>
    <row r="175" spans="1:25">
      <c r="A175" s="54"/>
      <c r="B175" s="365"/>
      <c r="C175" s="54"/>
      <c r="D175" s="54"/>
      <c r="E175" s="54"/>
      <c r="F175" s="54"/>
      <c r="G175" s="54"/>
      <c r="H175" s="54"/>
      <c r="I175" s="54"/>
      <c r="J175" s="54"/>
      <c r="K175" s="54"/>
      <c r="L175" s="366"/>
      <c r="M175" s="367"/>
      <c r="N175" s="363"/>
      <c r="O175" s="363"/>
      <c r="P175" s="363"/>
      <c r="Q175" s="363"/>
      <c r="R175" s="54"/>
      <c r="S175" s="352"/>
      <c r="T175" s="352"/>
      <c r="U175" s="70"/>
      <c r="V175" s="70"/>
      <c r="W175" s="70"/>
      <c r="X175" s="70"/>
      <c r="Y175" s="71"/>
    </row>
    <row r="176" spans="1:25">
      <c r="A176" s="54"/>
      <c r="B176" s="365"/>
      <c r="C176" s="54"/>
      <c r="D176" s="54"/>
      <c r="E176" s="54"/>
      <c r="F176" s="54"/>
      <c r="G176" s="54"/>
      <c r="H176" s="54"/>
      <c r="I176" s="54"/>
      <c r="J176" s="54"/>
      <c r="K176" s="54"/>
      <c r="L176" s="366"/>
      <c r="M176" s="367"/>
      <c r="N176" s="363"/>
      <c r="O176" s="363"/>
      <c r="P176" s="363"/>
      <c r="Q176" s="363"/>
      <c r="R176" s="54"/>
      <c r="S176" s="352"/>
      <c r="T176" s="352"/>
      <c r="U176" s="70"/>
      <c r="V176" s="70"/>
      <c r="W176" s="70"/>
      <c r="X176" s="70"/>
      <c r="Y176" s="71"/>
    </row>
    <row r="177" spans="1:25">
      <c r="A177" s="54"/>
      <c r="B177" s="365"/>
      <c r="C177" s="54"/>
      <c r="D177" s="54"/>
      <c r="E177" s="54"/>
      <c r="F177" s="54"/>
      <c r="G177" s="54"/>
      <c r="H177" s="54"/>
      <c r="I177" s="54"/>
      <c r="J177" s="54"/>
      <c r="K177" s="54"/>
      <c r="L177" s="366"/>
      <c r="M177" s="367"/>
      <c r="N177" s="363"/>
      <c r="O177" s="363"/>
      <c r="P177" s="363"/>
      <c r="Q177" s="363"/>
      <c r="R177" s="54"/>
      <c r="S177" s="352"/>
      <c r="T177" s="352"/>
      <c r="U177" s="70"/>
      <c r="V177" s="70"/>
      <c r="W177" s="70"/>
      <c r="X177" s="70"/>
      <c r="Y177" s="71"/>
    </row>
    <row r="178" spans="1:25">
      <c r="A178" s="54"/>
      <c r="B178" s="365"/>
      <c r="C178" s="54"/>
      <c r="D178" s="54"/>
      <c r="E178" s="54"/>
      <c r="F178" s="54"/>
      <c r="G178" s="54"/>
      <c r="H178" s="54"/>
      <c r="I178" s="54"/>
      <c r="J178" s="54"/>
      <c r="K178" s="54"/>
      <c r="L178" s="366"/>
      <c r="M178" s="367"/>
      <c r="N178" s="363"/>
      <c r="O178" s="363"/>
      <c r="P178" s="363"/>
      <c r="Q178" s="363"/>
      <c r="R178" s="54"/>
      <c r="S178" s="352"/>
      <c r="T178" s="352"/>
      <c r="U178" s="70"/>
      <c r="V178" s="70"/>
      <c r="W178" s="70"/>
      <c r="X178" s="70"/>
      <c r="Y178" s="71"/>
    </row>
    <row r="179" spans="1:25">
      <c r="A179" s="54"/>
      <c r="B179" s="365"/>
      <c r="C179" s="54"/>
      <c r="D179" s="54"/>
      <c r="E179" s="54"/>
      <c r="F179" s="54"/>
      <c r="G179" s="54"/>
      <c r="H179" s="54"/>
      <c r="I179" s="54"/>
      <c r="J179" s="54"/>
      <c r="K179" s="54"/>
      <c r="L179" s="366"/>
      <c r="M179" s="367"/>
      <c r="N179" s="363"/>
      <c r="O179" s="363"/>
      <c r="P179" s="363"/>
      <c r="Q179" s="363"/>
      <c r="R179" s="54"/>
      <c r="S179" s="352"/>
      <c r="T179" s="352"/>
      <c r="U179" s="70"/>
      <c r="V179" s="70"/>
      <c r="W179" s="70"/>
      <c r="X179" s="70"/>
      <c r="Y179" s="71"/>
    </row>
    <row r="180" spans="1:25">
      <c r="A180" s="54"/>
      <c r="B180" s="365"/>
      <c r="C180" s="54"/>
      <c r="D180" s="54"/>
      <c r="E180" s="54"/>
      <c r="F180" s="54"/>
      <c r="G180" s="54"/>
      <c r="H180" s="54"/>
      <c r="I180" s="54"/>
      <c r="J180" s="54"/>
      <c r="K180" s="54"/>
      <c r="L180" s="366"/>
      <c r="M180" s="367"/>
      <c r="N180" s="363"/>
      <c r="O180" s="363"/>
      <c r="P180" s="363"/>
      <c r="Q180" s="363"/>
      <c r="R180" s="54"/>
      <c r="S180" s="352"/>
      <c r="T180" s="352"/>
      <c r="U180" s="70"/>
      <c r="V180" s="70"/>
      <c r="W180" s="70"/>
      <c r="X180" s="70"/>
      <c r="Y180" s="71"/>
    </row>
    <row r="181" spans="1:25">
      <c r="A181" s="54"/>
      <c r="B181" s="365"/>
      <c r="C181" s="54"/>
      <c r="D181" s="54"/>
      <c r="E181" s="54"/>
      <c r="F181" s="54"/>
      <c r="G181" s="54"/>
      <c r="H181" s="54"/>
      <c r="I181" s="54"/>
      <c r="J181" s="54"/>
      <c r="K181" s="54"/>
      <c r="L181" s="366"/>
      <c r="M181" s="367"/>
      <c r="N181" s="363"/>
      <c r="O181" s="363"/>
      <c r="P181" s="363"/>
      <c r="Q181" s="363"/>
      <c r="R181" s="54"/>
      <c r="S181" s="352"/>
      <c r="T181" s="352"/>
      <c r="U181" s="70"/>
      <c r="V181" s="70"/>
      <c r="W181" s="70"/>
      <c r="X181" s="70"/>
      <c r="Y181" s="71"/>
    </row>
    <row r="182" spans="1:25">
      <c r="A182" s="54"/>
      <c r="B182" s="365"/>
      <c r="C182" s="54"/>
      <c r="D182" s="54"/>
      <c r="E182" s="54"/>
      <c r="F182" s="54"/>
      <c r="G182" s="54"/>
      <c r="H182" s="54"/>
      <c r="I182" s="54"/>
      <c r="J182" s="54"/>
      <c r="K182" s="54"/>
      <c r="L182" s="366"/>
      <c r="M182" s="367"/>
      <c r="N182" s="363"/>
      <c r="O182" s="363"/>
      <c r="P182" s="363"/>
      <c r="Q182" s="363"/>
      <c r="R182" s="54"/>
      <c r="S182" s="352"/>
      <c r="T182" s="352"/>
      <c r="U182" s="70"/>
      <c r="V182" s="70"/>
      <c r="W182" s="70"/>
      <c r="X182" s="70"/>
      <c r="Y182" s="71"/>
    </row>
    <row r="183" spans="1:25">
      <c r="A183" s="54"/>
      <c r="B183" s="365"/>
      <c r="C183" s="54"/>
      <c r="D183" s="54"/>
      <c r="E183" s="54"/>
      <c r="F183" s="54"/>
      <c r="G183" s="54"/>
      <c r="H183" s="54"/>
      <c r="I183" s="54"/>
      <c r="J183" s="54"/>
      <c r="K183" s="54"/>
      <c r="L183" s="366"/>
      <c r="M183" s="367"/>
      <c r="N183" s="363"/>
      <c r="O183" s="363"/>
      <c r="P183" s="363"/>
      <c r="Q183" s="363"/>
      <c r="R183" s="54"/>
      <c r="S183" s="352"/>
      <c r="T183" s="352"/>
      <c r="U183" s="70"/>
      <c r="V183" s="70"/>
      <c r="W183" s="70"/>
      <c r="X183" s="70"/>
      <c r="Y183" s="71"/>
    </row>
    <row r="184" spans="1:25">
      <c r="A184" s="54"/>
      <c r="B184" s="365"/>
      <c r="C184" s="54"/>
      <c r="D184" s="54"/>
      <c r="E184" s="54"/>
      <c r="F184" s="54"/>
      <c r="G184" s="54"/>
      <c r="H184" s="54"/>
      <c r="I184" s="54"/>
      <c r="J184" s="54"/>
      <c r="K184" s="54"/>
      <c r="L184" s="366"/>
      <c r="M184" s="367"/>
      <c r="N184" s="363"/>
      <c r="O184" s="363"/>
      <c r="P184" s="363"/>
      <c r="Q184" s="363"/>
      <c r="R184" s="54"/>
      <c r="S184" s="352"/>
      <c r="T184" s="352"/>
      <c r="U184" s="70"/>
      <c r="V184" s="70"/>
      <c r="W184" s="70"/>
      <c r="X184" s="70"/>
      <c r="Y184" s="71"/>
    </row>
    <row r="185" spans="1:25">
      <c r="A185" s="54"/>
      <c r="B185" s="365"/>
      <c r="C185" s="54"/>
      <c r="D185" s="54"/>
      <c r="E185" s="54"/>
      <c r="F185" s="54"/>
      <c r="G185" s="54"/>
      <c r="H185" s="54"/>
      <c r="I185" s="54"/>
      <c r="J185" s="54"/>
      <c r="K185" s="54"/>
      <c r="L185" s="366"/>
      <c r="M185" s="367"/>
      <c r="N185" s="363"/>
      <c r="O185" s="363"/>
      <c r="P185" s="363"/>
      <c r="Q185" s="363"/>
      <c r="R185" s="54"/>
      <c r="S185" s="352"/>
      <c r="T185" s="352"/>
      <c r="U185" s="70"/>
      <c r="V185" s="70"/>
      <c r="W185" s="70"/>
      <c r="X185" s="70"/>
      <c r="Y185" s="71"/>
    </row>
    <row r="186" spans="1:25">
      <c r="A186" s="54"/>
      <c r="B186" s="365"/>
      <c r="C186" s="54"/>
      <c r="D186" s="54"/>
      <c r="E186" s="54"/>
      <c r="F186" s="54"/>
      <c r="G186" s="54"/>
      <c r="H186" s="54"/>
      <c r="I186" s="54"/>
      <c r="J186" s="54"/>
      <c r="K186" s="54"/>
      <c r="L186" s="366"/>
      <c r="M186" s="367"/>
      <c r="N186" s="363"/>
      <c r="O186" s="363"/>
      <c r="P186" s="363"/>
      <c r="Q186" s="363"/>
      <c r="R186" s="54"/>
      <c r="S186" s="352"/>
      <c r="T186" s="352"/>
      <c r="U186" s="70"/>
      <c r="V186" s="70"/>
      <c r="W186" s="70"/>
      <c r="X186" s="70"/>
      <c r="Y186" s="71"/>
    </row>
    <row r="187" spans="1:25">
      <c r="A187" s="54"/>
      <c r="B187" s="365"/>
      <c r="C187" s="54"/>
      <c r="D187" s="54"/>
      <c r="E187" s="54"/>
      <c r="F187" s="54"/>
      <c r="G187" s="54"/>
      <c r="H187" s="54"/>
      <c r="I187" s="54"/>
      <c r="J187" s="54"/>
      <c r="K187" s="54"/>
      <c r="L187" s="366"/>
      <c r="M187" s="367"/>
      <c r="N187" s="363"/>
      <c r="O187" s="363"/>
      <c r="P187" s="363"/>
      <c r="Q187" s="363"/>
      <c r="R187" s="54"/>
      <c r="S187" s="352"/>
      <c r="T187" s="352"/>
      <c r="U187" s="70"/>
      <c r="V187" s="70"/>
      <c r="W187" s="70"/>
      <c r="X187" s="70"/>
      <c r="Y187" s="71"/>
    </row>
    <row r="188" spans="1:25">
      <c r="A188" s="54"/>
      <c r="B188" s="365"/>
      <c r="C188" s="54"/>
      <c r="D188" s="54"/>
      <c r="E188" s="54"/>
      <c r="F188" s="54"/>
      <c r="G188" s="54"/>
      <c r="H188" s="54"/>
      <c r="I188" s="54"/>
      <c r="J188" s="54"/>
      <c r="K188" s="54"/>
      <c r="L188" s="366"/>
      <c r="M188" s="367"/>
      <c r="N188" s="363"/>
      <c r="O188" s="363"/>
      <c r="P188" s="363"/>
      <c r="Q188" s="363"/>
      <c r="R188" s="54"/>
      <c r="S188" s="352"/>
      <c r="T188" s="352"/>
      <c r="U188" s="70"/>
      <c r="V188" s="70"/>
      <c r="W188" s="70"/>
      <c r="X188" s="70"/>
      <c r="Y188" s="71"/>
    </row>
    <row r="189" spans="1:25">
      <c r="A189" s="54"/>
      <c r="B189" s="365"/>
      <c r="C189" s="54"/>
      <c r="D189" s="54"/>
      <c r="E189" s="54"/>
      <c r="F189" s="54"/>
      <c r="G189" s="54"/>
      <c r="H189" s="54"/>
      <c r="I189" s="54"/>
      <c r="J189" s="54"/>
      <c r="K189" s="54"/>
      <c r="L189" s="366"/>
      <c r="M189" s="367"/>
      <c r="N189" s="363"/>
      <c r="O189" s="363"/>
      <c r="P189" s="363"/>
      <c r="Q189" s="363"/>
      <c r="R189" s="54"/>
      <c r="S189" s="352"/>
      <c r="T189" s="352"/>
      <c r="U189" s="70"/>
      <c r="V189" s="70"/>
      <c r="W189" s="70"/>
      <c r="X189" s="70"/>
      <c r="Y189" s="71"/>
    </row>
    <row r="190" spans="1:25">
      <c r="A190" s="54"/>
      <c r="B190" s="365"/>
      <c r="C190" s="54"/>
      <c r="D190" s="54"/>
      <c r="E190" s="54"/>
      <c r="F190" s="54"/>
      <c r="G190" s="54"/>
      <c r="H190" s="54"/>
      <c r="I190" s="54"/>
      <c r="J190" s="54"/>
      <c r="K190" s="54"/>
      <c r="L190" s="366"/>
      <c r="M190" s="367"/>
      <c r="N190" s="363"/>
      <c r="O190" s="363"/>
      <c r="P190" s="363"/>
      <c r="Q190" s="363"/>
      <c r="R190" s="54"/>
      <c r="S190" s="416"/>
      <c r="T190" s="413"/>
      <c r="U190" s="70"/>
      <c r="V190" s="70"/>
      <c r="W190" s="70"/>
      <c r="X190" s="70"/>
      <c r="Y190" s="71"/>
    </row>
    <row r="191" spans="1:25">
      <c r="A191" s="54"/>
      <c r="B191" s="365"/>
      <c r="C191" s="54"/>
      <c r="D191" s="54"/>
      <c r="E191" s="54"/>
      <c r="F191" s="54"/>
      <c r="G191" s="54"/>
      <c r="H191" s="54"/>
      <c r="I191" s="54"/>
      <c r="J191" s="54"/>
      <c r="K191" s="54"/>
      <c r="L191" s="366"/>
      <c r="M191" s="367"/>
      <c r="N191" s="363"/>
      <c r="O191" s="363"/>
      <c r="P191" s="363"/>
      <c r="Q191" s="363"/>
      <c r="R191" s="54"/>
      <c r="S191" s="416"/>
      <c r="T191" s="413"/>
      <c r="U191" s="70"/>
      <c r="V191" s="70"/>
      <c r="W191" s="70"/>
      <c r="X191" s="70"/>
      <c r="Y191" s="71"/>
    </row>
    <row r="192" spans="1:25">
      <c r="A192" s="54"/>
      <c r="B192" s="365"/>
      <c r="C192" s="54"/>
      <c r="D192" s="54"/>
      <c r="E192" s="54"/>
      <c r="F192" s="54"/>
      <c r="G192" s="54"/>
      <c r="H192" s="54"/>
      <c r="I192" s="54"/>
      <c r="J192" s="54"/>
      <c r="K192" s="54"/>
      <c r="L192" s="366"/>
      <c r="M192" s="367"/>
      <c r="N192" s="363"/>
      <c r="O192" s="363"/>
      <c r="P192" s="363"/>
      <c r="Q192" s="363"/>
      <c r="R192" s="368"/>
      <c r="S192" s="416"/>
      <c r="T192" s="413"/>
      <c r="U192" s="70"/>
      <c r="V192" s="70"/>
      <c r="W192" s="70"/>
      <c r="X192" s="70"/>
      <c r="Y192" s="71"/>
    </row>
    <row r="193" spans="1:25">
      <c r="A193" s="54"/>
      <c r="B193" s="365"/>
      <c r="C193" s="54"/>
      <c r="D193" s="54"/>
      <c r="E193" s="54"/>
      <c r="F193" s="54"/>
      <c r="G193" s="54"/>
      <c r="H193" s="54"/>
      <c r="I193" s="54"/>
      <c r="J193" s="54"/>
      <c r="K193" s="54"/>
      <c r="L193" s="366"/>
      <c r="M193" s="367"/>
      <c r="N193" s="363"/>
      <c r="O193" s="363"/>
      <c r="P193" s="363"/>
      <c r="Q193" s="363"/>
      <c r="R193" s="368"/>
      <c r="S193" s="416"/>
      <c r="T193" s="413"/>
      <c r="U193" s="70"/>
      <c r="V193" s="70"/>
      <c r="W193" s="70"/>
      <c r="X193" s="70"/>
      <c r="Y193" s="71"/>
    </row>
    <row r="194" spans="1:25">
      <c r="A194" s="54"/>
      <c r="B194" s="365"/>
      <c r="C194" s="54"/>
      <c r="D194" s="54"/>
      <c r="E194" s="54"/>
      <c r="F194" s="54"/>
      <c r="G194" s="54"/>
      <c r="H194" s="54"/>
      <c r="I194" s="54"/>
      <c r="J194" s="54"/>
      <c r="K194" s="54"/>
      <c r="L194" s="366"/>
      <c r="M194" s="367"/>
      <c r="N194" s="363"/>
      <c r="O194" s="363"/>
      <c r="P194" s="363"/>
      <c r="Q194" s="363"/>
      <c r="R194" s="54"/>
      <c r="S194" s="352"/>
      <c r="T194" s="352"/>
      <c r="U194" s="70"/>
      <c r="V194" s="70"/>
      <c r="W194" s="70"/>
      <c r="X194" s="70"/>
      <c r="Y194" s="71"/>
    </row>
    <row r="195" spans="1:25">
      <c r="A195" s="54"/>
      <c r="B195" s="365"/>
      <c r="C195" s="54"/>
      <c r="D195" s="54"/>
      <c r="E195" s="54"/>
      <c r="F195" s="54"/>
      <c r="G195" s="54"/>
      <c r="H195" s="54"/>
      <c r="I195" s="54"/>
      <c r="J195" s="54"/>
      <c r="K195" s="54"/>
      <c r="L195" s="366"/>
      <c r="M195" s="367"/>
      <c r="N195" s="363"/>
      <c r="O195" s="363"/>
      <c r="P195" s="363"/>
      <c r="Q195" s="363"/>
      <c r="R195" s="54"/>
      <c r="S195" s="352"/>
      <c r="T195" s="352"/>
      <c r="U195" s="70"/>
      <c r="V195" s="70"/>
      <c r="W195" s="70"/>
      <c r="X195" s="70"/>
      <c r="Y195" s="71"/>
    </row>
    <row r="196" spans="1:25">
      <c r="A196" s="54"/>
      <c r="B196" s="365"/>
      <c r="C196" s="54"/>
      <c r="D196" s="54"/>
      <c r="E196" s="54"/>
      <c r="F196" s="54"/>
      <c r="G196" s="54"/>
      <c r="H196" s="54"/>
      <c r="I196" s="54"/>
      <c r="J196" s="54"/>
      <c r="K196" s="54"/>
      <c r="L196" s="366"/>
      <c r="M196" s="367"/>
      <c r="N196" s="363"/>
      <c r="O196" s="363"/>
      <c r="P196" s="363"/>
      <c r="Q196" s="363"/>
      <c r="R196" s="54"/>
      <c r="S196" s="352"/>
      <c r="T196" s="352"/>
      <c r="U196" s="70"/>
      <c r="V196" s="70"/>
      <c r="W196" s="70"/>
      <c r="X196" s="70"/>
      <c r="Y196" s="71"/>
    </row>
    <row r="197" spans="1:25">
      <c r="A197" s="54"/>
      <c r="B197" s="365"/>
      <c r="C197" s="54"/>
      <c r="D197" s="54"/>
      <c r="E197" s="54"/>
      <c r="F197" s="54"/>
      <c r="G197" s="54"/>
      <c r="H197" s="54"/>
      <c r="I197" s="54"/>
      <c r="J197" s="54"/>
      <c r="K197" s="54"/>
      <c r="L197" s="366"/>
      <c r="M197" s="367"/>
      <c r="N197" s="363"/>
      <c r="O197" s="363"/>
      <c r="P197" s="363"/>
      <c r="Q197" s="363"/>
      <c r="R197" s="54"/>
      <c r="S197" s="416"/>
      <c r="T197" s="413"/>
      <c r="U197" s="70"/>
      <c r="V197" s="70"/>
      <c r="W197" s="70"/>
      <c r="X197" s="70"/>
      <c r="Y197" s="71"/>
    </row>
    <row r="198" spans="1:25">
      <c r="A198" s="54"/>
      <c r="B198" s="365"/>
      <c r="C198" s="54"/>
      <c r="D198" s="54"/>
      <c r="E198" s="54"/>
      <c r="F198" s="54"/>
      <c r="G198" s="54"/>
      <c r="H198" s="54"/>
      <c r="I198" s="54"/>
      <c r="J198" s="54"/>
      <c r="K198" s="54"/>
      <c r="L198" s="366"/>
      <c r="M198" s="367"/>
      <c r="N198" s="363"/>
      <c r="O198" s="363"/>
      <c r="P198" s="363"/>
      <c r="Q198" s="363"/>
      <c r="R198" s="54"/>
      <c r="S198" s="416"/>
      <c r="T198" s="413"/>
      <c r="U198" s="70"/>
      <c r="V198" s="70"/>
      <c r="W198" s="70"/>
      <c r="X198" s="70"/>
      <c r="Y198" s="71"/>
    </row>
    <row r="199" spans="1:25">
      <c r="A199" s="54"/>
      <c r="B199" s="365"/>
      <c r="C199" s="54"/>
      <c r="D199" s="54"/>
      <c r="E199" s="54"/>
      <c r="F199" s="54"/>
      <c r="G199" s="54"/>
      <c r="H199" s="54"/>
      <c r="I199" s="54"/>
      <c r="J199" s="54"/>
      <c r="K199" s="54"/>
      <c r="L199" s="366"/>
      <c r="M199" s="367"/>
      <c r="N199" s="363"/>
      <c r="O199" s="363"/>
      <c r="P199" s="363"/>
      <c r="Q199" s="363"/>
      <c r="R199" s="54"/>
      <c r="S199" s="416"/>
      <c r="T199" s="413"/>
      <c r="U199" s="70"/>
      <c r="V199" s="70"/>
      <c r="W199" s="70"/>
      <c r="X199" s="70"/>
      <c r="Y199" s="71"/>
    </row>
    <row r="200" spans="1:25">
      <c r="A200" s="54"/>
      <c r="B200" s="365"/>
      <c r="C200" s="54"/>
      <c r="D200" s="54"/>
      <c r="E200" s="54"/>
      <c r="F200" s="54"/>
      <c r="G200" s="54"/>
      <c r="H200" s="54"/>
      <c r="I200" s="54"/>
      <c r="J200" s="54"/>
      <c r="K200" s="54"/>
      <c r="L200" s="366"/>
      <c r="M200" s="367"/>
      <c r="N200" s="363"/>
      <c r="O200" s="363"/>
      <c r="P200" s="363"/>
      <c r="Q200" s="363"/>
      <c r="R200" s="54"/>
      <c r="S200" s="352"/>
      <c r="T200" s="352"/>
      <c r="U200" s="70"/>
      <c r="V200" s="70"/>
      <c r="W200" s="70"/>
      <c r="X200" s="70"/>
      <c r="Y200" s="71"/>
    </row>
    <row r="201" spans="1:25">
      <c r="A201" s="54"/>
      <c r="B201" s="365"/>
      <c r="C201" s="54"/>
      <c r="D201" s="54"/>
      <c r="E201" s="54"/>
      <c r="F201" s="54"/>
      <c r="G201" s="54"/>
      <c r="H201" s="54"/>
      <c r="I201" s="54"/>
      <c r="J201" s="54"/>
      <c r="K201" s="54"/>
      <c r="L201" s="366"/>
      <c r="M201" s="367"/>
      <c r="N201" s="363"/>
      <c r="O201" s="363"/>
      <c r="P201" s="363"/>
      <c r="Q201" s="363"/>
      <c r="R201" s="54"/>
      <c r="S201" s="352"/>
      <c r="T201" s="352"/>
      <c r="U201" s="70"/>
      <c r="V201" s="70"/>
      <c r="W201" s="70"/>
      <c r="X201" s="70"/>
      <c r="Y201" s="71"/>
    </row>
    <row r="202" spans="1:25">
      <c r="A202" s="54"/>
      <c r="B202" s="365"/>
      <c r="C202" s="54"/>
      <c r="D202" s="54"/>
      <c r="E202" s="54"/>
      <c r="F202" s="54"/>
      <c r="G202" s="54"/>
      <c r="H202" s="54"/>
      <c r="I202" s="54"/>
      <c r="J202" s="54"/>
      <c r="K202" s="54"/>
      <c r="L202" s="366"/>
      <c r="M202" s="367"/>
      <c r="N202" s="363"/>
      <c r="O202" s="363"/>
      <c r="P202" s="363"/>
      <c r="Q202" s="363"/>
      <c r="R202" s="54"/>
      <c r="S202" s="352"/>
      <c r="T202" s="352"/>
      <c r="U202" s="70"/>
      <c r="V202" s="70"/>
      <c r="W202" s="70"/>
      <c r="X202" s="70"/>
      <c r="Y202" s="71"/>
    </row>
    <row r="203" spans="1:25">
      <c r="A203" s="54"/>
      <c r="B203" s="365"/>
      <c r="C203" s="54"/>
      <c r="D203" s="54"/>
      <c r="E203" s="54"/>
      <c r="F203" s="54"/>
      <c r="G203" s="54"/>
      <c r="H203" s="54"/>
      <c r="I203" s="54"/>
      <c r="J203" s="54"/>
      <c r="K203" s="54"/>
      <c r="L203" s="366"/>
      <c r="M203" s="367"/>
      <c r="N203" s="363"/>
      <c r="O203" s="363"/>
      <c r="P203" s="363"/>
      <c r="Q203" s="363"/>
      <c r="R203" s="54"/>
      <c r="S203" s="352"/>
      <c r="T203" s="352"/>
      <c r="U203" s="70"/>
      <c r="V203" s="70"/>
      <c r="W203" s="70"/>
      <c r="X203" s="70"/>
      <c r="Y203" s="71"/>
    </row>
    <row r="204" spans="1:25">
      <c r="A204" s="54"/>
      <c r="B204" s="365"/>
      <c r="C204" s="54"/>
      <c r="D204" s="54"/>
      <c r="E204" s="54"/>
      <c r="F204" s="54"/>
      <c r="G204" s="54"/>
      <c r="H204" s="54"/>
      <c r="I204" s="54"/>
      <c r="J204" s="54"/>
      <c r="K204" s="54"/>
      <c r="L204" s="366"/>
      <c r="M204" s="367"/>
      <c r="N204" s="363"/>
      <c r="O204" s="363"/>
      <c r="P204" s="363"/>
      <c r="Q204" s="363"/>
      <c r="R204" s="54"/>
      <c r="S204" s="352"/>
      <c r="T204" s="352"/>
      <c r="U204" s="70"/>
      <c r="V204" s="70"/>
      <c r="W204" s="70"/>
      <c r="X204" s="70"/>
      <c r="Y204" s="71"/>
    </row>
    <row r="205" spans="1:25">
      <c r="A205" s="54"/>
      <c r="B205" s="365"/>
      <c r="C205" s="54"/>
      <c r="D205" s="54"/>
      <c r="E205" s="54"/>
      <c r="F205" s="54"/>
      <c r="G205" s="54"/>
      <c r="H205" s="54"/>
      <c r="I205" s="54"/>
      <c r="J205" s="54"/>
      <c r="K205" s="54"/>
      <c r="L205" s="366"/>
      <c r="M205" s="367"/>
      <c r="N205" s="363"/>
      <c r="O205" s="363"/>
      <c r="P205" s="363"/>
      <c r="Q205" s="363"/>
      <c r="R205" s="54"/>
      <c r="S205" s="352"/>
      <c r="T205" s="352"/>
      <c r="U205" s="70"/>
      <c r="V205" s="70"/>
      <c r="W205" s="70"/>
      <c r="X205" s="70"/>
      <c r="Y205" s="71"/>
    </row>
    <row r="206" spans="1:25">
      <c r="A206" s="54"/>
      <c r="B206" s="365"/>
      <c r="C206" s="54"/>
      <c r="D206" s="54"/>
      <c r="E206" s="54"/>
      <c r="F206" s="54"/>
      <c r="G206" s="54"/>
      <c r="H206" s="54"/>
      <c r="I206" s="54"/>
      <c r="J206" s="54"/>
      <c r="K206" s="54"/>
      <c r="L206" s="366"/>
      <c r="M206" s="367"/>
      <c r="N206" s="363"/>
      <c r="O206" s="363"/>
      <c r="P206" s="363"/>
      <c r="Q206" s="363"/>
      <c r="R206" s="54"/>
      <c r="S206" s="352"/>
      <c r="T206" s="352"/>
      <c r="U206" s="70"/>
      <c r="V206" s="70"/>
      <c r="W206" s="70"/>
      <c r="X206" s="70"/>
      <c r="Y206" s="71"/>
    </row>
    <row r="207" spans="1:25">
      <c r="A207" s="54"/>
      <c r="B207" s="365"/>
      <c r="C207" s="54"/>
      <c r="D207" s="54"/>
      <c r="E207" s="54"/>
      <c r="F207" s="54"/>
      <c r="G207" s="54"/>
      <c r="H207" s="54"/>
      <c r="I207" s="54"/>
      <c r="J207" s="54"/>
      <c r="K207" s="54"/>
      <c r="L207" s="366"/>
      <c r="M207" s="367"/>
      <c r="N207" s="363"/>
      <c r="O207" s="363"/>
      <c r="P207" s="363"/>
      <c r="Q207" s="363"/>
      <c r="R207" s="54"/>
      <c r="S207" s="352"/>
      <c r="T207" s="352"/>
      <c r="U207" s="70"/>
      <c r="V207" s="70"/>
      <c r="W207" s="70"/>
      <c r="X207" s="70"/>
      <c r="Y207" s="71"/>
    </row>
    <row r="208" spans="1:25">
      <c r="A208" s="54"/>
      <c r="B208" s="365"/>
      <c r="C208" s="54"/>
      <c r="D208" s="54"/>
      <c r="E208" s="54"/>
      <c r="F208" s="54"/>
      <c r="G208" s="54"/>
      <c r="H208" s="54"/>
      <c r="I208" s="54"/>
      <c r="J208" s="54"/>
      <c r="K208" s="54"/>
      <c r="L208" s="366"/>
      <c r="M208" s="367"/>
      <c r="N208" s="363"/>
      <c r="O208" s="363"/>
      <c r="P208" s="363"/>
      <c r="Q208" s="363"/>
      <c r="R208" s="54"/>
      <c r="S208" s="352"/>
      <c r="T208" s="352"/>
      <c r="U208" s="70"/>
      <c r="V208" s="70"/>
      <c r="W208" s="70"/>
      <c r="X208" s="70"/>
      <c r="Y208" s="71"/>
    </row>
    <row r="209" spans="1:25">
      <c r="A209" s="54"/>
      <c r="B209" s="365"/>
      <c r="C209" s="54"/>
      <c r="D209" s="54"/>
      <c r="E209" s="54"/>
      <c r="F209" s="54"/>
      <c r="G209" s="54"/>
      <c r="H209" s="54"/>
      <c r="I209" s="54"/>
      <c r="J209" s="54"/>
      <c r="K209" s="54"/>
      <c r="L209" s="366"/>
      <c r="M209" s="367"/>
      <c r="N209" s="363"/>
      <c r="O209" s="363"/>
      <c r="P209" s="363"/>
      <c r="Q209" s="363"/>
      <c r="R209" s="54"/>
      <c r="S209" s="416"/>
      <c r="T209" s="413"/>
      <c r="U209" s="70"/>
      <c r="V209" s="70"/>
      <c r="W209" s="70"/>
      <c r="X209" s="70"/>
      <c r="Y209" s="71"/>
    </row>
    <row r="210" spans="1:25">
      <c r="A210" s="54"/>
      <c r="B210" s="365"/>
      <c r="C210" s="54"/>
      <c r="D210" s="54"/>
      <c r="E210" s="54"/>
      <c r="F210" s="54"/>
      <c r="G210" s="54"/>
      <c r="H210" s="54"/>
      <c r="I210" s="54"/>
      <c r="J210" s="54"/>
      <c r="K210" s="54"/>
      <c r="L210" s="366"/>
      <c r="M210" s="367"/>
      <c r="N210" s="363"/>
      <c r="O210" s="363"/>
      <c r="P210" s="363"/>
      <c r="Q210" s="363"/>
      <c r="R210" s="54"/>
      <c r="S210" s="416"/>
      <c r="T210" s="413"/>
      <c r="U210" s="70"/>
      <c r="V210" s="70"/>
      <c r="W210" s="70"/>
      <c r="X210" s="70"/>
      <c r="Y210" s="71"/>
    </row>
    <row r="211" spans="1:25">
      <c r="A211" s="54"/>
      <c r="B211" s="365"/>
      <c r="C211" s="54"/>
      <c r="D211" s="54"/>
      <c r="E211" s="54"/>
      <c r="F211" s="54"/>
      <c r="G211" s="54"/>
      <c r="H211" s="54"/>
      <c r="I211" s="54"/>
      <c r="J211" s="54"/>
      <c r="K211" s="54"/>
      <c r="L211" s="366"/>
      <c r="M211" s="367"/>
      <c r="N211" s="363"/>
      <c r="O211" s="363"/>
      <c r="P211" s="363"/>
      <c r="Q211" s="363"/>
      <c r="R211" s="368"/>
      <c r="S211" s="416"/>
      <c r="T211" s="413"/>
      <c r="U211" s="70"/>
      <c r="V211" s="70"/>
      <c r="W211" s="70"/>
      <c r="X211" s="70"/>
      <c r="Y211" s="71"/>
    </row>
    <row r="212" spans="1:25">
      <c r="A212" s="54"/>
      <c r="B212" s="365"/>
      <c r="C212" s="54"/>
      <c r="D212" s="54"/>
      <c r="E212" s="54"/>
      <c r="F212" s="54"/>
      <c r="G212" s="54"/>
      <c r="H212" s="54"/>
      <c r="I212" s="54"/>
      <c r="J212" s="54"/>
      <c r="K212" s="54"/>
      <c r="L212" s="366"/>
      <c r="M212" s="367"/>
      <c r="N212" s="363"/>
      <c r="O212" s="363"/>
      <c r="P212" s="363"/>
      <c r="Q212" s="363"/>
      <c r="R212" s="368"/>
      <c r="S212" s="416"/>
      <c r="T212" s="413"/>
      <c r="U212" s="70"/>
      <c r="V212" s="70"/>
      <c r="W212" s="70"/>
      <c r="X212" s="70"/>
      <c r="Y212" s="71"/>
    </row>
    <row r="213" spans="1:25">
      <c r="A213" s="54"/>
      <c r="B213" s="365"/>
      <c r="C213" s="54"/>
      <c r="D213" s="54"/>
      <c r="E213" s="54"/>
      <c r="F213" s="54"/>
      <c r="G213" s="54"/>
      <c r="H213" s="54"/>
      <c r="I213" s="54"/>
      <c r="J213" s="54"/>
      <c r="K213" s="54"/>
      <c r="L213" s="366"/>
      <c r="M213" s="367"/>
      <c r="N213" s="363"/>
      <c r="O213" s="363"/>
      <c r="P213" s="363"/>
      <c r="Q213" s="363"/>
      <c r="R213" s="54"/>
      <c r="S213" s="352"/>
      <c r="T213" s="352"/>
      <c r="U213" s="70"/>
      <c r="V213" s="70"/>
      <c r="W213" s="70"/>
      <c r="X213" s="70"/>
      <c r="Y213" s="71"/>
    </row>
    <row r="214" spans="1:25">
      <c r="A214" s="54"/>
      <c r="B214" s="365"/>
      <c r="C214" s="54"/>
      <c r="D214" s="54"/>
      <c r="E214" s="54"/>
      <c r="F214" s="54"/>
      <c r="G214" s="54"/>
      <c r="H214" s="54"/>
      <c r="I214" s="54"/>
      <c r="J214" s="54"/>
      <c r="K214" s="54"/>
      <c r="L214" s="366"/>
      <c r="M214" s="367"/>
      <c r="N214" s="363"/>
      <c r="O214" s="363"/>
      <c r="P214" s="363"/>
      <c r="Q214" s="363"/>
      <c r="R214" s="54"/>
      <c r="S214" s="352"/>
      <c r="T214" s="352"/>
      <c r="U214" s="70"/>
      <c r="V214" s="70"/>
      <c r="W214" s="70"/>
      <c r="X214" s="70"/>
      <c r="Y214" s="71"/>
    </row>
    <row r="215" spans="1:25">
      <c r="A215" s="54"/>
      <c r="B215" s="365"/>
      <c r="C215" s="54"/>
      <c r="D215" s="54"/>
      <c r="E215" s="54"/>
      <c r="F215" s="54"/>
      <c r="G215" s="54"/>
      <c r="H215" s="54"/>
      <c r="I215" s="54"/>
      <c r="J215" s="54"/>
      <c r="K215" s="54"/>
      <c r="L215" s="366"/>
      <c r="M215" s="367"/>
      <c r="N215" s="363"/>
      <c r="O215" s="363"/>
      <c r="P215" s="363"/>
      <c r="Q215" s="363"/>
      <c r="R215" s="54"/>
      <c r="S215" s="352"/>
      <c r="T215" s="352"/>
      <c r="U215" s="70"/>
      <c r="V215" s="70"/>
      <c r="W215" s="70"/>
      <c r="X215" s="70"/>
      <c r="Y215" s="71"/>
    </row>
    <row r="216" spans="1:25">
      <c r="A216" s="54"/>
      <c r="B216" s="365"/>
      <c r="C216" s="54"/>
      <c r="D216" s="54"/>
      <c r="E216" s="54"/>
      <c r="F216" s="54"/>
      <c r="G216" s="54"/>
      <c r="H216" s="54"/>
      <c r="I216" s="54"/>
      <c r="J216" s="54"/>
      <c r="K216" s="54"/>
      <c r="L216" s="366"/>
      <c r="M216" s="367"/>
      <c r="N216" s="363"/>
      <c r="O216" s="363"/>
      <c r="P216" s="363"/>
      <c r="Q216" s="363"/>
      <c r="R216" s="54"/>
      <c r="S216" s="352"/>
      <c r="T216" s="352"/>
      <c r="U216" s="70"/>
      <c r="V216" s="70"/>
      <c r="W216" s="70"/>
      <c r="X216" s="70"/>
      <c r="Y216" s="71"/>
    </row>
    <row r="217" spans="1:25">
      <c r="A217" s="54"/>
      <c r="B217" s="365"/>
      <c r="C217" s="54"/>
      <c r="D217" s="54"/>
      <c r="E217" s="54"/>
      <c r="F217" s="54"/>
      <c r="G217" s="54"/>
      <c r="H217" s="54"/>
      <c r="I217" s="54"/>
      <c r="J217" s="54"/>
      <c r="K217" s="54"/>
      <c r="L217" s="366"/>
      <c r="M217" s="367"/>
      <c r="N217" s="363"/>
      <c r="O217" s="363"/>
      <c r="P217" s="363"/>
      <c r="Q217" s="363"/>
      <c r="R217" s="54"/>
      <c r="S217" s="352"/>
      <c r="T217" s="352"/>
      <c r="U217" s="70"/>
      <c r="V217" s="70"/>
      <c r="W217" s="70"/>
      <c r="X217" s="70"/>
      <c r="Y217" s="71"/>
    </row>
    <row r="218" spans="1:25">
      <c r="A218" s="54"/>
      <c r="B218" s="365"/>
      <c r="C218" s="54"/>
      <c r="D218" s="54"/>
      <c r="E218" s="54"/>
      <c r="F218" s="54"/>
      <c r="G218" s="54"/>
      <c r="H218" s="54"/>
      <c r="I218" s="54"/>
      <c r="J218" s="54"/>
      <c r="K218" s="54"/>
      <c r="L218" s="366"/>
      <c r="M218" s="367"/>
      <c r="N218" s="363"/>
      <c r="O218" s="363"/>
      <c r="P218" s="363"/>
      <c r="Q218" s="363"/>
      <c r="R218" s="54"/>
      <c r="S218" s="352"/>
      <c r="T218" s="352"/>
      <c r="U218" s="70"/>
      <c r="V218" s="70"/>
      <c r="W218" s="70"/>
      <c r="X218" s="70"/>
      <c r="Y218" s="71"/>
    </row>
    <row r="219" spans="1:25">
      <c r="A219" s="54"/>
      <c r="B219" s="365"/>
      <c r="C219" s="54"/>
      <c r="D219" s="54"/>
      <c r="E219" s="54"/>
      <c r="F219" s="54"/>
      <c r="G219" s="54"/>
      <c r="H219" s="54"/>
      <c r="I219" s="54"/>
      <c r="J219" s="54"/>
      <c r="K219" s="54"/>
      <c r="L219" s="366"/>
      <c r="M219" s="367"/>
      <c r="N219" s="363"/>
      <c r="O219" s="363"/>
      <c r="P219" s="363"/>
      <c r="Q219" s="363"/>
      <c r="R219" s="54"/>
      <c r="S219" s="352"/>
      <c r="T219" s="352"/>
      <c r="U219" s="70"/>
      <c r="V219" s="70"/>
      <c r="W219" s="70"/>
      <c r="X219" s="70"/>
      <c r="Y219" s="71"/>
    </row>
    <row r="220" spans="1:25">
      <c r="A220" s="54"/>
      <c r="B220" s="365"/>
      <c r="C220" s="54"/>
      <c r="D220" s="54"/>
      <c r="E220" s="54"/>
      <c r="F220" s="54"/>
      <c r="G220" s="54"/>
      <c r="H220" s="54"/>
      <c r="I220" s="54"/>
      <c r="J220" s="54"/>
      <c r="K220" s="54"/>
      <c r="L220" s="366"/>
      <c r="M220" s="367"/>
      <c r="N220" s="363"/>
      <c r="O220" s="363"/>
      <c r="P220" s="363"/>
      <c r="Q220" s="363"/>
      <c r="R220" s="54"/>
      <c r="S220" s="352"/>
      <c r="T220" s="352"/>
      <c r="U220" s="70"/>
      <c r="V220" s="70"/>
      <c r="W220" s="70"/>
      <c r="X220" s="70"/>
      <c r="Y220" s="71"/>
    </row>
    <row r="221" spans="1:25">
      <c r="A221" s="54"/>
      <c r="B221" s="365"/>
      <c r="C221" s="54"/>
      <c r="D221" s="54"/>
      <c r="E221" s="54"/>
      <c r="F221" s="54"/>
      <c r="G221" s="54"/>
      <c r="H221" s="54"/>
      <c r="I221" s="54"/>
      <c r="J221" s="54"/>
      <c r="K221" s="54"/>
      <c r="L221" s="366"/>
      <c r="M221" s="367"/>
      <c r="N221" s="363"/>
      <c r="O221" s="363"/>
      <c r="P221" s="363"/>
      <c r="Q221" s="363"/>
      <c r="R221" s="54"/>
      <c r="S221" s="352"/>
      <c r="T221" s="352"/>
      <c r="U221" s="70"/>
      <c r="V221" s="70"/>
      <c r="W221" s="70"/>
      <c r="X221" s="70"/>
      <c r="Y221" s="71"/>
    </row>
    <row r="222" spans="1:25">
      <c r="A222" s="54"/>
      <c r="B222" s="365"/>
      <c r="C222" s="54"/>
      <c r="D222" s="54"/>
      <c r="E222" s="54"/>
      <c r="F222" s="54"/>
      <c r="G222" s="54"/>
      <c r="H222" s="54"/>
      <c r="I222" s="54"/>
      <c r="J222" s="54"/>
      <c r="K222" s="54"/>
      <c r="L222" s="366"/>
      <c r="M222" s="367"/>
      <c r="N222" s="363"/>
      <c r="O222" s="363"/>
      <c r="P222" s="363"/>
      <c r="Q222" s="363"/>
      <c r="R222" s="54"/>
      <c r="S222" s="352"/>
      <c r="T222" s="352"/>
      <c r="U222" s="70"/>
      <c r="V222" s="70"/>
      <c r="W222" s="70"/>
      <c r="X222" s="70"/>
      <c r="Y222" s="71"/>
    </row>
    <row r="223" spans="1:25">
      <c r="A223" s="54"/>
      <c r="B223" s="365"/>
      <c r="C223" s="54"/>
      <c r="D223" s="54"/>
      <c r="E223" s="54"/>
      <c r="F223" s="54"/>
      <c r="G223" s="54"/>
      <c r="H223" s="54"/>
      <c r="I223" s="54"/>
      <c r="J223" s="54"/>
      <c r="K223" s="54"/>
      <c r="L223" s="366"/>
      <c r="M223" s="367"/>
      <c r="N223" s="363"/>
      <c r="O223" s="363"/>
      <c r="P223" s="363"/>
      <c r="Q223" s="363"/>
      <c r="R223" s="54"/>
      <c r="S223" s="352"/>
      <c r="T223" s="352"/>
      <c r="U223" s="70"/>
      <c r="V223" s="70"/>
      <c r="W223" s="70"/>
      <c r="X223" s="70"/>
      <c r="Y223" s="71"/>
    </row>
    <row r="224" spans="1:25">
      <c r="A224" s="54"/>
      <c r="B224" s="365"/>
      <c r="C224" s="54"/>
      <c r="D224" s="54"/>
      <c r="E224" s="54"/>
      <c r="F224" s="54"/>
      <c r="G224" s="54"/>
      <c r="H224" s="54"/>
      <c r="I224" s="54"/>
      <c r="J224" s="54"/>
      <c r="K224" s="54"/>
      <c r="L224" s="366"/>
      <c r="M224" s="367"/>
      <c r="N224" s="363"/>
      <c r="O224" s="363"/>
      <c r="P224" s="363"/>
      <c r="Q224" s="363"/>
      <c r="R224" s="54"/>
      <c r="S224" s="352"/>
      <c r="T224" s="352"/>
      <c r="U224" s="70"/>
      <c r="V224" s="70"/>
      <c r="W224" s="70"/>
      <c r="X224" s="70"/>
      <c r="Y224" s="71"/>
    </row>
    <row r="225" spans="1:25">
      <c r="A225" s="54"/>
      <c r="B225" s="365"/>
      <c r="C225" s="54"/>
      <c r="D225" s="54"/>
      <c r="E225" s="54"/>
      <c r="F225" s="54"/>
      <c r="G225" s="54"/>
      <c r="H225" s="54"/>
      <c r="I225" s="54"/>
      <c r="J225" s="54"/>
      <c r="K225" s="54"/>
      <c r="L225" s="366"/>
      <c r="M225" s="367"/>
      <c r="N225" s="363"/>
      <c r="O225" s="363"/>
      <c r="P225" s="363"/>
      <c r="Q225" s="363"/>
      <c r="R225" s="54"/>
      <c r="S225" s="352"/>
      <c r="T225" s="352"/>
      <c r="U225" s="70"/>
      <c r="V225" s="70"/>
      <c r="W225" s="70"/>
      <c r="X225" s="70"/>
      <c r="Y225" s="71"/>
    </row>
    <row r="226" spans="1:25">
      <c r="A226" s="54"/>
      <c r="B226" s="365"/>
      <c r="C226" s="54"/>
      <c r="D226" s="54"/>
      <c r="E226" s="54"/>
      <c r="F226" s="54"/>
      <c r="G226" s="54"/>
      <c r="H226" s="54"/>
      <c r="I226" s="54"/>
      <c r="J226" s="54"/>
      <c r="K226" s="54"/>
      <c r="L226" s="366"/>
      <c r="M226" s="367"/>
      <c r="N226" s="363"/>
      <c r="O226" s="363"/>
      <c r="P226" s="363"/>
      <c r="Q226" s="363"/>
      <c r="R226" s="54"/>
      <c r="S226" s="352"/>
      <c r="T226" s="352"/>
      <c r="U226" s="70"/>
      <c r="V226" s="70"/>
      <c r="W226" s="70"/>
      <c r="X226" s="70"/>
      <c r="Y226" s="71"/>
    </row>
    <row r="227" spans="1:25">
      <c r="A227" s="54"/>
      <c r="B227" s="365"/>
      <c r="C227" s="54"/>
      <c r="D227" s="54"/>
      <c r="E227" s="54"/>
      <c r="F227" s="54"/>
      <c r="G227" s="54"/>
      <c r="H227" s="54"/>
      <c r="I227" s="54"/>
      <c r="J227" s="54"/>
      <c r="K227" s="54"/>
      <c r="L227" s="366"/>
      <c r="M227" s="367"/>
      <c r="N227" s="363"/>
      <c r="O227" s="363"/>
      <c r="P227" s="363"/>
      <c r="Q227" s="363"/>
      <c r="R227" s="54"/>
      <c r="S227" s="352"/>
      <c r="T227" s="352"/>
      <c r="U227" s="70"/>
      <c r="V227" s="70"/>
      <c r="W227" s="70"/>
      <c r="X227" s="70"/>
      <c r="Y227" s="71"/>
    </row>
    <row r="228" spans="1:25">
      <c r="A228" s="54"/>
      <c r="B228" s="365"/>
      <c r="C228" s="54"/>
      <c r="D228" s="54"/>
      <c r="E228" s="54"/>
      <c r="F228" s="54"/>
      <c r="G228" s="54"/>
      <c r="H228" s="54"/>
      <c r="I228" s="54"/>
      <c r="J228" s="54"/>
      <c r="K228" s="54"/>
      <c r="L228" s="366"/>
      <c r="M228" s="367"/>
      <c r="N228" s="363"/>
      <c r="O228" s="363"/>
      <c r="P228" s="363"/>
      <c r="Q228" s="363"/>
      <c r="R228" s="54"/>
      <c r="S228" s="352"/>
      <c r="T228" s="352"/>
      <c r="U228" s="70"/>
      <c r="V228" s="70"/>
      <c r="W228" s="70"/>
      <c r="X228" s="70"/>
      <c r="Y228" s="71"/>
    </row>
    <row r="229" spans="1:25">
      <c r="A229" s="54"/>
      <c r="B229" s="365"/>
      <c r="C229" s="54"/>
      <c r="D229" s="54"/>
      <c r="E229" s="54"/>
      <c r="F229" s="54"/>
      <c r="G229" s="54"/>
      <c r="H229" s="54"/>
      <c r="I229" s="54"/>
      <c r="J229" s="54"/>
      <c r="K229" s="54"/>
      <c r="L229" s="366"/>
      <c r="M229" s="367"/>
      <c r="N229" s="363"/>
      <c r="O229" s="363"/>
      <c r="P229" s="363"/>
      <c r="Q229" s="363"/>
      <c r="R229" s="54"/>
      <c r="S229" s="352"/>
      <c r="T229" s="352"/>
      <c r="U229" s="70"/>
      <c r="V229" s="70"/>
      <c r="W229" s="70"/>
      <c r="X229" s="70"/>
      <c r="Y229" s="71"/>
    </row>
    <row r="230" spans="1:25">
      <c r="A230" s="54"/>
      <c r="B230" s="365"/>
      <c r="C230" s="54"/>
      <c r="D230" s="54"/>
      <c r="E230" s="54"/>
      <c r="F230" s="54"/>
      <c r="G230" s="54"/>
      <c r="H230" s="54"/>
      <c r="I230" s="54"/>
      <c r="J230" s="54"/>
      <c r="K230" s="54"/>
      <c r="L230" s="366"/>
      <c r="M230" s="367"/>
      <c r="N230" s="363"/>
      <c r="O230" s="363"/>
      <c r="P230" s="363"/>
      <c r="Q230" s="363"/>
      <c r="R230" s="54"/>
      <c r="S230" s="352"/>
      <c r="T230" s="352"/>
      <c r="U230" s="70"/>
      <c r="V230" s="70"/>
      <c r="W230" s="70"/>
      <c r="X230" s="70"/>
      <c r="Y230" s="71"/>
    </row>
    <row r="231" spans="1:25">
      <c r="A231" s="54"/>
      <c r="B231" s="365"/>
      <c r="C231" s="54"/>
      <c r="D231" s="54"/>
      <c r="E231" s="54"/>
      <c r="F231" s="54"/>
      <c r="G231" s="54"/>
      <c r="H231" s="54"/>
      <c r="I231" s="54"/>
      <c r="J231" s="54"/>
      <c r="K231" s="54"/>
      <c r="L231" s="366"/>
      <c r="M231" s="367"/>
      <c r="N231" s="363"/>
      <c r="O231" s="363"/>
      <c r="P231" s="363"/>
      <c r="Q231" s="363"/>
      <c r="R231" s="54"/>
      <c r="S231" s="352"/>
      <c r="T231" s="352"/>
      <c r="U231" s="70"/>
      <c r="V231" s="70"/>
      <c r="W231" s="70"/>
      <c r="X231" s="70"/>
      <c r="Y231" s="71"/>
    </row>
    <row r="232" spans="1:25">
      <c r="A232" s="54"/>
      <c r="B232" s="365"/>
      <c r="C232" s="54"/>
      <c r="D232" s="54"/>
      <c r="E232" s="54"/>
      <c r="F232" s="54"/>
      <c r="G232" s="54"/>
      <c r="H232" s="54"/>
      <c r="I232" s="54"/>
      <c r="J232" s="54"/>
      <c r="K232" s="54"/>
      <c r="L232" s="366"/>
      <c r="M232" s="367"/>
      <c r="N232" s="363"/>
      <c r="O232" s="363"/>
      <c r="P232" s="363"/>
      <c r="Q232" s="363"/>
      <c r="R232" s="54"/>
      <c r="S232" s="352"/>
      <c r="T232" s="352"/>
      <c r="U232" s="70"/>
      <c r="V232" s="70"/>
      <c r="W232" s="70"/>
      <c r="X232" s="70"/>
      <c r="Y232" s="71"/>
    </row>
    <row r="233" spans="1:25">
      <c r="A233" s="54"/>
      <c r="B233" s="365"/>
      <c r="C233" s="54"/>
      <c r="D233" s="54"/>
      <c r="E233" s="54"/>
      <c r="F233" s="54"/>
      <c r="G233" s="54"/>
      <c r="H233" s="54"/>
      <c r="I233" s="54"/>
      <c r="J233" s="54"/>
      <c r="K233" s="54"/>
      <c r="L233" s="366"/>
      <c r="M233" s="367"/>
      <c r="N233" s="363"/>
      <c r="O233" s="363"/>
      <c r="P233" s="363"/>
      <c r="Q233" s="363"/>
      <c r="R233" s="54"/>
      <c r="S233" s="352"/>
      <c r="T233" s="352"/>
      <c r="U233" s="70"/>
      <c r="V233" s="70"/>
      <c r="W233" s="70"/>
      <c r="X233" s="70"/>
      <c r="Y233" s="71"/>
    </row>
    <row r="234" spans="1:25">
      <c r="A234" s="54"/>
      <c r="B234" s="365"/>
      <c r="C234" s="54"/>
      <c r="D234" s="54"/>
      <c r="E234" s="54"/>
      <c r="F234" s="54"/>
      <c r="G234" s="54"/>
      <c r="H234" s="54"/>
      <c r="I234" s="54"/>
      <c r="J234" s="54"/>
      <c r="K234" s="54"/>
      <c r="L234" s="366"/>
      <c r="M234" s="367"/>
      <c r="N234" s="363"/>
      <c r="O234" s="363"/>
      <c r="P234" s="363"/>
      <c r="Q234" s="363"/>
      <c r="R234" s="54"/>
      <c r="S234" s="352"/>
      <c r="T234" s="352"/>
      <c r="U234" s="70"/>
      <c r="V234" s="70"/>
      <c r="W234" s="70"/>
      <c r="X234" s="70"/>
      <c r="Y234" s="71"/>
    </row>
    <row r="235" spans="1:25">
      <c r="A235" s="54"/>
      <c r="B235" s="365"/>
      <c r="C235" s="54"/>
      <c r="D235" s="54"/>
      <c r="E235" s="54"/>
      <c r="F235" s="54"/>
      <c r="G235" s="54"/>
      <c r="H235" s="54"/>
      <c r="I235" s="54"/>
      <c r="J235" s="54"/>
      <c r="K235" s="54"/>
      <c r="L235" s="366"/>
      <c r="M235" s="367"/>
      <c r="N235" s="363"/>
      <c r="O235" s="363"/>
      <c r="P235" s="363"/>
      <c r="Q235" s="363"/>
      <c r="R235" s="54"/>
      <c r="S235" s="352"/>
      <c r="T235" s="352"/>
      <c r="U235" s="70"/>
      <c r="V235" s="70"/>
      <c r="W235" s="70"/>
      <c r="X235" s="70"/>
      <c r="Y235" s="71"/>
    </row>
    <row r="236" spans="1:25">
      <c r="A236" s="54"/>
      <c r="B236" s="365"/>
      <c r="C236" s="54"/>
      <c r="D236" s="54"/>
      <c r="E236" s="54"/>
      <c r="F236" s="54"/>
      <c r="G236" s="54"/>
      <c r="H236" s="54"/>
      <c r="I236" s="54"/>
      <c r="J236" s="54"/>
      <c r="K236" s="54"/>
      <c r="L236" s="366"/>
      <c r="M236" s="367"/>
      <c r="N236" s="363"/>
      <c r="O236" s="363"/>
      <c r="P236" s="363"/>
      <c r="Q236" s="363"/>
      <c r="R236" s="54"/>
      <c r="S236" s="352"/>
      <c r="T236" s="352"/>
      <c r="U236" s="70"/>
      <c r="V236" s="70"/>
      <c r="W236" s="70"/>
      <c r="X236" s="70"/>
      <c r="Y236" s="71"/>
    </row>
    <row r="237" spans="1:25">
      <c r="A237" s="54"/>
      <c r="B237" s="365"/>
      <c r="C237" s="54"/>
      <c r="D237" s="54"/>
      <c r="E237" s="54"/>
      <c r="F237" s="54"/>
      <c r="G237" s="54"/>
      <c r="H237" s="54"/>
      <c r="I237" s="54"/>
      <c r="J237" s="54"/>
      <c r="K237" s="54"/>
      <c r="L237" s="366"/>
      <c r="M237" s="367"/>
      <c r="N237" s="363"/>
      <c r="O237" s="363"/>
      <c r="P237" s="363"/>
      <c r="Q237" s="363"/>
      <c r="R237" s="54"/>
      <c r="S237" s="352"/>
      <c r="T237" s="352"/>
      <c r="U237" s="70"/>
      <c r="V237" s="70"/>
      <c r="W237" s="70"/>
      <c r="X237" s="70"/>
      <c r="Y237" s="71"/>
    </row>
    <row r="238" spans="1:25">
      <c r="A238" s="54"/>
      <c r="B238" s="365"/>
      <c r="C238" s="54"/>
      <c r="D238" s="54"/>
      <c r="E238" s="54"/>
      <c r="F238" s="54"/>
      <c r="G238" s="54"/>
      <c r="H238" s="54"/>
      <c r="I238" s="54"/>
      <c r="J238" s="54"/>
      <c r="K238" s="54"/>
      <c r="L238" s="366"/>
      <c r="M238" s="367"/>
      <c r="N238" s="363"/>
      <c r="O238" s="363"/>
      <c r="P238" s="363"/>
      <c r="Q238" s="363"/>
      <c r="R238" s="54"/>
      <c r="S238" s="352"/>
      <c r="T238" s="352"/>
      <c r="U238" s="70"/>
      <c r="V238" s="70"/>
      <c r="W238" s="70"/>
      <c r="X238" s="70"/>
      <c r="Y238" s="71"/>
    </row>
    <row r="239" spans="1:25">
      <c r="A239" s="54"/>
      <c r="B239" s="365"/>
      <c r="C239" s="54"/>
      <c r="D239" s="54"/>
      <c r="E239" s="54"/>
      <c r="F239" s="54"/>
      <c r="G239" s="54"/>
      <c r="H239" s="54"/>
      <c r="I239" s="54"/>
      <c r="J239" s="54"/>
      <c r="K239" s="54"/>
      <c r="L239" s="366"/>
      <c r="M239" s="367"/>
      <c r="N239" s="363"/>
      <c r="O239" s="363"/>
      <c r="P239" s="363"/>
      <c r="Q239" s="363"/>
      <c r="R239" s="54"/>
      <c r="S239" s="352"/>
      <c r="T239" s="352"/>
      <c r="U239" s="70"/>
      <c r="V239" s="70"/>
      <c r="W239" s="70"/>
      <c r="X239" s="70"/>
      <c r="Y239" s="71"/>
    </row>
    <row r="240" spans="1:25">
      <c r="A240" s="54"/>
      <c r="B240" s="365"/>
      <c r="C240" s="54"/>
      <c r="D240" s="54"/>
      <c r="E240" s="54"/>
      <c r="F240" s="54"/>
      <c r="G240" s="54"/>
      <c r="H240" s="54"/>
      <c r="I240" s="54"/>
      <c r="J240" s="54"/>
      <c r="K240" s="54"/>
      <c r="L240" s="366"/>
      <c r="M240" s="367"/>
      <c r="N240" s="363"/>
      <c r="O240" s="363"/>
      <c r="P240" s="363"/>
      <c r="Q240" s="363"/>
      <c r="R240" s="54"/>
      <c r="S240" s="416"/>
      <c r="T240" s="413"/>
      <c r="U240" s="70"/>
      <c r="V240" s="70"/>
      <c r="W240" s="70"/>
      <c r="X240" s="70"/>
      <c r="Y240" s="71"/>
    </row>
    <row r="241" spans="1:25">
      <c r="A241" s="54"/>
      <c r="B241" s="365"/>
      <c r="C241" s="54"/>
      <c r="D241" s="54"/>
      <c r="E241" s="54"/>
      <c r="F241" s="54"/>
      <c r="G241" s="54"/>
      <c r="H241" s="54"/>
      <c r="I241" s="54"/>
      <c r="J241" s="54"/>
      <c r="K241" s="54"/>
      <c r="L241" s="366"/>
      <c r="M241" s="367"/>
      <c r="N241" s="363"/>
      <c r="O241" s="363"/>
      <c r="P241" s="363"/>
      <c r="Q241" s="363"/>
      <c r="R241" s="54"/>
      <c r="S241" s="416"/>
      <c r="T241" s="413"/>
      <c r="U241" s="70"/>
      <c r="V241" s="70"/>
      <c r="W241" s="70"/>
      <c r="X241" s="70"/>
      <c r="Y241" s="71"/>
    </row>
    <row r="242" spans="1:25">
      <c r="A242" s="54"/>
      <c r="B242" s="365"/>
      <c r="C242" s="54"/>
      <c r="D242" s="54"/>
      <c r="E242" s="54"/>
      <c r="F242" s="54"/>
      <c r="G242" s="54"/>
      <c r="H242" s="54"/>
      <c r="I242" s="54"/>
      <c r="J242" s="54"/>
      <c r="K242" s="54"/>
      <c r="L242" s="366"/>
      <c r="M242" s="367"/>
      <c r="N242" s="363"/>
      <c r="O242" s="363"/>
      <c r="P242" s="363"/>
      <c r="Q242" s="363"/>
      <c r="R242" s="368"/>
      <c r="S242" s="416"/>
      <c r="T242" s="413"/>
      <c r="U242" s="70"/>
      <c r="V242" s="70"/>
      <c r="W242" s="70"/>
      <c r="X242" s="70"/>
      <c r="Y242" s="71"/>
    </row>
    <row r="243" spans="1:25">
      <c r="A243" s="54"/>
      <c r="B243" s="365"/>
      <c r="C243" s="54"/>
      <c r="D243" s="54"/>
      <c r="E243" s="54"/>
      <c r="F243" s="54"/>
      <c r="G243" s="54"/>
      <c r="H243" s="54"/>
      <c r="I243" s="54"/>
      <c r="J243" s="54"/>
      <c r="K243" s="54"/>
      <c r="L243" s="366"/>
      <c r="M243" s="367"/>
      <c r="N243" s="363"/>
      <c r="O243" s="363"/>
      <c r="P243" s="363"/>
      <c r="Q243" s="363"/>
      <c r="R243" s="368"/>
      <c r="S243" s="416"/>
      <c r="T243" s="413"/>
      <c r="U243" s="70"/>
      <c r="V243" s="70"/>
      <c r="W243" s="70"/>
      <c r="X243" s="70"/>
      <c r="Y243" s="71"/>
    </row>
    <row r="244" spans="1:25">
      <c r="A244" s="54"/>
      <c r="B244" s="365"/>
      <c r="C244" s="54"/>
      <c r="D244" s="54"/>
      <c r="E244" s="54"/>
      <c r="F244" s="54"/>
      <c r="G244" s="54"/>
      <c r="H244" s="54"/>
      <c r="I244" s="54"/>
      <c r="J244" s="54"/>
      <c r="K244" s="54"/>
      <c r="L244" s="366"/>
      <c r="M244" s="367"/>
      <c r="N244" s="363"/>
      <c r="O244" s="363"/>
      <c r="P244" s="363"/>
      <c r="Q244" s="363"/>
      <c r="R244" s="54"/>
      <c r="S244" s="352"/>
      <c r="T244" s="352"/>
      <c r="U244" s="70"/>
      <c r="V244" s="70"/>
      <c r="W244" s="70"/>
      <c r="X244" s="70"/>
      <c r="Y244" s="71"/>
    </row>
    <row r="245" spans="1:25">
      <c r="A245" s="54"/>
      <c r="B245" s="365"/>
      <c r="C245" s="54"/>
      <c r="D245" s="54"/>
      <c r="E245" s="54"/>
      <c r="F245" s="54"/>
      <c r="G245" s="54"/>
      <c r="H245" s="54"/>
      <c r="I245" s="54"/>
      <c r="J245" s="54"/>
      <c r="K245" s="54"/>
      <c r="L245" s="366"/>
      <c r="M245" s="367"/>
      <c r="N245" s="363"/>
      <c r="O245" s="363"/>
      <c r="P245" s="363"/>
      <c r="Q245" s="363"/>
      <c r="R245" s="54"/>
      <c r="S245" s="352"/>
      <c r="T245" s="352"/>
      <c r="U245" s="70"/>
      <c r="V245" s="70"/>
      <c r="W245" s="70"/>
      <c r="X245" s="70"/>
      <c r="Y245" s="71"/>
    </row>
    <row r="246" spans="1:25">
      <c r="A246" s="54"/>
      <c r="B246" s="365"/>
      <c r="C246" s="54"/>
      <c r="D246" s="54"/>
      <c r="E246" s="54"/>
      <c r="F246" s="54"/>
      <c r="G246" s="54"/>
      <c r="H246" s="54"/>
      <c r="I246" s="54"/>
      <c r="J246" s="54"/>
      <c r="K246" s="54"/>
      <c r="L246" s="366"/>
      <c r="M246" s="367"/>
      <c r="N246" s="363"/>
      <c r="O246" s="363"/>
      <c r="P246" s="363"/>
      <c r="Q246" s="363"/>
      <c r="R246" s="54"/>
      <c r="S246" s="352"/>
      <c r="T246" s="352"/>
      <c r="U246" s="70"/>
      <c r="V246" s="70"/>
      <c r="W246" s="70"/>
      <c r="X246" s="70"/>
      <c r="Y246" s="71"/>
    </row>
    <row r="247" spans="1:25">
      <c r="A247" s="54"/>
      <c r="B247" s="365"/>
      <c r="C247" s="54"/>
      <c r="D247" s="54"/>
      <c r="E247" s="54"/>
      <c r="F247" s="54"/>
      <c r="G247" s="54"/>
      <c r="H247" s="54"/>
      <c r="I247" s="54"/>
      <c r="J247" s="54"/>
      <c r="K247" s="54"/>
      <c r="L247" s="366"/>
      <c r="M247" s="367"/>
      <c r="N247" s="363"/>
      <c r="O247" s="363"/>
      <c r="P247" s="363"/>
      <c r="Q247" s="363"/>
      <c r="R247" s="54"/>
      <c r="S247" s="352"/>
      <c r="T247" s="352"/>
      <c r="U247" s="70"/>
      <c r="V247" s="70"/>
      <c r="W247" s="70"/>
      <c r="X247" s="70"/>
      <c r="Y247" s="71"/>
    </row>
    <row r="248" spans="1:25">
      <c r="A248" s="54"/>
      <c r="B248" s="365"/>
      <c r="C248" s="54"/>
      <c r="D248" s="54"/>
      <c r="E248" s="54"/>
      <c r="F248" s="54"/>
      <c r="G248" s="54"/>
      <c r="H248" s="54"/>
      <c r="I248" s="54"/>
      <c r="J248" s="54"/>
      <c r="K248" s="54"/>
      <c r="L248" s="366"/>
      <c r="M248" s="367"/>
      <c r="N248" s="363"/>
      <c r="O248" s="363"/>
      <c r="P248" s="363"/>
      <c r="Q248" s="363"/>
      <c r="R248" s="54"/>
      <c r="S248" s="352"/>
      <c r="T248" s="352"/>
      <c r="U248" s="70"/>
      <c r="V248" s="70"/>
      <c r="W248" s="70"/>
      <c r="X248" s="70"/>
      <c r="Y248" s="71"/>
    </row>
    <row r="249" spans="1:25">
      <c r="A249" s="54"/>
      <c r="B249" s="365"/>
      <c r="C249" s="54"/>
      <c r="D249" s="54"/>
      <c r="E249" s="54"/>
      <c r="F249" s="54"/>
      <c r="G249" s="54"/>
      <c r="H249" s="54"/>
      <c r="I249" s="54"/>
      <c r="J249" s="54"/>
      <c r="K249" s="54"/>
      <c r="L249" s="366"/>
      <c r="M249" s="367"/>
      <c r="N249" s="363"/>
      <c r="O249" s="363"/>
      <c r="P249" s="363"/>
      <c r="Q249" s="363"/>
      <c r="R249" s="54"/>
      <c r="S249" s="352"/>
      <c r="T249" s="352"/>
      <c r="U249" s="70"/>
      <c r="V249" s="70"/>
      <c r="W249" s="70"/>
      <c r="X249" s="70"/>
      <c r="Y249" s="71"/>
    </row>
    <row r="250" spans="1:25">
      <c r="A250" s="54"/>
      <c r="B250" s="365"/>
      <c r="C250" s="54"/>
      <c r="D250" s="54"/>
      <c r="E250" s="54"/>
      <c r="F250" s="54"/>
      <c r="G250" s="54"/>
      <c r="H250" s="54"/>
      <c r="I250" s="54"/>
      <c r="J250" s="54"/>
      <c r="K250" s="54"/>
      <c r="L250" s="366"/>
      <c r="M250" s="367"/>
      <c r="N250" s="363"/>
      <c r="O250" s="363"/>
      <c r="P250" s="363"/>
      <c r="Q250" s="363"/>
      <c r="R250" s="54"/>
      <c r="S250" s="352"/>
      <c r="T250" s="352"/>
      <c r="U250" s="70"/>
      <c r="V250" s="70"/>
      <c r="W250" s="70"/>
      <c r="X250" s="70"/>
      <c r="Y250" s="71"/>
    </row>
    <row r="251" spans="1:25">
      <c r="A251" s="54"/>
      <c r="B251" s="365"/>
      <c r="C251" s="54"/>
      <c r="D251" s="54"/>
      <c r="E251" s="54"/>
      <c r="F251" s="54"/>
      <c r="G251" s="54"/>
      <c r="H251" s="54"/>
      <c r="I251" s="54"/>
      <c r="J251" s="54"/>
      <c r="K251" s="54"/>
      <c r="L251" s="366"/>
      <c r="M251" s="367"/>
      <c r="N251" s="363"/>
      <c r="O251" s="363"/>
      <c r="P251" s="363"/>
      <c r="Q251" s="363"/>
      <c r="R251" s="54"/>
      <c r="S251" s="352"/>
      <c r="T251" s="352"/>
      <c r="U251" s="70"/>
      <c r="V251" s="70"/>
      <c r="W251" s="70"/>
      <c r="X251" s="70"/>
      <c r="Y251" s="71"/>
    </row>
    <row r="252" spans="1:25">
      <c r="A252" s="54"/>
      <c r="B252" s="365"/>
      <c r="C252" s="54"/>
      <c r="D252" s="54"/>
      <c r="E252" s="54"/>
      <c r="F252" s="54"/>
      <c r="G252" s="54"/>
      <c r="H252" s="54"/>
      <c r="I252" s="54"/>
      <c r="J252" s="54"/>
      <c r="K252" s="54"/>
      <c r="L252" s="366"/>
      <c r="M252" s="367"/>
      <c r="N252" s="363"/>
      <c r="O252" s="363"/>
      <c r="P252" s="363"/>
      <c r="Q252" s="363"/>
      <c r="R252" s="54"/>
      <c r="S252" s="352"/>
      <c r="T252" s="352"/>
      <c r="U252" s="70"/>
      <c r="V252" s="70"/>
      <c r="W252" s="70"/>
      <c r="X252" s="70"/>
      <c r="Y252" s="71"/>
    </row>
    <row r="253" spans="1:25">
      <c r="A253" s="54"/>
      <c r="B253" s="365"/>
      <c r="C253" s="54"/>
      <c r="D253" s="54"/>
      <c r="E253" s="54"/>
      <c r="F253" s="54"/>
      <c r="G253" s="54"/>
      <c r="H253" s="54"/>
      <c r="I253" s="54"/>
      <c r="J253" s="54"/>
      <c r="K253" s="54"/>
      <c r="L253" s="366"/>
      <c r="M253" s="367"/>
      <c r="N253" s="363"/>
      <c r="O253" s="363"/>
      <c r="P253" s="363"/>
      <c r="Q253" s="363"/>
      <c r="R253" s="54"/>
      <c r="S253" s="352"/>
      <c r="T253" s="352"/>
      <c r="U253" s="70"/>
      <c r="V253" s="70"/>
      <c r="W253" s="70"/>
      <c r="X253" s="70"/>
      <c r="Y253" s="71"/>
    </row>
    <row r="254" spans="1:25">
      <c r="A254" s="54"/>
      <c r="B254" s="365"/>
      <c r="C254" s="54"/>
      <c r="D254" s="54"/>
      <c r="E254" s="54"/>
      <c r="F254" s="54"/>
      <c r="G254" s="54"/>
      <c r="H254" s="54"/>
      <c r="I254" s="54"/>
      <c r="J254" s="54"/>
      <c r="K254" s="54"/>
      <c r="L254" s="366"/>
      <c r="M254" s="367"/>
      <c r="N254" s="363"/>
      <c r="O254" s="363"/>
      <c r="P254" s="363"/>
      <c r="Q254" s="363"/>
      <c r="R254" s="54"/>
      <c r="S254" s="352"/>
      <c r="T254" s="352"/>
      <c r="U254" s="70"/>
      <c r="V254" s="70"/>
      <c r="W254" s="70"/>
      <c r="X254" s="70"/>
      <c r="Y254" s="71"/>
    </row>
    <row r="255" spans="1:25">
      <c r="A255" s="54"/>
      <c r="B255" s="365"/>
      <c r="C255" s="54"/>
      <c r="D255" s="54"/>
      <c r="E255" s="54"/>
      <c r="F255" s="54"/>
      <c r="G255" s="54"/>
      <c r="H255" s="54"/>
      <c r="I255" s="54"/>
      <c r="J255" s="54"/>
      <c r="K255" s="54"/>
      <c r="L255" s="366"/>
      <c r="M255" s="367"/>
      <c r="N255" s="363"/>
      <c r="O255" s="363"/>
      <c r="P255" s="363"/>
      <c r="Q255" s="363"/>
      <c r="R255" s="54"/>
      <c r="S255" s="352"/>
      <c r="T255" s="352"/>
      <c r="U255" s="70"/>
      <c r="V255" s="70"/>
      <c r="W255" s="70"/>
      <c r="X255" s="70"/>
      <c r="Y255" s="71"/>
    </row>
    <row r="256" spans="1:25">
      <c r="A256" s="54"/>
      <c r="B256" s="365"/>
      <c r="C256" s="54"/>
      <c r="D256" s="54"/>
      <c r="E256" s="54"/>
      <c r="F256" s="54"/>
      <c r="G256" s="54"/>
      <c r="H256" s="54"/>
      <c r="I256" s="54"/>
      <c r="J256" s="54"/>
      <c r="K256" s="54"/>
      <c r="L256" s="366"/>
      <c r="M256" s="367"/>
      <c r="N256" s="363"/>
      <c r="O256" s="363"/>
      <c r="P256" s="363"/>
      <c r="Q256" s="363"/>
      <c r="R256" s="54"/>
      <c r="S256" s="352"/>
      <c r="T256" s="352"/>
      <c r="U256" s="70"/>
      <c r="V256" s="70"/>
      <c r="W256" s="70"/>
      <c r="X256" s="70"/>
      <c r="Y256" s="71"/>
    </row>
    <row r="257" spans="1:25">
      <c r="A257" s="54"/>
      <c r="B257" s="365"/>
      <c r="C257" s="54"/>
      <c r="D257" s="54"/>
      <c r="E257" s="54"/>
      <c r="F257" s="54"/>
      <c r="G257" s="54"/>
      <c r="H257" s="54"/>
      <c r="I257" s="54"/>
      <c r="J257" s="54"/>
      <c r="K257" s="54"/>
      <c r="L257" s="366"/>
      <c r="M257" s="367"/>
      <c r="N257" s="363"/>
      <c r="O257" s="363"/>
      <c r="P257" s="363"/>
      <c r="Q257" s="363"/>
      <c r="R257" s="54"/>
      <c r="S257" s="352"/>
      <c r="T257" s="352"/>
      <c r="U257" s="70"/>
      <c r="V257" s="70"/>
      <c r="W257" s="70"/>
      <c r="X257" s="70"/>
      <c r="Y257" s="71"/>
    </row>
    <row r="258" spans="1:25">
      <c r="A258" s="54"/>
      <c r="B258" s="369"/>
      <c r="C258" s="54"/>
      <c r="D258" s="54"/>
      <c r="E258" s="54"/>
      <c r="F258" s="54"/>
      <c r="G258" s="54"/>
      <c r="H258" s="54"/>
      <c r="I258" s="54"/>
      <c r="J258" s="54"/>
      <c r="K258" s="54"/>
      <c r="L258" s="366"/>
      <c r="M258" s="367"/>
      <c r="N258" s="363"/>
      <c r="O258" s="363"/>
      <c r="P258" s="363"/>
      <c r="Q258" s="363"/>
      <c r="R258" s="54"/>
      <c r="S258" s="54"/>
      <c r="T258" s="70"/>
      <c r="U258" s="70"/>
      <c r="V258" s="70"/>
      <c r="W258" s="70"/>
      <c r="X258" s="70"/>
      <c r="Y258" s="71"/>
    </row>
    <row r="259" spans="1:25">
      <c r="A259" s="54"/>
      <c r="B259" s="369"/>
      <c r="C259" s="54"/>
      <c r="D259" s="54"/>
      <c r="E259" s="54"/>
      <c r="F259" s="54"/>
      <c r="G259" s="54"/>
      <c r="H259" s="54"/>
      <c r="I259" s="54"/>
      <c r="J259" s="54"/>
      <c r="K259" s="54"/>
      <c r="L259" s="366"/>
      <c r="M259" s="367"/>
      <c r="N259" s="363"/>
      <c r="O259" s="363"/>
      <c r="P259" s="363"/>
      <c r="Q259" s="363"/>
      <c r="R259" s="54"/>
      <c r="S259" s="54"/>
      <c r="T259" s="70"/>
      <c r="U259" s="70"/>
      <c r="V259" s="70"/>
      <c r="W259" s="70"/>
      <c r="X259" s="70"/>
      <c r="Y259" s="71"/>
    </row>
    <row r="260" spans="1:25">
      <c r="A260" s="54"/>
      <c r="B260" s="369"/>
      <c r="C260" s="54"/>
      <c r="D260" s="54"/>
      <c r="E260" s="54"/>
      <c r="F260" s="54"/>
      <c r="G260" s="54"/>
      <c r="H260" s="54"/>
      <c r="I260" s="54"/>
      <c r="J260" s="54"/>
      <c r="K260" s="54"/>
      <c r="L260" s="366"/>
      <c r="M260" s="367"/>
      <c r="N260" s="363"/>
      <c r="O260" s="363"/>
      <c r="P260" s="363"/>
      <c r="Q260" s="363"/>
      <c r="R260" s="54"/>
      <c r="S260" s="54"/>
      <c r="T260" s="70"/>
      <c r="U260" s="70"/>
      <c r="V260" s="70"/>
      <c r="W260" s="70"/>
      <c r="X260" s="70"/>
      <c r="Y260" s="71"/>
    </row>
    <row r="261" spans="1:25">
      <c r="A261" s="54"/>
      <c r="B261" s="369"/>
      <c r="C261" s="54"/>
      <c r="D261" s="54"/>
      <c r="E261" s="54"/>
      <c r="F261" s="54"/>
      <c r="G261" s="54"/>
      <c r="H261" s="54"/>
      <c r="I261" s="54"/>
      <c r="J261" s="54"/>
      <c r="K261" s="54"/>
      <c r="L261" s="366"/>
      <c r="M261" s="367"/>
      <c r="N261" s="363"/>
      <c r="O261" s="363"/>
      <c r="P261" s="363"/>
      <c r="Q261" s="363"/>
      <c r="R261" s="54"/>
      <c r="S261" s="54"/>
      <c r="T261" s="70"/>
      <c r="U261" s="70"/>
      <c r="V261" s="70"/>
      <c r="W261" s="70"/>
      <c r="X261" s="70"/>
      <c r="Y261" s="71"/>
    </row>
    <row r="262" spans="1:25">
      <c r="A262" s="54"/>
      <c r="B262" s="369"/>
      <c r="C262" s="54"/>
      <c r="D262" s="54"/>
      <c r="E262" s="54"/>
      <c r="F262" s="54"/>
      <c r="G262" s="54"/>
      <c r="H262" s="54"/>
      <c r="I262" s="54"/>
      <c r="J262" s="54"/>
      <c r="K262" s="54"/>
      <c r="L262" s="366"/>
      <c r="M262" s="367"/>
      <c r="N262" s="363"/>
      <c r="O262" s="363"/>
      <c r="P262" s="363"/>
      <c r="Q262" s="363"/>
      <c r="R262" s="54"/>
      <c r="S262" s="54"/>
      <c r="T262" s="70"/>
      <c r="U262" s="70"/>
      <c r="V262" s="70"/>
      <c r="W262" s="70"/>
      <c r="X262" s="70"/>
      <c r="Y262" s="71"/>
    </row>
    <row r="263" spans="1:25">
      <c r="A263" s="54"/>
      <c r="B263" s="369"/>
      <c r="C263" s="54"/>
      <c r="D263" s="54"/>
      <c r="E263" s="54"/>
      <c r="F263" s="54"/>
      <c r="G263" s="54"/>
      <c r="H263" s="54"/>
      <c r="I263" s="54"/>
      <c r="J263" s="54"/>
      <c r="K263" s="54"/>
      <c r="L263" s="366"/>
      <c r="M263" s="367"/>
      <c r="N263" s="363"/>
      <c r="O263" s="363"/>
      <c r="P263" s="363"/>
      <c r="Q263" s="363"/>
      <c r="R263" s="54"/>
      <c r="S263" s="54"/>
      <c r="T263" s="70"/>
      <c r="U263" s="70"/>
      <c r="V263" s="70"/>
      <c r="W263" s="70"/>
      <c r="X263" s="70"/>
      <c r="Y263" s="71"/>
    </row>
    <row r="264" spans="1:25">
      <c r="A264" s="54"/>
      <c r="B264" s="369"/>
      <c r="C264" s="54"/>
      <c r="D264" s="54"/>
      <c r="E264" s="54"/>
      <c r="F264" s="54"/>
      <c r="G264" s="54"/>
      <c r="H264" s="54"/>
      <c r="I264" s="54"/>
      <c r="J264" s="54"/>
      <c r="K264" s="54"/>
      <c r="L264" s="366"/>
      <c r="M264" s="367"/>
      <c r="N264" s="363"/>
      <c r="O264" s="363"/>
      <c r="P264" s="363"/>
      <c r="Q264" s="363"/>
      <c r="R264" s="54"/>
      <c r="S264" s="54"/>
      <c r="T264" s="70"/>
      <c r="U264" s="70"/>
      <c r="V264" s="70"/>
      <c r="W264" s="70"/>
      <c r="X264" s="70"/>
      <c r="Y264" s="71"/>
    </row>
    <row r="265" spans="1:25">
      <c r="A265" s="54"/>
      <c r="B265" s="369"/>
      <c r="C265" s="54"/>
      <c r="D265" s="54"/>
      <c r="E265" s="54"/>
      <c r="F265" s="54"/>
      <c r="G265" s="54"/>
      <c r="H265" s="54"/>
      <c r="I265" s="54"/>
      <c r="J265" s="54"/>
      <c r="K265" s="54"/>
      <c r="L265" s="366"/>
      <c r="M265" s="367"/>
      <c r="N265" s="363"/>
      <c r="O265" s="363"/>
      <c r="P265" s="363"/>
      <c r="Q265" s="363"/>
      <c r="R265" s="54"/>
      <c r="S265" s="54"/>
      <c r="T265" s="70"/>
      <c r="U265" s="70"/>
      <c r="V265" s="70"/>
      <c r="W265" s="70"/>
      <c r="X265" s="70"/>
      <c r="Y265" s="71"/>
    </row>
    <row r="266" spans="1:25">
      <c r="A266" s="54"/>
      <c r="B266" s="369"/>
      <c r="C266" s="54"/>
      <c r="D266" s="54"/>
      <c r="E266" s="54"/>
      <c r="F266" s="54"/>
      <c r="G266" s="54"/>
      <c r="H266" s="54"/>
      <c r="I266" s="54"/>
      <c r="J266" s="370"/>
      <c r="K266" s="54"/>
      <c r="L266" s="366"/>
      <c r="M266" s="367"/>
      <c r="N266" s="363"/>
      <c r="O266" s="363"/>
      <c r="P266" s="363"/>
      <c r="Q266" s="363"/>
      <c r="R266" s="54"/>
      <c r="S266" s="54"/>
      <c r="T266" s="70"/>
      <c r="U266" s="70"/>
      <c r="V266" s="70"/>
      <c r="W266" s="70"/>
      <c r="X266" s="70"/>
      <c r="Y266" s="71"/>
    </row>
    <row r="267" spans="1:25">
      <c r="A267" s="54"/>
      <c r="B267" s="369"/>
      <c r="C267" s="54"/>
      <c r="D267" s="54"/>
      <c r="E267" s="54"/>
      <c r="F267" s="54"/>
      <c r="G267" s="54"/>
      <c r="H267" s="54"/>
      <c r="I267" s="54"/>
      <c r="J267" s="54"/>
      <c r="K267" s="54"/>
      <c r="L267" s="366"/>
      <c r="M267" s="367"/>
      <c r="N267" s="363"/>
      <c r="O267" s="363"/>
      <c r="P267" s="363"/>
      <c r="Q267" s="363"/>
      <c r="R267" s="54"/>
      <c r="S267" s="54"/>
      <c r="T267" s="70"/>
      <c r="U267" s="70"/>
      <c r="V267" s="70"/>
      <c r="W267" s="70"/>
      <c r="X267" s="70"/>
      <c r="Y267" s="71"/>
    </row>
    <row r="268" spans="1:25">
      <c r="A268" s="54"/>
      <c r="B268" s="369"/>
      <c r="C268" s="54"/>
      <c r="D268" s="54"/>
      <c r="E268" s="54"/>
      <c r="F268" s="54"/>
      <c r="G268" s="54"/>
      <c r="H268" s="54"/>
      <c r="I268" s="54"/>
      <c r="J268" s="54"/>
      <c r="K268" s="54"/>
      <c r="L268" s="366"/>
      <c r="M268" s="367"/>
      <c r="N268" s="363"/>
      <c r="O268" s="363"/>
      <c r="P268" s="363"/>
      <c r="Q268" s="363"/>
      <c r="R268" s="54"/>
      <c r="S268" s="54"/>
      <c r="T268" s="70"/>
      <c r="U268" s="70"/>
      <c r="V268" s="70"/>
      <c r="W268" s="70"/>
      <c r="X268" s="70"/>
      <c r="Y268" s="71"/>
    </row>
    <row r="269" spans="1:25">
      <c r="A269" s="54"/>
      <c r="B269" s="369"/>
      <c r="C269" s="54"/>
      <c r="D269" s="54"/>
      <c r="E269" s="54"/>
      <c r="F269" s="54"/>
      <c r="G269" s="54"/>
      <c r="H269" s="54"/>
      <c r="I269" s="54"/>
      <c r="J269" s="54"/>
      <c r="K269" s="54"/>
      <c r="L269" s="366"/>
      <c r="M269" s="367"/>
      <c r="N269" s="363"/>
      <c r="O269" s="363"/>
      <c r="P269" s="363"/>
      <c r="Q269" s="363"/>
      <c r="R269" s="54"/>
      <c r="S269" s="54"/>
      <c r="T269" s="70"/>
      <c r="U269" s="70"/>
      <c r="V269" s="70"/>
      <c r="W269" s="70"/>
      <c r="X269" s="70"/>
      <c r="Y269" s="71"/>
    </row>
    <row r="270" spans="1:25">
      <c r="A270" s="54"/>
      <c r="B270" s="369"/>
      <c r="C270" s="54"/>
      <c r="D270" s="54"/>
      <c r="E270" s="54"/>
      <c r="F270" s="54"/>
      <c r="G270" s="54"/>
      <c r="H270" s="54"/>
      <c r="I270" s="54"/>
      <c r="J270" s="54"/>
      <c r="K270" s="54"/>
      <c r="L270" s="366"/>
      <c r="M270" s="367"/>
      <c r="N270" s="363"/>
      <c r="O270" s="363"/>
      <c r="P270" s="363"/>
      <c r="Q270" s="363"/>
      <c r="R270" s="54"/>
      <c r="S270" s="54"/>
      <c r="T270" s="70"/>
      <c r="U270" s="70"/>
      <c r="V270" s="70"/>
      <c r="W270" s="70"/>
      <c r="X270" s="70"/>
      <c r="Y270" s="71"/>
    </row>
    <row r="271" spans="1:25">
      <c r="A271" s="54"/>
      <c r="B271" s="369"/>
      <c r="C271" s="54"/>
      <c r="D271" s="54"/>
      <c r="E271" s="54"/>
      <c r="F271" s="54"/>
      <c r="G271" s="54"/>
      <c r="H271" s="54"/>
      <c r="I271" s="54"/>
      <c r="J271" s="54"/>
      <c r="K271" s="54"/>
      <c r="L271" s="366"/>
      <c r="M271" s="367"/>
      <c r="N271" s="363"/>
      <c r="O271" s="363"/>
      <c r="P271" s="363"/>
      <c r="Q271" s="363"/>
      <c r="R271" s="54"/>
      <c r="S271" s="54"/>
      <c r="T271" s="70"/>
      <c r="U271" s="70"/>
      <c r="V271" s="70"/>
      <c r="W271" s="70"/>
      <c r="X271" s="70"/>
      <c r="Y271" s="71"/>
    </row>
    <row r="272" spans="1:25">
      <c r="A272" s="54"/>
      <c r="B272" s="369"/>
      <c r="C272" s="54"/>
      <c r="D272" s="54"/>
      <c r="E272" s="54"/>
      <c r="F272" s="54"/>
      <c r="G272" s="54"/>
      <c r="H272" s="54"/>
      <c r="I272" s="54"/>
      <c r="J272" s="54"/>
      <c r="K272" s="54"/>
      <c r="L272" s="366"/>
      <c r="M272" s="367"/>
      <c r="N272" s="363"/>
      <c r="O272" s="363"/>
      <c r="P272" s="363"/>
      <c r="Q272" s="363"/>
      <c r="R272" s="54"/>
      <c r="S272" s="54"/>
      <c r="T272" s="70"/>
      <c r="U272" s="70"/>
      <c r="V272" s="70"/>
      <c r="W272" s="70"/>
      <c r="X272" s="70"/>
      <c r="Y272" s="71"/>
    </row>
    <row r="273" spans="1:25">
      <c r="A273" s="54"/>
      <c r="B273" s="369"/>
      <c r="C273" s="54"/>
      <c r="D273" s="54"/>
      <c r="E273" s="54"/>
      <c r="F273" s="54"/>
      <c r="G273" s="54"/>
      <c r="H273" s="54"/>
      <c r="I273" s="54"/>
      <c r="J273" s="54"/>
      <c r="K273" s="54"/>
      <c r="L273" s="366"/>
      <c r="M273" s="367"/>
      <c r="N273" s="363"/>
      <c r="O273" s="363"/>
      <c r="P273" s="363"/>
      <c r="Q273" s="363"/>
      <c r="R273" s="54"/>
      <c r="S273" s="54"/>
      <c r="T273" s="70"/>
      <c r="U273" s="70"/>
      <c r="V273" s="70"/>
      <c r="W273" s="70"/>
      <c r="X273" s="70"/>
      <c r="Y273" s="71"/>
    </row>
    <row r="274" spans="1:25">
      <c r="A274" s="54"/>
      <c r="B274" s="369"/>
      <c r="C274" s="54"/>
      <c r="D274" s="54"/>
      <c r="E274" s="54"/>
      <c r="F274" s="54"/>
      <c r="G274" s="54"/>
      <c r="H274" s="54"/>
      <c r="I274" s="54"/>
      <c r="J274" s="54"/>
      <c r="K274" s="54"/>
      <c r="L274" s="366"/>
      <c r="M274" s="367"/>
      <c r="N274" s="363"/>
      <c r="O274" s="363"/>
      <c r="P274" s="363"/>
      <c r="Q274" s="363"/>
      <c r="R274" s="54"/>
      <c r="S274" s="54"/>
      <c r="T274" s="70"/>
      <c r="U274" s="70"/>
      <c r="V274" s="70"/>
      <c r="W274" s="70"/>
      <c r="X274" s="70"/>
      <c r="Y274" s="71"/>
    </row>
    <row r="275" spans="1:25">
      <c r="A275" s="54"/>
      <c r="B275" s="369"/>
      <c r="C275" s="54"/>
      <c r="D275" s="54"/>
      <c r="E275" s="54"/>
      <c r="F275" s="54"/>
      <c r="G275" s="54"/>
      <c r="H275" s="54"/>
      <c r="I275" s="54"/>
      <c r="J275" s="54"/>
      <c r="K275" s="54"/>
      <c r="L275" s="366"/>
      <c r="M275" s="367"/>
      <c r="N275" s="363"/>
      <c r="O275" s="363"/>
      <c r="P275" s="363"/>
      <c r="Q275" s="363"/>
      <c r="R275" s="54"/>
      <c r="S275" s="54"/>
      <c r="T275" s="70"/>
      <c r="U275" s="70"/>
      <c r="V275" s="70"/>
      <c r="W275" s="70"/>
      <c r="X275" s="70"/>
      <c r="Y275" s="71"/>
    </row>
    <row r="276" spans="1:25">
      <c r="A276" s="54"/>
      <c r="B276" s="369"/>
      <c r="C276" s="54"/>
      <c r="D276" s="54"/>
      <c r="E276" s="54"/>
      <c r="F276" s="54"/>
      <c r="G276" s="54"/>
      <c r="H276" s="54"/>
      <c r="I276" s="54"/>
      <c r="J276" s="54"/>
      <c r="K276" s="54"/>
      <c r="L276" s="366"/>
      <c r="M276" s="367"/>
      <c r="N276" s="363"/>
      <c r="O276" s="363"/>
      <c r="P276" s="363"/>
      <c r="Q276" s="363"/>
      <c r="R276" s="54"/>
      <c r="S276" s="54"/>
      <c r="T276" s="70"/>
      <c r="U276" s="70"/>
      <c r="V276" s="70"/>
      <c r="W276" s="70"/>
      <c r="X276" s="70"/>
      <c r="Y276" s="71"/>
    </row>
    <row r="277" spans="1:25">
      <c r="A277" s="54"/>
      <c r="B277" s="369"/>
      <c r="C277" s="54"/>
      <c r="D277" s="54"/>
      <c r="E277" s="54"/>
      <c r="F277" s="54"/>
      <c r="G277" s="54"/>
      <c r="H277" s="54"/>
      <c r="I277" s="54"/>
      <c r="J277" s="54"/>
      <c r="K277" s="54"/>
      <c r="L277" s="366"/>
      <c r="M277" s="367"/>
      <c r="N277" s="363"/>
      <c r="O277" s="363"/>
      <c r="P277" s="363"/>
      <c r="Q277" s="363"/>
      <c r="R277" s="54"/>
      <c r="S277" s="54"/>
      <c r="T277" s="70"/>
      <c r="U277" s="70"/>
      <c r="V277" s="70"/>
      <c r="W277" s="70"/>
      <c r="X277" s="70"/>
      <c r="Y277" s="71"/>
    </row>
    <row r="278" spans="1:25">
      <c r="A278" s="54"/>
      <c r="B278" s="369"/>
      <c r="C278" s="54"/>
      <c r="D278" s="54"/>
      <c r="E278" s="54"/>
      <c r="F278" s="54"/>
      <c r="G278" s="54"/>
      <c r="H278" s="54"/>
      <c r="I278" s="54"/>
      <c r="J278" s="54"/>
      <c r="K278" s="54"/>
      <c r="L278" s="366"/>
      <c r="M278" s="367"/>
      <c r="N278" s="363"/>
      <c r="O278" s="363"/>
      <c r="P278" s="363"/>
      <c r="Q278" s="363"/>
      <c r="R278" s="54"/>
      <c r="S278" s="54"/>
      <c r="T278" s="70"/>
      <c r="U278" s="70"/>
      <c r="V278" s="70"/>
      <c r="W278" s="70"/>
      <c r="X278" s="70"/>
      <c r="Y278" s="71"/>
    </row>
    <row r="279" spans="1:25">
      <c r="A279" s="54"/>
      <c r="B279" s="369"/>
      <c r="C279" s="54"/>
      <c r="D279" s="54"/>
      <c r="E279" s="54"/>
      <c r="F279" s="54"/>
      <c r="G279" s="54"/>
      <c r="H279" s="54"/>
      <c r="I279" s="54"/>
      <c r="J279" s="54"/>
      <c r="K279" s="54"/>
      <c r="L279" s="366"/>
      <c r="M279" s="367"/>
      <c r="N279" s="363"/>
      <c r="O279" s="363"/>
      <c r="P279" s="363"/>
      <c r="Q279" s="363"/>
      <c r="R279" s="54"/>
      <c r="S279" s="54"/>
      <c r="T279" s="70"/>
      <c r="U279" s="70"/>
      <c r="V279" s="70"/>
      <c r="W279" s="70"/>
      <c r="X279" s="70"/>
      <c r="Y279" s="71"/>
    </row>
    <row r="280" spans="1:25">
      <c r="A280" s="54"/>
      <c r="B280" s="369"/>
      <c r="C280" s="54"/>
      <c r="D280" s="54"/>
      <c r="E280" s="54"/>
      <c r="F280" s="54"/>
      <c r="G280" s="54"/>
      <c r="H280" s="54"/>
      <c r="I280" s="54"/>
      <c r="J280" s="54"/>
      <c r="K280" s="54"/>
      <c r="L280" s="366"/>
      <c r="M280" s="367"/>
      <c r="N280" s="363"/>
      <c r="O280" s="363"/>
      <c r="P280" s="363"/>
      <c r="Q280" s="363"/>
      <c r="R280" s="54"/>
      <c r="S280" s="54"/>
      <c r="T280" s="70"/>
      <c r="U280" s="70"/>
      <c r="V280" s="70"/>
      <c r="W280" s="70"/>
      <c r="X280" s="70"/>
      <c r="Y280" s="71"/>
    </row>
    <row r="281" spans="1:25">
      <c r="A281" s="54"/>
      <c r="B281" s="369"/>
      <c r="C281" s="54"/>
      <c r="D281" s="54"/>
      <c r="E281" s="54"/>
      <c r="F281" s="54"/>
      <c r="G281" s="54"/>
      <c r="H281" s="54"/>
      <c r="I281" s="54"/>
      <c r="J281" s="54"/>
      <c r="K281" s="54"/>
      <c r="L281" s="366"/>
      <c r="M281" s="367"/>
      <c r="N281" s="363"/>
      <c r="O281" s="363"/>
      <c r="P281" s="363"/>
      <c r="Q281" s="363"/>
      <c r="R281" s="54"/>
      <c r="S281" s="54"/>
      <c r="T281" s="70"/>
      <c r="U281" s="70"/>
      <c r="V281" s="70"/>
      <c r="W281" s="70"/>
      <c r="X281" s="70"/>
      <c r="Y281" s="71"/>
    </row>
    <row r="282" spans="1:25">
      <c r="A282" s="54"/>
      <c r="B282" s="365"/>
      <c r="C282" s="54"/>
      <c r="D282" s="54"/>
      <c r="E282" s="54"/>
      <c r="F282" s="54"/>
      <c r="G282" s="54"/>
      <c r="H282" s="54"/>
      <c r="I282" s="54"/>
      <c r="J282" s="54"/>
      <c r="K282" s="54"/>
      <c r="L282" s="366"/>
      <c r="M282" s="367"/>
      <c r="N282" s="363"/>
      <c r="O282" s="363"/>
      <c r="P282" s="363"/>
      <c r="Q282" s="363"/>
      <c r="R282" s="54"/>
      <c r="S282" s="371"/>
      <c r="T282" s="70"/>
      <c r="U282" s="70"/>
      <c r="V282" s="70"/>
      <c r="W282" s="70"/>
      <c r="X282" s="70"/>
      <c r="Y282" s="71"/>
    </row>
    <row r="283" spans="1:25">
      <c r="A283" s="54"/>
      <c r="B283" s="365"/>
      <c r="C283" s="54"/>
      <c r="D283" s="54"/>
      <c r="E283" s="54"/>
      <c r="F283" s="54"/>
      <c r="G283" s="54"/>
      <c r="H283" s="54"/>
      <c r="I283" s="54"/>
      <c r="J283" s="54"/>
      <c r="K283" s="54"/>
      <c r="L283" s="366"/>
      <c r="M283" s="367"/>
      <c r="N283" s="363"/>
      <c r="O283" s="363"/>
      <c r="P283" s="363"/>
      <c r="Q283" s="363"/>
      <c r="R283" s="54"/>
      <c r="S283" s="371"/>
      <c r="T283" s="70"/>
      <c r="U283" s="70"/>
      <c r="V283" s="70"/>
      <c r="W283" s="70"/>
      <c r="X283" s="70"/>
      <c r="Y283" s="71"/>
    </row>
    <row r="284" spans="1:25">
      <c r="A284" s="54"/>
      <c r="B284" s="365"/>
      <c r="C284" s="54"/>
      <c r="D284" s="54"/>
      <c r="E284" s="54"/>
      <c r="F284" s="54"/>
      <c r="G284" s="54"/>
      <c r="H284" s="54"/>
      <c r="I284" s="54"/>
      <c r="J284" s="54"/>
      <c r="K284" s="54"/>
      <c r="L284" s="366"/>
      <c r="M284" s="367"/>
      <c r="N284" s="363"/>
      <c r="O284" s="363"/>
      <c r="P284" s="363"/>
      <c r="Q284" s="363"/>
      <c r="R284" s="54"/>
      <c r="S284" s="371"/>
      <c r="T284" s="70"/>
      <c r="U284" s="70"/>
      <c r="V284" s="70"/>
      <c r="W284" s="70"/>
      <c r="X284" s="70"/>
      <c r="Y284" s="71"/>
    </row>
    <row r="285" spans="1:25">
      <c r="A285" s="54"/>
      <c r="B285" s="365"/>
      <c r="C285" s="54"/>
      <c r="D285" s="54"/>
      <c r="E285" s="54"/>
      <c r="F285" s="54"/>
      <c r="G285" s="54"/>
      <c r="H285" s="54"/>
      <c r="I285" s="54"/>
      <c r="J285" s="54"/>
      <c r="K285" s="54"/>
      <c r="L285" s="366"/>
      <c r="M285" s="367"/>
      <c r="N285" s="363"/>
      <c r="O285" s="363"/>
      <c r="P285" s="363"/>
      <c r="Q285" s="363"/>
      <c r="R285" s="54"/>
      <c r="S285" s="371"/>
      <c r="T285" s="70"/>
      <c r="U285" s="70"/>
      <c r="V285" s="70"/>
      <c r="W285" s="70"/>
      <c r="X285" s="70"/>
      <c r="Y285" s="71"/>
    </row>
    <row r="286" spans="1:25">
      <c r="A286" s="54"/>
      <c r="B286" s="365"/>
      <c r="C286" s="54"/>
      <c r="D286" s="54"/>
      <c r="E286" s="54"/>
      <c r="F286" s="54"/>
      <c r="G286" s="54"/>
      <c r="H286" s="54"/>
      <c r="I286" s="54"/>
      <c r="J286" s="54"/>
      <c r="K286" s="54"/>
      <c r="L286" s="366"/>
      <c r="M286" s="367"/>
      <c r="N286" s="363"/>
      <c r="O286" s="363"/>
      <c r="P286" s="363"/>
      <c r="Q286" s="363"/>
      <c r="R286" s="54"/>
      <c r="S286" s="371"/>
      <c r="T286" s="70"/>
      <c r="U286" s="70"/>
      <c r="V286" s="70"/>
      <c r="W286" s="70"/>
      <c r="X286" s="70"/>
      <c r="Y286" s="71"/>
    </row>
    <row r="287" spans="1:25">
      <c r="A287" s="54"/>
      <c r="B287" s="365"/>
      <c r="C287" s="54"/>
      <c r="D287" s="54"/>
      <c r="E287" s="54"/>
      <c r="F287" s="54"/>
      <c r="G287" s="54"/>
      <c r="H287" s="54"/>
      <c r="I287" s="54"/>
      <c r="J287" s="54"/>
      <c r="K287" s="54"/>
      <c r="L287" s="366"/>
      <c r="M287" s="367"/>
      <c r="N287" s="363"/>
      <c r="O287" s="363"/>
      <c r="P287" s="363"/>
      <c r="Q287" s="363"/>
      <c r="R287" s="54"/>
      <c r="S287" s="371"/>
      <c r="T287" s="70"/>
      <c r="U287" s="70"/>
      <c r="V287" s="70"/>
      <c r="W287" s="70"/>
      <c r="X287" s="70"/>
      <c r="Y287" s="71"/>
    </row>
    <row r="288" spans="1:25">
      <c r="A288" s="54"/>
      <c r="B288" s="365"/>
      <c r="C288" s="54"/>
      <c r="D288" s="54"/>
      <c r="E288" s="54"/>
      <c r="F288" s="54"/>
      <c r="G288" s="54"/>
      <c r="H288" s="54"/>
      <c r="I288" s="54"/>
      <c r="J288" s="54"/>
      <c r="K288" s="54"/>
      <c r="L288" s="366"/>
      <c r="M288" s="367"/>
      <c r="N288" s="363"/>
      <c r="O288" s="363"/>
      <c r="P288" s="363"/>
      <c r="Q288" s="363"/>
      <c r="R288" s="54"/>
      <c r="S288" s="371"/>
      <c r="T288" s="70"/>
      <c r="U288" s="70"/>
      <c r="V288" s="70"/>
      <c r="W288" s="70"/>
      <c r="X288" s="70"/>
      <c r="Y288" s="71"/>
    </row>
    <row r="289" spans="1:25">
      <c r="A289" s="54"/>
      <c r="B289" s="365"/>
      <c r="C289" s="54"/>
      <c r="D289" s="54"/>
      <c r="E289" s="54"/>
      <c r="F289" s="54"/>
      <c r="G289" s="54"/>
      <c r="H289" s="54"/>
      <c r="I289" s="54"/>
      <c r="J289" s="54"/>
      <c r="K289" s="54"/>
      <c r="L289" s="366"/>
      <c r="M289" s="367"/>
      <c r="N289" s="363"/>
      <c r="O289" s="363"/>
      <c r="P289" s="363"/>
      <c r="Q289" s="363"/>
      <c r="R289" s="54"/>
      <c r="S289" s="371"/>
      <c r="T289" s="70"/>
      <c r="U289" s="70"/>
      <c r="V289" s="70"/>
      <c r="W289" s="70"/>
      <c r="X289" s="70"/>
      <c r="Y289" s="71"/>
    </row>
    <row r="290" spans="1:25">
      <c r="A290" s="54"/>
      <c r="B290" s="365"/>
      <c r="C290" s="54"/>
      <c r="D290" s="54"/>
      <c r="E290" s="54"/>
      <c r="F290" s="54"/>
      <c r="G290" s="54"/>
      <c r="H290" s="54"/>
      <c r="I290" s="54"/>
      <c r="J290" s="54"/>
      <c r="K290" s="54"/>
      <c r="L290" s="366"/>
      <c r="M290" s="367"/>
      <c r="N290" s="363"/>
      <c r="O290" s="363"/>
      <c r="P290" s="363"/>
      <c r="Q290" s="363"/>
      <c r="R290" s="54"/>
      <c r="S290" s="371"/>
      <c r="T290" s="70"/>
      <c r="U290" s="70"/>
      <c r="V290" s="70"/>
      <c r="W290" s="70"/>
      <c r="X290" s="70"/>
      <c r="Y290" s="71"/>
    </row>
    <row r="291" spans="1:25">
      <c r="A291" s="54"/>
      <c r="B291" s="365"/>
      <c r="C291" s="54"/>
      <c r="D291" s="54"/>
      <c r="E291" s="54"/>
      <c r="F291" s="54"/>
      <c r="G291" s="54"/>
      <c r="H291" s="54"/>
      <c r="I291" s="54"/>
      <c r="J291" s="54"/>
      <c r="K291" s="54"/>
      <c r="L291" s="366"/>
      <c r="M291" s="367"/>
      <c r="N291" s="363"/>
      <c r="O291" s="363"/>
      <c r="P291" s="363"/>
      <c r="Q291" s="363"/>
      <c r="R291" s="54"/>
      <c r="S291" s="371"/>
      <c r="T291" s="70"/>
      <c r="U291" s="70"/>
      <c r="V291" s="70"/>
      <c r="W291" s="70"/>
      <c r="X291" s="70"/>
      <c r="Y291" s="71"/>
    </row>
    <row r="292" spans="1:25">
      <c r="A292" s="54"/>
      <c r="B292" s="365"/>
      <c r="C292" s="54"/>
      <c r="D292" s="54"/>
      <c r="E292" s="54"/>
      <c r="F292" s="54"/>
      <c r="G292" s="54"/>
      <c r="H292" s="54"/>
      <c r="I292" s="54"/>
      <c r="J292" s="54"/>
      <c r="K292" s="54"/>
      <c r="L292" s="366"/>
      <c r="M292" s="367"/>
      <c r="N292" s="363"/>
      <c r="O292" s="363"/>
      <c r="P292" s="363"/>
      <c r="Q292" s="363"/>
      <c r="R292" s="54"/>
      <c r="S292" s="371"/>
      <c r="T292" s="70"/>
      <c r="U292" s="70"/>
      <c r="V292" s="70"/>
      <c r="W292" s="70"/>
      <c r="X292" s="70"/>
      <c r="Y292" s="71"/>
    </row>
    <row r="293" spans="1:25">
      <c r="A293" s="54"/>
      <c r="B293" s="365"/>
      <c r="C293" s="54"/>
      <c r="D293" s="54"/>
      <c r="E293" s="54"/>
      <c r="F293" s="54"/>
      <c r="G293" s="54"/>
      <c r="H293" s="54"/>
      <c r="I293" s="54"/>
      <c r="J293" s="54"/>
      <c r="K293" s="54"/>
      <c r="L293" s="366"/>
      <c r="M293" s="367"/>
      <c r="N293" s="363"/>
      <c r="O293" s="363"/>
      <c r="P293" s="363"/>
      <c r="Q293" s="363"/>
      <c r="R293" s="54"/>
      <c r="S293" s="371"/>
      <c r="T293" s="70"/>
      <c r="U293" s="70"/>
      <c r="V293" s="70"/>
      <c r="W293" s="70"/>
      <c r="X293" s="70"/>
      <c r="Y293" s="71"/>
    </row>
    <row r="294" spans="1:25">
      <c r="A294" s="54"/>
      <c r="B294" s="365"/>
      <c r="C294" s="54"/>
      <c r="D294" s="54"/>
      <c r="E294" s="54"/>
      <c r="F294" s="54"/>
      <c r="G294" s="54"/>
      <c r="H294" s="54"/>
      <c r="I294" s="54"/>
      <c r="J294" s="54"/>
      <c r="K294" s="54"/>
      <c r="L294" s="366"/>
      <c r="M294" s="367"/>
      <c r="N294" s="363"/>
      <c r="O294" s="363"/>
      <c r="P294" s="363"/>
      <c r="Q294" s="363"/>
      <c r="R294" s="54"/>
      <c r="S294" s="371"/>
      <c r="T294" s="70"/>
      <c r="U294" s="70"/>
      <c r="V294" s="70"/>
      <c r="W294" s="70"/>
      <c r="X294" s="70"/>
      <c r="Y294" s="71"/>
    </row>
    <row r="295" spans="1:25">
      <c r="A295" s="54"/>
      <c r="B295" s="365"/>
      <c r="C295" s="54"/>
      <c r="D295" s="54"/>
      <c r="E295" s="54"/>
      <c r="F295" s="54"/>
      <c r="G295" s="54"/>
      <c r="H295" s="54"/>
      <c r="I295" s="54"/>
      <c r="J295" s="54"/>
      <c r="K295" s="54"/>
      <c r="L295" s="366"/>
      <c r="M295" s="367"/>
      <c r="N295" s="363"/>
      <c r="O295" s="363"/>
      <c r="P295" s="363"/>
      <c r="Q295" s="363"/>
      <c r="R295" s="54"/>
      <c r="S295" s="371"/>
      <c r="T295" s="70"/>
      <c r="U295" s="70"/>
      <c r="V295" s="70"/>
      <c r="W295" s="70"/>
      <c r="X295" s="70"/>
      <c r="Y295" s="71"/>
    </row>
    <row r="296" spans="1:25">
      <c r="A296" s="54"/>
      <c r="B296" s="365"/>
      <c r="C296" s="54"/>
      <c r="D296" s="54"/>
      <c r="E296" s="54"/>
      <c r="F296" s="54"/>
      <c r="G296" s="54"/>
      <c r="H296" s="54"/>
      <c r="I296" s="54"/>
      <c r="J296" s="54"/>
      <c r="K296" s="54"/>
      <c r="L296" s="366"/>
      <c r="M296" s="367"/>
      <c r="N296" s="363"/>
      <c r="O296" s="363"/>
      <c r="P296" s="363"/>
      <c r="Q296" s="363"/>
      <c r="R296" s="54"/>
      <c r="S296" s="371"/>
      <c r="T296" s="70"/>
      <c r="U296" s="70"/>
      <c r="V296" s="70"/>
      <c r="W296" s="70"/>
      <c r="X296" s="70"/>
      <c r="Y296" s="71"/>
    </row>
    <row r="297" spans="1:25">
      <c r="A297" s="372"/>
      <c r="B297" s="70"/>
      <c r="C297" s="373"/>
      <c r="D297" s="373"/>
      <c r="E297" s="373"/>
      <c r="F297" s="373"/>
      <c r="G297" s="373"/>
      <c r="H297" s="373"/>
      <c r="I297" s="373"/>
      <c r="J297" s="373"/>
      <c r="K297" s="373"/>
      <c r="L297" s="373"/>
      <c r="M297" s="374"/>
      <c r="N297" s="375"/>
      <c r="O297" s="375"/>
      <c r="P297" s="375"/>
      <c r="Q297" s="375"/>
      <c r="R297" s="373"/>
      <c r="S297" s="70"/>
      <c r="T297" s="70"/>
      <c r="U297" s="70"/>
      <c r="V297" s="70"/>
      <c r="W297" s="70"/>
      <c r="X297" s="70"/>
      <c r="Y297" s="71"/>
    </row>
    <row r="298" spans="1:25">
      <c r="A298" s="372"/>
      <c r="B298" s="70"/>
      <c r="C298" s="373"/>
      <c r="D298" s="373"/>
      <c r="E298" s="373"/>
      <c r="F298" s="373"/>
      <c r="G298" s="373"/>
      <c r="H298" s="373"/>
      <c r="I298" s="373"/>
      <c r="J298" s="373"/>
      <c r="K298" s="373"/>
      <c r="L298" s="373"/>
      <c r="M298" s="374"/>
      <c r="N298" s="375"/>
      <c r="O298" s="375"/>
      <c r="P298" s="375"/>
      <c r="Q298" s="375"/>
      <c r="R298" s="373"/>
      <c r="S298" s="70"/>
      <c r="T298" s="70"/>
      <c r="U298" s="70"/>
      <c r="V298" s="70"/>
      <c r="W298" s="70"/>
      <c r="X298" s="70"/>
      <c r="Y298" s="71"/>
    </row>
    <row r="299" spans="1:25">
      <c r="A299" s="372"/>
      <c r="B299" s="70"/>
      <c r="C299" s="373"/>
      <c r="D299" s="373"/>
      <c r="E299" s="373"/>
      <c r="F299" s="373"/>
      <c r="G299" s="373"/>
      <c r="H299" s="373"/>
      <c r="I299" s="373"/>
      <c r="J299" s="373"/>
      <c r="K299" s="373"/>
      <c r="L299" s="373"/>
      <c r="M299" s="374"/>
      <c r="N299" s="375"/>
      <c r="O299" s="375"/>
      <c r="P299" s="375"/>
      <c r="Q299" s="375"/>
      <c r="R299" s="373"/>
      <c r="S299" s="70"/>
      <c r="T299" s="70"/>
      <c r="U299" s="70"/>
      <c r="V299" s="70"/>
      <c r="W299" s="70"/>
      <c r="X299" s="70"/>
      <c r="Y299" s="71"/>
    </row>
    <row r="300" spans="1:25">
      <c r="A300" s="372"/>
      <c r="B300" s="70"/>
      <c r="C300" s="373"/>
      <c r="D300" s="373"/>
      <c r="E300" s="373"/>
      <c r="F300" s="373"/>
      <c r="G300" s="373"/>
      <c r="H300" s="373"/>
      <c r="I300" s="373"/>
      <c r="J300" s="373"/>
      <c r="K300" s="373"/>
      <c r="L300" s="373"/>
      <c r="M300" s="374"/>
      <c r="N300" s="375"/>
      <c r="O300" s="375"/>
      <c r="P300" s="375"/>
      <c r="Q300" s="375"/>
      <c r="R300" s="373"/>
      <c r="S300" s="70"/>
      <c r="T300" s="70"/>
      <c r="U300" s="70"/>
      <c r="V300" s="70"/>
      <c r="W300" s="70"/>
      <c r="X300" s="70"/>
      <c r="Y300" s="71"/>
    </row>
    <row r="301" spans="1:25">
      <c r="A301" s="372"/>
      <c r="B301" s="70"/>
      <c r="C301" s="373"/>
      <c r="D301" s="373"/>
      <c r="E301" s="373"/>
      <c r="F301" s="373"/>
      <c r="G301" s="373"/>
      <c r="H301" s="373"/>
      <c r="I301" s="373"/>
      <c r="J301" s="373"/>
      <c r="K301" s="373"/>
      <c r="L301" s="373"/>
      <c r="M301" s="374"/>
      <c r="N301" s="375"/>
      <c r="O301" s="375"/>
      <c r="P301" s="375"/>
      <c r="Q301" s="375"/>
      <c r="R301" s="373"/>
      <c r="S301" s="70"/>
      <c r="T301" s="70"/>
      <c r="U301" s="70"/>
      <c r="V301" s="70"/>
      <c r="W301" s="70"/>
      <c r="X301" s="70"/>
      <c r="Y301" s="71"/>
    </row>
    <row r="302" spans="1:25">
      <c r="A302" s="372"/>
      <c r="B302" s="70"/>
      <c r="C302" s="373"/>
      <c r="D302" s="373"/>
      <c r="E302" s="373"/>
      <c r="F302" s="373"/>
      <c r="G302" s="373"/>
      <c r="H302" s="373"/>
      <c r="I302" s="373"/>
      <c r="J302" s="373"/>
      <c r="K302" s="373"/>
      <c r="L302" s="373"/>
      <c r="M302" s="374"/>
      <c r="N302" s="375"/>
      <c r="O302" s="375"/>
      <c r="P302" s="375"/>
      <c r="Q302" s="375"/>
      <c r="R302" s="373"/>
      <c r="S302" s="70"/>
      <c r="T302" s="70"/>
      <c r="U302" s="70"/>
      <c r="V302" s="70"/>
      <c r="W302" s="70"/>
      <c r="X302" s="70"/>
      <c r="Y302" s="71"/>
    </row>
    <row r="303" spans="1:25">
      <c r="A303" s="372"/>
      <c r="B303" s="70"/>
      <c r="C303" s="373"/>
      <c r="D303" s="373"/>
      <c r="E303" s="373"/>
      <c r="F303" s="373"/>
      <c r="G303" s="373"/>
      <c r="H303" s="373"/>
      <c r="I303" s="373"/>
      <c r="J303" s="373"/>
      <c r="K303" s="373"/>
      <c r="L303" s="373"/>
      <c r="M303" s="374"/>
      <c r="N303" s="375"/>
      <c r="O303" s="375"/>
      <c r="P303" s="375"/>
      <c r="Q303" s="375"/>
      <c r="R303" s="373"/>
      <c r="S303" s="70"/>
      <c r="T303" s="70"/>
      <c r="U303" s="70"/>
      <c r="V303" s="70"/>
      <c r="W303" s="70"/>
      <c r="X303" s="70"/>
      <c r="Y303" s="71"/>
    </row>
    <row r="304" spans="1:25">
      <c r="A304" s="372"/>
      <c r="B304" s="70"/>
      <c r="C304" s="373"/>
      <c r="D304" s="373"/>
      <c r="E304" s="373"/>
      <c r="F304" s="373"/>
      <c r="G304" s="373"/>
      <c r="H304" s="373"/>
      <c r="I304" s="373"/>
      <c r="J304" s="373"/>
      <c r="K304" s="373"/>
      <c r="L304" s="373"/>
      <c r="M304" s="374"/>
      <c r="N304" s="375"/>
      <c r="O304" s="375"/>
      <c r="P304" s="375"/>
      <c r="Q304" s="375"/>
      <c r="R304" s="373"/>
      <c r="S304" s="70"/>
      <c r="T304" s="70"/>
      <c r="U304" s="70"/>
      <c r="V304" s="70"/>
      <c r="W304" s="70"/>
      <c r="X304" s="70"/>
      <c r="Y304" s="71"/>
    </row>
    <row r="305" spans="1:25">
      <c r="A305" s="372"/>
      <c r="B305" s="70"/>
      <c r="C305" s="373"/>
      <c r="D305" s="373"/>
      <c r="E305" s="373"/>
      <c r="F305" s="373"/>
      <c r="G305" s="373"/>
      <c r="H305" s="373"/>
      <c r="I305" s="373"/>
      <c r="J305" s="373"/>
      <c r="K305" s="373"/>
      <c r="L305" s="373"/>
      <c r="M305" s="374"/>
      <c r="N305" s="375"/>
      <c r="O305" s="375"/>
      <c r="P305" s="375"/>
      <c r="Q305" s="375"/>
      <c r="R305" s="373"/>
      <c r="S305" s="70"/>
      <c r="T305" s="70"/>
      <c r="U305" s="70"/>
      <c r="V305" s="70"/>
      <c r="W305" s="70"/>
      <c r="X305" s="70"/>
      <c r="Y305" s="71"/>
    </row>
    <row r="306" spans="1:25">
      <c r="A306" s="372"/>
      <c r="B306" s="70"/>
      <c r="C306" s="373"/>
      <c r="D306" s="373"/>
      <c r="E306" s="373"/>
      <c r="F306" s="373"/>
      <c r="G306" s="373"/>
      <c r="H306" s="373"/>
      <c r="I306" s="373"/>
      <c r="J306" s="373"/>
      <c r="K306" s="373"/>
      <c r="L306" s="373"/>
      <c r="M306" s="374"/>
      <c r="N306" s="375"/>
      <c r="O306" s="375"/>
      <c r="P306" s="375"/>
      <c r="Q306" s="375"/>
      <c r="R306" s="373"/>
      <c r="S306" s="70"/>
      <c r="T306" s="70"/>
      <c r="U306" s="70"/>
      <c r="V306" s="70"/>
      <c r="W306" s="70"/>
      <c r="X306" s="70"/>
      <c r="Y306" s="71"/>
    </row>
    <row r="307" spans="1:25">
      <c r="A307" s="372"/>
      <c r="B307" s="70"/>
      <c r="C307" s="373"/>
      <c r="D307" s="373"/>
      <c r="E307" s="373"/>
      <c r="F307" s="373"/>
      <c r="G307" s="373"/>
      <c r="H307" s="373"/>
      <c r="I307" s="373"/>
      <c r="J307" s="373"/>
      <c r="K307" s="373"/>
      <c r="L307" s="373"/>
      <c r="M307" s="374"/>
      <c r="N307" s="375"/>
      <c r="O307" s="375"/>
      <c r="P307" s="375"/>
      <c r="Q307" s="375"/>
      <c r="R307" s="373"/>
      <c r="S307" s="70"/>
      <c r="T307" s="70"/>
      <c r="U307" s="70"/>
      <c r="V307" s="70"/>
      <c r="W307" s="70"/>
      <c r="X307" s="70"/>
      <c r="Y307" s="71"/>
    </row>
    <row r="308" spans="1:25">
      <c r="A308" s="372"/>
      <c r="B308" s="70"/>
      <c r="C308" s="373"/>
      <c r="D308" s="373"/>
      <c r="E308" s="373"/>
      <c r="F308" s="373"/>
      <c r="G308" s="373"/>
      <c r="H308" s="373"/>
      <c r="I308" s="373"/>
      <c r="J308" s="373"/>
      <c r="K308" s="373"/>
      <c r="L308" s="373"/>
      <c r="M308" s="374"/>
      <c r="N308" s="375"/>
      <c r="O308" s="375"/>
      <c r="P308" s="375"/>
      <c r="Q308" s="375"/>
      <c r="R308" s="373"/>
      <c r="S308" s="70"/>
      <c r="T308" s="70"/>
      <c r="U308" s="70"/>
      <c r="V308" s="70"/>
      <c r="W308" s="70"/>
      <c r="X308" s="70"/>
      <c r="Y308" s="71"/>
    </row>
    <row r="309" spans="1:25">
      <c r="A309" s="372"/>
      <c r="B309" s="70"/>
      <c r="C309" s="373"/>
      <c r="D309" s="373"/>
      <c r="E309" s="373"/>
      <c r="F309" s="373"/>
      <c r="G309" s="373"/>
      <c r="H309" s="373"/>
      <c r="I309" s="373"/>
      <c r="J309" s="373"/>
      <c r="K309" s="373"/>
      <c r="L309" s="373"/>
      <c r="M309" s="374"/>
      <c r="N309" s="375"/>
      <c r="O309" s="375"/>
      <c r="P309" s="375"/>
      <c r="Q309" s="375"/>
      <c r="R309" s="373"/>
      <c r="S309" s="70"/>
      <c r="T309" s="70"/>
      <c r="U309" s="70"/>
      <c r="V309" s="70"/>
      <c r="W309" s="70"/>
      <c r="X309" s="70"/>
      <c r="Y309" s="71"/>
    </row>
    <row r="310" spans="1:25">
      <c r="A310" s="372"/>
      <c r="B310" s="70"/>
      <c r="C310" s="373"/>
      <c r="D310" s="373"/>
      <c r="E310" s="373"/>
      <c r="F310" s="373"/>
      <c r="G310" s="373"/>
      <c r="H310" s="373"/>
      <c r="I310" s="373"/>
      <c r="J310" s="373"/>
      <c r="K310" s="373"/>
      <c r="L310" s="373"/>
      <c r="M310" s="374"/>
      <c r="N310" s="375"/>
      <c r="O310" s="375"/>
      <c r="P310" s="375"/>
      <c r="Q310" s="375"/>
      <c r="R310" s="373"/>
      <c r="S310" s="70"/>
      <c r="T310" s="70"/>
      <c r="U310" s="70"/>
      <c r="V310" s="70"/>
      <c r="W310" s="70"/>
      <c r="X310" s="70"/>
      <c r="Y310" s="71"/>
    </row>
    <row r="311" spans="1:25">
      <c r="A311" s="372"/>
      <c r="B311" s="70"/>
      <c r="C311" s="373"/>
      <c r="D311" s="373"/>
      <c r="E311" s="373"/>
      <c r="F311" s="373"/>
      <c r="G311" s="373"/>
      <c r="H311" s="373"/>
      <c r="I311" s="373"/>
      <c r="J311" s="373"/>
      <c r="K311" s="373"/>
      <c r="L311" s="373"/>
      <c r="M311" s="374"/>
      <c r="N311" s="375"/>
      <c r="O311" s="375"/>
      <c r="P311" s="375"/>
      <c r="Q311" s="375"/>
      <c r="R311" s="373"/>
      <c r="S311" s="70"/>
      <c r="T311" s="70"/>
      <c r="U311" s="70"/>
      <c r="V311" s="70"/>
      <c r="W311" s="70"/>
      <c r="X311" s="70"/>
      <c r="Y311" s="71"/>
    </row>
    <row r="312" spans="1:25">
      <c r="A312" s="372"/>
      <c r="B312" s="70"/>
      <c r="C312" s="373"/>
      <c r="D312" s="373"/>
      <c r="E312" s="373"/>
      <c r="F312" s="373"/>
      <c r="G312" s="373"/>
      <c r="H312" s="373"/>
      <c r="I312" s="373"/>
      <c r="J312" s="373"/>
      <c r="K312" s="373"/>
      <c r="L312" s="373"/>
      <c r="M312" s="374"/>
      <c r="N312" s="375"/>
      <c r="O312" s="375"/>
      <c r="P312" s="375"/>
      <c r="Q312" s="375"/>
      <c r="R312" s="373"/>
      <c r="S312" s="70"/>
      <c r="T312" s="70"/>
      <c r="U312" s="70"/>
      <c r="V312" s="70"/>
      <c r="W312" s="70"/>
      <c r="X312" s="70"/>
      <c r="Y312" s="71"/>
    </row>
    <row r="313" spans="1:25">
      <c r="A313" s="372"/>
      <c r="B313" s="373"/>
      <c r="C313" s="373"/>
      <c r="D313" s="373"/>
      <c r="E313" s="373"/>
      <c r="F313" s="373"/>
      <c r="G313" s="373"/>
      <c r="H313" s="373"/>
      <c r="I313" s="373"/>
      <c r="J313" s="373"/>
      <c r="K313" s="373"/>
      <c r="L313" s="373"/>
      <c r="M313" s="374"/>
      <c r="N313" s="375"/>
      <c r="O313" s="375"/>
      <c r="P313" s="375"/>
      <c r="Q313" s="375"/>
      <c r="R313" s="373"/>
      <c r="S313" s="70"/>
      <c r="T313" s="70"/>
      <c r="U313" s="70"/>
      <c r="V313" s="70"/>
      <c r="W313" s="70"/>
      <c r="X313" s="70"/>
      <c r="Y313" s="71"/>
    </row>
    <row r="314" spans="1:25">
      <c r="A314" s="372"/>
      <c r="B314" s="373"/>
      <c r="C314" s="373"/>
      <c r="D314" s="373"/>
      <c r="E314" s="373"/>
      <c r="F314" s="373"/>
      <c r="G314" s="373"/>
      <c r="H314" s="373"/>
      <c r="I314" s="373"/>
      <c r="J314" s="373"/>
      <c r="K314" s="373"/>
      <c r="L314" s="373"/>
      <c r="M314" s="374"/>
      <c r="N314" s="375"/>
      <c r="O314" s="375"/>
      <c r="P314" s="375"/>
      <c r="Q314" s="375"/>
      <c r="R314" s="373"/>
      <c r="S314" s="70"/>
      <c r="T314" s="70"/>
      <c r="U314" s="70"/>
      <c r="V314" s="70"/>
      <c r="W314" s="70"/>
      <c r="X314" s="70"/>
      <c r="Y314" s="71"/>
    </row>
    <row r="315" spans="1:25">
      <c r="A315" s="372"/>
      <c r="B315" s="373"/>
      <c r="C315" s="373"/>
      <c r="D315" s="373"/>
      <c r="E315" s="373"/>
      <c r="F315" s="373"/>
      <c r="G315" s="373"/>
      <c r="H315" s="373"/>
      <c r="I315" s="373"/>
      <c r="J315" s="373"/>
      <c r="K315" s="373"/>
      <c r="L315" s="373"/>
      <c r="M315" s="374"/>
      <c r="N315" s="375"/>
      <c r="O315" s="375"/>
      <c r="P315" s="375"/>
      <c r="Q315" s="375"/>
      <c r="R315" s="373"/>
      <c r="S315" s="70"/>
      <c r="T315" s="70"/>
      <c r="U315" s="70"/>
      <c r="V315" s="70"/>
      <c r="W315" s="70"/>
      <c r="X315" s="70"/>
      <c r="Y315" s="71"/>
    </row>
    <row r="316" spans="1:25">
      <c r="A316" s="372"/>
      <c r="B316" s="373"/>
      <c r="C316" s="373"/>
      <c r="D316" s="373"/>
      <c r="E316" s="373"/>
      <c r="F316" s="373"/>
      <c r="G316" s="373"/>
      <c r="H316" s="373"/>
      <c r="I316" s="373"/>
      <c r="J316" s="373"/>
      <c r="K316" s="373"/>
      <c r="L316" s="373"/>
      <c r="M316" s="374"/>
      <c r="N316" s="375"/>
      <c r="O316" s="375"/>
      <c r="P316" s="375"/>
      <c r="Q316" s="375"/>
      <c r="R316" s="373"/>
      <c r="S316" s="70"/>
      <c r="T316" s="70"/>
      <c r="U316" s="70"/>
      <c r="V316" s="70"/>
      <c r="W316" s="70"/>
      <c r="X316" s="70"/>
      <c r="Y316" s="71"/>
    </row>
    <row r="317" spans="1:25">
      <c r="A317" s="372"/>
      <c r="B317" s="373"/>
      <c r="C317" s="373"/>
      <c r="D317" s="373"/>
      <c r="E317" s="373"/>
      <c r="F317" s="373"/>
      <c r="G317" s="373"/>
      <c r="H317" s="373"/>
      <c r="I317" s="373"/>
      <c r="J317" s="373"/>
      <c r="K317" s="373"/>
      <c r="L317" s="373"/>
      <c r="M317" s="374"/>
      <c r="N317" s="375"/>
      <c r="O317" s="375"/>
      <c r="P317" s="375"/>
      <c r="Q317" s="375"/>
      <c r="R317" s="373"/>
      <c r="S317" s="70"/>
      <c r="T317" s="70"/>
      <c r="U317" s="70"/>
      <c r="V317" s="70"/>
      <c r="W317" s="70"/>
      <c r="X317" s="70"/>
      <c r="Y317" s="71"/>
    </row>
    <row r="318" spans="1:25">
      <c r="A318" s="372"/>
      <c r="B318" s="373"/>
      <c r="C318" s="373"/>
      <c r="D318" s="373"/>
      <c r="E318" s="373"/>
      <c r="F318" s="373"/>
      <c r="G318" s="373"/>
      <c r="H318" s="373"/>
      <c r="I318" s="373"/>
      <c r="J318" s="373"/>
      <c r="K318" s="373"/>
      <c r="L318" s="373"/>
      <c r="M318" s="374"/>
      <c r="N318" s="375"/>
      <c r="O318" s="375"/>
      <c r="P318" s="375"/>
      <c r="Q318" s="375"/>
      <c r="R318" s="373"/>
      <c r="S318" s="70"/>
      <c r="T318" s="70"/>
      <c r="U318" s="70"/>
      <c r="V318" s="70"/>
      <c r="W318" s="70"/>
      <c r="X318" s="70"/>
      <c r="Y318" s="71"/>
    </row>
    <row r="319" spans="1:25">
      <c r="A319" s="372"/>
      <c r="B319" s="373"/>
      <c r="C319" s="373"/>
      <c r="D319" s="373"/>
      <c r="E319" s="373"/>
      <c r="F319" s="373"/>
      <c r="G319" s="373"/>
      <c r="H319" s="373"/>
      <c r="I319" s="373"/>
      <c r="J319" s="373"/>
      <c r="K319" s="373"/>
      <c r="L319" s="373"/>
      <c r="M319" s="374"/>
      <c r="N319" s="375"/>
      <c r="O319" s="375"/>
      <c r="P319" s="375"/>
      <c r="Q319" s="375"/>
      <c r="R319" s="373"/>
      <c r="S319" s="70"/>
      <c r="T319" s="70"/>
      <c r="U319" s="70"/>
      <c r="V319" s="70"/>
      <c r="W319" s="70"/>
      <c r="X319" s="70"/>
      <c r="Y319" s="71"/>
    </row>
    <row r="320" spans="1:25">
      <c r="A320" s="372"/>
      <c r="B320" s="373"/>
      <c r="C320" s="373"/>
      <c r="D320" s="373"/>
      <c r="E320" s="373"/>
      <c r="F320" s="373"/>
      <c r="G320" s="373"/>
      <c r="H320" s="373"/>
      <c r="I320" s="373"/>
      <c r="J320" s="373"/>
      <c r="K320" s="373"/>
      <c r="L320" s="373"/>
      <c r="M320" s="374"/>
      <c r="N320" s="375"/>
      <c r="O320" s="375"/>
      <c r="P320" s="375"/>
      <c r="Q320" s="375"/>
      <c r="R320" s="373"/>
      <c r="S320" s="70"/>
      <c r="T320" s="70"/>
      <c r="U320" s="70"/>
      <c r="V320" s="70"/>
      <c r="W320" s="70"/>
      <c r="X320" s="70"/>
      <c r="Y320" s="71"/>
    </row>
    <row r="321" spans="1:25">
      <c r="A321" s="372"/>
      <c r="B321" s="373"/>
      <c r="C321" s="373"/>
      <c r="D321" s="373"/>
      <c r="E321" s="373"/>
      <c r="F321" s="373"/>
      <c r="G321" s="373"/>
      <c r="H321" s="373"/>
      <c r="I321" s="373"/>
      <c r="J321" s="373"/>
      <c r="K321" s="373"/>
      <c r="L321" s="373"/>
      <c r="M321" s="374"/>
      <c r="N321" s="375"/>
      <c r="O321" s="375"/>
      <c r="P321" s="375"/>
      <c r="Q321" s="375"/>
      <c r="R321" s="373"/>
      <c r="S321" s="70"/>
      <c r="T321" s="70"/>
      <c r="U321" s="70"/>
      <c r="V321" s="70"/>
      <c r="W321" s="70"/>
      <c r="X321" s="70"/>
      <c r="Y321" s="71"/>
    </row>
    <row r="322" spans="1:25">
      <c r="A322" s="372"/>
      <c r="B322" s="373"/>
      <c r="C322" s="373"/>
      <c r="D322" s="373"/>
      <c r="E322" s="373"/>
      <c r="F322" s="373"/>
      <c r="G322" s="373"/>
      <c r="H322" s="373"/>
      <c r="I322" s="373"/>
      <c r="J322" s="373"/>
      <c r="K322" s="373"/>
      <c r="L322" s="373"/>
      <c r="M322" s="374"/>
      <c r="N322" s="375"/>
      <c r="O322" s="375"/>
      <c r="P322" s="375"/>
      <c r="Q322" s="375"/>
      <c r="R322" s="373"/>
      <c r="S322" s="70"/>
      <c r="T322" s="70"/>
      <c r="U322" s="70"/>
      <c r="V322" s="70"/>
      <c r="W322" s="70"/>
      <c r="X322" s="70"/>
      <c r="Y322" s="71"/>
    </row>
    <row r="323" spans="1:25">
      <c r="A323" s="372"/>
      <c r="B323" s="373"/>
      <c r="C323" s="373"/>
      <c r="D323" s="373"/>
      <c r="E323" s="373"/>
      <c r="F323" s="373"/>
      <c r="G323" s="373"/>
      <c r="H323" s="373"/>
      <c r="I323" s="373"/>
      <c r="J323" s="373"/>
      <c r="K323" s="373"/>
      <c r="L323" s="373"/>
      <c r="M323" s="374"/>
      <c r="N323" s="375"/>
      <c r="O323" s="375"/>
      <c r="P323" s="375"/>
      <c r="Q323" s="375"/>
      <c r="R323" s="373"/>
      <c r="S323" s="70"/>
      <c r="T323" s="70"/>
      <c r="U323" s="70"/>
      <c r="V323" s="70"/>
      <c r="W323" s="70"/>
      <c r="X323" s="70"/>
      <c r="Y323" s="71"/>
    </row>
    <row r="324" spans="1:25">
      <c r="A324" s="372"/>
      <c r="B324" s="373"/>
      <c r="C324" s="373"/>
      <c r="D324" s="373"/>
      <c r="E324" s="373"/>
      <c r="F324" s="373"/>
      <c r="G324" s="373"/>
      <c r="H324" s="373"/>
      <c r="I324" s="373"/>
      <c r="J324" s="373"/>
      <c r="K324" s="373"/>
      <c r="L324" s="373"/>
      <c r="M324" s="374"/>
      <c r="N324" s="375"/>
      <c r="O324" s="375"/>
      <c r="P324" s="375"/>
      <c r="Q324" s="375"/>
      <c r="R324" s="373"/>
      <c r="S324" s="70"/>
      <c r="T324" s="70"/>
      <c r="U324" s="70"/>
      <c r="V324" s="70"/>
      <c r="W324" s="70"/>
      <c r="X324" s="70"/>
      <c r="Y324" s="71"/>
    </row>
    <row r="325" spans="1:25">
      <c r="A325" s="372"/>
      <c r="B325" s="373"/>
      <c r="C325" s="373"/>
      <c r="D325" s="373"/>
      <c r="E325" s="373"/>
      <c r="F325" s="373"/>
      <c r="G325" s="373"/>
      <c r="H325" s="373"/>
      <c r="I325" s="373"/>
      <c r="J325" s="373"/>
      <c r="K325" s="373"/>
      <c r="L325" s="373"/>
      <c r="M325" s="374"/>
      <c r="N325" s="375"/>
      <c r="O325" s="375"/>
      <c r="P325" s="375"/>
      <c r="Q325" s="375"/>
      <c r="R325" s="373"/>
      <c r="S325" s="70"/>
      <c r="T325" s="70"/>
      <c r="U325" s="70"/>
      <c r="V325" s="70"/>
      <c r="W325" s="70"/>
      <c r="X325" s="70"/>
      <c r="Y325" s="71"/>
    </row>
    <row r="326" spans="1:25">
      <c r="A326" s="372"/>
      <c r="B326" s="373"/>
      <c r="C326" s="373"/>
      <c r="D326" s="373"/>
      <c r="E326" s="373"/>
      <c r="F326" s="373"/>
      <c r="G326" s="373"/>
      <c r="H326" s="373"/>
      <c r="I326" s="373"/>
      <c r="J326" s="373"/>
      <c r="K326" s="373"/>
      <c r="L326" s="373"/>
      <c r="M326" s="374"/>
      <c r="N326" s="375"/>
      <c r="O326" s="375"/>
      <c r="P326" s="375"/>
      <c r="Q326" s="375"/>
      <c r="R326" s="373"/>
      <c r="S326" s="70"/>
      <c r="T326" s="70"/>
      <c r="U326" s="70"/>
      <c r="V326" s="70"/>
      <c r="W326" s="70"/>
      <c r="X326" s="70"/>
      <c r="Y326" s="71"/>
    </row>
    <row r="327" spans="1:25">
      <c r="A327" s="372"/>
      <c r="B327" s="373"/>
      <c r="C327" s="373"/>
      <c r="D327" s="373"/>
      <c r="E327" s="373"/>
      <c r="F327" s="373"/>
      <c r="G327" s="373"/>
      <c r="H327" s="373"/>
      <c r="I327" s="373"/>
      <c r="J327" s="373"/>
      <c r="K327" s="373"/>
      <c r="L327" s="373"/>
      <c r="M327" s="374"/>
      <c r="N327" s="375"/>
      <c r="O327" s="375"/>
      <c r="P327" s="375"/>
      <c r="Q327" s="375"/>
      <c r="R327" s="373"/>
      <c r="S327" s="70"/>
      <c r="T327" s="70"/>
      <c r="U327" s="70"/>
      <c r="V327" s="70"/>
      <c r="W327" s="70"/>
      <c r="X327" s="70"/>
      <c r="Y327" s="71"/>
    </row>
    <row r="328" spans="1:25">
      <c r="A328" s="372"/>
      <c r="B328" s="373"/>
      <c r="C328" s="373"/>
      <c r="D328" s="373"/>
      <c r="E328" s="373"/>
      <c r="F328" s="373"/>
      <c r="G328" s="373"/>
      <c r="H328" s="373"/>
      <c r="I328" s="373"/>
      <c r="J328" s="373"/>
      <c r="K328" s="373"/>
      <c r="L328" s="373"/>
      <c r="M328" s="374"/>
      <c r="N328" s="375"/>
      <c r="O328" s="375"/>
      <c r="P328" s="375"/>
      <c r="Q328" s="375"/>
      <c r="R328" s="373"/>
      <c r="S328" s="70"/>
      <c r="T328" s="70"/>
      <c r="U328" s="70"/>
      <c r="V328" s="70"/>
      <c r="W328" s="70"/>
      <c r="X328" s="70"/>
      <c r="Y328" s="71"/>
    </row>
    <row r="329" spans="1:25">
      <c r="A329" s="372"/>
      <c r="B329" s="373"/>
      <c r="C329" s="373"/>
      <c r="D329" s="373"/>
      <c r="E329" s="373"/>
      <c r="F329" s="373"/>
      <c r="G329" s="373"/>
      <c r="H329" s="373"/>
      <c r="I329" s="373"/>
      <c r="J329" s="373"/>
      <c r="K329" s="373"/>
      <c r="L329" s="373"/>
      <c r="M329" s="374"/>
      <c r="N329" s="375"/>
      <c r="O329" s="375"/>
      <c r="P329" s="375"/>
      <c r="Q329" s="375"/>
      <c r="R329" s="373"/>
      <c r="S329" s="70"/>
      <c r="T329" s="70"/>
      <c r="U329" s="70"/>
      <c r="V329" s="70"/>
      <c r="W329" s="70"/>
      <c r="X329" s="70"/>
      <c r="Y329" s="71"/>
    </row>
    <row r="330" spans="1:25">
      <c r="A330" s="372"/>
      <c r="B330" s="373"/>
      <c r="C330" s="373"/>
      <c r="D330" s="373"/>
      <c r="E330" s="373"/>
      <c r="F330" s="373"/>
      <c r="G330" s="373"/>
      <c r="H330" s="373"/>
      <c r="I330" s="373"/>
      <c r="J330" s="373"/>
      <c r="K330" s="373"/>
      <c r="L330" s="373"/>
      <c r="M330" s="374"/>
      <c r="N330" s="375"/>
      <c r="O330" s="375"/>
      <c r="P330" s="375"/>
      <c r="Q330" s="375"/>
      <c r="R330" s="373"/>
      <c r="S330" s="70"/>
      <c r="T330" s="70"/>
      <c r="U330" s="70"/>
      <c r="V330" s="70"/>
      <c r="W330" s="70"/>
      <c r="X330" s="70"/>
      <c r="Y330" s="71"/>
    </row>
    <row r="331" spans="1:25">
      <c r="A331" s="372"/>
      <c r="B331" s="373"/>
      <c r="C331" s="373"/>
      <c r="D331" s="373"/>
      <c r="E331" s="373"/>
      <c r="F331" s="373"/>
      <c r="G331" s="373"/>
      <c r="H331" s="373"/>
      <c r="I331" s="373"/>
      <c r="J331" s="373"/>
      <c r="K331" s="373"/>
      <c r="L331" s="373"/>
      <c r="M331" s="374"/>
      <c r="N331" s="375"/>
      <c r="O331" s="375"/>
      <c r="P331" s="375"/>
      <c r="Q331" s="375"/>
      <c r="R331" s="373"/>
      <c r="S331" s="70"/>
      <c r="T331" s="70"/>
      <c r="U331" s="70"/>
      <c r="V331" s="70"/>
      <c r="W331" s="70"/>
      <c r="X331" s="70"/>
      <c r="Y331" s="71"/>
    </row>
    <row r="332" spans="1:25">
      <c r="A332" s="372"/>
      <c r="B332" s="373"/>
      <c r="C332" s="373"/>
      <c r="D332" s="373"/>
      <c r="E332" s="373"/>
      <c r="F332" s="373"/>
      <c r="G332" s="373"/>
      <c r="H332" s="373"/>
      <c r="I332" s="373"/>
      <c r="J332" s="373"/>
      <c r="K332" s="373"/>
      <c r="L332" s="373"/>
      <c r="M332" s="374"/>
      <c r="N332" s="375"/>
      <c r="O332" s="375"/>
      <c r="P332" s="375"/>
      <c r="Q332" s="375"/>
      <c r="R332" s="373"/>
      <c r="S332" s="70"/>
      <c r="T332" s="70"/>
      <c r="U332" s="70"/>
      <c r="V332" s="70"/>
      <c r="W332" s="70"/>
      <c r="X332" s="70"/>
      <c r="Y332" s="71"/>
    </row>
    <row r="333" spans="1:25">
      <c r="A333" s="372"/>
      <c r="B333" s="373"/>
      <c r="C333" s="373"/>
      <c r="D333" s="373"/>
      <c r="E333" s="373"/>
      <c r="F333" s="373"/>
      <c r="G333" s="373"/>
      <c r="H333" s="373"/>
      <c r="I333" s="373"/>
      <c r="J333" s="373"/>
      <c r="K333" s="373"/>
      <c r="L333" s="373"/>
      <c r="M333" s="374"/>
      <c r="N333" s="375"/>
      <c r="O333" s="375"/>
      <c r="P333" s="375"/>
      <c r="Q333" s="375"/>
      <c r="R333" s="373"/>
      <c r="S333" s="70"/>
      <c r="T333" s="70"/>
      <c r="U333" s="70"/>
      <c r="V333" s="70"/>
      <c r="W333" s="70"/>
      <c r="X333" s="70"/>
      <c r="Y333" s="71"/>
    </row>
    <row r="334" spans="1:25">
      <c r="A334" s="372"/>
      <c r="B334" s="373"/>
      <c r="C334" s="373"/>
      <c r="D334" s="373"/>
      <c r="E334" s="373"/>
      <c r="F334" s="373"/>
      <c r="G334" s="373"/>
      <c r="H334" s="373"/>
      <c r="I334" s="373"/>
      <c r="J334" s="373"/>
      <c r="K334" s="373"/>
      <c r="L334" s="373"/>
      <c r="M334" s="374"/>
      <c r="N334" s="375"/>
      <c r="O334" s="375"/>
      <c r="P334" s="375"/>
      <c r="Q334" s="375"/>
      <c r="R334" s="373"/>
      <c r="S334" s="70"/>
      <c r="T334" s="70"/>
      <c r="U334" s="70"/>
      <c r="V334" s="70"/>
      <c r="W334" s="70"/>
      <c r="X334" s="70"/>
      <c r="Y334" s="71"/>
    </row>
    <row r="335" spans="1:25">
      <c r="A335" s="372"/>
      <c r="B335" s="373"/>
      <c r="C335" s="373"/>
      <c r="D335" s="373"/>
      <c r="E335" s="373"/>
      <c r="F335" s="373"/>
      <c r="G335" s="373"/>
      <c r="H335" s="373"/>
      <c r="I335" s="373"/>
      <c r="J335" s="373"/>
      <c r="K335" s="373"/>
      <c r="L335" s="373"/>
      <c r="M335" s="374"/>
      <c r="N335" s="375"/>
      <c r="O335" s="375"/>
      <c r="P335" s="375"/>
      <c r="Q335" s="375"/>
      <c r="R335" s="373"/>
      <c r="S335" s="70"/>
      <c r="T335" s="70"/>
      <c r="U335" s="70"/>
      <c r="V335" s="70"/>
      <c r="W335" s="70"/>
      <c r="X335" s="70"/>
      <c r="Y335" s="71"/>
    </row>
    <row r="336" spans="1:25">
      <c r="A336" s="372"/>
      <c r="B336" s="373"/>
      <c r="C336" s="373"/>
      <c r="D336" s="373"/>
      <c r="E336" s="373"/>
      <c r="F336" s="373"/>
      <c r="G336" s="373"/>
      <c r="H336" s="373"/>
      <c r="I336" s="373"/>
      <c r="J336" s="373"/>
      <c r="K336" s="373"/>
      <c r="L336" s="373"/>
      <c r="M336" s="374"/>
      <c r="N336" s="375"/>
      <c r="O336" s="375"/>
      <c r="P336" s="375"/>
      <c r="Q336" s="375"/>
      <c r="R336" s="373"/>
      <c r="S336" s="70"/>
      <c r="T336" s="70"/>
      <c r="U336" s="70"/>
      <c r="V336" s="70"/>
      <c r="W336" s="70"/>
      <c r="X336" s="70"/>
      <c r="Y336" s="71"/>
    </row>
    <row r="337" spans="1:25">
      <c r="A337" s="372"/>
      <c r="B337" s="373"/>
      <c r="C337" s="373"/>
      <c r="D337" s="373"/>
      <c r="E337" s="373"/>
      <c r="F337" s="373"/>
      <c r="G337" s="373"/>
      <c r="H337" s="373"/>
      <c r="I337" s="373"/>
      <c r="J337" s="373"/>
      <c r="K337" s="373"/>
      <c r="L337" s="373"/>
      <c r="M337" s="374"/>
      <c r="N337" s="375"/>
      <c r="O337" s="375"/>
      <c r="P337" s="375"/>
      <c r="Q337" s="375"/>
      <c r="R337" s="373"/>
      <c r="S337" s="70"/>
      <c r="T337" s="70"/>
      <c r="U337" s="70"/>
      <c r="V337" s="70"/>
      <c r="W337" s="70"/>
      <c r="X337" s="70"/>
      <c r="Y337" s="71"/>
    </row>
    <row r="338" spans="1:25">
      <c r="A338" s="372"/>
      <c r="B338" s="373"/>
      <c r="C338" s="373"/>
      <c r="D338" s="373"/>
      <c r="E338" s="373"/>
      <c r="F338" s="373"/>
      <c r="G338" s="373"/>
      <c r="H338" s="373"/>
      <c r="I338" s="373"/>
      <c r="J338" s="373"/>
      <c r="K338" s="373"/>
      <c r="L338" s="373"/>
      <c r="M338" s="374"/>
      <c r="N338" s="375"/>
      <c r="O338" s="375"/>
      <c r="P338" s="375"/>
      <c r="Q338" s="375"/>
      <c r="R338" s="373"/>
      <c r="S338" s="70"/>
      <c r="T338" s="70"/>
      <c r="U338" s="70"/>
      <c r="V338" s="70"/>
      <c r="W338" s="70"/>
      <c r="X338" s="70"/>
      <c r="Y338" s="71"/>
    </row>
    <row r="339" spans="1:25">
      <c r="A339" s="372"/>
      <c r="B339" s="373"/>
      <c r="C339" s="373"/>
      <c r="D339" s="373"/>
      <c r="E339" s="373"/>
      <c r="F339" s="373"/>
      <c r="G339" s="373"/>
      <c r="H339" s="373"/>
      <c r="I339" s="373"/>
      <c r="J339" s="373"/>
      <c r="K339" s="373"/>
      <c r="L339" s="373"/>
      <c r="M339" s="374"/>
      <c r="N339" s="375"/>
      <c r="O339" s="375"/>
      <c r="P339" s="375"/>
      <c r="Q339" s="375"/>
      <c r="R339" s="373"/>
      <c r="S339" s="70"/>
      <c r="T339" s="70"/>
      <c r="U339" s="70"/>
      <c r="V339" s="70"/>
      <c r="W339" s="70"/>
      <c r="X339" s="70"/>
      <c r="Y339" s="71"/>
    </row>
    <row r="340" spans="1:25">
      <c r="A340" s="372"/>
      <c r="B340" s="373"/>
      <c r="C340" s="373"/>
      <c r="D340" s="373"/>
      <c r="E340" s="373"/>
      <c r="F340" s="373"/>
      <c r="G340" s="373"/>
      <c r="H340" s="373"/>
      <c r="I340" s="373"/>
      <c r="J340" s="373"/>
      <c r="K340" s="373"/>
      <c r="L340" s="373"/>
      <c r="M340" s="374"/>
      <c r="N340" s="375"/>
      <c r="O340" s="375"/>
      <c r="P340" s="375"/>
      <c r="Q340" s="375"/>
      <c r="R340" s="373"/>
      <c r="S340" s="70"/>
      <c r="T340" s="70"/>
      <c r="U340" s="70"/>
      <c r="V340" s="70"/>
      <c r="W340" s="70"/>
      <c r="X340" s="70"/>
      <c r="Y340" s="71"/>
    </row>
    <row r="341" spans="1:25">
      <c r="A341" s="372"/>
      <c r="B341" s="373"/>
      <c r="C341" s="373"/>
      <c r="D341" s="373"/>
      <c r="E341" s="373"/>
      <c r="F341" s="373"/>
      <c r="G341" s="373"/>
      <c r="H341" s="373"/>
      <c r="I341" s="373"/>
      <c r="J341" s="373"/>
      <c r="K341" s="373"/>
      <c r="L341" s="373"/>
      <c r="M341" s="374"/>
      <c r="N341" s="375"/>
      <c r="O341" s="375"/>
      <c r="P341" s="375"/>
      <c r="Q341" s="375"/>
      <c r="R341" s="373"/>
      <c r="S341" s="70"/>
      <c r="T341" s="70"/>
      <c r="U341" s="70"/>
      <c r="V341" s="70"/>
      <c r="W341" s="70"/>
      <c r="X341" s="70"/>
      <c r="Y341" s="71"/>
    </row>
    <row r="342" spans="1:25">
      <c r="A342" s="372"/>
      <c r="B342" s="373"/>
      <c r="C342" s="373"/>
      <c r="D342" s="373"/>
      <c r="E342" s="373"/>
      <c r="F342" s="373"/>
      <c r="G342" s="373"/>
      <c r="H342" s="373"/>
      <c r="I342" s="373"/>
      <c r="J342" s="373"/>
      <c r="K342" s="373"/>
      <c r="L342" s="373"/>
      <c r="M342" s="374"/>
      <c r="N342" s="375"/>
      <c r="O342" s="375"/>
      <c r="P342" s="375"/>
      <c r="Q342" s="375"/>
      <c r="R342" s="241"/>
      <c r="S342" s="71"/>
      <c r="T342" s="71"/>
      <c r="U342" s="71"/>
      <c r="V342" s="71"/>
      <c r="W342" s="71"/>
      <c r="X342" s="71"/>
      <c r="Y342" s="71"/>
    </row>
    <row r="343" spans="1:25">
      <c r="A343" s="372"/>
      <c r="B343" s="373"/>
      <c r="C343" s="373"/>
      <c r="D343" s="373"/>
      <c r="E343" s="373"/>
      <c r="F343" s="373"/>
      <c r="G343" s="373"/>
      <c r="H343" s="373"/>
      <c r="I343" s="373"/>
      <c r="J343" s="373"/>
      <c r="K343" s="373"/>
      <c r="L343" s="373"/>
      <c r="M343" s="374"/>
      <c r="N343" s="375"/>
      <c r="O343" s="375"/>
      <c r="P343" s="375"/>
      <c r="Q343" s="375"/>
      <c r="R343" s="241"/>
      <c r="S343" s="71"/>
      <c r="T343" s="71"/>
      <c r="U343" s="71"/>
      <c r="V343" s="71"/>
      <c r="W343" s="71"/>
      <c r="X343" s="71"/>
      <c r="Y343" s="71"/>
    </row>
    <row r="344" spans="1:25">
      <c r="A344" s="372"/>
      <c r="B344" s="373"/>
      <c r="C344" s="373"/>
      <c r="D344" s="373"/>
      <c r="E344" s="373"/>
      <c r="F344" s="373"/>
      <c r="G344" s="373"/>
      <c r="H344" s="373"/>
      <c r="I344" s="373"/>
      <c r="J344" s="373"/>
      <c r="K344" s="373"/>
      <c r="L344" s="373"/>
      <c r="M344" s="374"/>
      <c r="N344" s="375"/>
      <c r="O344" s="375"/>
      <c r="P344" s="375"/>
      <c r="Q344" s="375"/>
      <c r="R344" s="241"/>
      <c r="S344" s="71"/>
      <c r="T344" s="71"/>
      <c r="U344" s="71"/>
      <c r="V344" s="71"/>
      <c r="W344" s="71"/>
      <c r="X344" s="71"/>
      <c r="Y344" s="71"/>
    </row>
    <row r="345" spans="1:25">
      <c r="A345" s="372"/>
      <c r="B345" s="373"/>
      <c r="C345" s="373"/>
      <c r="D345" s="373"/>
      <c r="E345" s="373"/>
      <c r="F345" s="373"/>
      <c r="G345" s="373"/>
      <c r="H345" s="373"/>
      <c r="I345" s="373"/>
      <c r="J345" s="373"/>
      <c r="K345" s="373"/>
      <c r="L345" s="373"/>
      <c r="M345" s="374"/>
      <c r="N345" s="375"/>
      <c r="O345" s="375"/>
      <c r="P345" s="375"/>
      <c r="Q345" s="375"/>
      <c r="R345" s="241"/>
      <c r="S345" s="71"/>
      <c r="T345" s="71"/>
      <c r="U345" s="71"/>
      <c r="V345" s="71"/>
      <c r="W345" s="71"/>
      <c r="X345" s="71"/>
      <c r="Y345" s="71"/>
    </row>
    <row r="346" spans="1:25">
      <c r="A346" s="372"/>
      <c r="B346" s="373"/>
      <c r="C346" s="373"/>
      <c r="D346" s="373"/>
      <c r="E346" s="373"/>
      <c r="F346" s="373"/>
      <c r="G346" s="373"/>
      <c r="H346" s="373"/>
      <c r="I346" s="373"/>
      <c r="J346" s="373"/>
      <c r="K346" s="373"/>
      <c r="L346" s="373"/>
      <c r="M346" s="374"/>
      <c r="N346" s="375"/>
      <c r="O346" s="375"/>
      <c r="P346" s="375"/>
      <c r="Q346" s="375"/>
      <c r="R346" s="241"/>
      <c r="S346" s="71"/>
      <c r="T346" s="71"/>
      <c r="U346" s="71"/>
      <c r="V346" s="71"/>
      <c r="W346" s="71"/>
      <c r="X346" s="71"/>
      <c r="Y346" s="71"/>
    </row>
    <row r="347" spans="1:25">
      <c r="A347" s="372"/>
      <c r="B347" s="373"/>
      <c r="C347" s="373"/>
      <c r="D347" s="373"/>
      <c r="E347" s="373"/>
      <c r="F347" s="373"/>
      <c r="G347" s="373"/>
      <c r="H347" s="373"/>
      <c r="I347" s="373"/>
      <c r="J347" s="373"/>
      <c r="K347" s="373"/>
      <c r="L347" s="373"/>
      <c r="M347" s="374"/>
      <c r="N347" s="375"/>
      <c r="O347" s="375"/>
      <c r="P347" s="375"/>
      <c r="Q347" s="375"/>
      <c r="R347" s="241"/>
      <c r="S347" s="71"/>
      <c r="T347" s="71"/>
      <c r="U347" s="71"/>
      <c r="V347" s="71"/>
      <c r="W347" s="71"/>
      <c r="X347" s="71"/>
      <c r="Y347" s="71"/>
    </row>
    <row r="348" spans="1:25">
      <c r="A348" s="372"/>
      <c r="B348" s="373"/>
      <c r="C348" s="373"/>
      <c r="D348" s="373"/>
      <c r="E348" s="373"/>
      <c r="F348" s="373"/>
      <c r="G348" s="373"/>
      <c r="H348" s="373"/>
      <c r="I348" s="373"/>
      <c r="J348" s="373"/>
      <c r="K348" s="373"/>
      <c r="L348" s="373"/>
      <c r="M348" s="374"/>
      <c r="N348" s="375"/>
      <c r="O348" s="375"/>
      <c r="P348" s="375"/>
      <c r="Q348" s="375"/>
      <c r="R348" s="241"/>
      <c r="S348" s="71"/>
      <c r="T348" s="71"/>
      <c r="U348" s="71"/>
      <c r="V348" s="71"/>
      <c r="W348" s="71"/>
      <c r="X348" s="71"/>
      <c r="Y348" s="71"/>
    </row>
    <row r="349" spans="1:25">
      <c r="A349" s="372"/>
      <c r="B349" s="373"/>
      <c r="C349" s="373"/>
      <c r="D349" s="373"/>
      <c r="E349" s="373"/>
      <c r="F349" s="373"/>
      <c r="G349" s="373"/>
      <c r="H349" s="373"/>
      <c r="I349" s="373"/>
      <c r="J349" s="373"/>
      <c r="K349" s="373"/>
      <c r="L349" s="373"/>
      <c r="M349" s="374"/>
      <c r="N349" s="375"/>
      <c r="O349" s="375"/>
      <c r="P349" s="375"/>
      <c r="Q349" s="375"/>
      <c r="R349" s="241"/>
      <c r="S349" s="71"/>
      <c r="T349" s="71"/>
      <c r="U349" s="71"/>
      <c r="V349" s="71"/>
      <c r="W349" s="71"/>
      <c r="X349" s="71"/>
      <c r="Y349" s="71"/>
    </row>
    <row r="350" spans="1:25">
      <c r="A350" s="372"/>
      <c r="B350" s="373"/>
      <c r="C350" s="373"/>
      <c r="D350" s="373"/>
      <c r="E350" s="373"/>
      <c r="F350" s="373"/>
      <c r="G350" s="373"/>
      <c r="H350" s="373"/>
      <c r="I350" s="373"/>
      <c r="J350" s="373"/>
      <c r="K350" s="373"/>
      <c r="L350" s="373"/>
      <c r="M350" s="374"/>
      <c r="N350" s="375"/>
      <c r="O350" s="375"/>
      <c r="P350" s="375"/>
      <c r="Q350" s="375"/>
      <c r="R350" s="241"/>
      <c r="S350" s="71"/>
      <c r="T350" s="71"/>
      <c r="U350" s="71"/>
      <c r="V350" s="71"/>
      <c r="W350" s="71"/>
      <c r="X350" s="71"/>
      <c r="Y350" s="71"/>
    </row>
    <row r="351" spans="1:25">
      <c r="A351" s="372"/>
      <c r="B351" s="373"/>
      <c r="C351" s="373"/>
      <c r="D351" s="373"/>
      <c r="E351" s="373"/>
      <c r="F351" s="373"/>
      <c r="G351" s="373"/>
      <c r="H351" s="373"/>
      <c r="I351" s="373"/>
      <c r="J351" s="373"/>
      <c r="K351" s="373"/>
      <c r="L351" s="373"/>
      <c r="M351" s="374"/>
      <c r="N351" s="375"/>
      <c r="O351" s="375"/>
      <c r="P351" s="375"/>
      <c r="Q351" s="375"/>
      <c r="R351" s="241"/>
      <c r="S351" s="71"/>
      <c r="T351" s="71"/>
      <c r="U351" s="71"/>
      <c r="V351" s="71"/>
      <c r="W351" s="71"/>
      <c r="X351" s="71"/>
      <c r="Y351" s="71"/>
    </row>
    <row r="352" spans="1:25">
      <c r="A352" s="372"/>
      <c r="B352" s="373"/>
      <c r="C352" s="373"/>
      <c r="D352" s="373"/>
      <c r="E352" s="373"/>
      <c r="F352" s="373"/>
      <c r="G352" s="373"/>
      <c r="H352" s="373"/>
      <c r="I352" s="373"/>
      <c r="J352" s="373"/>
      <c r="K352" s="373"/>
      <c r="L352" s="373"/>
      <c r="M352" s="374"/>
      <c r="N352" s="375"/>
      <c r="O352" s="375"/>
      <c r="P352" s="375"/>
      <c r="Q352" s="375"/>
      <c r="R352" s="241"/>
      <c r="S352" s="71"/>
      <c r="T352" s="71"/>
      <c r="U352" s="71"/>
      <c r="V352" s="71"/>
      <c r="W352" s="71"/>
      <c r="X352" s="71"/>
      <c r="Y352" s="71"/>
    </row>
    <row r="353" spans="1:25">
      <c r="A353" s="372"/>
      <c r="B353" s="373"/>
      <c r="C353" s="373"/>
      <c r="D353" s="373"/>
      <c r="E353" s="373"/>
      <c r="F353" s="373"/>
      <c r="G353" s="373"/>
      <c r="H353" s="373"/>
      <c r="I353" s="373"/>
      <c r="J353" s="373"/>
      <c r="K353" s="373"/>
      <c r="L353" s="373"/>
      <c r="M353" s="374"/>
      <c r="N353" s="375"/>
      <c r="O353" s="375"/>
      <c r="P353" s="375"/>
      <c r="Q353" s="375"/>
      <c r="R353" s="241"/>
      <c r="S353" s="71"/>
      <c r="T353" s="71"/>
      <c r="U353" s="71"/>
      <c r="V353" s="71"/>
      <c r="W353" s="71"/>
      <c r="X353" s="71"/>
      <c r="Y353" s="71"/>
    </row>
    <row r="354" spans="1:25">
      <c r="A354" s="372"/>
      <c r="B354" s="373"/>
      <c r="C354" s="373"/>
      <c r="D354" s="373"/>
      <c r="E354" s="373"/>
      <c r="F354" s="373"/>
      <c r="G354" s="373"/>
      <c r="H354" s="373"/>
      <c r="I354" s="373"/>
      <c r="J354" s="373"/>
      <c r="K354" s="373"/>
      <c r="L354" s="373"/>
      <c r="M354" s="374"/>
      <c r="N354" s="375"/>
      <c r="O354" s="375"/>
      <c r="P354" s="375"/>
      <c r="Q354" s="375"/>
      <c r="R354" s="241"/>
      <c r="S354" s="71"/>
      <c r="T354" s="71"/>
      <c r="U354" s="71"/>
      <c r="V354" s="71"/>
      <c r="W354" s="71"/>
      <c r="X354" s="71"/>
      <c r="Y354" s="71"/>
    </row>
    <row r="355" spans="1:25">
      <c r="A355" s="372"/>
      <c r="B355" s="373"/>
      <c r="C355" s="373"/>
      <c r="D355" s="373"/>
      <c r="E355" s="373"/>
      <c r="F355" s="373"/>
      <c r="G355" s="373"/>
      <c r="H355" s="373"/>
      <c r="I355" s="373"/>
      <c r="J355" s="373"/>
      <c r="K355" s="373"/>
      <c r="L355" s="373"/>
      <c r="M355" s="374"/>
      <c r="N355" s="375"/>
      <c r="O355" s="375"/>
      <c r="P355" s="375"/>
      <c r="Q355" s="375"/>
      <c r="R355" s="241"/>
      <c r="S355" s="71"/>
      <c r="T355" s="71"/>
      <c r="U355" s="71"/>
      <c r="V355" s="71"/>
      <c r="W355" s="71"/>
      <c r="X355" s="71"/>
      <c r="Y355" s="71"/>
    </row>
    <row r="356" spans="1:25">
      <c r="A356" s="372"/>
      <c r="B356" s="373"/>
      <c r="C356" s="373"/>
      <c r="D356" s="373"/>
      <c r="E356" s="373"/>
      <c r="F356" s="373"/>
      <c r="G356" s="373"/>
      <c r="H356" s="373"/>
      <c r="I356" s="373"/>
      <c r="J356" s="373"/>
      <c r="K356" s="373"/>
      <c r="L356" s="373"/>
      <c r="M356" s="374"/>
      <c r="N356" s="375"/>
      <c r="O356" s="375"/>
      <c r="P356" s="375"/>
      <c r="Q356" s="375"/>
      <c r="R356" s="241"/>
      <c r="S356" s="71"/>
      <c r="T356" s="71"/>
      <c r="U356" s="71"/>
      <c r="V356" s="71"/>
      <c r="W356" s="71"/>
      <c r="X356" s="71"/>
      <c r="Y356" s="71"/>
    </row>
    <row r="357" spans="1:25">
      <c r="A357" s="372"/>
      <c r="B357" s="373"/>
      <c r="C357" s="373"/>
      <c r="D357" s="373"/>
      <c r="E357" s="373"/>
      <c r="F357" s="373"/>
      <c r="G357" s="373"/>
      <c r="H357" s="373"/>
      <c r="I357" s="373"/>
      <c r="J357" s="373"/>
      <c r="K357" s="373"/>
      <c r="L357" s="373"/>
      <c r="M357" s="374"/>
      <c r="N357" s="375"/>
      <c r="O357" s="375"/>
      <c r="P357" s="375"/>
      <c r="Q357" s="375"/>
      <c r="R357" s="241"/>
      <c r="S357" s="71"/>
      <c r="T357" s="71"/>
      <c r="U357" s="71"/>
      <c r="V357" s="71"/>
      <c r="W357" s="71"/>
      <c r="X357" s="71"/>
      <c r="Y357" s="71"/>
    </row>
    <row r="358" spans="1:25">
      <c r="A358" s="372"/>
      <c r="B358" s="373"/>
      <c r="C358" s="373"/>
      <c r="D358" s="373"/>
      <c r="E358" s="373"/>
      <c r="F358" s="373"/>
      <c r="G358" s="373"/>
      <c r="H358" s="373"/>
      <c r="I358" s="373"/>
      <c r="J358" s="373"/>
      <c r="K358" s="373"/>
      <c r="L358" s="373"/>
      <c r="M358" s="374"/>
      <c r="N358" s="375"/>
      <c r="O358" s="375"/>
      <c r="P358" s="375"/>
      <c r="Q358" s="375"/>
      <c r="R358" s="241"/>
      <c r="S358" s="71"/>
      <c r="T358" s="71"/>
      <c r="U358" s="71"/>
      <c r="V358" s="71"/>
      <c r="W358" s="71"/>
      <c r="X358" s="71"/>
      <c r="Y358" s="71"/>
    </row>
    <row r="359" spans="1:25">
      <c r="A359" s="372"/>
      <c r="B359" s="373"/>
      <c r="C359" s="373"/>
      <c r="D359" s="373"/>
      <c r="E359" s="373"/>
      <c r="F359" s="373"/>
      <c r="G359" s="373"/>
      <c r="H359" s="373"/>
      <c r="I359" s="373"/>
      <c r="J359" s="373"/>
      <c r="K359" s="373"/>
      <c r="L359" s="373"/>
      <c r="M359" s="374"/>
      <c r="N359" s="375"/>
      <c r="O359" s="375"/>
      <c r="P359" s="375"/>
      <c r="Q359" s="375"/>
      <c r="R359" s="241"/>
      <c r="S359" s="71"/>
      <c r="T359" s="71"/>
      <c r="U359" s="71"/>
      <c r="V359" s="71"/>
      <c r="W359" s="71"/>
      <c r="X359" s="71"/>
      <c r="Y359" s="71"/>
    </row>
    <row r="360" spans="1:25">
      <c r="A360" s="372"/>
      <c r="B360" s="373"/>
      <c r="C360" s="373"/>
      <c r="D360" s="373"/>
      <c r="E360" s="373"/>
      <c r="F360" s="373"/>
      <c r="G360" s="373"/>
      <c r="H360" s="373"/>
      <c r="I360" s="373"/>
      <c r="J360" s="373"/>
      <c r="K360" s="373"/>
      <c r="L360" s="373"/>
      <c r="M360" s="374"/>
      <c r="N360" s="375"/>
      <c r="O360" s="375"/>
      <c r="P360" s="375"/>
      <c r="Q360" s="375"/>
      <c r="R360" s="241"/>
      <c r="S360" s="71"/>
      <c r="T360" s="71"/>
      <c r="U360" s="71"/>
      <c r="V360" s="71"/>
      <c r="W360" s="71"/>
      <c r="X360" s="71"/>
      <c r="Y360" s="71"/>
    </row>
    <row r="361" spans="1:25">
      <c r="A361" s="372"/>
      <c r="B361" s="373"/>
      <c r="C361" s="373"/>
      <c r="D361" s="373"/>
      <c r="E361" s="373"/>
      <c r="F361" s="373"/>
      <c r="G361" s="373"/>
      <c r="H361" s="373"/>
      <c r="I361" s="373"/>
      <c r="J361" s="373"/>
      <c r="K361" s="373"/>
      <c r="L361" s="373"/>
      <c r="M361" s="374"/>
      <c r="N361" s="375"/>
      <c r="O361" s="375"/>
      <c r="P361" s="375"/>
      <c r="Q361" s="375"/>
      <c r="R361" s="241"/>
      <c r="S361" s="71"/>
      <c r="T361" s="71"/>
      <c r="U361" s="71"/>
      <c r="V361" s="71"/>
      <c r="W361" s="71"/>
      <c r="X361" s="71"/>
      <c r="Y361" s="71"/>
    </row>
    <row r="362" spans="1:25">
      <c r="A362" s="372"/>
      <c r="B362" s="373"/>
      <c r="C362" s="373"/>
      <c r="D362" s="373"/>
      <c r="E362" s="373"/>
      <c r="F362" s="373"/>
      <c r="G362" s="373"/>
      <c r="H362" s="373"/>
      <c r="I362" s="373"/>
      <c r="J362" s="373"/>
      <c r="K362" s="373"/>
      <c r="L362" s="373"/>
      <c r="M362" s="374"/>
      <c r="N362" s="375"/>
      <c r="O362" s="375"/>
      <c r="P362" s="375"/>
      <c r="Q362" s="375"/>
      <c r="R362" s="241"/>
      <c r="S362" s="71"/>
      <c r="T362" s="71"/>
      <c r="U362" s="71"/>
      <c r="V362" s="71"/>
      <c r="W362" s="71"/>
      <c r="X362" s="71"/>
      <c r="Y362" s="71"/>
    </row>
    <row r="363" spans="1:25">
      <c r="A363" s="372"/>
      <c r="B363" s="373"/>
      <c r="C363" s="373"/>
      <c r="D363" s="373"/>
      <c r="E363" s="373"/>
      <c r="F363" s="373"/>
      <c r="G363" s="373"/>
      <c r="H363" s="373"/>
      <c r="I363" s="373"/>
      <c r="J363" s="373"/>
      <c r="K363" s="373"/>
      <c r="L363" s="373"/>
      <c r="M363" s="374"/>
      <c r="N363" s="375"/>
      <c r="O363" s="375"/>
      <c r="P363" s="375"/>
      <c r="Q363" s="375"/>
      <c r="R363" s="241"/>
      <c r="S363" s="71"/>
      <c r="T363" s="71"/>
      <c r="U363" s="71"/>
      <c r="V363" s="71"/>
      <c r="W363" s="71"/>
      <c r="X363" s="71"/>
      <c r="Y363" s="71"/>
    </row>
    <row r="364" spans="1:25">
      <c r="A364" s="372"/>
      <c r="B364" s="373"/>
      <c r="C364" s="373"/>
      <c r="D364" s="373"/>
      <c r="E364" s="373"/>
      <c r="F364" s="373"/>
      <c r="G364" s="373"/>
      <c r="H364" s="373"/>
      <c r="I364" s="373"/>
      <c r="J364" s="373"/>
      <c r="K364" s="373"/>
      <c r="L364" s="373"/>
      <c r="M364" s="374"/>
      <c r="N364" s="375"/>
      <c r="O364" s="375"/>
      <c r="P364" s="375"/>
      <c r="Q364" s="375"/>
      <c r="R364" s="241"/>
      <c r="S364" s="71"/>
      <c r="T364" s="71"/>
      <c r="U364" s="71"/>
      <c r="V364" s="71"/>
      <c r="W364" s="71"/>
      <c r="X364" s="71"/>
      <c r="Y364" s="71"/>
    </row>
    <row r="365" spans="1:25">
      <c r="A365" s="372"/>
      <c r="B365" s="373"/>
      <c r="C365" s="373"/>
      <c r="D365" s="373"/>
      <c r="E365" s="373"/>
      <c r="F365" s="373"/>
      <c r="G365" s="373"/>
      <c r="H365" s="373"/>
      <c r="I365" s="373"/>
      <c r="J365" s="373"/>
      <c r="K365" s="373"/>
      <c r="L365" s="373"/>
      <c r="M365" s="374"/>
      <c r="N365" s="375"/>
      <c r="O365" s="375"/>
      <c r="P365" s="375"/>
      <c r="Q365" s="375"/>
      <c r="R365" s="241"/>
      <c r="S365" s="71"/>
      <c r="T365" s="71"/>
      <c r="U365" s="71"/>
      <c r="V365" s="71"/>
      <c r="W365" s="71"/>
      <c r="X365" s="71"/>
      <c r="Y365" s="71"/>
    </row>
    <row r="366" spans="1:25">
      <c r="A366" s="372"/>
      <c r="B366" s="373"/>
      <c r="C366" s="373"/>
      <c r="D366" s="373"/>
      <c r="E366" s="373"/>
      <c r="F366" s="373"/>
      <c r="G366" s="373"/>
      <c r="H366" s="373"/>
      <c r="I366" s="373"/>
      <c r="J366" s="373"/>
      <c r="K366" s="373"/>
      <c r="L366" s="373"/>
      <c r="M366" s="374"/>
      <c r="N366" s="375"/>
      <c r="O366" s="375"/>
      <c r="P366" s="375"/>
      <c r="Q366" s="375"/>
      <c r="R366" s="241"/>
      <c r="S366" s="71"/>
      <c r="T366" s="71"/>
      <c r="U366" s="71"/>
      <c r="V366" s="71"/>
      <c r="W366" s="71"/>
      <c r="X366" s="71"/>
      <c r="Y366" s="71"/>
    </row>
    <row r="367" spans="1:25">
      <c r="A367" s="372"/>
      <c r="B367" s="373"/>
      <c r="C367" s="373"/>
      <c r="D367" s="373"/>
      <c r="E367" s="373"/>
      <c r="F367" s="373"/>
      <c r="G367" s="373"/>
      <c r="H367" s="373"/>
      <c r="I367" s="373"/>
      <c r="J367" s="373"/>
      <c r="K367" s="373"/>
      <c r="L367" s="373"/>
      <c r="M367" s="374"/>
      <c r="N367" s="375"/>
      <c r="O367" s="375"/>
      <c r="P367" s="375"/>
      <c r="Q367" s="375"/>
      <c r="R367" s="241"/>
      <c r="S367" s="71"/>
      <c r="T367" s="71"/>
      <c r="U367" s="71"/>
      <c r="V367" s="71"/>
      <c r="W367" s="71"/>
      <c r="X367" s="71"/>
      <c r="Y367" s="71"/>
    </row>
    <row r="368" spans="1:25">
      <c r="A368" s="372"/>
      <c r="B368" s="373"/>
      <c r="C368" s="373"/>
      <c r="D368" s="373"/>
      <c r="E368" s="373"/>
      <c r="F368" s="373"/>
      <c r="G368" s="373"/>
      <c r="H368" s="373"/>
      <c r="I368" s="373"/>
      <c r="J368" s="373"/>
      <c r="K368" s="373"/>
      <c r="L368" s="373"/>
      <c r="M368" s="374"/>
      <c r="N368" s="375"/>
      <c r="O368" s="375"/>
      <c r="P368" s="375"/>
      <c r="Q368" s="375"/>
      <c r="R368" s="241"/>
      <c r="S368" s="71"/>
      <c r="T368" s="71"/>
      <c r="U368" s="71"/>
      <c r="V368" s="71"/>
      <c r="W368" s="71"/>
      <c r="X368" s="71"/>
      <c r="Y368" s="71"/>
    </row>
    <row r="369" spans="1:25">
      <c r="A369" s="372"/>
      <c r="B369" s="373"/>
      <c r="C369" s="373"/>
      <c r="D369" s="373"/>
      <c r="E369" s="373"/>
      <c r="F369" s="373"/>
      <c r="G369" s="373"/>
      <c r="H369" s="373"/>
      <c r="I369" s="373"/>
      <c r="J369" s="373"/>
      <c r="K369" s="373"/>
      <c r="L369" s="373"/>
      <c r="M369" s="374"/>
      <c r="N369" s="375"/>
      <c r="O369" s="375"/>
      <c r="P369" s="375"/>
      <c r="Q369" s="375"/>
      <c r="R369" s="241"/>
      <c r="S369" s="71"/>
      <c r="T369" s="71"/>
      <c r="U369" s="71"/>
      <c r="V369" s="71"/>
      <c r="W369" s="71"/>
      <c r="X369" s="71"/>
      <c r="Y369" s="71"/>
    </row>
    <row r="370" spans="1:25">
      <c r="A370" s="372"/>
      <c r="B370" s="373"/>
      <c r="C370" s="373"/>
      <c r="D370" s="373"/>
      <c r="E370" s="373"/>
      <c r="F370" s="373"/>
      <c r="G370" s="373"/>
      <c r="H370" s="373"/>
      <c r="I370" s="373"/>
      <c r="J370" s="373"/>
      <c r="K370" s="373"/>
      <c r="L370" s="373"/>
      <c r="M370" s="374"/>
      <c r="N370" s="375"/>
      <c r="O370" s="375"/>
      <c r="P370" s="375"/>
      <c r="Q370" s="375"/>
      <c r="R370" s="241"/>
      <c r="S370" s="71"/>
      <c r="T370" s="71"/>
      <c r="U370" s="71"/>
      <c r="V370" s="71"/>
      <c r="W370" s="71"/>
      <c r="X370" s="71"/>
      <c r="Y370" s="71"/>
    </row>
    <row r="371" spans="1:25">
      <c r="A371" s="372"/>
      <c r="B371" s="373"/>
      <c r="C371" s="373"/>
      <c r="D371" s="373"/>
      <c r="E371" s="373"/>
      <c r="F371" s="373"/>
      <c r="G371" s="373"/>
      <c r="H371" s="373"/>
      <c r="I371" s="373"/>
      <c r="J371" s="373"/>
      <c r="K371" s="373"/>
      <c r="L371" s="373"/>
      <c r="M371" s="374"/>
      <c r="N371" s="375"/>
      <c r="O371" s="375"/>
      <c r="P371" s="375"/>
      <c r="Q371" s="375"/>
      <c r="R371" s="241"/>
      <c r="S371" s="71"/>
      <c r="T371" s="71"/>
      <c r="U371" s="71"/>
      <c r="V371" s="71"/>
      <c r="W371" s="71"/>
      <c r="X371" s="71"/>
      <c r="Y371" s="71"/>
    </row>
    <row r="372" spans="1:25">
      <c r="A372" s="372"/>
      <c r="B372" s="373"/>
      <c r="C372" s="373"/>
      <c r="D372" s="373"/>
      <c r="E372" s="373"/>
      <c r="F372" s="373"/>
      <c r="G372" s="373"/>
      <c r="H372" s="373"/>
      <c r="I372" s="373"/>
      <c r="J372" s="373"/>
      <c r="K372" s="373"/>
      <c r="L372" s="373"/>
      <c r="M372" s="374"/>
      <c r="N372" s="375"/>
      <c r="O372" s="375"/>
      <c r="P372" s="375"/>
      <c r="Q372" s="375"/>
      <c r="R372" s="241"/>
      <c r="S372" s="71"/>
      <c r="T372" s="71"/>
      <c r="U372" s="71"/>
      <c r="V372" s="71"/>
      <c r="W372" s="71"/>
      <c r="X372" s="71"/>
      <c r="Y372" s="71"/>
    </row>
    <row r="373" spans="1:25">
      <c r="A373" s="372"/>
      <c r="B373" s="373"/>
      <c r="C373" s="373"/>
      <c r="D373" s="373"/>
      <c r="E373" s="373"/>
      <c r="F373" s="373"/>
      <c r="G373" s="373"/>
      <c r="H373" s="373"/>
      <c r="I373" s="373"/>
      <c r="J373" s="373"/>
      <c r="K373" s="373"/>
      <c r="L373" s="373"/>
      <c r="M373" s="374"/>
      <c r="N373" s="375"/>
      <c r="O373" s="375"/>
      <c r="P373" s="375"/>
      <c r="Q373" s="375"/>
      <c r="R373" s="241"/>
      <c r="S373" s="71"/>
      <c r="T373" s="71"/>
      <c r="U373" s="71"/>
      <c r="V373" s="71"/>
      <c r="W373" s="71"/>
      <c r="X373" s="71"/>
      <c r="Y373" s="71"/>
    </row>
    <row r="374" spans="1:25">
      <c r="A374" s="372"/>
      <c r="B374" s="373"/>
      <c r="C374" s="373"/>
      <c r="D374" s="373"/>
      <c r="E374" s="373"/>
      <c r="F374" s="373"/>
      <c r="G374" s="373"/>
      <c r="H374" s="373"/>
      <c r="I374" s="373"/>
      <c r="J374" s="373"/>
      <c r="K374" s="373"/>
      <c r="L374" s="373"/>
      <c r="M374" s="374"/>
      <c r="N374" s="375"/>
      <c r="O374" s="375"/>
      <c r="P374" s="375"/>
      <c r="Q374" s="375"/>
      <c r="R374" s="241"/>
      <c r="S374" s="71"/>
      <c r="T374" s="71"/>
      <c r="U374" s="71"/>
      <c r="V374" s="71"/>
      <c r="W374" s="71"/>
      <c r="X374" s="71"/>
      <c r="Y374" s="71"/>
    </row>
    <row r="375" spans="1:25">
      <c r="A375" s="372"/>
      <c r="B375" s="373"/>
      <c r="C375" s="373"/>
      <c r="D375" s="373"/>
      <c r="E375" s="373"/>
      <c r="F375" s="373"/>
      <c r="G375" s="373"/>
      <c r="H375" s="373"/>
      <c r="I375" s="373"/>
      <c r="J375" s="373"/>
      <c r="K375" s="373"/>
      <c r="L375" s="373"/>
      <c r="M375" s="374"/>
      <c r="N375" s="375"/>
      <c r="O375" s="375"/>
      <c r="P375" s="375"/>
      <c r="Q375" s="375"/>
      <c r="R375" s="241"/>
      <c r="S375" s="71"/>
      <c r="T375" s="71"/>
      <c r="U375" s="71"/>
      <c r="V375" s="71"/>
      <c r="W375" s="71"/>
      <c r="X375" s="71"/>
      <c r="Y375" s="71"/>
    </row>
    <row r="376" spans="1:25">
      <c r="A376" s="372"/>
      <c r="B376" s="373"/>
      <c r="C376" s="373"/>
      <c r="D376" s="373"/>
      <c r="E376" s="373"/>
      <c r="F376" s="373"/>
      <c r="G376" s="373"/>
      <c r="H376" s="373"/>
      <c r="I376" s="373"/>
      <c r="J376" s="373"/>
      <c r="K376" s="373"/>
      <c r="L376" s="373"/>
      <c r="M376" s="374"/>
      <c r="N376" s="375"/>
      <c r="O376" s="375"/>
      <c r="P376" s="375"/>
      <c r="Q376" s="375"/>
      <c r="R376" s="241"/>
      <c r="S376" s="71"/>
      <c r="T376" s="71"/>
      <c r="U376" s="71"/>
      <c r="V376" s="71"/>
      <c r="W376" s="71"/>
      <c r="X376" s="71"/>
      <c r="Y376" s="71"/>
    </row>
    <row r="377" spans="1:25">
      <c r="A377" s="372"/>
      <c r="B377" s="373"/>
      <c r="C377" s="373"/>
      <c r="D377" s="373"/>
      <c r="E377" s="373"/>
      <c r="F377" s="373"/>
      <c r="G377" s="373"/>
      <c r="H377" s="373"/>
      <c r="I377" s="373"/>
      <c r="J377" s="373"/>
      <c r="K377" s="373"/>
      <c r="L377" s="373"/>
      <c r="M377" s="374"/>
      <c r="N377" s="375"/>
      <c r="O377" s="375"/>
      <c r="P377" s="375"/>
      <c r="Q377" s="375"/>
      <c r="R377" s="241"/>
      <c r="S377" s="71"/>
      <c r="T377" s="71"/>
      <c r="U377" s="71"/>
      <c r="V377" s="71"/>
      <c r="W377" s="71"/>
      <c r="X377" s="71"/>
      <c r="Y377" s="71"/>
    </row>
    <row r="378" spans="1:25">
      <c r="A378" s="372"/>
      <c r="B378" s="373"/>
      <c r="C378" s="373"/>
      <c r="D378" s="373"/>
      <c r="E378" s="373"/>
      <c r="F378" s="373"/>
      <c r="G378" s="373"/>
      <c r="H378" s="373"/>
      <c r="I378" s="373"/>
      <c r="J378" s="373"/>
      <c r="K378" s="373"/>
      <c r="L378" s="373"/>
      <c r="M378" s="374"/>
      <c r="N378" s="375"/>
      <c r="O378" s="375"/>
      <c r="P378" s="375"/>
      <c r="Q378" s="375"/>
      <c r="R378" s="241"/>
      <c r="S378" s="71"/>
      <c r="T378" s="71"/>
      <c r="U378" s="71"/>
      <c r="V378" s="71"/>
      <c r="W378" s="71"/>
      <c r="X378" s="71"/>
      <c r="Y378" s="71"/>
    </row>
    <row r="379" spans="1:25">
      <c r="A379" s="372"/>
      <c r="B379" s="373"/>
      <c r="C379" s="373"/>
      <c r="D379" s="373"/>
      <c r="E379" s="373"/>
      <c r="F379" s="373"/>
      <c r="G379" s="373"/>
      <c r="H379" s="373"/>
      <c r="I379" s="373"/>
      <c r="J379" s="373"/>
      <c r="K379" s="373"/>
      <c r="L379" s="373"/>
      <c r="M379" s="374"/>
      <c r="N379" s="375"/>
      <c r="O379" s="375"/>
      <c r="P379" s="375"/>
      <c r="Q379" s="375"/>
      <c r="R379" s="241"/>
      <c r="S379" s="71"/>
      <c r="T379" s="71"/>
      <c r="U379" s="71"/>
      <c r="V379" s="71"/>
      <c r="W379" s="71"/>
      <c r="X379" s="71"/>
      <c r="Y379" s="71"/>
    </row>
    <row r="380" spans="1:25">
      <c r="A380" s="372"/>
      <c r="B380" s="373"/>
      <c r="C380" s="373"/>
      <c r="D380" s="373"/>
      <c r="E380" s="373"/>
      <c r="F380" s="373"/>
      <c r="G380" s="373"/>
      <c r="H380" s="373"/>
      <c r="I380" s="373"/>
      <c r="J380" s="373"/>
      <c r="K380" s="373"/>
      <c r="L380" s="373"/>
      <c r="M380" s="374"/>
      <c r="N380" s="375"/>
      <c r="O380" s="375"/>
      <c r="P380" s="375"/>
      <c r="Q380" s="375"/>
      <c r="R380" s="241"/>
      <c r="S380" s="71"/>
      <c r="T380" s="71"/>
      <c r="U380" s="71"/>
      <c r="V380" s="71"/>
      <c r="W380" s="71"/>
      <c r="X380" s="71"/>
      <c r="Y380" s="71"/>
    </row>
    <row r="381" spans="1:25">
      <c r="A381" s="372"/>
      <c r="B381" s="373"/>
      <c r="C381" s="373"/>
      <c r="D381" s="373"/>
      <c r="E381" s="373"/>
      <c r="F381" s="373"/>
      <c r="G381" s="373"/>
      <c r="H381" s="373"/>
      <c r="I381" s="373"/>
      <c r="J381" s="373"/>
      <c r="K381" s="373"/>
      <c r="L381" s="373"/>
      <c r="M381" s="374"/>
      <c r="N381" s="375"/>
      <c r="O381" s="375"/>
      <c r="P381" s="375"/>
      <c r="Q381" s="375"/>
      <c r="R381" s="241"/>
      <c r="S381" s="71"/>
      <c r="T381" s="71"/>
      <c r="U381" s="71"/>
      <c r="V381" s="71"/>
      <c r="W381" s="71"/>
      <c r="X381" s="71"/>
      <c r="Y381" s="71"/>
    </row>
    <row r="382" spans="1:25">
      <c r="A382" s="372"/>
      <c r="B382" s="373"/>
      <c r="C382" s="373"/>
      <c r="D382" s="373"/>
      <c r="E382" s="373"/>
      <c r="F382" s="373"/>
      <c r="G382" s="373"/>
      <c r="H382" s="373"/>
      <c r="I382" s="373"/>
      <c r="J382" s="373"/>
      <c r="K382" s="373"/>
      <c r="L382" s="373"/>
      <c r="M382" s="374"/>
      <c r="N382" s="375"/>
      <c r="O382" s="375"/>
      <c r="P382" s="375"/>
      <c r="Q382" s="375"/>
      <c r="R382" s="241"/>
      <c r="S382" s="71"/>
      <c r="T382" s="71"/>
      <c r="U382" s="71"/>
      <c r="V382" s="71"/>
      <c r="W382" s="71"/>
      <c r="X382" s="71"/>
      <c r="Y382" s="71"/>
    </row>
    <row r="383" spans="1:25">
      <c r="A383" s="372"/>
      <c r="B383" s="373"/>
      <c r="C383" s="373"/>
      <c r="D383" s="373"/>
      <c r="E383" s="373"/>
      <c r="F383" s="373"/>
      <c r="G383" s="373"/>
      <c r="H383" s="373"/>
      <c r="I383" s="373"/>
      <c r="J383" s="373"/>
      <c r="K383" s="373"/>
      <c r="L383" s="373"/>
      <c r="M383" s="374"/>
      <c r="N383" s="375"/>
      <c r="O383" s="375"/>
      <c r="P383" s="375"/>
      <c r="Q383" s="375"/>
      <c r="R383" s="241"/>
      <c r="S383" s="71"/>
      <c r="T383" s="71"/>
      <c r="U383" s="71"/>
      <c r="V383" s="71"/>
      <c r="W383" s="71"/>
      <c r="X383" s="71"/>
      <c r="Y383" s="71"/>
    </row>
    <row r="384" spans="1:25">
      <c r="A384" s="372"/>
      <c r="B384" s="373"/>
      <c r="C384" s="373"/>
      <c r="D384" s="373"/>
      <c r="E384" s="373"/>
      <c r="F384" s="373"/>
      <c r="G384" s="373"/>
      <c r="H384" s="373"/>
      <c r="I384" s="373"/>
      <c r="J384" s="373"/>
      <c r="K384" s="373"/>
      <c r="L384" s="373"/>
      <c r="M384" s="374"/>
      <c r="N384" s="375"/>
      <c r="O384" s="375"/>
      <c r="P384" s="375"/>
      <c r="Q384" s="375"/>
      <c r="R384" s="241"/>
      <c r="S384" s="71"/>
      <c r="T384" s="71"/>
      <c r="U384" s="71"/>
      <c r="V384" s="71"/>
      <c r="W384" s="71"/>
      <c r="X384" s="71"/>
      <c r="Y384" s="71"/>
    </row>
    <row r="385" spans="1:25">
      <c r="A385" s="372"/>
      <c r="B385" s="373"/>
      <c r="C385" s="373"/>
      <c r="D385" s="373"/>
      <c r="E385" s="373"/>
      <c r="F385" s="373"/>
      <c r="G385" s="373"/>
      <c r="H385" s="373"/>
      <c r="I385" s="373"/>
      <c r="J385" s="373"/>
      <c r="K385" s="373"/>
      <c r="L385" s="373"/>
      <c r="M385" s="374"/>
      <c r="N385" s="375"/>
      <c r="O385" s="375"/>
      <c r="P385" s="375"/>
      <c r="Q385" s="375"/>
      <c r="R385" s="241"/>
      <c r="S385" s="71"/>
      <c r="T385" s="71"/>
      <c r="U385" s="71"/>
      <c r="V385" s="71"/>
      <c r="W385" s="71"/>
      <c r="X385" s="71"/>
      <c r="Y385" s="71"/>
    </row>
    <row r="386" spans="1:25">
      <c r="A386" s="372"/>
      <c r="B386" s="373"/>
      <c r="C386" s="373"/>
      <c r="D386" s="373"/>
      <c r="E386" s="373"/>
      <c r="F386" s="373"/>
      <c r="G386" s="373"/>
      <c r="H386" s="373"/>
      <c r="I386" s="373"/>
      <c r="J386" s="373"/>
      <c r="K386" s="373"/>
      <c r="L386" s="373"/>
      <c r="M386" s="374"/>
      <c r="N386" s="375"/>
      <c r="O386" s="375"/>
      <c r="P386" s="375"/>
      <c r="Q386" s="375"/>
      <c r="R386" s="241"/>
      <c r="S386" s="71"/>
      <c r="T386" s="71"/>
      <c r="U386" s="71"/>
      <c r="V386" s="71"/>
      <c r="W386" s="71"/>
      <c r="X386" s="71"/>
      <c r="Y386" s="71"/>
    </row>
    <row r="387" spans="1:25">
      <c r="A387" s="372"/>
      <c r="B387" s="373"/>
      <c r="C387" s="373"/>
      <c r="D387" s="373"/>
      <c r="E387" s="373"/>
      <c r="F387" s="373"/>
      <c r="G387" s="373"/>
      <c r="H387" s="373"/>
      <c r="I387" s="373"/>
      <c r="J387" s="373"/>
      <c r="K387" s="373"/>
      <c r="L387" s="373"/>
      <c r="M387" s="374"/>
      <c r="N387" s="375"/>
      <c r="O387" s="375"/>
      <c r="P387" s="375"/>
      <c r="Q387" s="375"/>
      <c r="R387" s="241"/>
      <c r="S387" s="71"/>
      <c r="T387" s="71"/>
      <c r="U387" s="71"/>
      <c r="V387" s="71"/>
      <c r="W387" s="71"/>
      <c r="X387" s="71"/>
      <c r="Y387" s="71"/>
    </row>
    <row r="388" spans="1:25">
      <c r="A388" s="372"/>
      <c r="B388" s="373"/>
      <c r="C388" s="373"/>
      <c r="D388" s="373"/>
      <c r="E388" s="373"/>
      <c r="F388" s="373"/>
      <c r="G388" s="373"/>
      <c r="H388" s="373"/>
      <c r="I388" s="373"/>
      <c r="J388" s="373"/>
      <c r="K388" s="373"/>
      <c r="L388" s="373"/>
      <c r="M388" s="374"/>
      <c r="N388" s="375"/>
      <c r="O388" s="375"/>
      <c r="P388" s="375"/>
      <c r="Q388" s="375"/>
      <c r="R388" s="241"/>
      <c r="S388" s="71"/>
      <c r="T388" s="71"/>
      <c r="U388" s="71"/>
      <c r="V388" s="71"/>
      <c r="W388" s="71"/>
      <c r="X388" s="71"/>
      <c r="Y388" s="71"/>
    </row>
    <row r="389" spans="1:25">
      <c r="A389" s="372"/>
      <c r="B389" s="373"/>
      <c r="C389" s="373"/>
      <c r="D389" s="373"/>
      <c r="E389" s="373"/>
      <c r="F389" s="373"/>
      <c r="G389" s="373"/>
      <c r="H389" s="373"/>
      <c r="I389" s="373"/>
      <c r="J389" s="373"/>
      <c r="K389" s="373"/>
      <c r="L389" s="373"/>
      <c r="M389" s="374"/>
      <c r="N389" s="375"/>
      <c r="O389" s="375"/>
      <c r="P389" s="375"/>
      <c r="Q389" s="375"/>
      <c r="R389" s="241"/>
      <c r="S389" s="71"/>
      <c r="T389" s="71"/>
      <c r="U389" s="71"/>
      <c r="V389" s="71"/>
      <c r="W389" s="71"/>
      <c r="X389" s="71"/>
      <c r="Y389" s="71"/>
    </row>
    <row r="390" spans="1:25">
      <c r="A390" s="372"/>
      <c r="B390" s="373"/>
      <c r="C390" s="373"/>
      <c r="D390" s="373"/>
      <c r="E390" s="373"/>
      <c r="F390" s="373"/>
      <c r="G390" s="373"/>
      <c r="H390" s="373"/>
      <c r="I390" s="373"/>
      <c r="J390" s="373"/>
      <c r="K390" s="373"/>
      <c r="L390" s="373"/>
      <c r="M390" s="374"/>
      <c r="N390" s="375"/>
      <c r="O390" s="375"/>
      <c r="P390" s="375"/>
      <c r="Q390" s="375"/>
      <c r="R390" s="241"/>
      <c r="S390" s="71"/>
      <c r="T390" s="71"/>
      <c r="U390" s="71"/>
      <c r="V390" s="71"/>
      <c r="W390" s="71"/>
      <c r="X390" s="71"/>
      <c r="Y390" s="71"/>
    </row>
    <row r="391" spans="1:25">
      <c r="A391" s="372"/>
      <c r="B391" s="373"/>
      <c r="C391" s="373"/>
      <c r="D391" s="373"/>
      <c r="E391" s="373"/>
      <c r="F391" s="373"/>
      <c r="G391" s="373"/>
      <c r="H391" s="373"/>
      <c r="I391" s="373"/>
      <c r="J391" s="373"/>
      <c r="K391" s="373"/>
      <c r="L391" s="373"/>
      <c r="M391" s="374"/>
      <c r="N391" s="375"/>
      <c r="O391" s="375"/>
      <c r="P391" s="375"/>
      <c r="Q391" s="375"/>
      <c r="R391" s="241"/>
      <c r="S391" s="71"/>
      <c r="T391" s="71"/>
      <c r="U391" s="71"/>
      <c r="V391" s="71"/>
      <c r="W391" s="71"/>
      <c r="X391" s="71"/>
      <c r="Y391" s="71"/>
    </row>
    <row r="392" spans="1:25">
      <c r="A392" s="372"/>
      <c r="B392" s="373"/>
      <c r="C392" s="373"/>
      <c r="D392" s="373"/>
      <c r="E392" s="373"/>
      <c r="F392" s="373"/>
      <c r="G392" s="373"/>
      <c r="H392" s="373"/>
      <c r="I392" s="373"/>
      <c r="J392" s="373"/>
      <c r="K392" s="373"/>
      <c r="L392" s="373"/>
      <c r="M392" s="374"/>
      <c r="N392" s="375"/>
      <c r="O392" s="375"/>
      <c r="P392" s="375"/>
      <c r="Q392" s="375"/>
      <c r="R392" s="241"/>
      <c r="S392" s="71"/>
      <c r="T392" s="71"/>
      <c r="U392" s="71"/>
      <c r="V392" s="71"/>
      <c r="W392" s="71"/>
      <c r="X392" s="71"/>
      <c r="Y392" s="71"/>
    </row>
    <row r="393" spans="1:25">
      <c r="A393" s="372"/>
      <c r="B393" s="373"/>
      <c r="C393" s="373"/>
      <c r="D393" s="373"/>
      <c r="E393" s="373"/>
      <c r="F393" s="373"/>
      <c r="G393" s="373"/>
      <c r="H393" s="373"/>
      <c r="I393" s="373"/>
      <c r="J393" s="373"/>
      <c r="K393" s="373"/>
      <c r="L393" s="373"/>
      <c r="M393" s="374"/>
      <c r="N393" s="375"/>
      <c r="O393" s="375"/>
      <c r="P393" s="375"/>
      <c r="Q393" s="375"/>
      <c r="R393" s="241"/>
      <c r="S393" s="71"/>
      <c r="T393" s="71"/>
      <c r="U393" s="71"/>
      <c r="V393" s="71"/>
      <c r="W393" s="71"/>
      <c r="X393" s="71"/>
      <c r="Y393" s="71"/>
    </row>
    <row r="394" spans="1:25">
      <c r="A394" s="372"/>
      <c r="B394" s="373"/>
      <c r="C394" s="373"/>
      <c r="D394" s="373"/>
      <c r="E394" s="373"/>
      <c r="F394" s="373"/>
      <c r="G394" s="373"/>
      <c r="H394" s="373"/>
      <c r="I394" s="373"/>
      <c r="J394" s="373"/>
      <c r="K394" s="373"/>
      <c r="L394" s="373"/>
      <c r="M394" s="374"/>
      <c r="N394" s="375"/>
      <c r="O394" s="375"/>
      <c r="P394" s="375"/>
      <c r="Q394" s="375"/>
      <c r="R394" s="241"/>
      <c r="S394" s="71"/>
      <c r="T394" s="71"/>
      <c r="U394" s="71"/>
      <c r="V394" s="71"/>
      <c r="W394" s="71"/>
      <c r="X394" s="71"/>
      <c r="Y394" s="71"/>
    </row>
    <row r="395" spans="1:25">
      <c r="A395" s="372"/>
      <c r="B395" s="373"/>
      <c r="C395" s="373"/>
      <c r="D395" s="373"/>
      <c r="E395" s="373"/>
      <c r="F395" s="373"/>
      <c r="G395" s="373"/>
      <c r="H395" s="373"/>
      <c r="I395" s="373"/>
      <c r="J395" s="373"/>
      <c r="K395" s="373"/>
      <c r="L395" s="373"/>
      <c r="M395" s="374"/>
      <c r="N395" s="375"/>
      <c r="O395" s="375"/>
      <c r="P395" s="375"/>
      <c r="Q395" s="375"/>
      <c r="R395" s="241"/>
      <c r="S395" s="71"/>
      <c r="T395" s="71"/>
      <c r="U395" s="71"/>
      <c r="V395" s="71"/>
      <c r="W395" s="71"/>
      <c r="X395" s="71"/>
      <c r="Y395" s="71"/>
    </row>
    <row r="396" spans="1:25">
      <c r="A396" s="372"/>
      <c r="B396" s="373"/>
      <c r="C396" s="373"/>
      <c r="D396" s="373"/>
      <c r="E396" s="373"/>
      <c r="F396" s="373"/>
      <c r="G396" s="373"/>
      <c r="H396" s="373"/>
      <c r="I396" s="373"/>
      <c r="J396" s="373"/>
      <c r="K396" s="373"/>
      <c r="L396" s="373"/>
      <c r="M396" s="374"/>
      <c r="N396" s="375"/>
      <c r="O396" s="375"/>
      <c r="P396" s="375"/>
      <c r="Q396" s="375"/>
      <c r="R396" s="241"/>
      <c r="S396" s="71"/>
      <c r="T396" s="71"/>
      <c r="U396" s="71"/>
      <c r="V396" s="71"/>
      <c r="W396" s="71"/>
      <c r="X396" s="71"/>
      <c r="Y396" s="71"/>
    </row>
    <row r="397" spans="1:25">
      <c r="A397" s="372"/>
      <c r="B397" s="373"/>
      <c r="C397" s="373"/>
      <c r="D397" s="373"/>
      <c r="E397" s="373"/>
      <c r="F397" s="373"/>
      <c r="G397" s="373"/>
      <c r="H397" s="373"/>
      <c r="I397" s="373"/>
      <c r="J397" s="373"/>
      <c r="K397" s="373"/>
      <c r="L397" s="373"/>
      <c r="M397" s="374"/>
      <c r="N397" s="375"/>
      <c r="O397" s="375"/>
      <c r="P397" s="375"/>
      <c r="Q397" s="375"/>
      <c r="R397" s="241"/>
      <c r="S397" s="71"/>
      <c r="T397" s="71"/>
      <c r="U397" s="71"/>
      <c r="V397" s="71"/>
      <c r="W397" s="71"/>
      <c r="X397" s="71"/>
      <c r="Y397" s="71"/>
    </row>
    <row r="398" spans="1:25">
      <c r="A398" s="372"/>
      <c r="B398" s="373"/>
      <c r="C398" s="373"/>
      <c r="D398" s="373"/>
      <c r="E398" s="373"/>
      <c r="F398" s="373"/>
      <c r="G398" s="373"/>
      <c r="H398" s="373"/>
      <c r="I398" s="373"/>
      <c r="J398" s="373"/>
      <c r="K398" s="373"/>
      <c r="L398" s="373"/>
      <c r="M398" s="374"/>
      <c r="N398" s="375"/>
      <c r="O398" s="375"/>
      <c r="P398" s="375"/>
      <c r="Q398" s="375"/>
      <c r="R398" s="241"/>
      <c r="S398" s="71"/>
      <c r="T398" s="71"/>
      <c r="U398" s="71"/>
      <c r="V398" s="71"/>
      <c r="W398" s="71"/>
      <c r="X398" s="71"/>
      <c r="Y398" s="71"/>
    </row>
    <row r="399" spans="1:25">
      <c r="A399" s="372"/>
      <c r="B399" s="373"/>
      <c r="C399" s="373"/>
      <c r="D399" s="373"/>
      <c r="E399" s="373"/>
      <c r="F399" s="373"/>
      <c r="G399" s="373"/>
      <c r="H399" s="373"/>
      <c r="I399" s="373"/>
      <c r="J399" s="373"/>
      <c r="K399" s="373"/>
      <c r="L399" s="373"/>
      <c r="M399" s="374"/>
      <c r="N399" s="375"/>
      <c r="O399" s="375"/>
      <c r="P399" s="375"/>
      <c r="Q399" s="375"/>
      <c r="R399" s="241"/>
      <c r="S399" s="71"/>
      <c r="T399" s="71"/>
      <c r="U399" s="71"/>
      <c r="V399" s="71"/>
      <c r="W399" s="71"/>
      <c r="X399" s="71"/>
      <c r="Y399" s="71"/>
    </row>
    <row r="400" spans="1:25">
      <c r="A400" s="372"/>
      <c r="B400" s="373"/>
      <c r="C400" s="373"/>
      <c r="D400" s="373"/>
      <c r="E400" s="373"/>
      <c r="F400" s="373"/>
      <c r="G400" s="373"/>
      <c r="H400" s="373"/>
      <c r="I400" s="373"/>
      <c r="J400" s="373"/>
      <c r="K400" s="373"/>
      <c r="L400" s="373"/>
      <c r="M400" s="374"/>
      <c r="N400" s="375"/>
      <c r="O400" s="375"/>
      <c r="P400" s="375"/>
      <c r="Q400" s="375"/>
      <c r="R400" s="241"/>
      <c r="S400" s="71"/>
      <c r="T400" s="71"/>
      <c r="U400" s="71"/>
      <c r="V400" s="71"/>
      <c r="W400" s="71"/>
      <c r="X400" s="71"/>
      <c r="Y400" s="71"/>
    </row>
    <row r="401" spans="1:25">
      <c r="A401" s="372"/>
      <c r="B401" s="373"/>
      <c r="C401" s="373"/>
      <c r="D401" s="373"/>
      <c r="E401" s="373"/>
      <c r="F401" s="373"/>
      <c r="G401" s="373"/>
      <c r="H401" s="373"/>
      <c r="I401" s="373"/>
      <c r="J401" s="373"/>
      <c r="K401" s="373"/>
      <c r="L401" s="373"/>
      <c r="M401" s="374"/>
      <c r="N401" s="375"/>
      <c r="O401" s="375"/>
      <c r="P401" s="375"/>
      <c r="Q401" s="375"/>
      <c r="R401" s="241"/>
      <c r="S401" s="71"/>
      <c r="T401" s="71"/>
      <c r="U401" s="71"/>
      <c r="V401" s="71"/>
      <c r="W401" s="71"/>
      <c r="X401" s="71"/>
      <c r="Y401" s="71"/>
    </row>
    <row r="402" spans="1:25">
      <c r="A402" s="372"/>
      <c r="B402" s="373"/>
      <c r="C402" s="373"/>
      <c r="D402" s="373"/>
      <c r="E402" s="373"/>
      <c r="F402" s="373"/>
      <c r="G402" s="373"/>
      <c r="H402" s="373"/>
      <c r="I402" s="373"/>
      <c r="J402" s="373"/>
      <c r="K402" s="373"/>
      <c r="L402" s="373"/>
      <c r="M402" s="374"/>
      <c r="N402" s="375"/>
      <c r="O402" s="375"/>
      <c r="P402" s="375"/>
      <c r="Q402" s="375"/>
      <c r="R402" s="241"/>
      <c r="S402" s="71"/>
      <c r="T402" s="71"/>
      <c r="U402" s="71"/>
      <c r="V402" s="71"/>
      <c r="W402" s="71"/>
      <c r="X402" s="71"/>
      <c r="Y402" s="71"/>
    </row>
    <row r="403" spans="1:25">
      <c r="A403" s="372"/>
      <c r="B403" s="373"/>
      <c r="C403" s="373"/>
      <c r="D403" s="373"/>
      <c r="E403" s="373"/>
      <c r="F403" s="373"/>
      <c r="G403" s="373"/>
      <c r="H403" s="373"/>
      <c r="I403" s="373"/>
      <c r="J403" s="373"/>
      <c r="K403" s="373"/>
      <c r="L403" s="373"/>
      <c r="M403" s="374"/>
      <c r="N403" s="375"/>
      <c r="O403" s="375"/>
      <c r="P403" s="375"/>
      <c r="Q403" s="375"/>
      <c r="R403" s="241"/>
      <c r="S403" s="71"/>
      <c r="T403" s="71"/>
      <c r="U403" s="71"/>
      <c r="V403" s="71"/>
      <c r="W403" s="71"/>
      <c r="X403" s="71"/>
      <c r="Y403" s="71"/>
    </row>
    <row r="404" spans="1:25">
      <c r="A404" s="372"/>
      <c r="B404" s="373"/>
      <c r="C404" s="373"/>
      <c r="D404" s="373"/>
      <c r="E404" s="373"/>
      <c r="F404" s="373"/>
      <c r="G404" s="373"/>
      <c r="H404" s="373"/>
      <c r="I404" s="373"/>
      <c r="J404" s="373"/>
      <c r="K404" s="373"/>
      <c r="L404" s="373"/>
      <c r="M404" s="374"/>
      <c r="N404" s="375"/>
      <c r="O404" s="375"/>
      <c r="P404" s="375"/>
      <c r="Q404" s="375"/>
      <c r="R404" s="241"/>
      <c r="S404" s="71"/>
      <c r="T404" s="71"/>
      <c r="U404" s="71"/>
      <c r="V404" s="71"/>
      <c r="W404" s="71"/>
      <c r="X404" s="71"/>
      <c r="Y404" s="71"/>
    </row>
    <row r="405" spans="1:25">
      <c r="A405" s="372"/>
      <c r="B405" s="373"/>
      <c r="C405" s="373"/>
      <c r="D405" s="373"/>
      <c r="E405" s="373"/>
      <c r="F405" s="373"/>
      <c r="G405" s="373"/>
      <c r="H405" s="373"/>
      <c r="I405" s="373"/>
      <c r="J405" s="373"/>
      <c r="K405" s="373"/>
      <c r="L405" s="373"/>
      <c r="M405" s="374"/>
      <c r="N405" s="375"/>
      <c r="O405" s="375"/>
      <c r="P405" s="375"/>
      <c r="Q405" s="375"/>
      <c r="R405" s="241"/>
      <c r="S405" s="71"/>
      <c r="T405" s="71"/>
      <c r="U405" s="71"/>
      <c r="V405" s="71"/>
      <c r="W405" s="71"/>
      <c r="X405" s="71"/>
      <c r="Y405" s="71"/>
    </row>
    <row r="406" spans="1:25">
      <c r="A406" s="372"/>
      <c r="B406" s="373"/>
      <c r="C406" s="373"/>
      <c r="D406" s="373"/>
      <c r="E406" s="373"/>
      <c r="F406" s="373"/>
      <c r="G406" s="373"/>
      <c r="H406" s="373"/>
      <c r="I406" s="373"/>
      <c r="J406" s="373"/>
      <c r="K406" s="373"/>
      <c r="L406" s="373"/>
      <c r="M406" s="374"/>
      <c r="N406" s="375"/>
      <c r="O406" s="375"/>
      <c r="P406" s="375"/>
      <c r="Q406" s="375"/>
      <c r="R406" s="241"/>
      <c r="S406" s="71"/>
      <c r="T406" s="71"/>
      <c r="U406" s="71"/>
      <c r="V406" s="71"/>
      <c r="W406" s="71"/>
      <c r="X406" s="71"/>
      <c r="Y406" s="71"/>
    </row>
    <row r="407" spans="1:25">
      <c r="A407" s="372"/>
      <c r="B407" s="373"/>
      <c r="C407" s="373"/>
      <c r="D407" s="373"/>
      <c r="E407" s="373"/>
      <c r="F407" s="373"/>
      <c r="G407" s="373"/>
      <c r="H407" s="373"/>
      <c r="I407" s="373"/>
      <c r="J407" s="373"/>
      <c r="K407" s="373"/>
      <c r="L407" s="373"/>
      <c r="M407" s="374"/>
      <c r="N407" s="375"/>
      <c r="O407" s="375"/>
      <c r="P407" s="375"/>
      <c r="Q407" s="375"/>
      <c r="R407" s="241"/>
      <c r="S407" s="71"/>
      <c r="T407" s="71"/>
      <c r="U407" s="71"/>
      <c r="V407" s="71"/>
      <c r="W407" s="71"/>
      <c r="X407" s="71"/>
      <c r="Y407" s="71"/>
    </row>
    <row r="408" spans="1:25">
      <c r="A408" s="372"/>
      <c r="B408" s="373"/>
      <c r="C408" s="373"/>
      <c r="D408" s="373"/>
      <c r="E408" s="373"/>
      <c r="F408" s="373"/>
      <c r="G408" s="373"/>
      <c r="H408" s="373"/>
      <c r="I408" s="373"/>
      <c r="J408" s="373"/>
      <c r="K408" s="373"/>
      <c r="L408" s="373"/>
      <c r="M408" s="374"/>
      <c r="N408" s="375"/>
      <c r="O408" s="375"/>
      <c r="P408" s="375"/>
      <c r="Q408" s="375"/>
      <c r="R408" s="241"/>
      <c r="S408" s="71"/>
      <c r="T408" s="71"/>
      <c r="U408" s="71"/>
      <c r="V408" s="71"/>
      <c r="W408" s="71"/>
      <c r="X408" s="71"/>
      <c r="Y408" s="71"/>
    </row>
    <row r="409" spans="1:25">
      <c r="A409" s="372"/>
      <c r="B409" s="373"/>
      <c r="C409" s="373"/>
      <c r="D409" s="373"/>
      <c r="E409" s="373"/>
      <c r="F409" s="373"/>
      <c r="G409" s="373"/>
      <c r="H409" s="373"/>
      <c r="I409" s="373"/>
      <c r="J409" s="373"/>
      <c r="K409" s="373"/>
      <c r="L409" s="373"/>
      <c r="M409" s="374"/>
      <c r="N409" s="375"/>
      <c r="O409" s="375"/>
      <c r="P409" s="375"/>
      <c r="Q409" s="375"/>
      <c r="R409" s="241"/>
      <c r="S409" s="71"/>
      <c r="T409" s="71"/>
      <c r="U409" s="71"/>
      <c r="V409" s="71"/>
      <c r="W409" s="71"/>
      <c r="X409" s="71"/>
      <c r="Y409" s="71"/>
    </row>
    <row r="410" spans="1:25">
      <c r="A410" s="372"/>
      <c r="B410" s="373"/>
      <c r="C410" s="373"/>
      <c r="D410" s="373"/>
      <c r="E410" s="373"/>
      <c r="F410" s="373"/>
      <c r="G410" s="373"/>
      <c r="H410" s="373"/>
      <c r="I410" s="373"/>
      <c r="J410" s="373"/>
      <c r="K410" s="373"/>
      <c r="L410" s="373"/>
      <c r="M410" s="374"/>
      <c r="N410" s="375"/>
      <c r="O410" s="375"/>
      <c r="P410" s="375"/>
      <c r="Q410" s="375"/>
      <c r="R410" s="241"/>
      <c r="S410" s="71"/>
      <c r="T410" s="71"/>
      <c r="U410" s="71"/>
      <c r="V410" s="71"/>
      <c r="W410" s="71"/>
      <c r="X410" s="71"/>
      <c r="Y410" s="71"/>
    </row>
    <row r="411" spans="1:25">
      <c r="A411" s="372"/>
      <c r="B411" s="373"/>
      <c r="C411" s="373"/>
      <c r="D411" s="373"/>
      <c r="E411" s="373"/>
      <c r="F411" s="373"/>
      <c r="G411" s="373"/>
      <c r="H411" s="373"/>
      <c r="I411" s="373"/>
      <c r="J411" s="373"/>
      <c r="K411" s="373"/>
      <c r="L411" s="373"/>
      <c r="M411" s="374"/>
      <c r="N411" s="375"/>
      <c r="O411" s="375"/>
      <c r="P411" s="375"/>
      <c r="Q411" s="375"/>
      <c r="R411" s="241"/>
      <c r="S411" s="71"/>
      <c r="T411" s="71"/>
      <c r="U411" s="71"/>
      <c r="V411" s="71"/>
      <c r="W411" s="71"/>
      <c r="X411" s="71"/>
      <c r="Y411" s="71"/>
    </row>
    <row r="412" spans="1:25">
      <c r="A412" s="372"/>
      <c r="B412" s="373"/>
      <c r="C412" s="373"/>
      <c r="D412" s="373"/>
      <c r="E412" s="373"/>
      <c r="F412" s="373"/>
      <c r="G412" s="373"/>
      <c r="H412" s="373"/>
      <c r="I412" s="373"/>
      <c r="J412" s="373"/>
      <c r="K412" s="373"/>
      <c r="L412" s="373"/>
      <c r="M412" s="374"/>
      <c r="N412" s="375"/>
      <c r="O412" s="375"/>
      <c r="P412" s="375"/>
      <c r="Q412" s="375"/>
      <c r="R412" s="241"/>
      <c r="S412" s="71"/>
      <c r="T412" s="71"/>
      <c r="U412" s="71"/>
      <c r="V412" s="71"/>
      <c r="W412" s="71"/>
      <c r="X412" s="71"/>
      <c r="Y412" s="71"/>
    </row>
    <row r="413" spans="1:25">
      <c r="A413" s="372"/>
      <c r="B413" s="373"/>
      <c r="C413" s="373"/>
      <c r="D413" s="373"/>
      <c r="E413" s="373"/>
      <c r="F413" s="373"/>
      <c r="G413" s="373"/>
      <c r="H413" s="373"/>
      <c r="I413" s="373"/>
      <c r="J413" s="373"/>
      <c r="K413" s="373"/>
      <c r="L413" s="373"/>
      <c r="M413" s="374"/>
      <c r="N413" s="375"/>
      <c r="O413" s="375"/>
      <c r="P413" s="375"/>
      <c r="Q413" s="375"/>
      <c r="R413" s="241"/>
      <c r="S413" s="71"/>
      <c r="T413" s="71"/>
      <c r="U413" s="71"/>
      <c r="V413" s="71"/>
      <c r="W413" s="71"/>
      <c r="X413" s="71"/>
      <c r="Y413" s="71"/>
    </row>
    <row r="414" spans="1:25">
      <c r="A414" s="372"/>
      <c r="B414" s="373"/>
      <c r="C414" s="373"/>
      <c r="D414" s="373"/>
      <c r="E414" s="373"/>
      <c r="F414" s="373"/>
      <c r="G414" s="373"/>
      <c r="H414" s="373"/>
      <c r="I414" s="373"/>
      <c r="J414" s="373"/>
      <c r="K414" s="373"/>
      <c r="L414" s="373"/>
      <c r="M414" s="374"/>
      <c r="N414" s="375"/>
      <c r="O414" s="375"/>
      <c r="P414" s="375"/>
      <c r="Q414" s="375"/>
      <c r="R414" s="241"/>
      <c r="S414" s="71"/>
      <c r="T414" s="71"/>
      <c r="U414" s="71"/>
      <c r="V414" s="71"/>
      <c r="W414" s="71"/>
      <c r="X414" s="71"/>
      <c r="Y414" s="71"/>
    </row>
    <row r="415" spans="1:25">
      <c r="A415" s="372"/>
      <c r="B415" s="373"/>
      <c r="C415" s="373"/>
      <c r="D415" s="373"/>
      <c r="E415" s="373"/>
      <c r="F415" s="373"/>
      <c r="G415" s="373"/>
      <c r="H415" s="373"/>
      <c r="I415" s="373"/>
      <c r="J415" s="373"/>
      <c r="K415" s="373"/>
      <c r="L415" s="373"/>
      <c r="M415" s="374"/>
      <c r="N415" s="375"/>
      <c r="O415" s="375"/>
      <c r="P415" s="375"/>
      <c r="Q415" s="375"/>
      <c r="R415" s="241"/>
      <c r="S415" s="71"/>
      <c r="T415" s="71"/>
      <c r="U415" s="71"/>
      <c r="V415" s="71"/>
      <c r="W415" s="71"/>
      <c r="X415" s="71"/>
      <c r="Y415" s="71"/>
    </row>
    <row r="416" spans="1:25">
      <c r="A416" s="372"/>
      <c r="B416" s="373"/>
      <c r="C416" s="373"/>
      <c r="D416" s="373"/>
      <c r="E416" s="373"/>
      <c r="F416" s="373"/>
      <c r="G416" s="373"/>
      <c r="H416" s="373"/>
      <c r="I416" s="373"/>
      <c r="J416" s="373"/>
      <c r="K416" s="373"/>
      <c r="L416" s="373"/>
      <c r="M416" s="374"/>
      <c r="N416" s="375"/>
      <c r="O416" s="375"/>
      <c r="P416" s="375"/>
      <c r="Q416" s="375"/>
      <c r="R416" s="241"/>
      <c r="S416" s="71"/>
      <c r="T416" s="71"/>
      <c r="U416" s="71"/>
      <c r="V416" s="71"/>
      <c r="W416" s="71"/>
      <c r="X416" s="71"/>
      <c r="Y416" s="71"/>
    </row>
    <row r="417" spans="1:25">
      <c r="A417" s="372"/>
      <c r="B417" s="373"/>
      <c r="C417" s="373"/>
      <c r="D417" s="373"/>
      <c r="E417" s="373"/>
      <c r="F417" s="373"/>
      <c r="G417" s="373"/>
      <c r="H417" s="373"/>
      <c r="I417" s="373"/>
      <c r="J417" s="373"/>
      <c r="K417" s="373"/>
      <c r="L417" s="373"/>
      <c r="M417" s="374"/>
      <c r="N417" s="375"/>
      <c r="O417" s="375"/>
      <c r="P417" s="375"/>
      <c r="Q417" s="375"/>
      <c r="R417" s="241"/>
      <c r="S417" s="71"/>
      <c r="T417" s="71"/>
      <c r="U417" s="71"/>
      <c r="V417" s="71"/>
      <c r="W417" s="71"/>
      <c r="X417" s="71"/>
      <c r="Y417" s="71"/>
    </row>
    <row r="418" spans="1:25">
      <c r="A418" s="372"/>
      <c r="B418" s="373"/>
      <c r="C418" s="373"/>
      <c r="D418" s="373"/>
      <c r="E418" s="373"/>
      <c r="F418" s="373"/>
      <c r="G418" s="373"/>
      <c r="H418" s="373"/>
      <c r="I418" s="373"/>
      <c r="J418" s="373"/>
      <c r="K418" s="373"/>
      <c r="L418" s="373"/>
      <c r="M418" s="374"/>
      <c r="N418" s="375"/>
      <c r="O418" s="375"/>
      <c r="P418" s="375"/>
      <c r="Q418" s="375"/>
      <c r="R418" s="241"/>
      <c r="S418" s="71"/>
      <c r="T418" s="71"/>
      <c r="U418" s="71"/>
      <c r="V418" s="71"/>
      <c r="W418" s="71"/>
      <c r="X418" s="71"/>
      <c r="Y418" s="71"/>
    </row>
    <row r="419" spans="1:25">
      <c r="A419" s="372"/>
      <c r="B419" s="373"/>
      <c r="C419" s="373"/>
      <c r="D419" s="373"/>
      <c r="E419" s="373"/>
      <c r="F419" s="373"/>
      <c r="G419" s="373"/>
      <c r="H419" s="373"/>
      <c r="I419" s="373"/>
      <c r="J419" s="373"/>
      <c r="K419" s="373"/>
      <c r="L419" s="373"/>
      <c r="M419" s="374"/>
      <c r="N419" s="375"/>
      <c r="O419" s="375"/>
      <c r="P419" s="375"/>
      <c r="Q419" s="375"/>
      <c r="R419" s="241"/>
      <c r="S419" s="71"/>
      <c r="T419" s="71"/>
      <c r="U419" s="71"/>
      <c r="V419" s="71"/>
      <c r="W419" s="71"/>
      <c r="X419" s="71"/>
      <c r="Y419" s="71"/>
    </row>
    <row r="420" spans="1:25">
      <c r="A420" s="372"/>
      <c r="B420" s="373"/>
      <c r="C420" s="373"/>
      <c r="D420" s="373"/>
      <c r="E420" s="373"/>
      <c r="F420" s="373"/>
      <c r="G420" s="373"/>
      <c r="H420" s="373"/>
      <c r="I420" s="373"/>
      <c r="J420" s="373"/>
      <c r="K420" s="373"/>
      <c r="L420" s="373"/>
      <c r="M420" s="374"/>
      <c r="N420" s="375"/>
      <c r="O420" s="375"/>
      <c r="P420" s="375"/>
      <c r="Q420" s="375"/>
      <c r="R420" s="241"/>
      <c r="S420" s="71"/>
      <c r="T420" s="71"/>
      <c r="U420" s="71"/>
      <c r="V420" s="71"/>
      <c r="W420" s="71"/>
      <c r="X420" s="71"/>
      <c r="Y420" s="71"/>
    </row>
    <row r="421" spans="1:25">
      <c r="A421" s="372"/>
      <c r="B421" s="373"/>
      <c r="C421" s="373"/>
      <c r="D421" s="373"/>
      <c r="E421" s="373"/>
      <c r="F421" s="373"/>
      <c r="G421" s="373"/>
      <c r="H421" s="373"/>
      <c r="I421" s="373"/>
      <c r="J421" s="373"/>
      <c r="K421" s="373"/>
      <c r="L421" s="373"/>
      <c r="M421" s="374"/>
      <c r="N421" s="375"/>
      <c r="O421" s="375"/>
      <c r="P421" s="375"/>
      <c r="Q421" s="375"/>
      <c r="R421" s="241"/>
      <c r="S421" s="71"/>
      <c r="T421" s="71"/>
      <c r="U421" s="71"/>
      <c r="V421" s="71"/>
      <c r="W421" s="71"/>
      <c r="X421" s="71"/>
      <c r="Y421" s="71"/>
    </row>
    <row r="422" spans="1:25">
      <c r="A422" s="372"/>
      <c r="B422" s="373"/>
      <c r="C422" s="373"/>
      <c r="D422" s="373"/>
      <c r="E422" s="373"/>
      <c r="F422" s="373"/>
      <c r="G422" s="373"/>
      <c r="H422" s="373"/>
      <c r="I422" s="373"/>
      <c r="J422" s="373"/>
      <c r="K422" s="373"/>
      <c r="L422" s="373"/>
      <c r="M422" s="374"/>
      <c r="N422" s="375"/>
      <c r="O422" s="375"/>
      <c r="P422" s="375"/>
      <c r="Q422" s="375"/>
      <c r="R422" s="241"/>
      <c r="S422" s="71"/>
      <c r="T422" s="71"/>
      <c r="U422" s="71"/>
      <c r="V422" s="71"/>
      <c r="W422" s="71"/>
      <c r="X422" s="71"/>
      <c r="Y422" s="71"/>
    </row>
    <row r="423" spans="1:25">
      <c r="A423" s="372"/>
      <c r="B423" s="373"/>
      <c r="C423" s="373"/>
      <c r="D423" s="373"/>
      <c r="E423" s="373"/>
      <c r="F423" s="373"/>
      <c r="G423" s="373"/>
      <c r="H423" s="373"/>
      <c r="I423" s="373"/>
      <c r="J423" s="373"/>
      <c r="K423" s="373"/>
      <c r="L423" s="373"/>
      <c r="M423" s="374"/>
      <c r="N423" s="375"/>
      <c r="O423" s="375"/>
      <c r="P423" s="375"/>
      <c r="Q423" s="375"/>
      <c r="R423" s="241"/>
      <c r="S423" s="71"/>
      <c r="T423" s="71"/>
      <c r="U423" s="71"/>
      <c r="V423" s="71"/>
      <c r="W423" s="71"/>
      <c r="X423" s="71"/>
      <c r="Y423" s="71"/>
    </row>
    <row r="424" spans="1:25">
      <c r="A424" s="372"/>
      <c r="B424" s="373"/>
      <c r="C424" s="373"/>
      <c r="D424" s="373"/>
      <c r="E424" s="373"/>
      <c r="F424" s="373"/>
      <c r="G424" s="373"/>
      <c r="H424" s="373"/>
      <c r="I424" s="373"/>
      <c r="J424" s="373"/>
      <c r="K424" s="373"/>
      <c r="L424" s="373"/>
      <c r="M424" s="374"/>
      <c r="N424" s="375"/>
      <c r="O424" s="375"/>
      <c r="P424" s="375"/>
      <c r="Q424" s="375"/>
      <c r="R424" s="241"/>
      <c r="S424" s="71"/>
      <c r="T424" s="71"/>
      <c r="U424" s="71"/>
      <c r="V424" s="71"/>
      <c r="W424" s="71"/>
      <c r="X424" s="71"/>
      <c r="Y424" s="71"/>
    </row>
    <row r="425" spans="1:25">
      <c r="A425" s="372"/>
      <c r="B425" s="373"/>
      <c r="C425" s="373"/>
      <c r="D425" s="373"/>
      <c r="E425" s="373"/>
      <c r="F425" s="373"/>
      <c r="G425" s="373"/>
      <c r="H425" s="373"/>
      <c r="I425" s="373"/>
      <c r="J425" s="373"/>
      <c r="K425" s="373"/>
      <c r="L425" s="373"/>
      <c r="M425" s="374"/>
      <c r="N425" s="375"/>
      <c r="O425" s="375"/>
      <c r="P425" s="375"/>
      <c r="Q425" s="375"/>
      <c r="R425" s="241"/>
      <c r="S425" s="71"/>
      <c r="T425" s="71"/>
      <c r="U425" s="71"/>
      <c r="V425" s="71"/>
      <c r="W425" s="71"/>
      <c r="X425" s="71"/>
      <c r="Y425" s="71"/>
    </row>
    <row r="426" spans="1:25">
      <c r="A426" s="372"/>
      <c r="B426" s="373"/>
      <c r="C426" s="373"/>
      <c r="D426" s="373"/>
      <c r="E426" s="373"/>
      <c r="F426" s="373"/>
      <c r="G426" s="373"/>
      <c r="H426" s="373"/>
      <c r="I426" s="373"/>
      <c r="J426" s="373"/>
      <c r="K426" s="373"/>
      <c r="L426" s="373"/>
      <c r="M426" s="374"/>
      <c r="N426" s="375"/>
      <c r="O426" s="375"/>
      <c r="P426" s="375"/>
      <c r="Q426" s="375"/>
      <c r="R426" s="241"/>
      <c r="S426" s="71"/>
      <c r="T426" s="71"/>
      <c r="U426" s="71"/>
      <c r="V426" s="71"/>
      <c r="W426" s="71"/>
      <c r="X426" s="71"/>
      <c r="Y426" s="71"/>
    </row>
    <row r="427" spans="1:25">
      <c r="A427" s="372"/>
      <c r="B427" s="373"/>
      <c r="C427" s="373"/>
      <c r="D427" s="373"/>
      <c r="E427" s="373"/>
      <c r="F427" s="373"/>
      <c r="G427" s="373"/>
      <c r="H427" s="373"/>
      <c r="I427" s="373"/>
      <c r="J427" s="373"/>
      <c r="K427" s="373"/>
      <c r="L427" s="373"/>
      <c r="M427" s="374"/>
      <c r="N427" s="375"/>
      <c r="O427" s="375"/>
      <c r="P427" s="375"/>
      <c r="Q427" s="375"/>
      <c r="R427" s="241"/>
      <c r="S427" s="71"/>
      <c r="T427" s="71"/>
      <c r="U427" s="71"/>
      <c r="V427" s="71"/>
      <c r="W427" s="71"/>
      <c r="X427" s="71"/>
      <c r="Y427" s="71"/>
    </row>
    <row r="428" spans="1:25">
      <c r="A428" s="372"/>
      <c r="B428" s="373"/>
      <c r="C428" s="373"/>
      <c r="D428" s="373"/>
      <c r="E428" s="373"/>
      <c r="F428" s="373"/>
      <c r="G428" s="373"/>
      <c r="H428" s="373"/>
      <c r="I428" s="373"/>
      <c r="J428" s="373"/>
      <c r="K428" s="373"/>
      <c r="L428" s="373"/>
      <c r="M428" s="374"/>
      <c r="N428" s="375"/>
      <c r="O428" s="375"/>
      <c r="P428" s="375"/>
      <c r="Q428" s="375"/>
      <c r="R428" s="241"/>
      <c r="S428" s="71"/>
      <c r="T428" s="71"/>
      <c r="U428" s="71"/>
      <c r="V428" s="71"/>
      <c r="W428" s="71"/>
      <c r="X428" s="71"/>
      <c r="Y428" s="71"/>
    </row>
    <row r="429" spans="1:25">
      <c r="A429" s="372"/>
      <c r="B429" s="373"/>
      <c r="C429" s="373"/>
      <c r="D429" s="373"/>
      <c r="E429" s="373"/>
      <c r="F429" s="373"/>
      <c r="G429" s="373"/>
      <c r="H429" s="373"/>
      <c r="I429" s="373"/>
      <c r="J429" s="373"/>
      <c r="K429" s="373"/>
      <c r="L429" s="373"/>
      <c r="M429" s="374"/>
      <c r="N429" s="375"/>
      <c r="O429" s="375"/>
      <c r="P429" s="375"/>
      <c r="Q429" s="375"/>
      <c r="R429" s="241"/>
      <c r="S429" s="71"/>
      <c r="T429" s="71"/>
      <c r="U429" s="71"/>
      <c r="V429" s="71"/>
      <c r="W429" s="71"/>
      <c r="X429" s="71"/>
      <c r="Y429" s="71"/>
    </row>
    <row r="430" spans="1:25">
      <c r="A430" s="372"/>
      <c r="B430" s="373"/>
      <c r="C430" s="373"/>
      <c r="D430" s="373"/>
      <c r="E430" s="373"/>
      <c r="F430" s="373"/>
      <c r="G430" s="373"/>
      <c r="H430" s="373"/>
      <c r="I430" s="373"/>
      <c r="J430" s="373"/>
      <c r="K430" s="373"/>
      <c r="L430" s="373"/>
      <c r="M430" s="374"/>
      <c r="N430" s="375"/>
      <c r="O430" s="375"/>
      <c r="P430" s="375"/>
      <c r="Q430" s="375"/>
      <c r="R430" s="241"/>
      <c r="S430" s="71"/>
      <c r="T430" s="71"/>
      <c r="U430" s="71"/>
      <c r="V430" s="71"/>
      <c r="W430" s="71"/>
      <c r="X430" s="71"/>
      <c r="Y430" s="71"/>
    </row>
    <row r="431" spans="1:25">
      <c r="A431" s="372"/>
      <c r="B431" s="373"/>
      <c r="C431" s="373"/>
      <c r="D431" s="373"/>
      <c r="E431" s="373"/>
      <c r="F431" s="373"/>
      <c r="G431" s="373"/>
      <c r="H431" s="373"/>
      <c r="I431" s="373"/>
      <c r="J431" s="373"/>
      <c r="K431" s="373"/>
      <c r="L431" s="373"/>
      <c r="M431" s="374"/>
      <c r="N431" s="375"/>
      <c r="O431" s="375"/>
      <c r="P431" s="375"/>
      <c r="Q431" s="375"/>
      <c r="R431" s="241"/>
      <c r="S431" s="71"/>
      <c r="T431" s="71"/>
      <c r="U431" s="71"/>
      <c r="V431" s="71"/>
      <c r="W431" s="71"/>
      <c r="X431" s="71"/>
      <c r="Y431" s="71"/>
    </row>
    <row r="432" spans="1:25">
      <c r="A432" s="372"/>
      <c r="B432" s="373"/>
      <c r="C432" s="373"/>
      <c r="D432" s="373"/>
      <c r="E432" s="373"/>
      <c r="F432" s="373"/>
      <c r="G432" s="373"/>
      <c r="H432" s="373"/>
      <c r="I432" s="373"/>
      <c r="J432" s="373"/>
      <c r="K432" s="373"/>
      <c r="L432" s="373"/>
      <c r="M432" s="374"/>
      <c r="N432" s="375"/>
      <c r="O432" s="375"/>
      <c r="P432" s="375"/>
      <c r="Q432" s="375"/>
      <c r="R432" s="241"/>
      <c r="S432" s="71"/>
      <c r="T432" s="71"/>
      <c r="U432" s="71"/>
      <c r="V432" s="71"/>
      <c r="W432" s="71"/>
      <c r="X432" s="71"/>
      <c r="Y432" s="71"/>
    </row>
    <row r="433" spans="1:25">
      <c r="A433" s="372"/>
      <c r="B433" s="373"/>
      <c r="C433" s="373"/>
      <c r="D433" s="373"/>
      <c r="E433" s="373"/>
      <c r="F433" s="373"/>
      <c r="G433" s="373"/>
      <c r="H433" s="373"/>
      <c r="I433" s="373"/>
      <c r="J433" s="373"/>
      <c r="K433" s="373"/>
      <c r="L433" s="373"/>
      <c r="M433" s="374"/>
      <c r="N433" s="375"/>
      <c r="O433" s="375"/>
      <c r="P433" s="375"/>
      <c r="Q433" s="375"/>
      <c r="R433" s="241"/>
      <c r="S433" s="71"/>
      <c r="T433" s="71"/>
      <c r="U433" s="71"/>
      <c r="V433" s="71"/>
      <c r="W433" s="71"/>
      <c r="X433" s="71"/>
      <c r="Y433" s="71"/>
    </row>
    <row r="434" spans="1:25">
      <c r="A434" s="372"/>
      <c r="B434" s="373"/>
      <c r="C434" s="373"/>
      <c r="D434" s="373"/>
      <c r="E434" s="373"/>
      <c r="F434" s="373"/>
      <c r="G434" s="373"/>
      <c r="H434" s="373"/>
      <c r="I434" s="373"/>
      <c r="J434" s="373"/>
      <c r="K434" s="373"/>
      <c r="L434" s="373"/>
      <c r="M434" s="374"/>
      <c r="N434" s="375"/>
      <c r="O434" s="375"/>
      <c r="P434" s="375"/>
      <c r="Q434" s="375"/>
      <c r="R434" s="241"/>
      <c r="S434" s="71"/>
      <c r="T434" s="71"/>
      <c r="U434" s="71"/>
      <c r="V434" s="71"/>
      <c r="W434" s="71"/>
      <c r="X434" s="71"/>
      <c r="Y434" s="71"/>
    </row>
    <row r="435" spans="1:25">
      <c r="A435" s="372"/>
      <c r="B435" s="373"/>
      <c r="C435" s="373"/>
      <c r="D435" s="373"/>
      <c r="E435" s="373"/>
      <c r="F435" s="373"/>
      <c r="G435" s="373"/>
      <c r="H435" s="373"/>
      <c r="I435" s="373"/>
      <c r="J435" s="373"/>
      <c r="K435" s="373"/>
      <c r="L435" s="373"/>
      <c r="M435" s="374"/>
      <c r="N435" s="375"/>
      <c r="O435" s="375"/>
      <c r="P435" s="375"/>
      <c r="Q435" s="375"/>
      <c r="R435" s="241"/>
      <c r="S435" s="71"/>
      <c r="T435" s="71"/>
      <c r="U435" s="71"/>
      <c r="V435" s="71"/>
      <c r="W435" s="71"/>
      <c r="X435" s="71"/>
      <c r="Y435" s="71"/>
    </row>
    <row r="436" spans="1:25">
      <c r="A436" s="372"/>
      <c r="B436" s="373"/>
      <c r="C436" s="373"/>
      <c r="D436" s="373"/>
      <c r="E436" s="373"/>
      <c r="F436" s="373"/>
      <c r="G436" s="373"/>
      <c r="H436" s="373"/>
      <c r="I436" s="373"/>
      <c r="J436" s="373"/>
      <c r="K436" s="373"/>
      <c r="L436" s="373"/>
      <c r="M436" s="374"/>
      <c r="N436" s="375"/>
      <c r="O436" s="375"/>
      <c r="P436" s="375"/>
      <c r="Q436" s="375"/>
      <c r="R436" s="241"/>
      <c r="S436" s="71"/>
      <c r="T436" s="71"/>
      <c r="U436" s="71"/>
      <c r="V436" s="71"/>
      <c r="W436" s="71"/>
      <c r="X436" s="71"/>
      <c r="Y436" s="71"/>
    </row>
    <row r="437" spans="1:25">
      <c r="A437" s="372"/>
      <c r="B437" s="373"/>
      <c r="C437" s="373"/>
      <c r="D437" s="373"/>
      <c r="E437" s="373"/>
      <c r="F437" s="373"/>
      <c r="G437" s="373"/>
      <c r="H437" s="373"/>
      <c r="I437" s="373"/>
      <c r="J437" s="373"/>
      <c r="K437" s="373"/>
      <c r="L437" s="373"/>
      <c r="M437" s="374"/>
      <c r="N437" s="375"/>
      <c r="O437" s="375"/>
      <c r="P437" s="375"/>
      <c r="Q437" s="375"/>
      <c r="R437" s="241"/>
      <c r="S437" s="71"/>
      <c r="T437" s="71"/>
      <c r="U437" s="71"/>
      <c r="V437" s="71"/>
      <c r="W437" s="71"/>
      <c r="X437" s="71"/>
      <c r="Y437" s="71"/>
    </row>
    <row r="438" spans="1:25">
      <c r="A438" s="372"/>
      <c r="B438" s="373"/>
      <c r="C438" s="373"/>
      <c r="D438" s="373"/>
      <c r="E438" s="373"/>
      <c r="F438" s="373"/>
      <c r="G438" s="373"/>
      <c r="H438" s="373"/>
      <c r="I438" s="373"/>
      <c r="J438" s="373"/>
      <c r="K438" s="373"/>
      <c r="L438" s="373"/>
      <c r="M438" s="374"/>
      <c r="N438" s="375"/>
      <c r="O438" s="375"/>
      <c r="P438" s="375"/>
      <c r="Q438" s="375"/>
      <c r="R438" s="241"/>
      <c r="S438" s="71"/>
      <c r="T438" s="71"/>
      <c r="U438" s="71"/>
      <c r="V438" s="71"/>
      <c r="W438" s="71"/>
      <c r="X438" s="71"/>
      <c r="Y438" s="71"/>
    </row>
    <row r="439" spans="1:25">
      <c r="A439" s="372"/>
      <c r="B439" s="373"/>
      <c r="C439" s="373"/>
      <c r="D439" s="373"/>
      <c r="E439" s="373"/>
      <c r="F439" s="373"/>
      <c r="G439" s="373"/>
      <c r="H439" s="373"/>
      <c r="I439" s="373"/>
      <c r="J439" s="373"/>
      <c r="K439" s="373"/>
      <c r="L439" s="373"/>
      <c r="M439" s="374"/>
      <c r="N439" s="375"/>
      <c r="O439" s="375"/>
      <c r="P439" s="375"/>
      <c r="Q439" s="375"/>
      <c r="R439" s="241"/>
      <c r="S439" s="71"/>
      <c r="T439" s="71"/>
      <c r="U439" s="71"/>
      <c r="V439" s="71"/>
      <c r="W439" s="71"/>
      <c r="X439" s="71"/>
      <c r="Y439" s="71"/>
    </row>
    <row r="440" spans="1:25">
      <c r="A440" s="372"/>
      <c r="B440" s="373"/>
      <c r="C440" s="373"/>
      <c r="D440" s="373"/>
      <c r="E440" s="373"/>
      <c r="F440" s="373"/>
      <c r="G440" s="373"/>
      <c r="H440" s="373"/>
      <c r="I440" s="373"/>
      <c r="J440" s="373"/>
      <c r="K440" s="373"/>
      <c r="L440" s="373"/>
      <c r="M440" s="374"/>
      <c r="N440" s="375"/>
      <c r="O440" s="375"/>
      <c r="P440" s="375"/>
      <c r="Q440" s="375"/>
      <c r="R440" s="241"/>
      <c r="S440" s="71"/>
      <c r="T440" s="71"/>
      <c r="U440" s="71"/>
      <c r="V440" s="71"/>
      <c r="W440" s="71"/>
      <c r="X440" s="71"/>
      <c r="Y440" s="71"/>
    </row>
    <row r="441" spans="1:25">
      <c r="A441" s="372"/>
      <c r="B441" s="373"/>
      <c r="C441" s="373"/>
      <c r="D441" s="373"/>
      <c r="E441" s="373"/>
      <c r="F441" s="373"/>
      <c r="G441" s="373"/>
      <c r="H441" s="373"/>
      <c r="I441" s="373"/>
      <c r="J441" s="373"/>
      <c r="K441" s="373"/>
      <c r="L441" s="373"/>
      <c r="M441" s="374"/>
      <c r="N441" s="375"/>
      <c r="O441" s="375"/>
      <c r="P441" s="375"/>
      <c r="Q441" s="375"/>
      <c r="R441" s="241"/>
      <c r="S441" s="71"/>
      <c r="T441" s="71"/>
      <c r="U441" s="71"/>
      <c r="V441" s="71"/>
      <c r="W441" s="71"/>
      <c r="X441" s="71"/>
      <c r="Y441" s="71"/>
    </row>
    <row r="442" spans="1:25">
      <c r="A442" s="372"/>
      <c r="B442" s="373"/>
      <c r="C442" s="373"/>
      <c r="D442" s="373"/>
      <c r="E442" s="373"/>
      <c r="F442" s="373"/>
      <c r="G442" s="373"/>
      <c r="H442" s="373"/>
      <c r="I442" s="373"/>
      <c r="J442" s="373"/>
      <c r="K442" s="373"/>
      <c r="L442" s="373"/>
      <c r="M442" s="374"/>
      <c r="N442" s="375"/>
      <c r="O442" s="375"/>
      <c r="P442" s="375"/>
      <c r="Q442" s="375"/>
      <c r="R442" s="241"/>
      <c r="S442" s="71"/>
      <c r="T442" s="71"/>
      <c r="U442" s="71"/>
      <c r="V442" s="71"/>
      <c r="W442" s="71"/>
      <c r="X442" s="71"/>
      <c r="Y442" s="71"/>
    </row>
    <row r="443" spans="1:25">
      <c r="A443" s="372"/>
      <c r="B443" s="373"/>
      <c r="C443" s="373"/>
      <c r="D443" s="373"/>
      <c r="E443" s="373"/>
      <c r="F443" s="373"/>
      <c r="G443" s="373"/>
      <c r="H443" s="373"/>
      <c r="I443" s="373"/>
      <c r="J443" s="373"/>
      <c r="K443" s="373"/>
      <c r="L443" s="373"/>
      <c r="M443" s="374"/>
      <c r="N443" s="375"/>
      <c r="O443" s="375"/>
      <c r="P443" s="375"/>
      <c r="Q443" s="375"/>
      <c r="R443" s="241"/>
      <c r="S443" s="71"/>
      <c r="T443" s="71"/>
      <c r="U443" s="71"/>
      <c r="V443" s="71"/>
      <c r="W443" s="71"/>
      <c r="X443" s="71"/>
      <c r="Y443" s="71"/>
    </row>
    <row r="444" spans="1:25">
      <c r="A444" s="372"/>
      <c r="B444" s="373"/>
      <c r="C444" s="373"/>
      <c r="D444" s="373"/>
      <c r="E444" s="373"/>
      <c r="F444" s="373"/>
      <c r="G444" s="373"/>
      <c r="H444" s="373"/>
      <c r="I444" s="373"/>
      <c r="J444" s="373"/>
      <c r="K444" s="373"/>
      <c r="L444" s="373"/>
      <c r="M444" s="374"/>
      <c r="N444" s="375"/>
      <c r="O444" s="375"/>
      <c r="P444" s="375"/>
      <c r="Q444" s="375"/>
      <c r="R444" s="241"/>
      <c r="S444" s="71"/>
      <c r="T444" s="71"/>
      <c r="U444" s="71"/>
      <c r="V444" s="71"/>
      <c r="W444" s="71"/>
      <c r="X444" s="71"/>
      <c r="Y444" s="71"/>
    </row>
    <row r="445" spans="1:25">
      <c r="A445" s="372"/>
      <c r="B445" s="373"/>
      <c r="C445" s="373"/>
      <c r="D445" s="373"/>
      <c r="E445" s="373"/>
      <c r="F445" s="373"/>
      <c r="G445" s="373"/>
      <c r="H445" s="373"/>
      <c r="I445" s="373"/>
      <c r="J445" s="373"/>
      <c r="K445" s="373"/>
      <c r="L445" s="373"/>
      <c r="M445" s="374"/>
      <c r="N445" s="375"/>
      <c r="O445" s="375"/>
      <c r="P445" s="375"/>
      <c r="Q445" s="375"/>
      <c r="R445" s="241"/>
      <c r="S445" s="71"/>
      <c r="T445" s="71"/>
      <c r="U445" s="71"/>
      <c r="V445" s="71"/>
      <c r="W445" s="71"/>
      <c r="X445" s="71"/>
      <c r="Y445" s="71"/>
    </row>
    <row r="446" spans="1:25">
      <c r="A446" s="372"/>
      <c r="B446" s="373"/>
      <c r="C446" s="373"/>
      <c r="D446" s="373"/>
      <c r="E446" s="373"/>
      <c r="F446" s="373"/>
      <c r="G446" s="373"/>
      <c r="H446" s="373"/>
      <c r="I446" s="373"/>
      <c r="J446" s="373"/>
      <c r="K446" s="373"/>
      <c r="L446" s="373"/>
      <c r="M446" s="374"/>
      <c r="N446" s="375"/>
      <c r="O446" s="375"/>
      <c r="P446" s="375"/>
      <c r="Q446" s="375"/>
      <c r="R446" s="241"/>
      <c r="S446" s="71"/>
      <c r="T446" s="71"/>
      <c r="U446" s="71"/>
      <c r="V446" s="71"/>
      <c r="W446" s="71"/>
      <c r="X446" s="71"/>
      <c r="Y446" s="71"/>
    </row>
    <row r="447" spans="1:25">
      <c r="A447" s="372"/>
      <c r="B447" s="373"/>
      <c r="C447" s="373"/>
      <c r="D447" s="373"/>
      <c r="E447" s="373"/>
      <c r="F447" s="373"/>
      <c r="G447" s="373"/>
      <c r="H447" s="373"/>
      <c r="I447" s="373"/>
      <c r="J447" s="373"/>
      <c r="K447" s="373"/>
      <c r="L447" s="373"/>
      <c r="M447" s="374"/>
      <c r="N447" s="375"/>
      <c r="O447" s="375"/>
      <c r="P447" s="375"/>
      <c r="Q447" s="375"/>
      <c r="R447" s="241"/>
      <c r="S447" s="71"/>
      <c r="T447" s="71"/>
      <c r="U447" s="71"/>
      <c r="V447" s="71"/>
      <c r="W447" s="71"/>
      <c r="X447" s="71"/>
      <c r="Y447" s="71"/>
    </row>
    <row r="448" spans="1:25">
      <c r="A448" s="372"/>
      <c r="B448" s="373"/>
      <c r="C448" s="373"/>
      <c r="D448" s="373"/>
      <c r="E448" s="373"/>
      <c r="F448" s="373"/>
      <c r="G448" s="373"/>
      <c r="H448" s="373"/>
      <c r="I448" s="373"/>
      <c r="J448" s="373"/>
      <c r="K448" s="373"/>
      <c r="L448" s="373"/>
      <c r="M448" s="374"/>
      <c r="N448" s="375"/>
      <c r="O448" s="375"/>
      <c r="P448" s="375"/>
      <c r="Q448" s="375"/>
      <c r="R448" s="241"/>
      <c r="S448" s="71"/>
      <c r="T448" s="71"/>
      <c r="U448" s="71"/>
      <c r="V448" s="71"/>
      <c r="W448" s="71"/>
      <c r="X448" s="71"/>
      <c r="Y448" s="71"/>
    </row>
    <row r="449" spans="1:25">
      <c r="A449" s="372"/>
      <c r="B449" s="373"/>
      <c r="C449" s="373"/>
      <c r="D449" s="373"/>
      <c r="E449" s="373"/>
      <c r="F449" s="373"/>
      <c r="G449" s="373"/>
      <c r="H449" s="373"/>
      <c r="I449" s="373"/>
      <c r="J449" s="373"/>
      <c r="K449" s="373"/>
      <c r="L449" s="373"/>
      <c r="M449" s="374"/>
      <c r="N449" s="375"/>
      <c r="O449" s="375"/>
      <c r="P449" s="375"/>
      <c r="Q449" s="375"/>
      <c r="R449" s="241"/>
      <c r="S449" s="71"/>
      <c r="T449" s="71"/>
      <c r="U449" s="71"/>
      <c r="V449" s="71"/>
      <c r="W449" s="71"/>
      <c r="X449" s="71"/>
      <c r="Y449" s="71"/>
    </row>
    <row r="450" spans="1:25">
      <c r="A450" s="372"/>
      <c r="B450" s="373"/>
      <c r="C450" s="373"/>
      <c r="D450" s="373"/>
      <c r="E450" s="373"/>
      <c r="F450" s="373"/>
      <c r="G450" s="373"/>
      <c r="H450" s="373"/>
      <c r="I450" s="373"/>
      <c r="J450" s="373"/>
      <c r="K450" s="373"/>
      <c r="L450" s="373"/>
      <c r="M450" s="374"/>
      <c r="N450" s="375"/>
      <c r="O450" s="375"/>
      <c r="P450" s="375"/>
      <c r="Q450" s="375"/>
      <c r="R450" s="241"/>
      <c r="S450" s="71"/>
      <c r="T450" s="71"/>
      <c r="U450" s="71"/>
      <c r="V450" s="71"/>
      <c r="W450" s="71"/>
      <c r="X450" s="71"/>
      <c r="Y450" s="71"/>
    </row>
    <row r="451" spans="1:25">
      <c r="A451" s="372"/>
      <c r="B451" s="373"/>
      <c r="C451" s="373"/>
      <c r="D451" s="373"/>
      <c r="E451" s="373"/>
      <c r="F451" s="373"/>
      <c r="G451" s="373"/>
      <c r="H451" s="373"/>
      <c r="I451" s="373"/>
      <c r="J451" s="373"/>
      <c r="K451" s="373"/>
      <c r="L451" s="373"/>
      <c r="M451" s="374"/>
      <c r="N451" s="375"/>
      <c r="O451" s="375"/>
      <c r="P451" s="375"/>
      <c r="Q451" s="375"/>
      <c r="R451" s="241"/>
      <c r="S451" s="71"/>
      <c r="T451" s="71"/>
      <c r="U451" s="71"/>
      <c r="V451" s="71"/>
      <c r="W451" s="71"/>
      <c r="X451" s="71"/>
      <c r="Y451" s="71"/>
    </row>
    <row r="452" spans="1:25">
      <c r="A452" s="372"/>
      <c r="B452" s="373"/>
      <c r="C452" s="373"/>
      <c r="D452" s="373"/>
      <c r="E452" s="373"/>
      <c r="F452" s="373"/>
      <c r="G452" s="373"/>
      <c r="H452" s="373"/>
      <c r="I452" s="373"/>
      <c r="J452" s="373"/>
      <c r="K452" s="373"/>
      <c r="L452" s="373"/>
      <c r="M452" s="374"/>
      <c r="N452" s="375"/>
      <c r="O452" s="375"/>
      <c r="P452" s="375"/>
      <c r="Q452" s="375"/>
      <c r="R452" s="241"/>
      <c r="S452" s="71"/>
      <c r="T452" s="71"/>
      <c r="U452" s="71"/>
      <c r="V452" s="71"/>
      <c r="W452" s="71"/>
      <c r="X452" s="71"/>
      <c r="Y452" s="71"/>
    </row>
    <row r="453" spans="1:25">
      <c r="A453" s="372"/>
      <c r="B453" s="373"/>
      <c r="C453" s="373"/>
      <c r="D453" s="373"/>
      <c r="E453" s="373"/>
      <c r="F453" s="373"/>
      <c r="G453" s="373"/>
      <c r="H453" s="373"/>
      <c r="I453" s="373"/>
      <c r="J453" s="373"/>
      <c r="K453" s="373"/>
      <c r="L453" s="373"/>
      <c r="M453" s="374"/>
      <c r="N453" s="375"/>
      <c r="O453" s="375"/>
      <c r="P453" s="375"/>
      <c r="Q453" s="375"/>
      <c r="R453" s="241"/>
      <c r="S453" s="71"/>
      <c r="T453" s="71"/>
      <c r="U453" s="71"/>
      <c r="V453" s="71"/>
      <c r="W453" s="71"/>
      <c r="X453" s="71"/>
      <c r="Y453" s="71"/>
    </row>
    <row r="454" spans="1:25">
      <c r="A454" s="372"/>
      <c r="B454" s="373"/>
      <c r="C454" s="373"/>
      <c r="D454" s="373"/>
      <c r="E454" s="373"/>
      <c r="F454" s="373"/>
      <c r="G454" s="373"/>
      <c r="H454" s="373"/>
      <c r="I454" s="373"/>
      <c r="J454" s="373"/>
      <c r="K454" s="373"/>
      <c r="L454" s="373"/>
      <c r="M454" s="374"/>
      <c r="N454" s="375"/>
      <c r="O454" s="375"/>
      <c r="P454" s="375"/>
      <c r="Q454" s="375"/>
      <c r="R454" s="241"/>
      <c r="S454" s="71"/>
      <c r="T454" s="71"/>
      <c r="U454" s="71"/>
      <c r="V454" s="71"/>
      <c r="W454" s="71"/>
      <c r="X454" s="71"/>
      <c r="Y454" s="71"/>
    </row>
    <row r="455" spans="1:25">
      <c r="A455" s="372"/>
      <c r="B455" s="373"/>
      <c r="C455" s="373"/>
      <c r="D455" s="373"/>
      <c r="E455" s="373"/>
      <c r="F455" s="373"/>
      <c r="G455" s="373"/>
      <c r="H455" s="373"/>
      <c r="I455" s="373"/>
      <c r="J455" s="373"/>
      <c r="K455" s="373"/>
      <c r="L455" s="373"/>
      <c r="M455" s="374"/>
      <c r="N455" s="375"/>
      <c r="O455" s="375"/>
      <c r="P455" s="375"/>
      <c r="Q455" s="375"/>
      <c r="R455" s="241"/>
      <c r="S455" s="71"/>
      <c r="T455" s="71"/>
      <c r="U455" s="71"/>
      <c r="V455" s="71"/>
      <c r="W455" s="71"/>
      <c r="X455" s="71"/>
      <c r="Y455" s="71"/>
    </row>
    <row r="456" spans="1:25">
      <c r="A456" s="372"/>
      <c r="B456" s="373"/>
      <c r="C456" s="373"/>
      <c r="D456" s="373"/>
      <c r="E456" s="373"/>
      <c r="F456" s="373"/>
      <c r="G456" s="373"/>
      <c r="H456" s="373"/>
      <c r="I456" s="373"/>
      <c r="J456" s="373"/>
      <c r="K456" s="373"/>
      <c r="L456" s="373"/>
      <c r="M456" s="374"/>
      <c r="N456" s="375"/>
      <c r="O456" s="375"/>
      <c r="P456" s="375"/>
      <c r="Q456" s="375"/>
      <c r="R456" s="241"/>
      <c r="S456" s="71"/>
      <c r="T456" s="71"/>
      <c r="U456" s="71"/>
      <c r="V456" s="71"/>
      <c r="W456" s="71"/>
      <c r="X456" s="71"/>
      <c r="Y456" s="71"/>
    </row>
    <row r="457" spans="1:25">
      <c r="A457" s="372"/>
      <c r="B457" s="373"/>
      <c r="C457" s="373"/>
      <c r="D457" s="373"/>
      <c r="E457" s="373"/>
      <c r="F457" s="373"/>
      <c r="G457" s="373"/>
      <c r="H457" s="373"/>
      <c r="I457" s="373"/>
      <c r="J457" s="373"/>
      <c r="K457" s="373"/>
      <c r="L457" s="373"/>
      <c r="M457" s="374"/>
      <c r="N457" s="375"/>
      <c r="O457" s="375"/>
      <c r="P457" s="375"/>
      <c r="Q457" s="375"/>
      <c r="R457" s="241"/>
      <c r="S457" s="71"/>
      <c r="T457" s="71"/>
      <c r="U457" s="71"/>
      <c r="V457" s="71"/>
      <c r="W457" s="71"/>
      <c r="X457" s="71"/>
      <c r="Y457" s="71"/>
    </row>
    <row r="458" spans="1:25">
      <c r="A458" s="372"/>
      <c r="B458" s="373"/>
      <c r="C458" s="373"/>
      <c r="D458" s="373"/>
      <c r="E458" s="373"/>
      <c r="F458" s="373"/>
      <c r="G458" s="373"/>
      <c r="H458" s="373"/>
      <c r="I458" s="373"/>
      <c r="J458" s="373"/>
      <c r="K458" s="373"/>
      <c r="L458" s="373"/>
      <c r="M458" s="374"/>
      <c r="N458" s="375"/>
      <c r="O458" s="375"/>
      <c r="P458" s="375"/>
      <c r="Q458" s="375"/>
      <c r="R458" s="241"/>
      <c r="S458" s="71"/>
      <c r="T458" s="71"/>
      <c r="U458" s="71"/>
      <c r="V458" s="71"/>
      <c r="W458" s="71"/>
      <c r="X458" s="71"/>
      <c r="Y458" s="71"/>
    </row>
    <row r="459" spans="1:25">
      <c r="A459" s="372"/>
      <c r="B459" s="373"/>
      <c r="C459" s="373"/>
      <c r="D459" s="373"/>
      <c r="E459" s="373"/>
      <c r="F459" s="373"/>
      <c r="G459" s="373"/>
      <c r="H459" s="373"/>
      <c r="I459" s="373"/>
      <c r="J459" s="373"/>
      <c r="K459" s="373"/>
      <c r="L459" s="373"/>
      <c r="M459" s="374"/>
      <c r="N459" s="375"/>
      <c r="O459" s="375"/>
      <c r="P459" s="375"/>
      <c r="Q459" s="375"/>
      <c r="R459" s="241"/>
      <c r="S459" s="71"/>
      <c r="T459" s="71"/>
      <c r="U459" s="71"/>
      <c r="V459" s="71"/>
      <c r="W459" s="71"/>
      <c r="X459" s="71"/>
      <c r="Y459" s="71"/>
    </row>
    <row r="460" spans="1:25">
      <c r="A460" s="372"/>
      <c r="B460" s="373"/>
      <c r="C460" s="373"/>
      <c r="D460" s="373"/>
      <c r="E460" s="373"/>
      <c r="F460" s="373"/>
      <c r="G460" s="373"/>
      <c r="H460" s="373"/>
      <c r="I460" s="373"/>
      <c r="J460" s="373"/>
      <c r="K460" s="373"/>
      <c r="L460" s="373"/>
      <c r="M460" s="374"/>
      <c r="N460" s="375"/>
      <c r="O460" s="375"/>
      <c r="P460" s="375"/>
      <c r="Q460" s="375"/>
      <c r="R460" s="241"/>
      <c r="S460" s="71"/>
      <c r="T460" s="71"/>
      <c r="U460" s="71"/>
      <c r="V460" s="71"/>
      <c r="W460" s="71"/>
      <c r="X460" s="71"/>
      <c r="Y460" s="71"/>
    </row>
    <row r="461" spans="1:25">
      <c r="A461" s="372"/>
      <c r="B461" s="373"/>
      <c r="C461" s="373"/>
      <c r="D461" s="373"/>
      <c r="E461" s="373"/>
      <c r="F461" s="373"/>
      <c r="G461" s="373"/>
      <c r="H461" s="373"/>
      <c r="I461" s="373"/>
      <c r="J461" s="373"/>
      <c r="K461" s="373"/>
      <c r="L461" s="373"/>
      <c r="M461" s="374"/>
      <c r="N461" s="375"/>
      <c r="O461" s="375"/>
      <c r="P461" s="375"/>
      <c r="Q461" s="375"/>
      <c r="R461" s="241"/>
      <c r="S461" s="71"/>
      <c r="T461" s="71"/>
      <c r="U461" s="71"/>
      <c r="V461" s="71"/>
      <c r="W461" s="71"/>
      <c r="X461" s="71"/>
      <c r="Y461" s="71"/>
    </row>
    <row r="462" spans="1:25">
      <c r="A462" s="372"/>
      <c r="B462" s="373"/>
      <c r="C462" s="373"/>
      <c r="D462" s="373"/>
      <c r="E462" s="373"/>
      <c r="F462" s="373"/>
      <c r="G462" s="373"/>
      <c r="H462" s="373"/>
      <c r="I462" s="373"/>
      <c r="J462" s="373"/>
      <c r="K462" s="373"/>
      <c r="L462" s="373"/>
      <c r="M462" s="374"/>
      <c r="N462" s="375"/>
      <c r="O462" s="375"/>
      <c r="P462" s="375"/>
      <c r="Q462" s="375"/>
      <c r="R462" s="241"/>
      <c r="S462" s="71"/>
      <c r="T462" s="71"/>
      <c r="U462" s="71"/>
      <c r="V462" s="71"/>
      <c r="W462" s="71"/>
      <c r="X462" s="71"/>
      <c r="Y462" s="71"/>
    </row>
    <row r="463" spans="1:25">
      <c r="A463" s="372"/>
      <c r="B463" s="373"/>
      <c r="C463" s="373"/>
      <c r="D463" s="373"/>
      <c r="E463" s="373"/>
      <c r="F463" s="373"/>
      <c r="G463" s="373"/>
      <c r="H463" s="373"/>
      <c r="I463" s="373"/>
      <c r="J463" s="373"/>
      <c r="K463" s="373"/>
      <c r="L463" s="373"/>
      <c r="M463" s="374"/>
      <c r="N463" s="375"/>
      <c r="O463" s="375"/>
      <c r="P463" s="375"/>
      <c r="Q463" s="375"/>
      <c r="R463" s="241"/>
      <c r="S463" s="71"/>
      <c r="T463" s="71"/>
      <c r="U463" s="71"/>
      <c r="V463" s="71"/>
      <c r="W463" s="71"/>
      <c r="X463" s="71"/>
      <c r="Y463" s="71"/>
    </row>
    <row r="464" spans="1:25">
      <c r="A464" s="372"/>
      <c r="B464" s="373"/>
      <c r="C464" s="373"/>
      <c r="D464" s="373"/>
      <c r="E464" s="373"/>
      <c r="F464" s="373"/>
      <c r="G464" s="373"/>
      <c r="H464" s="373"/>
      <c r="I464" s="373"/>
      <c r="J464" s="373"/>
      <c r="K464" s="373"/>
      <c r="L464" s="373"/>
      <c r="M464" s="374"/>
      <c r="N464" s="375"/>
      <c r="O464" s="375"/>
      <c r="P464" s="375"/>
      <c r="Q464" s="375"/>
      <c r="R464" s="241"/>
      <c r="S464" s="71"/>
      <c r="T464" s="71"/>
      <c r="U464" s="71"/>
      <c r="V464" s="71"/>
      <c r="W464" s="71"/>
      <c r="X464" s="71"/>
      <c r="Y464" s="71"/>
    </row>
    <row r="465" spans="1:25">
      <c r="A465" s="80"/>
      <c r="B465" s="241"/>
      <c r="C465" s="241"/>
      <c r="D465" s="241"/>
      <c r="E465" s="241"/>
      <c r="F465" s="241"/>
      <c r="G465" s="241"/>
      <c r="H465" s="241"/>
      <c r="I465" s="241"/>
      <c r="J465" s="241"/>
      <c r="K465" s="241"/>
      <c r="L465" s="241"/>
      <c r="M465" s="376"/>
      <c r="N465" s="377"/>
      <c r="O465" s="377"/>
      <c r="P465" s="377"/>
      <c r="Q465" s="377"/>
      <c r="R465" s="241"/>
      <c r="S465" s="71"/>
      <c r="T465" s="71"/>
      <c r="U465" s="71"/>
      <c r="V465" s="71"/>
      <c r="W465" s="71"/>
      <c r="X465" s="71"/>
      <c r="Y465" s="71"/>
    </row>
    <row r="466" spans="1:25">
      <c r="A466" s="80"/>
      <c r="B466" s="241"/>
      <c r="C466" s="241"/>
      <c r="D466" s="241"/>
      <c r="E466" s="241"/>
      <c r="F466" s="241"/>
      <c r="G466" s="241"/>
      <c r="H466" s="241"/>
      <c r="I466" s="241"/>
      <c r="J466" s="241"/>
      <c r="K466" s="241"/>
      <c r="L466" s="241"/>
      <c r="M466" s="376"/>
      <c r="N466" s="377"/>
      <c r="O466" s="377"/>
      <c r="P466" s="377"/>
      <c r="Q466" s="377"/>
      <c r="R466" s="241"/>
      <c r="S466" s="71"/>
      <c r="T466" s="71"/>
      <c r="U466" s="71"/>
      <c r="V466" s="71"/>
      <c r="W466" s="71"/>
      <c r="X466" s="71"/>
      <c r="Y466" s="71"/>
    </row>
    <row r="467" spans="1:25">
      <c r="A467" s="80"/>
      <c r="B467" s="241"/>
      <c r="C467" s="241"/>
      <c r="D467" s="241"/>
      <c r="E467" s="241"/>
      <c r="F467" s="241"/>
      <c r="G467" s="241"/>
      <c r="H467" s="241"/>
      <c r="I467" s="241"/>
      <c r="J467" s="241"/>
      <c r="K467" s="241"/>
      <c r="L467" s="241"/>
      <c r="M467" s="376"/>
      <c r="N467" s="377"/>
      <c r="O467" s="377"/>
      <c r="P467" s="377"/>
      <c r="Q467" s="377"/>
      <c r="R467" s="241"/>
      <c r="S467" s="71"/>
      <c r="T467" s="71"/>
      <c r="U467" s="71"/>
      <c r="V467" s="71"/>
      <c r="W467" s="71"/>
      <c r="X467" s="71"/>
      <c r="Y467" s="71"/>
    </row>
    <row r="468" spans="1:25">
      <c r="A468" s="80"/>
      <c r="B468" s="241"/>
      <c r="C468" s="241"/>
      <c r="D468" s="241"/>
      <c r="E468" s="241"/>
      <c r="F468" s="241"/>
      <c r="G468" s="241"/>
      <c r="H468" s="241"/>
      <c r="I468" s="241"/>
      <c r="J468" s="241"/>
      <c r="K468" s="241"/>
      <c r="L468" s="241"/>
      <c r="M468" s="376"/>
      <c r="N468" s="377"/>
      <c r="O468" s="377"/>
      <c r="P468" s="377"/>
      <c r="Q468" s="377"/>
      <c r="R468" s="241"/>
      <c r="S468" s="71"/>
      <c r="T468" s="71"/>
      <c r="U468" s="71"/>
      <c r="V468" s="71"/>
      <c r="W468" s="71"/>
      <c r="X468" s="71"/>
      <c r="Y468" s="71"/>
    </row>
    <row r="469" spans="1:25">
      <c r="A469" s="80"/>
      <c r="B469" s="241"/>
      <c r="C469" s="241"/>
      <c r="D469" s="241"/>
      <c r="E469" s="241"/>
      <c r="F469" s="241"/>
      <c r="G469" s="241"/>
      <c r="H469" s="241"/>
      <c r="I469" s="241"/>
      <c r="J469" s="241"/>
      <c r="K469" s="241"/>
      <c r="L469" s="241"/>
      <c r="M469" s="376"/>
      <c r="N469" s="377"/>
      <c r="O469" s="377"/>
      <c r="P469" s="377"/>
      <c r="Q469" s="377"/>
      <c r="R469" s="241"/>
      <c r="S469" s="71"/>
      <c r="T469" s="71"/>
      <c r="U469" s="71"/>
      <c r="V469" s="71"/>
      <c r="W469" s="71"/>
      <c r="X469" s="71"/>
      <c r="Y469" s="71"/>
    </row>
    <row r="470" spans="1:25">
      <c r="A470" s="80"/>
      <c r="B470" s="241"/>
      <c r="C470" s="241"/>
      <c r="D470" s="241"/>
      <c r="E470" s="241"/>
      <c r="F470" s="241"/>
      <c r="G470" s="241"/>
      <c r="H470" s="241"/>
      <c r="I470" s="241"/>
      <c r="J470" s="241"/>
      <c r="K470" s="241"/>
      <c r="L470" s="241"/>
      <c r="M470" s="376"/>
      <c r="N470" s="377"/>
      <c r="O470" s="377"/>
      <c r="P470" s="377"/>
      <c r="Q470" s="377"/>
      <c r="R470" s="241"/>
      <c r="S470" s="71"/>
      <c r="T470" s="71"/>
      <c r="U470" s="71"/>
      <c r="V470" s="71"/>
      <c r="W470" s="71"/>
      <c r="X470" s="71"/>
      <c r="Y470" s="71"/>
    </row>
    <row r="471" spans="1:25">
      <c r="A471" s="80"/>
      <c r="B471" s="241"/>
      <c r="C471" s="241"/>
      <c r="D471" s="241"/>
      <c r="E471" s="241"/>
      <c r="F471" s="241"/>
      <c r="G471" s="241"/>
      <c r="H471" s="241"/>
      <c r="I471" s="241"/>
      <c r="J471" s="241"/>
      <c r="K471" s="241"/>
      <c r="L471" s="241"/>
      <c r="M471" s="376"/>
      <c r="N471" s="377"/>
      <c r="O471" s="377"/>
      <c r="P471" s="377"/>
      <c r="Q471" s="377"/>
      <c r="R471" s="241"/>
      <c r="S471" s="71"/>
      <c r="T471" s="71"/>
      <c r="U471" s="71"/>
      <c r="V471" s="71"/>
      <c r="W471" s="71"/>
      <c r="X471" s="71"/>
      <c r="Y471" s="71"/>
    </row>
    <row r="472" spans="1:25">
      <c r="A472" s="80"/>
      <c r="B472" s="241"/>
      <c r="C472" s="241"/>
      <c r="D472" s="241"/>
      <c r="E472" s="241"/>
      <c r="F472" s="241"/>
      <c r="G472" s="241"/>
      <c r="H472" s="241"/>
      <c r="I472" s="241"/>
      <c r="J472" s="241"/>
      <c r="K472" s="241"/>
      <c r="L472" s="241"/>
      <c r="M472" s="376"/>
      <c r="N472" s="377"/>
      <c r="O472" s="377"/>
      <c r="P472" s="377"/>
      <c r="Q472" s="377"/>
      <c r="R472" s="241"/>
      <c r="S472" s="71"/>
      <c r="T472" s="71"/>
      <c r="U472" s="71"/>
      <c r="V472" s="71"/>
      <c r="W472" s="71"/>
      <c r="X472" s="71"/>
      <c r="Y472" s="71"/>
    </row>
    <row r="473" spans="1:25">
      <c r="A473" s="80"/>
      <c r="B473" s="241"/>
      <c r="C473" s="241"/>
      <c r="D473" s="241"/>
      <c r="E473" s="241"/>
      <c r="F473" s="241"/>
      <c r="G473" s="241"/>
      <c r="H473" s="241"/>
      <c r="I473" s="241"/>
      <c r="J473" s="241"/>
      <c r="K473" s="241"/>
      <c r="L473" s="241"/>
      <c r="M473" s="376"/>
      <c r="N473" s="377"/>
      <c r="O473" s="377"/>
      <c r="P473" s="377"/>
      <c r="Q473" s="377"/>
      <c r="R473" s="241"/>
      <c r="S473" s="71"/>
      <c r="T473" s="71"/>
      <c r="U473" s="71"/>
      <c r="V473" s="71"/>
      <c r="W473" s="71"/>
      <c r="X473" s="71"/>
      <c r="Y473" s="71"/>
    </row>
    <row r="474" spans="1:25">
      <c r="A474" s="80"/>
      <c r="B474" s="241"/>
      <c r="C474" s="241"/>
      <c r="D474" s="241"/>
      <c r="E474" s="241"/>
      <c r="F474" s="241"/>
      <c r="G474" s="241"/>
      <c r="H474" s="241"/>
      <c r="I474" s="241"/>
      <c r="J474" s="241"/>
      <c r="K474" s="241"/>
      <c r="L474" s="241"/>
      <c r="M474" s="376"/>
      <c r="N474" s="377"/>
      <c r="O474" s="377"/>
      <c r="P474" s="377"/>
      <c r="Q474" s="377"/>
      <c r="R474" s="241"/>
      <c r="S474" s="71"/>
      <c r="T474" s="71"/>
      <c r="U474" s="71"/>
      <c r="V474" s="71"/>
      <c r="W474" s="71"/>
      <c r="X474" s="71"/>
      <c r="Y474" s="71"/>
    </row>
    <row r="475" spans="1:25">
      <c r="A475" s="80"/>
      <c r="B475" s="241"/>
      <c r="C475" s="241"/>
      <c r="D475" s="241"/>
      <c r="E475" s="241"/>
      <c r="F475" s="241"/>
      <c r="G475" s="241"/>
      <c r="H475" s="241"/>
      <c r="I475" s="241"/>
      <c r="J475" s="241"/>
      <c r="K475" s="241"/>
      <c r="L475" s="241"/>
      <c r="M475" s="376"/>
      <c r="N475" s="377"/>
      <c r="O475" s="377"/>
      <c r="P475" s="377"/>
      <c r="Q475" s="377"/>
      <c r="R475" s="241"/>
      <c r="S475" s="71"/>
      <c r="T475" s="71"/>
      <c r="U475" s="71"/>
      <c r="V475" s="71"/>
      <c r="W475" s="71"/>
      <c r="X475" s="71"/>
      <c r="Y475" s="71"/>
    </row>
    <row r="476" spans="1:25">
      <c r="A476" s="80"/>
      <c r="B476" s="241"/>
      <c r="C476" s="241"/>
      <c r="D476" s="241"/>
      <c r="E476" s="241"/>
      <c r="F476" s="241"/>
      <c r="G476" s="241"/>
      <c r="H476" s="241"/>
      <c r="I476" s="241"/>
      <c r="J476" s="241"/>
      <c r="K476" s="241"/>
      <c r="L476" s="241"/>
      <c r="M476" s="376"/>
      <c r="N476" s="377"/>
      <c r="O476" s="377"/>
      <c r="P476" s="377"/>
      <c r="Q476" s="377"/>
      <c r="R476" s="241"/>
      <c r="S476" s="71"/>
      <c r="T476" s="71"/>
      <c r="U476" s="71"/>
      <c r="V476" s="71"/>
      <c r="W476" s="71"/>
      <c r="X476" s="71"/>
      <c r="Y476" s="71"/>
    </row>
    <row r="477" spans="1:25">
      <c r="A477" s="80"/>
      <c r="B477" s="241"/>
      <c r="C477" s="241"/>
      <c r="D477" s="241"/>
      <c r="E477" s="241"/>
      <c r="F477" s="241"/>
      <c r="G477" s="241"/>
      <c r="H477" s="241"/>
      <c r="I477" s="241"/>
      <c r="J477" s="241"/>
      <c r="K477" s="241"/>
      <c r="L477" s="241"/>
      <c r="M477" s="376"/>
      <c r="N477" s="377"/>
      <c r="O477" s="377"/>
      <c r="P477" s="377"/>
      <c r="Q477" s="377"/>
      <c r="R477" s="241"/>
      <c r="S477" s="71"/>
      <c r="T477" s="71"/>
      <c r="U477" s="71"/>
      <c r="V477" s="71"/>
      <c r="W477" s="71"/>
      <c r="X477" s="71"/>
      <c r="Y477" s="71"/>
    </row>
    <row r="478" spans="1:25">
      <c r="A478" s="80"/>
      <c r="B478" s="241"/>
      <c r="C478" s="241"/>
      <c r="D478" s="241"/>
      <c r="E478" s="241"/>
      <c r="F478" s="241"/>
      <c r="G478" s="241"/>
      <c r="H478" s="241"/>
      <c r="I478" s="241"/>
      <c r="J478" s="241"/>
      <c r="K478" s="241"/>
      <c r="L478" s="241"/>
      <c r="M478" s="376"/>
      <c r="N478" s="377"/>
      <c r="O478" s="377"/>
      <c r="P478" s="377"/>
      <c r="Q478" s="377"/>
      <c r="R478" s="241"/>
      <c r="S478" s="71"/>
      <c r="T478" s="71"/>
      <c r="U478" s="71"/>
      <c r="V478" s="71"/>
      <c r="W478" s="71"/>
      <c r="X478" s="71"/>
      <c r="Y478" s="71"/>
    </row>
    <row r="479" spans="1:25">
      <c r="A479" s="80"/>
      <c r="B479" s="241"/>
      <c r="C479" s="241"/>
      <c r="D479" s="241"/>
      <c r="E479" s="241"/>
      <c r="F479" s="241"/>
      <c r="G479" s="241"/>
      <c r="H479" s="241"/>
      <c r="I479" s="241"/>
      <c r="J479" s="241"/>
      <c r="K479" s="241"/>
      <c r="L479" s="241"/>
      <c r="M479" s="376"/>
      <c r="N479" s="377"/>
      <c r="O479" s="377"/>
      <c r="P479" s="377"/>
      <c r="Q479" s="377"/>
      <c r="R479" s="241"/>
      <c r="S479" s="71"/>
      <c r="T479" s="71"/>
      <c r="U479" s="71"/>
      <c r="V479" s="71"/>
      <c r="W479" s="71"/>
      <c r="X479" s="71"/>
      <c r="Y479" s="71"/>
    </row>
    <row r="480" spans="1:25">
      <c r="A480" s="80"/>
      <c r="B480" s="241"/>
      <c r="C480" s="241"/>
      <c r="D480" s="241"/>
      <c r="E480" s="241"/>
      <c r="F480" s="241"/>
      <c r="G480" s="241"/>
      <c r="H480" s="241"/>
      <c r="I480" s="241"/>
      <c r="J480" s="241"/>
      <c r="K480" s="241"/>
      <c r="L480" s="241"/>
      <c r="M480" s="376"/>
      <c r="N480" s="377"/>
      <c r="O480" s="377"/>
      <c r="P480" s="377"/>
      <c r="Q480" s="377"/>
      <c r="R480" s="241"/>
      <c r="S480" s="71"/>
      <c r="T480" s="71"/>
      <c r="U480" s="71"/>
      <c r="V480" s="71"/>
      <c r="W480" s="71"/>
      <c r="X480" s="71"/>
      <c r="Y480" s="71"/>
    </row>
    <row r="481" spans="1:25">
      <c r="A481" s="80"/>
      <c r="B481" s="241"/>
      <c r="C481" s="241"/>
      <c r="D481" s="241"/>
      <c r="E481" s="241"/>
      <c r="F481" s="241"/>
      <c r="G481" s="241"/>
      <c r="H481" s="241"/>
      <c r="I481" s="241"/>
      <c r="J481" s="241"/>
      <c r="K481" s="241"/>
      <c r="L481" s="241"/>
      <c r="M481" s="376"/>
      <c r="N481" s="377"/>
      <c r="O481" s="377"/>
      <c r="P481" s="377"/>
      <c r="Q481" s="377"/>
      <c r="R481" s="241"/>
      <c r="S481" s="71"/>
      <c r="T481" s="71"/>
      <c r="U481" s="71"/>
      <c r="V481" s="71"/>
      <c r="W481" s="71"/>
      <c r="X481" s="71"/>
      <c r="Y481" s="71"/>
    </row>
    <row r="482" spans="1:25">
      <c r="A482" s="80"/>
      <c r="B482" s="241"/>
      <c r="C482" s="241"/>
      <c r="D482" s="241"/>
      <c r="E482" s="241"/>
      <c r="F482" s="241"/>
      <c r="G482" s="241"/>
      <c r="H482" s="241"/>
      <c r="I482" s="241"/>
      <c r="J482" s="241"/>
      <c r="K482" s="241"/>
      <c r="L482" s="241"/>
      <c r="M482" s="376"/>
      <c r="N482" s="377"/>
      <c r="O482" s="377"/>
      <c r="P482" s="377"/>
      <c r="Q482" s="377"/>
      <c r="R482" s="241"/>
      <c r="S482" s="71"/>
      <c r="T482" s="71"/>
      <c r="U482" s="71"/>
      <c r="V482" s="71"/>
      <c r="W482" s="71"/>
      <c r="X482" s="71"/>
      <c r="Y482" s="71"/>
    </row>
    <row r="483" spans="1:25">
      <c r="A483" s="80"/>
      <c r="B483" s="241"/>
      <c r="C483" s="241"/>
      <c r="D483" s="241"/>
      <c r="E483" s="241"/>
      <c r="F483" s="241"/>
      <c r="G483" s="241"/>
      <c r="H483" s="241"/>
      <c r="I483" s="241"/>
      <c r="J483" s="241"/>
      <c r="K483" s="241"/>
      <c r="L483" s="241"/>
      <c r="M483" s="376"/>
      <c r="N483" s="377"/>
      <c r="O483" s="377"/>
      <c r="P483" s="377"/>
      <c r="Q483" s="377"/>
      <c r="R483" s="241"/>
      <c r="S483" s="71"/>
      <c r="T483" s="71"/>
      <c r="U483" s="71"/>
      <c r="V483" s="71"/>
      <c r="W483" s="71"/>
      <c r="X483" s="71"/>
      <c r="Y483" s="71"/>
    </row>
    <row r="484" spans="1:25">
      <c r="A484" s="80"/>
      <c r="B484" s="241"/>
      <c r="C484" s="241"/>
      <c r="D484" s="241"/>
      <c r="E484" s="241"/>
      <c r="F484" s="241"/>
      <c r="G484" s="241"/>
      <c r="H484" s="241"/>
      <c r="I484" s="241"/>
      <c r="J484" s="241"/>
      <c r="K484" s="241"/>
      <c r="L484" s="241"/>
      <c r="M484" s="376"/>
      <c r="N484" s="377"/>
      <c r="O484" s="377"/>
      <c r="P484" s="377"/>
      <c r="Q484" s="377"/>
      <c r="R484" s="241"/>
      <c r="S484" s="71"/>
      <c r="T484" s="71"/>
      <c r="U484" s="71"/>
      <c r="V484" s="71"/>
      <c r="W484" s="71"/>
      <c r="X484" s="71"/>
      <c r="Y484" s="71"/>
    </row>
    <row r="485" spans="1:25">
      <c r="A485" s="80"/>
      <c r="B485" s="241"/>
      <c r="C485" s="241"/>
      <c r="D485" s="241"/>
      <c r="E485" s="241"/>
      <c r="F485" s="241"/>
      <c r="G485" s="241"/>
      <c r="H485" s="241"/>
      <c r="I485" s="241"/>
      <c r="J485" s="241"/>
      <c r="K485" s="241"/>
      <c r="L485" s="241"/>
      <c r="M485" s="376"/>
      <c r="N485" s="377"/>
      <c r="O485" s="377"/>
      <c r="P485" s="377"/>
      <c r="Q485" s="377"/>
      <c r="R485" s="241"/>
      <c r="S485" s="71"/>
      <c r="T485" s="71"/>
      <c r="U485" s="71"/>
      <c r="V485" s="71"/>
      <c r="W485" s="71"/>
      <c r="X485" s="71"/>
      <c r="Y485" s="71"/>
    </row>
    <row r="486" spans="1:25">
      <c r="A486" s="80"/>
      <c r="B486" s="241"/>
      <c r="C486" s="241"/>
      <c r="D486" s="241"/>
      <c r="E486" s="241"/>
      <c r="F486" s="241"/>
      <c r="G486" s="241"/>
      <c r="H486" s="241"/>
      <c r="I486" s="241"/>
      <c r="J486" s="241"/>
      <c r="K486" s="241"/>
      <c r="L486" s="241"/>
      <c r="M486" s="376"/>
      <c r="N486" s="377"/>
      <c r="O486" s="377"/>
      <c r="P486" s="377"/>
      <c r="Q486" s="377"/>
      <c r="R486" s="241"/>
      <c r="S486" s="71"/>
      <c r="T486" s="71"/>
      <c r="U486" s="71"/>
      <c r="V486" s="71"/>
      <c r="W486" s="71"/>
      <c r="X486" s="71"/>
      <c r="Y486" s="71"/>
    </row>
    <row r="487" spans="1:25">
      <c r="A487" s="80"/>
      <c r="B487" s="241"/>
      <c r="C487" s="241"/>
      <c r="D487" s="241"/>
      <c r="E487" s="241"/>
      <c r="F487" s="241"/>
      <c r="G487" s="241"/>
      <c r="H487" s="241"/>
      <c r="I487" s="241"/>
      <c r="J487" s="241"/>
      <c r="K487" s="241"/>
      <c r="L487" s="241"/>
      <c r="M487" s="376"/>
      <c r="N487" s="377"/>
      <c r="O487" s="377"/>
      <c r="P487" s="377"/>
      <c r="Q487" s="377"/>
      <c r="R487" s="241"/>
      <c r="S487" s="71"/>
      <c r="T487" s="71"/>
      <c r="U487" s="71"/>
      <c r="V487" s="71"/>
      <c r="W487" s="71"/>
      <c r="X487" s="71"/>
      <c r="Y487" s="71"/>
    </row>
    <row r="488" spans="1:25">
      <c r="A488" s="80"/>
      <c r="B488" s="241"/>
      <c r="C488" s="241"/>
      <c r="D488" s="241"/>
      <c r="E488" s="241"/>
      <c r="F488" s="241"/>
      <c r="G488" s="241"/>
      <c r="H488" s="241"/>
      <c r="I488" s="241"/>
      <c r="J488" s="241"/>
      <c r="K488" s="241"/>
      <c r="L488" s="241"/>
      <c r="M488" s="376"/>
      <c r="N488" s="377"/>
      <c r="O488" s="377"/>
      <c r="P488" s="377"/>
      <c r="Q488" s="377"/>
      <c r="R488" s="241"/>
      <c r="S488" s="71"/>
      <c r="T488" s="71"/>
      <c r="U488" s="71"/>
      <c r="V488" s="71"/>
      <c r="W488" s="71"/>
      <c r="X488" s="71"/>
      <c r="Y488" s="71"/>
    </row>
    <row r="489" spans="1:25">
      <c r="A489" s="80"/>
      <c r="B489" s="241"/>
      <c r="C489" s="241"/>
      <c r="D489" s="241"/>
      <c r="E489" s="241"/>
      <c r="F489" s="241"/>
      <c r="G489" s="241"/>
      <c r="H489" s="241"/>
      <c r="I489" s="241"/>
      <c r="J489" s="241"/>
      <c r="K489" s="241"/>
      <c r="L489" s="241"/>
      <c r="M489" s="376"/>
      <c r="N489" s="377"/>
      <c r="O489" s="377"/>
      <c r="P489" s="377"/>
      <c r="Q489" s="377"/>
      <c r="R489" s="241"/>
      <c r="S489" s="71"/>
      <c r="T489" s="71"/>
      <c r="U489" s="71"/>
      <c r="V489" s="71"/>
      <c r="W489" s="71"/>
      <c r="X489" s="71"/>
      <c r="Y489" s="71"/>
    </row>
    <row r="490" spans="1:25">
      <c r="A490" s="80"/>
      <c r="B490" s="241"/>
      <c r="C490" s="241"/>
      <c r="D490" s="241"/>
      <c r="E490" s="241"/>
      <c r="F490" s="241"/>
      <c r="G490" s="241"/>
      <c r="H490" s="241"/>
      <c r="I490" s="241"/>
      <c r="J490" s="241"/>
      <c r="K490" s="241"/>
      <c r="L490" s="241"/>
      <c r="M490" s="376"/>
      <c r="N490" s="377"/>
      <c r="O490" s="377"/>
      <c r="P490" s="377"/>
      <c r="Q490" s="377"/>
      <c r="R490" s="241"/>
      <c r="S490" s="71"/>
      <c r="T490" s="71"/>
      <c r="U490" s="71"/>
      <c r="V490" s="71"/>
      <c r="W490" s="71"/>
      <c r="X490" s="71"/>
      <c r="Y490" s="71"/>
    </row>
    <row r="491" spans="1:25">
      <c r="A491" s="80"/>
      <c r="B491" s="241"/>
      <c r="C491" s="241"/>
      <c r="D491" s="241"/>
      <c r="E491" s="241"/>
      <c r="F491" s="241"/>
      <c r="G491" s="241"/>
      <c r="H491" s="241"/>
      <c r="I491" s="241"/>
      <c r="J491" s="241"/>
      <c r="K491" s="241"/>
      <c r="L491" s="241"/>
      <c r="M491" s="376"/>
      <c r="N491" s="377"/>
      <c r="O491" s="377"/>
      <c r="P491" s="377"/>
      <c r="Q491" s="377"/>
      <c r="R491" s="241"/>
      <c r="S491" s="71"/>
      <c r="T491" s="71"/>
      <c r="U491" s="71"/>
      <c r="V491" s="71"/>
      <c r="W491" s="71"/>
      <c r="X491" s="71"/>
      <c r="Y491" s="71"/>
    </row>
    <row r="492" spans="1:25">
      <c r="A492" s="80"/>
      <c r="B492" s="241"/>
      <c r="C492" s="241"/>
      <c r="D492" s="241"/>
      <c r="E492" s="241"/>
      <c r="F492" s="241"/>
      <c r="G492" s="241"/>
      <c r="H492" s="241"/>
      <c r="I492" s="241"/>
      <c r="J492" s="241"/>
      <c r="K492" s="241"/>
      <c r="L492" s="241"/>
      <c r="M492" s="376"/>
      <c r="N492" s="377"/>
      <c r="O492" s="377"/>
      <c r="P492" s="377"/>
      <c r="Q492" s="377"/>
      <c r="R492" s="241"/>
      <c r="S492" s="71"/>
      <c r="T492" s="71"/>
      <c r="U492" s="71"/>
      <c r="V492" s="71"/>
      <c r="W492" s="71"/>
      <c r="X492" s="71"/>
      <c r="Y492" s="71"/>
    </row>
    <row r="493" spans="1:25">
      <c r="A493" s="80"/>
      <c r="B493" s="241"/>
      <c r="C493" s="241"/>
      <c r="D493" s="241"/>
      <c r="E493" s="241"/>
      <c r="F493" s="241"/>
      <c r="G493" s="241"/>
      <c r="H493" s="241"/>
      <c r="I493" s="241"/>
      <c r="J493" s="241"/>
      <c r="K493" s="241"/>
      <c r="L493" s="241"/>
      <c r="M493" s="376"/>
      <c r="N493" s="377"/>
      <c r="O493" s="377"/>
      <c r="P493" s="377"/>
      <c r="Q493" s="377"/>
      <c r="R493" s="241"/>
      <c r="S493" s="71"/>
      <c r="T493" s="71"/>
      <c r="U493" s="71"/>
      <c r="V493" s="71"/>
      <c r="W493" s="71"/>
      <c r="X493" s="71"/>
      <c r="Y493" s="71"/>
    </row>
    <row r="494" spans="1:25">
      <c r="A494" s="80"/>
      <c r="B494" s="241"/>
      <c r="C494" s="241"/>
      <c r="D494" s="241"/>
      <c r="E494" s="241"/>
      <c r="F494" s="241"/>
      <c r="G494" s="241"/>
      <c r="H494" s="241"/>
      <c r="I494" s="241"/>
      <c r="J494" s="241"/>
      <c r="K494" s="241"/>
      <c r="L494" s="241"/>
      <c r="M494" s="376"/>
      <c r="N494" s="377"/>
      <c r="O494" s="377"/>
      <c r="P494" s="377"/>
      <c r="Q494" s="377"/>
      <c r="R494" s="241"/>
      <c r="S494" s="71"/>
      <c r="T494" s="71"/>
      <c r="U494" s="71"/>
      <c r="V494" s="71"/>
      <c r="W494" s="71"/>
      <c r="X494" s="71"/>
      <c r="Y494" s="71"/>
    </row>
    <row r="495" spans="1:25">
      <c r="A495" s="80"/>
      <c r="B495" s="241"/>
      <c r="C495" s="241"/>
      <c r="D495" s="241"/>
      <c r="E495" s="241"/>
      <c r="F495" s="241"/>
      <c r="G495" s="241"/>
      <c r="H495" s="241"/>
      <c r="I495" s="241"/>
      <c r="J495" s="241"/>
      <c r="K495" s="241"/>
      <c r="L495" s="241"/>
      <c r="M495" s="376"/>
      <c r="N495" s="377"/>
      <c r="O495" s="377"/>
      <c r="P495" s="377"/>
      <c r="Q495" s="377"/>
      <c r="R495" s="241"/>
      <c r="S495" s="71"/>
      <c r="T495" s="71"/>
      <c r="U495" s="71"/>
      <c r="V495" s="71"/>
      <c r="W495" s="71"/>
      <c r="X495" s="71"/>
      <c r="Y495" s="71"/>
    </row>
    <row r="496" spans="1:25">
      <c r="A496" s="80"/>
      <c r="B496" s="241"/>
      <c r="C496" s="241"/>
      <c r="D496" s="241"/>
      <c r="E496" s="241"/>
      <c r="F496" s="241"/>
      <c r="G496" s="241"/>
      <c r="H496" s="241"/>
      <c r="I496" s="241"/>
      <c r="J496" s="241"/>
      <c r="K496" s="241"/>
      <c r="L496" s="241"/>
      <c r="M496" s="376"/>
      <c r="N496" s="377"/>
      <c r="O496" s="377"/>
      <c r="P496" s="377"/>
      <c r="Q496" s="377"/>
      <c r="R496" s="241"/>
      <c r="S496" s="71"/>
      <c r="T496" s="71"/>
      <c r="U496" s="71"/>
      <c r="V496" s="71"/>
      <c r="W496" s="71"/>
      <c r="X496" s="71"/>
      <c r="Y496" s="71"/>
    </row>
    <row r="497" spans="1:25">
      <c r="A497" s="80"/>
      <c r="B497" s="241"/>
      <c r="C497" s="241"/>
      <c r="D497" s="241"/>
      <c r="E497" s="241"/>
      <c r="F497" s="241"/>
      <c r="G497" s="241"/>
      <c r="H497" s="241"/>
      <c r="I497" s="241"/>
      <c r="J497" s="241"/>
      <c r="K497" s="241"/>
      <c r="L497" s="241"/>
      <c r="M497" s="376"/>
      <c r="N497" s="377"/>
      <c r="O497" s="377"/>
      <c r="P497" s="377"/>
      <c r="Q497" s="377"/>
      <c r="R497" s="241"/>
      <c r="S497" s="71"/>
      <c r="T497" s="71"/>
      <c r="U497" s="71"/>
      <c r="V497" s="71"/>
      <c r="W497" s="71"/>
      <c r="X497" s="71"/>
      <c r="Y497" s="71"/>
    </row>
    <row r="498" spans="1:25">
      <c r="A498" s="80"/>
      <c r="B498" s="241"/>
      <c r="C498" s="241"/>
      <c r="D498" s="241"/>
      <c r="E498" s="241"/>
      <c r="F498" s="241"/>
      <c r="G498" s="241"/>
      <c r="H498" s="241"/>
      <c r="I498" s="241"/>
      <c r="J498" s="241"/>
      <c r="K498" s="241"/>
      <c r="L498" s="241"/>
      <c r="M498" s="376"/>
      <c r="N498" s="377"/>
      <c r="O498" s="377"/>
      <c r="P498" s="377"/>
      <c r="Q498" s="377"/>
      <c r="R498" s="241"/>
      <c r="S498" s="71"/>
      <c r="T498" s="71"/>
      <c r="U498" s="71"/>
      <c r="V498" s="71"/>
      <c r="W498" s="71"/>
      <c r="X498" s="71"/>
      <c r="Y498" s="71"/>
    </row>
    <row r="499" spans="1:25">
      <c r="A499" s="80"/>
      <c r="B499" s="241"/>
      <c r="C499" s="241"/>
      <c r="D499" s="241"/>
      <c r="E499" s="241"/>
      <c r="F499" s="241"/>
      <c r="G499" s="241"/>
      <c r="H499" s="241"/>
      <c r="I499" s="241"/>
      <c r="J499" s="241"/>
      <c r="K499" s="241"/>
      <c r="L499" s="241"/>
      <c r="M499" s="376"/>
      <c r="N499" s="377"/>
      <c r="O499" s="377"/>
      <c r="P499" s="377"/>
      <c r="Q499" s="377"/>
      <c r="R499" s="241"/>
      <c r="S499" s="71"/>
      <c r="T499" s="71"/>
      <c r="U499" s="71"/>
      <c r="V499" s="71"/>
      <c r="W499" s="71"/>
      <c r="X499" s="71"/>
      <c r="Y499" s="71"/>
    </row>
    <row r="500" spans="1:25">
      <c r="A500" s="80"/>
      <c r="B500" s="241"/>
      <c r="C500" s="241"/>
      <c r="D500" s="241"/>
      <c r="E500" s="241"/>
      <c r="F500" s="241"/>
      <c r="G500" s="241"/>
      <c r="H500" s="241"/>
      <c r="I500" s="241"/>
      <c r="J500" s="241"/>
      <c r="K500" s="241"/>
      <c r="L500" s="241"/>
      <c r="M500" s="376"/>
      <c r="N500" s="377"/>
      <c r="O500" s="377"/>
      <c r="P500" s="377"/>
      <c r="Q500" s="377"/>
      <c r="R500" s="241"/>
      <c r="S500" s="71"/>
      <c r="T500" s="71"/>
      <c r="U500" s="71"/>
      <c r="V500" s="71"/>
      <c r="W500" s="71"/>
      <c r="X500" s="71"/>
      <c r="Y500" s="71"/>
    </row>
    <row r="501" spans="1:25">
      <c r="A501" s="80"/>
      <c r="B501" s="241"/>
      <c r="C501" s="241"/>
      <c r="D501" s="241"/>
      <c r="E501" s="241"/>
      <c r="F501" s="241"/>
      <c r="G501" s="241"/>
      <c r="H501" s="241"/>
      <c r="I501" s="241"/>
      <c r="J501" s="241"/>
      <c r="K501" s="241"/>
      <c r="L501" s="241"/>
      <c r="M501" s="376"/>
      <c r="N501" s="377"/>
      <c r="O501" s="377"/>
      <c r="P501" s="377"/>
      <c r="Q501" s="377"/>
      <c r="R501" s="241"/>
      <c r="S501" s="71"/>
      <c r="T501" s="71"/>
      <c r="U501" s="71"/>
      <c r="V501" s="71"/>
      <c r="W501" s="71"/>
      <c r="X501" s="71"/>
      <c r="Y501" s="71"/>
    </row>
    <row r="502" spans="1:25">
      <c r="A502" s="80"/>
      <c r="B502" s="241"/>
      <c r="C502" s="241"/>
      <c r="D502" s="241"/>
      <c r="E502" s="241"/>
      <c r="F502" s="241"/>
      <c r="G502" s="241"/>
      <c r="H502" s="241"/>
      <c r="I502" s="241"/>
      <c r="J502" s="241"/>
      <c r="K502" s="241"/>
      <c r="L502" s="241"/>
      <c r="M502" s="376"/>
      <c r="N502" s="377"/>
      <c r="O502" s="377"/>
      <c r="P502" s="377"/>
      <c r="Q502" s="377"/>
      <c r="R502" s="241"/>
      <c r="S502" s="71"/>
      <c r="T502" s="71"/>
      <c r="U502" s="71"/>
      <c r="V502" s="71"/>
      <c r="W502" s="71"/>
      <c r="X502" s="71"/>
      <c r="Y502" s="71"/>
    </row>
    <row r="503" spans="1:25">
      <c r="A503" s="80"/>
      <c r="B503" s="241"/>
      <c r="C503" s="241"/>
      <c r="D503" s="241"/>
      <c r="E503" s="241"/>
      <c r="F503" s="241"/>
      <c r="G503" s="241"/>
      <c r="H503" s="241"/>
      <c r="I503" s="241"/>
      <c r="J503" s="241"/>
      <c r="K503" s="241"/>
      <c r="L503" s="241"/>
      <c r="M503" s="376"/>
      <c r="N503" s="377"/>
      <c r="O503" s="377"/>
      <c r="P503" s="377"/>
      <c r="Q503" s="377"/>
      <c r="R503" s="241"/>
      <c r="S503" s="71"/>
      <c r="T503" s="71"/>
      <c r="U503" s="71"/>
      <c r="V503" s="71"/>
      <c r="W503" s="71"/>
      <c r="X503" s="71"/>
      <c r="Y503" s="71"/>
    </row>
    <row r="504" spans="1:25">
      <c r="A504" s="80"/>
      <c r="B504" s="241"/>
      <c r="C504" s="241"/>
      <c r="D504" s="241"/>
      <c r="E504" s="241"/>
      <c r="F504" s="241"/>
      <c r="G504" s="241"/>
      <c r="H504" s="241"/>
      <c r="I504" s="241"/>
      <c r="J504" s="241"/>
      <c r="K504" s="241"/>
      <c r="L504" s="241"/>
      <c r="M504" s="376"/>
      <c r="N504" s="377"/>
      <c r="O504" s="377"/>
      <c r="P504" s="377"/>
      <c r="Q504" s="377"/>
      <c r="R504" s="241"/>
      <c r="S504" s="71"/>
      <c r="T504" s="71"/>
      <c r="U504" s="71"/>
      <c r="V504" s="71"/>
      <c r="W504" s="71"/>
      <c r="X504" s="71"/>
      <c r="Y504" s="71"/>
    </row>
    <row r="505" spans="1:25">
      <c r="A505" s="80"/>
      <c r="B505" s="241"/>
      <c r="C505" s="241"/>
      <c r="D505" s="241"/>
      <c r="E505" s="241"/>
      <c r="F505" s="241"/>
      <c r="G505" s="241"/>
      <c r="H505" s="241"/>
      <c r="I505" s="241"/>
      <c r="J505" s="241"/>
      <c r="K505" s="241"/>
      <c r="L505" s="241"/>
      <c r="M505" s="376"/>
      <c r="N505" s="377"/>
      <c r="O505" s="377"/>
      <c r="P505" s="377"/>
      <c r="Q505" s="377"/>
      <c r="R505" s="241"/>
      <c r="S505" s="71"/>
      <c r="T505" s="71"/>
      <c r="U505" s="71"/>
      <c r="V505" s="71"/>
      <c r="W505" s="71"/>
      <c r="X505" s="71"/>
      <c r="Y505" s="71"/>
    </row>
    <row r="506" spans="1:25">
      <c r="A506" s="80"/>
      <c r="B506" s="241"/>
      <c r="C506" s="241"/>
      <c r="D506" s="241"/>
      <c r="E506" s="241"/>
      <c r="F506" s="241"/>
      <c r="G506" s="241"/>
      <c r="H506" s="241"/>
      <c r="I506" s="241"/>
      <c r="J506" s="241"/>
      <c r="K506" s="241"/>
      <c r="L506" s="241"/>
      <c r="M506" s="376"/>
      <c r="N506" s="377"/>
      <c r="O506" s="377"/>
      <c r="P506" s="377"/>
      <c r="Q506" s="377"/>
      <c r="R506" s="241"/>
      <c r="S506" s="71"/>
      <c r="T506" s="71"/>
      <c r="U506" s="71"/>
      <c r="V506" s="71"/>
      <c r="W506" s="71"/>
      <c r="X506" s="71"/>
      <c r="Y506" s="71"/>
    </row>
    <row r="507" spans="1:25">
      <c r="A507" s="80"/>
      <c r="B507" s="241"/>
      <c r="C507" s="241"/>
      <c r="D507" s="241"/>
      <c r="E507" s="241"/>
      <c r="F507" s="241"/>
      <c r="G507" s="241"/>
      <c r="H507" s="241"/>
      <c r="I507" s="241"/>
      <c r="J507" s="241"/>
      <c r="K507" s="241"/>
      <c r="L507" s="241"/>
      <c r="M507" s="376"/>
      <c r="N507" s="377"/>
      <c r="O507" s="377"/>
      <c r="P507" s="377"/>
      <c r="Q507" s="377"/>
      <c r="R507" s="241"/>
      <c r="S507" s="71"/>
      <c r="T507" s="71"/>
      <c r="U507" s="71"/>
      <c r="V507" s="71"/>
      <c r="W507" s="71"/>
      <c r="X507" s="71"/>
      <c r="Y507" s="71"/>
    </row>
    <row r="508" spans="1:25">
      <c r="A508" s="80"/>
      <c r="B508" s="241"/>
      <c r="C508" s="241"/>
      <c r="D508" s="241"/>
      <c r="E508" s="241"/>
      <c r="F508" s="241"/>
      <c r="G508" s="241"/>
      <c r="H508" s="241"/>
      <c r="I508" s="241"/>
      <c r="J508" s="241"/>
      <c r="K508" s="241"/>
      <c r="L508" s="241"/>
      <c r="M508" s="376"/>
      <c r="N508" s="377"/>
      <c r="O508" s="377"/>
      <c r="P508" s="377"/>
      <c r="Q508" s="377"/>
      <c r="R508" s="241"/>
      <c r="S508" s="71"/>
      <c r="T508" s="71"/>
      <c r="U508" s="71"/>
      <c r="V508" s="71"/>
      <c r="W508" s="71"/>
      <c r="X508" s="71"/>
      <c r="Y508" s="71"/>
    </row>
    <row r="509" spans="1:25">
      <c r="A509" s="80"/>
      <c r="B509" s="241"/>
      <c r="C509" s="241"/>
      <c r="D509" s="241"/>
      <c r="E509" s="241"/>
      <c r="F509" s="241"/>
      <c r="G509" s="241"/>
      <c r="H509" s="241"/>
      <c r="I509" s="241"/>
      <c r="J509" s="241"/>
      <c r="K509" s="241"/>
      <c r="L509" s="241"/>
      <c r="M509" s="376"/>
      <c r="N509" s="377"/>
      <c r="O509" s="377"/>
      <c r="P509" s="377"/>
      <c r="Q509" s="377"/>
      <c r="R509" s="241"/>
      <c r="S509" s="71"/>
      <c r="T509" s="71"/>
      <c r="U509" s="71"/>
      <c r="V509" s="71"/>
      <c r="W509" s="71"/>
      <c r="X509" s="71"/>
      <c r="Y509" s="71"/>
    </row>
    <row r="510" spans="1:25">
      <c r="A510" s="80"/>
      <c r="B510" s="241"/>
      <c r="C510" s="241"/>
      <c r="D510" s="241"/>
      <c r="E510" s="241"/>
      <c r="F510" s="241"/>
      <c r="G510" s="241"/>
      <c r="H510" s="241"/>
      <c r="I510" s="241"/>
      <c r="J510" s="241"/>
      <c r="K510" s="241"/>
      <c r="L510" s="241"/>
      <c r="M510" s="376"/>
      <c r="N510" s="377"/>
      <c r="O510" s="377"/>
      <c r="P510" s="377"/>
      <c r="Q510" s="377"/>
      <c r="R510" s="241"/>
      <c r="S510" s="71"/>
      <c r="T510" s="71"/>
      <c r="U510" s="71"/>
      <c r="V510" s="71"/>
      <c r="W510" s="71"/>
      <c r="X510" s="71"/>
      <c r="Y510" s="71"/>
    </row>
    <row r="511" spans="1:25">
      <c r="A511" s="80"/>
      <c r="B511" s="241"/>
      <c r="C511" s="241"/>
      <c r="D511" s="241"/>
      <c r="E511" s="241"/>
      <c r="F511" s="241"/>
      <c r="G511" s="241"/>
      <c r="H511" s="241"/>
      <c r="I511" s="241"/>
      <c r="J511" s="241"/>
      <c r="K511" s="241"/>
      <c r="L511" s="241"/>
      <c r="M511" s="376"/>
      <c r="N511" s="377"/>
      <c r="O511" s="377"/>
      <c r="P511" s="377"/>
      <c r="Q511" s="377"/>
      <c r="R511" s="241"/>
      <c r="S511" s="71"/>
      <c r="T511" s="71"/>
      <c r="U511" s="71"/>
      <c r="V511" s="71"/>
      <c r="W511" s="71"/>
      <c r="X511" s="71"/>
      <c r="Y511" s="71"/>
    </row>
    <row r="512" spans="1:25">
      <c r="A512" s="80"/>
      <c r="B512" s="241"/>
      <c r="C512" s="241"/>
      <c r="D512" s="241"/>
      <c r="E512" s="241"/>
      <c r="F512" s="241"/>
      <c r="G512" s="241"/>
      <c r="H512" s="241"/>
      <c r="I512" s="241"/>
      <c r="J512" s="241"/>
      <c r="K512" s="241"/>
      <c r="L512" s="241"/>
      <c r="M512" s="376"/>
      <c r="N512" s="377"/>
      <c r="O512" s="377"/>
      <c r="P512" s="377"/>
      <c r="Q512" s="377"/>
      <c r="R512" s="241"/>
      <c r="S512" s="71"/>
      <c r="T512" s="71"/>
      <c r="U512" s="71"/>
      <c r="V512" s="71"/>
      <c r="W512" s="71"/>
      <c r="X512" s="71"/>
      <c r="Y512" s="71"/>
    </row>
    <row r="513" spans="1:25">
      <c r="A513" s="80"/>
      <c r="B513" s="241"/>
      <c r="C513" s="241"/>
      <c r="D513" s="241"/>
      <c r="E513" s="241"/>
      <c r="F513" s="241"/>
      <c r="G513" s="241"/>
      <c r="H513" s="241"/>
      <c r="I513" s="241"/>
      <c r="J513" s="241"/>
      <c r="K513" s="241"/>
      <c r="L513" s="241"/>
      <c r="M513" s="376"/>
      <c r="N513" s="377"/>
      <c r="O513" s="377"/>
      <c r="P513" s="377"/>
      <c r="Q513" s="377"/>
      <c r="R513" s="241"/>
      <c r="S513" s="71"/>
      <c r="T513" s="71"/>
      <c r="U513" s="71"/>
      <c r="V513" s="71"/>
      <c r="W513" s="71"/>
      <c r="X513" s="71"/>
      <c r="Y513" s="71"/>
    </row>
    <row r="514" spans="1:25">
      <c r="A514" s="80"/>
      <c r="B514" s="241"/>
      <c r="C514" s="241"/>
      <c r="D514" s="241"/>
      <c r="E514" s="241"/>
      <c r="F514" s="241"/>
      <c r="G514" s="241"/>
      <c r="H514" s="241"/>
      <c r="I514" s="241"/>
      <c r="J514" s="241"/>
      <c r="K514" s="241"/>
      <c r="L514" s="241"/>
      <c r="M514" s="376"/>
      <c r="N514" s="377"/>
      <c r="O514" s="377"/>
      <c r="P514" s="377"/>
      <c r="Q514" s="377"/>
      <c r="R514" s="241"/>
      <c r="S514" s="71"/>
      <c r="T514" s="71"/>
      <c r="U514" s="71"/>
      <c r="V514" s="71"/>
      <c r="W514" s="71"/>
      <c r="X514" s="71"/>
      <c r="Y514" s="71"/>
    </row>
    <row r="515" spans="1:25">
      <c r="A515" s="80"/>
      <c r="B515" s="241"/>
      <c r="C515" s="241"/>
      <c r="D515" s="241"/>
      <c r="E515" s="241"/>
      <c r="F515" s="241"/>
      <c r="G515" s="241"/>
      <c r="H515" s="241"/>
      <c r="I515" s="241"/>
      <c r="J515" s="241"/>
      <c r="K515" s="241"/>
      <c r="L515" s="241"/>
      <c r="M515" s="376"/>
      <c r="N515" s="377"/>
      <c r="O515" s="377"/>
      <c r="P515" s="377"/>
      <c r="Q515" s="377"/>
      <c r="R515" s="241"/>
      <c r="S515" s="71"/>
      <c r="T515" s="71"/>
      <c r="U515" s="71"/>
      <c r="V515" s="71"/>
      <c r="W515" s="71"/>
      <c r="X515" s="71"/>
      <c r="Y515" s="71"/>
    </row>
    <row r="516" spans="1:25">
      <c r="A516" s="80"/>
      <c r="B516" s="241"/>
      <c r="C516" s="241"/>
      <c r="D516" s="241"/>
      <c r="E516" s="241"/>
      <c r="F516" s="241"/>
      <c r="G516" s="241"/>
      <c r="H516" s="241"/>
      <c r="I516" s="241"/>
      <c r="J516" s="241"/>
      <c r="K516" s="241"/>
      <c r="L516" s="241"/>
      <c r="M516" s="376"/>
      <c r="N516" s="377"/>
      <c r="O516" s="377"/>
      <c r="P516" s="377"/>
      <c r="Q516" s="377"/>
      <c r="R516" s="241"/>
      <c r="S516" s="71"/>
      <c r="T516" s="71"/>
      <c r="U516" s="71"/>
      <c r="V516" s="71"/>
      <c r="W516" s="71"/>
      <c r="X516" s="71"/>
      <c r="Y516" s="71"/>
    </row>
    <row r="517" spans="1:25">
      <c r="A517" s="80"/>
      <c r="B517" s="241"/>
      <c r="C517" s="241"/>
      <c r="D517" s="241"/>
      <c r="E517" s="241"/>
      <c r="F517" s="241"/>
      <c r="G517" s="241"/>
      <c r="H517" s="241"/>
      <c r="I517" s="241"/>
      <c r="J517" s="241"/>
      <c r="K517" s="241"/>
      <c r="L517" s="241"/>
      <c r="M517" s="376"/>
      <c r="N517" s="377"/>
      <c r="O517" s="377"/>
      <c r="P517" s="377"/>
      <c r="Q517" s="377"/>
      <c r="R517" s="241"/>
      <c r="S517" s="71"/>
      <c r="T517" s="71"/>
      <c r="U517" s="71"/>
      <c r="V517" s="71"/>
      <c r="W517" s="71"/>
      <c r="X517" s="71"/>
      <c r="Y517" s="71"/>
    </row>
    <row r="518" spans="1:25">
      <c r="A518" s="80"/>
      <c r="B518" s="241"/>
      <c r="C518" s="241"/>
      <c r="D518" s="241"/>
      <c r="E518" s="241"/>
      <c r="F518" s="241"/>
      <c r="G518" s="241"/>
      <c r="H518" s="241"/>
      <c r="I518" s="241"/>
      <c r="J518" s="241"/>
      <c r="K518" s="241"/>
      <c r="L518" s="241"/>
      <c r="M518" s="376"/>
      <c r="N518" s="377"/>
      <c r="O518" s="377"/>
      <c r="P518" s="377"/>
      <c r="Q518" s="377"/>
      <c r="R518" s="241"/>
      <c r="S518" s="71"/>
      <c r="T518" s="71"/>
      <c r="U518" s="71"/>
      <c r="V518" s="71"/>
      <c r="W518" s="71"/>
      <c r="X518" s="71"/>
      <c r="Y518" s="71"/>
    </row>
    <row r="519" spans="1:25">
      <c r="A519" s="80"/>
      <c r="B519" s="241"/>
      <c r="C519" s="241"/>
      <c r="D519" s="241"/>
      <c r="E519" s="241"/>
      <c r="F519" s="241"/>
      <c r="G519" s="241"/>
      <c r="H519" s="241"/>
      <c r="I519" s="241"/>
      <c r="J519" s="241"/>
      <c r="K519" s="241"/>
      <c r="L519" s="241"/>
      <c r="M519" s="376"/>
      <c r="N519" s="377"/>
      <c r="O519" s="377"/>
      <c r="P519" s="377"/>
      <c r="Q519" s="377"/>
      <c r="R519" s="241"/>
      <c r="S519" s="71"/>
      <c r="T519" s="71"/>
      <c r="U519" s="71"/>
      <c r="V519" s="71"/>
      <c r="W519" s="71"/>
      <c r="X519" s="71"/>
      <c r="Y519" s="71"/>
    </row>
    <row r="520" spans="1:25">
      <c r="A520" s="80"/>
      <c r="B520" s="241"/>
      <c r="C520" s="241"/>
      <c r="D520" s="241"/>
      <c r="E520" s="241"/>
      <c r="F520" s="241"/>
      <c r="G520" s="241"/>
      <c r="H520" s="241"/>
      <c r="I520" s="241"/>
      <c r="J520" s="241"/>
      <c r="K520" s="241"/>
      <c r="L520" s="241"/>
      <c r="M520" s="376"/>
      <c r="N520" s="377"/>
      <c r="O520" s="377"/>
      <c r="P520" s="377"/>
      <c r="Q520" s="377"/>
      <c r="R520" s="241"/>
      <c r="S520" s="71"/>
      <c r="T520" s="71"/>
      <c r="U520" s="71"/>
      <c r="V520" s="71"/>
      <c r="W520" s="71"/>
      <c r="X520" s="71"/>
      <c r="Y520" s="71"/>
    </row>
    <row r="521" spans="1:25">
      <c r="A521" s="80"/>
      <c r="B521" s="241"/>
      <c r="C521" s="241"/>
      <c r="D521" s="241"/>
      <c r="E521" s="241"/>
      <c r="F521" s="241"/>
      <c r="G521" s="241"/>
      <c r="H521" s="241"/>
      <c r="I521" s="241"/>
      <c r="J521" s="241"/>
      <c r="K521" s="241"/>
      <c r="L521" s="241"/>
      <c r="M521" s="376"/>
      <c r="N521" s="377"/>
      <c r="O521" s="377"/>
      <c r="P521" s="377"/>
      <c r="Q521" s="377"/>
      <c r="R521" s="241"/>
      <c r="S521" s="71"/>
      <c r="T521" s="71"/>
      <c r="U521" s="71"/>
      <c r="V521" s="71"/>
      <c r="W521" s="71"/>
      <c r="X521" s="71"/>
      <c r="Y521" s="71"/>
    </row>
    <row r="522" spans="1:25">
      <c r="A522" s="80"/>
      <c r="B522" s="241"/>
      <c r="C522" s="241"/>
      <c r="D522" s="241"/>
      <c r="E522" s="241"/>
      <c r="F522" s="241"/>
      <c r="G522" s="241"/>
      <c r="H522" s="241"/>
      <c r="I522" s="241"/>
      <c r="J522" s="241"/>
      <c r="K522" s="241"/>
      <c r="L522" s="241"/>
      <c r="M522" s="376"/>
      <c r="N522" s="377"/>
      <c r="O522" s="377"/>
      <c r="P522" s="377"/>
      <c r="Q522" s="377"/>
      <c r="R522" s="241"/>
      <c r="S522" s="71"/>
      <c r="T522" s="71"/>
      <c r="U522" s="71"/>
      <c r="V522" s="71"/>
      <c r="W522" s="71"/>
      <c r="X522" s="71"/>
      <c r="Y522" s="71"/>
    </row>
    <row r="523" spans="1:25">
      <c r="A523" s="80"/>
      <c r="B523" s="241"/>
      <c r="C523" s="241"/>
      <c r="D523" s="241"/>
      <c r="E523" s="241"/>
      <c r="F523" s="241"/>
      <c r="G523" s="241"/>
      <c r="H523" s="241"/>
      <c r="I523" s="241"/>
      <c r="J523" s="241"/>
      <c r="K523" s="241"/>
      <c r="L523" s="241"/>
      <c r="M523" s="376"/>
      <c r="N523" s="377"/>
      <c r="O523" s="377"/>
      <c r="P523" s="377"/>
      <c r="Q523" s="377"/>
      <c r="R523" s="241"/>
      <c r="S523" s="71"/>
      <c r="T523" s="71"/>
      <c r="U523" s="71"/>
      <c r="V523" s="71"/>
      <c r="W523" s="71"/>
      <c r="X523" s="71"/>
      <c r="Y523" s="71"/>
    </row>
    <row r="524" spans="1:25">
      <c r="A524" s="80"/>
      <c r="B524" s="241"/>
      <c r="C524" s="241"/>
      <c r="D524" s="241"/>
      <c r="E524" s="241"/>
      <c r="F524" s="241"/>
      <c r="G524" s="241"/>
      <c r="H524" s="241"/>
      <c r="I524" s="241"/>
      <c r="J524" s="241"/>
      <c r="K524" s="241"/>
      <c r="L524" s="241"/>
      <c r="M524" s="376"/>
      <c r="N524" s="377"/>
      <c r="O524" s="377"/>
      <c r="P524" s="377"/>
      <c r="Q524" s="377"/>
      <c r="R524" s="241"/>
      <c r="S524" s="71"/>
      <c r="T524" s="71"/>
      <c r="U524" s="71"/>
      <c r="V524" s="71"/>
      <c r="W524" s="71"/>
      <c r="X524" s="71"/>
      <c r="Y524" s="71"/>
    </row>
    <row r="525" spans="1:25">
      <c r="A525" s="80"/>
      <c r="B525" s="241"/>
      <c r="C525" s="241"/>
      <c r="D525" s="241"/>
      <c r="E525" s="241"/>
      <c r="F525" s="241"/>
      <c r="G525" s="241"/>
      <c r="H525" s="241"/>
      <c r="I525" s="241"/>
      <c r="J525" s="241"/>
      <c r="K525" s="241"/>
      <c r="L525" s="241"/>
      <c r="M525" s="376"/>
      <c r="N525" s="377"/>
      <c r="O525" s="377"/>
      <c r="P525" s="377"/>
      <c r="Q525" s="377"/>
      <c r="R525" s="241"/>
      <c r="S525" s="71"/>
      <c r="T525" s="71"/>
      <c r="U525" s="71"/>
      <c r="V525" s="71"/>
      <c r="W525" s="71"/>
      <c r="X525" s="71"/>
      <c r="Y525" s="71"/>
    </row>
    <row r="526" spans="1:25">
      <c r="A526" s="80"/>
      <c r="B526" s="241"/>
      <c r="C526" s="241"/>
      <c r="D526" s="241"/>
      <c r="E526" s="241"/>
      <c r="F526" s="241"/>
      <c r="G526" s="241"/>
      <c r="H526" s="241"/>
      <c r="I526" s="241"/>
      <c r="J526" s="241"/>
      <c r="K526" s="241"/>
      <c r="L526" s="241"/>
      <c r="M526" s="376"/>
      <c r="N526" s="377"/>
      <c r="O526" s="377"/>
      <c r="P526" s="377"/>
      <c r="Q526" s="377"/>
      <c r="R526" s="241"/>
      <c r="S526" s="71"/>
      <c r="T526" s="71"/>
      <c r="U526" s="71"/>
      <c r="V526" s="71"/>
      <c r="W526" s="71"/>
      <c r="X526" s="71"/>
      <c r="Y526" s="71"/>
    </row>
    <row r="527" spans="1:25">
      <c r="A527" s="80"/>
      <c r="B527" s="241"/>
      <c r="C527" s="241"/>
      <c r="D527" s="241"/>
      <c r="E527" s="241"/>
      <c r="F527" s="241"/>
      <c r="G527" s="241"/>
      <c r="H527" s="241"/>
      <c r="I527" s="241"/>
      <c r="J527" s="241"/>
      <c r="K527" s="241"/>
      <c r="L527" s="241"/>
      <c r="M527" s="376"/>
      <c r="N527" s="377"/>
      <c r="O527" s="377"/>
      <c r="P527" s="377"/>
      <c r="Q527" s="377"/>
      <c r="R527" s="241"/>
      <c r="S527" s="71"/>
      <c r="T527" s="71"/>
      <c r="U527" s="71"/>
      <c r="V527" s="71"/>
      <c r="W527" s="71"/>
      <c r="X527" s="71"/>
      <c r="Y527" s="71"/>
    </row>
    <row r="528" spans="1:25">
      <c r="A528" s="80"/>
      <c r="B528" s="241"/>
      <c r="C528" s="241"/>
      <c r="D528" s="241"/>
      <c r="E528" s="241"/>
      <c r="F528" s="241"/>
      <c r="G528" s="241"/>
      <c r="H528" s="241"/>
      <c r="I528" s="241"/>
      <c r="J528" s="241"/>
      <c r="K528" s="241"/>
      <c r="L528" s="241"/>
      <c r="M528" s="376"/>
      <c r="N528" s="377"/>
      <c r="O528" s="377"/>
      <c r="P528" s="377"/>
      <c r="Q528" s="377"/>
      <c r="R528" s="241"/>
      <c r="S528" s="71"/>
      <c r="T528" s="71"/>
      <c r="U528" s="71"/>
      <c r="V528" s="71"/>
      <c r="W528" s="71"/>
      <c r="X528" s="71"/>
      <c r="Y528" s="71"/>
    </row>
    <row r="529" spans="1:25">
      <c r="A529" s="80"/>
      <c r="B529" s="241"/>
      <c r="C529" s="241"/>
      <c r="D529" s="241"/>
      <c r="E529" s="241"/>
      <c r="F529" s="241"/>
      <c r="G529" s="241"/>
      <c r="H529" s="241"/>
      <c r="I529" s="241"/>
      <c r="J529" s="241"/>
      <c r="K529" s="241"/>
      <c r="L529" s="241"/>
      <c r="M529" s="376"/>
      <c r="N529" s="377"/>
      <c r="O529" s="377"/>
      <c r="P529" s="377"/>
      <c r="Q529" s="377"/>
      <c r="R529" s="241"/>
      <c r="S529" s="71"/>
      <c r="T529" s="71"/>
      <c r="U529" s="71"/>
      <c r="V529" s="71"/>
      <c r="W529" s="71"/>
      <c r="X529" s="71"/>
      <c r="Y529" s="71"/>
    </row>
    <row r="530" spans="1:25">
      <c r="A530" s="80"/>
      <c r="B530" s="241"/>
      <c r="C530" s="241"/>
      <c r="D530" s="241"/>
      <c r="E530" s="241"/>
      <c r="F530" s="241"/>
      <c r="G530" s="241"/>
      <c r="H530" s="241"/>
      <c r="I530" s="241"/>
      <c r="J530" s="241"/>
      <c r="K530" s="241"/>
      <c r="L530" s="241"/>
      <c r="M530" s="376"/>
      <c r="N530" s="377"/>
      <c r="O530" s="377"/>
      <c r="P530" s="377"/>
      <c r="Q530" s="377"/>
      <c r="R530" s="241"/>
      <c r="S530" s="71"/>
      <c r="T530" s="71"/>
      <c r="U530" s="71"/>
      <c r="V530" s="71"/>
      <c r="W530" s="71"/>
      <c r="X530" s="71"/>
      <c r="Y530" s="71"/>
    </row>
    <row r="531" spans="1:25">
      <c r="A531" s="80"/>
      <c r="B531" s="241"/>
      <c r="C531" s="241"/>
      <c r="D531" s="241"/>
      <c r="E531" s="241"/>
      <c r="F531" s="241"/>
      <c r="G531" s="241"/>
      <c r="H531" s="241"/>
      <c r="I531" s="241"/>
      <c r="J531" s="241"/>
      <c r="K531" s="241"/>
      <c r="L531" s="241"/>
      <c r="M531" s="376"/>
      <c r="N531" s="377"/>
      <c r="O531" s="377"/>
      <c r="P531" s="377"/>
      <c r="Q531" s="377"/>
      <c r="R531" s="241"/>
      <c r="S531" s="71"/>
      <c r="T531" s="71"/>
      <c r="U531" s="71"/>
      <c r="V531" s="71"/>
      <c r="W531" s="71"/>
      <c r="X531" s="71"/>
      <c r="Y531" s="71"/>
    </row>
    <row r="532" spans="1:25">
      <c r="A532" s="80"/>
      <c r="B532" s="241"/>
      <c r="C532" s="241"/>
      <c r="D532" s="241"/>
      <c r="E532" s="241"/>
      <c r="F532" s="241"/>
      <c r="G532" s="241"/>
      <c r="H532" s="241"/>
      <c r="I532" s="241"/>
      <c r="J532" s="241"/>
      <c r="K532" s="241"/>
      <c r="L532" s="241"/>
      <c r="M532" s="376"/>
      <c r="N532" s="377"/>
      <c r="O532" s="377"/>
      <c r="P532" s="377"/>
      <c r="Q532" s="377"/>
      <c r="R532" s="241"/>
      <c r="S532" s="71"/>
      <c r="T532" s="71"/>
      <c r="U532" s="71"/>
      <c r="V532" s="71"/>
      <c r="W532" s="71"/>
      <c r="X532" s="71"/>
      <c r="Y532" s="71"/>
    </row>
    <row r="533" spans="1:25">
      <c r="A533" s="80"/>
      <c r="B533" s="241"/>
      <c r="C533" s="241"/>
      <c r="D533" s="241"/>
      <c r="E533" s="241"/>
      <c r="F533" s="241"/>
      <c r="G533" s="241"/>
      <c r="H533" s="241"/>
      <c r="I533" s="241"/>
      <c r="J533" s="241"/>
      <c r="K533" s="241"/>
      <c r="L533" s="241"/>
      <c r="M533" s="376"/>
      <c r="N533" s="377"/>
      <c r="O533" s="377"/>
      <c r="P533" s="377"/>
      <c r="Q533" s="377"/>
      <c r="R533" s="241"/>
      <c r="S533" s="71"/>
      <c r="T533" s="71"/>
      <c r="U533" s="71"/>
      <c r="V533" s="71"/>
      <c r="W533" s="71"/>
      <c r="X533" s="71"/>
      <c r="Y533" s="71"/>
    </row>
    <row r="534" spans="1:25">
      <c r="A534" s="80"/>
      <c r="B534" s="241"/>
      <c r="C534" s="241"/>
      <c r="D534" s="241"/>
      <c r="E534" s="241"/>
      <c r="F534" s="241"/>
      <c r="G534" s="241"/>
      <c r="H534" s="241"/>
      <c r="I534" s="241"/>
      <c r="J534" s="241"/>
      <c r="K534" s="241"/>
      <c r="L534" s="241"/>
      <c r="M534" s="376"/>
      <c r="N534" s="377"/>
      <c r="O534" s="377"/>
      <c r="P534" s="377"/>
      <c r="Q534" s="377"/>
      <c r="R534" s="241"/>
      <c r="S534" s="71"/>
      <c r="T534" s="71"/>
      <c r="U534" s="71"/>
      <c r="V534" s="71"/>
      <c r="W534" s="71"/>
      <c r="X534" s="71"/>
      <c r="Y534" s="71"/>
    </row>
    <row r="535" spans="1:25">
      <c r="A535" s="80"/>
      <c r="B535" s="241"/>
      <c r="C535" s="241"/>
      <c r="D535" s="241"/>
      <c r="E535" s="241"/>
      <c r="F535" s="241"/>
      <c r="G535" s="241"/>
      <c r="H535" s="241"/>
      <c r="I535" s="241"/>
      <c r="J535" s="241"/>
      <c r="K535" s="241"/>
      <c r="L535" s="241"/>
      <c r="M535" s="376"/>
      <c r="N535" s="377"/>
      <c r="O535" s="377"/>
      <c r="P535" s="377"/>
      <c r="Q535" s="377"/>
      <c r="R535" s="241"/>
      <c r="S535" s="71"/>
      <c r="T535" s="71"/>
      <c r="U535" s="71"/>
      <c r="V535" s="71"/>
      <c r="W535" s="71"/>
      <c r="X535" s="71"/>
      <c r="Y535" s="71"/>
    </row>
    <row r="536" spans="1:25">
      <c r="A536" s="80"/>
      <c r="B536" s="241"/>
      <c r="C536" s="241"/>
      <c r="D536" s="241"/>
      <c r="E536" s="241"/>
      <c r="F536" s="241"/>
      <c r="G536" s="241"/>
      <c r="H536" s="241"/>
      <c r="I536" s="241"/>
      <c r="J536" s="241"/>
      <c r="K536" s="241"/>
      <c r="L536" s="241"/>
      <c r="M536" s="376"/>
      <c r="N536" s="377"/>
      <c r="O536" s="377"/>
      <c r="P536" s="377"/>
      <c r="Q536" s="377"/>
      <c r="R536" s="241"/>
      <c r="S536" s="71"/>
      <c r="T536" s="71"/>
      <c r="U536" s="71"/>
      <c r="V536" s="71"/>
      <c r="W536" s="71"/>
      <c r="X536" s="71"/>
      <c r="Y536" s="71"/>
    </row>
    <row r="537" spans="1:25">
      <c r="A537" s="80"/>
      <c r="B537" s="241"/>
      <c r="C537" s="241"/>
      <c r="D537" s="241"/>
      <c r="E537" s="241"/>
      <c r="F537" s="241"/>
      <c r="G537" s="241"/>
      <c r="H537" s="241"/>
      <c r="I537" s="241"/>
      <c r="J537" s="241"/>
      <c r="K537" s="241"/>
      <c r="L537" s="241"/>
      <c r="M537" s="376"/>
      <c r="N537" s="377"/>
      <c r="O537" s="377"/>
      <c r="P537" s="377"/>
      <c r="Q537" s="377"/>
      <c r="R537" s="241"/>
      <c r="S537" s="71"/>
      <c r="T537" s="71"/>
      <c r="U537" s="71"/>
      <c r="V537" s="71"/>
      <c r="W537" s="71"/>
      <c r="X537" s="71"/>
      <c r="Y537" s="71"/>
    </row>
    <row r="538" spans="1:25">
      <c r="A538" s="80"/>
      <c r="B538" s="241"/>
      <c r="C538" s="241"/>
      <c r="D538" s="241"/>
      <c r="E538" s="241"/>
      <c r="F538" s="241"/>
      <c r="G538" s="241"/>
      <c r="H538" s="241"/>
      <c r="I538" s="241"/>
      <c r="J538" s="241"/>
      <c r="K538" s="241"/>
      <c r="L538" s="241"/>
      <c r="M538" s="376"/>
      <c r="N538" s="377"/>
      <c r="O538" s="377"/>
      <c r="P538" s="377"/>
      <c r="Q538" s="377"/>
      <c r="R538" s="241"/>
      <c r="S538" s="71"/>
      <c r="T538" s="71"/>
      <c r="U538" s="71"/>
      <c r="V538" s="71"/>
      <c r="W538" s="71"/>
      <c r="X538" s="71"/>
      <c r="Y538" s="71"/>
    </row>
    <row r="539" spans="1:25">
      <c r="A539" s="80"/>
      <c r="B539" s="241"/>
      <c r="C539" s="241"/>
      <c r="D539" s="241"/>
      <c r="E539" s="241"/>
      <c r="F539" s="241"/>
      <c r="G539" s="241"/>
      <c r="H539" s="241"/>
      <c r="I539" s="241"/>
      <c r="J539" s="241"/>
      <c r="K539" s="241"/>
      <c r="L539" s="241"/>
      <c r="M539" s="376"/>
      <c r="N539" s="377"/>
      <c r="O539" s="377"/>
      <c r="P539" s="377"/>
      <c r="Q539" s="377"/>
      <c r="R539" s="241"/>
      <c r="S539" s="71"/>
      <c r="T539" s="71"/>
      <c r="U539" s="71"/>
      <c r="V539" s="71"/>
      <c r="W539" s="71"/>
      <c r="X539" s="71"/>
      <c r="Y539" s="71"/>
    </row>
    <row r="540" spans="1:25">
      <c r="A540" s="80"/>
      <c r="B540" s="241"/>
      <c r="C540" s="241"/>
      <c r="D540" s="241"/>
      <c r="E540" s="241"/>
      <c r="F540" s="241"/>
      <c r="G540" s="241"/>
      <c r="H540" s="241"/>
      <c r="I540" s="241"/>
      <c r="J540" s="241"/>
      <c r="K540" s="241"/>
      <c r="L540" s="241"/>
      <c r="M540" s="376"/>
      <c r="N540" s="377"/>
      <c r="O540" s="377"/>
      <c r="P540" s="377"/>
      <c r="Q540" s="377"/>
      <c r="R540" s="241"/>
      <c r="S540" s="71"/>
      <c r="T540" s="71"/>
      <c r="U540" s="71"/>
      <c r="V540" s="71"/>
      <c r="W540" s="71"/>
      <c r="X540" s="71"/>
      <c r="Y540" s="71"/>
    </row>
    <row r="541" spans="1:25">
      <c r="A541" s="80"/>
      <c r="B541" s="241"/>
      <c r="C541" s="241"/>
      <c r="D541" s="241"/>
      <c r="E541" s="241"/>
      <c r="F541" s="241"/>
      <c r="G541" s="241"/>
      <c r="H541" s="241"/>
      <c r="I541" s="241"/>
      <c r="J541" s="241"/>
      <c r="K541" s="241"/>
      <c r="L541" s="241"/>
      <c r="M541" s="376"/>
      <c r="N541" s="377"/>
      <c r="O541" s="377"/>
      <c r="P541" s="377"/>
      <c r="Q541" s="377"/>
      <c r="R541" s="241"/>
      <c r="S541" s="71"/>
      <c r="T541" s="71"/>
      <c r="U541" s="71"/>
      <c r="V541" s="71"/>
      <c r="W541" s="71"/>
      <c r="X541" s="71"/>
      <c r="Y541" s="71"/>
    </row>
    <row r="542" spans="1:25">
      <c r="A542" s="80"/>
      <c r="B542" s="241"/>
      <c r="C542" s="241"/>
      <c r="D542" s="241"/>
      <c r="E542" s="241"/>
      <c r="F542" s="241"/>
      <c r="G542" s="241"/>
      <c r="H542" s="241"/>
      <c r="I542" s="241"/>
      <c r="J542" s="241"/>
      <c r="K542" s="241"/>
      <c r="L542" s="241"/>
      <c r="M542" s="376"/>
      <c r="N542" s="377"/>
      <c r="O542" s="377"/>
      <c r="P542" s="377"/>
      <c r="Q542" s="377"/>
      <c r="R542" s="241"/>
      <c r="S542" s="71"/>
      <c r="T542" s="71"/>
      <c r="U542" s="71"/>
      <c r="V542" s="71"/>
      <c r="W542" s="71"/>
      <c r="X542" s="71"/>
      <c r="Y542" s="71"/>
    </row>
    <row r="543" spans="1:25">
      <c r="A543" s="80"/>
      <c r="B543" s="241"/>
      <c r="C543" s="241"/>
      <c r="D543" s="241"/>
      <c r="E543" s="241"/>
      <c r="F543" s="241"/>
      <c r="G543" s="241"/>
      <c r="H543" s="241"/>
      <c r="I543" s="241"/>
      <c r="J543" s="241"/>
      <c r="K543" s="241"/>
      <c r="L543" s="241"/>
      <c r="M543" s="376"/>
      <c r="N543" s="377"/>
      <c r="O543" s="377"/>
      <c r="P543" s="377"/>
      <c r="Q543" s="377"/>
      <c r="R543" s="241"/>
      <c r="S543" s="71"/>
      <c r="T543" s="71"/>
      <c r="U543" s="71"/>
      <c r="V543" s="71"/>
      <c r="W543" s="71"/>
      <c r="X543" s="71"/>
      <c r="Y543" s="71"/>
    </row>
    <row r="544" spans="1:25">
      <c r="A544" s="80"/>
      <c r="B544" s="241"/>
      <c r="C544" s="241"/>
      <c r="D544" s="241"/>
      <c r="E544" s="241"/>
      <c r="F544" s="241"/>
      <c r="G544" s="241"/>
      <c r="H544" s="241"/>
      <c r="I544" s="241"/>
      <c r="J544" s="241"/>
      <c r="K544" s="241"/>
      <c r="L544" s="241"/>
      <c r="M544" s="376"/>
      <c r="N544" s="377"/>
      <c r="O544" s="377"/>
      <c r="P544" s="377"/>
      <c r="Q544" s="377"/>
      <c r="R544" s="241"/>
      <c r="S544" s="71"/>
      <c r="T544" s="71"/>
      <c r="U544" s="71"/>
      <c r="V544" s="71"/>
      <c r="W544" s="71"/>
      <c r="X544" s="71"/>
      <c r="Y544" s="71"/>
    </row>
    <row r="545" spans="1:25">
      <c r="A545" s="80"/>
      <c r="B545" s="241"/>
      <c r="C545" s="241"/>
      <c r="D545" s="241"/>
      <c r="E545" s="241"/>
      <c r="F545" s="241"/>
      <c r="G545" s="241"/>
      <c r="H545" s="241"/>
      <c r="I545" s="241"/>
      <c r="J545" s="241"/>
      <c r="K545" s="241"/>
      <c r="L545" s="241"/>
      <c r="M545" s="376"/>
      <c r="N545" s="377"/>
      <c r="O545" s="377"/>
      <c r="P545" s="377"/>
      <c r="Q545" s="377"/>
      <c r="R545" s="241"/>
      <c r="S545" s="71"/>
      <c r="T545" s="71"/>
      <c r="U545" s="71"/>
      <c r="V545" s="71"/>
      <c r="W545" s="71"/>
      <c r="X545" s="71"/>
      <c r="Y545" s="71"/>
    </row>
    <row r="546" spans="1:25">
      <c r="A546" s="80"/>
      <c r="B546" s="241"/>
      <c r="C546" s="241"/>
      <c r="D546" s="241"/>
      <c r="E546" s="241"/>
      <c r="F546" s="241"/>
      <c r="G546" s="241"/>
      <c r="H546" s="241"/>
      <c r="I546" s="241"/>
      <c r="J546" s="241"/>
      <c r="K546" s="241"/>
      <c r="L546" s="241"/>
      <c r="M546" s="376"/>
      <c r="N546" s="377"/>
      <c r="O546" s="377"/>
      <c r="P546" s="377"/>
      <c r="Q546" s="377"/>
      <c r="R546" s="241"/>
      <c r="S546" s="71"/>
      <c r="T546" s="71"/>
      <c r="U546" s="71"/>
      <c r="V546" s="71"/>
      <c r="W546" s="71"/>
      <c r="X546" s="71"/>
      <c r="Y546" s="71"/>
    </row>
    <row r="547" spans="1:25">
      <c r="A547" s="80"/>
      <c r="B547" s="241"/>
      <c r="C547" s="241"/>
      <c r="D547" s="241"/>
      <c r="E547" s="241"/>
      <c r="F547" s="241"/>
      <c r="G547" s="241"/>
      <c r="H547" s="241"/>
      <c r="I547" s="241"/>
      <c r="J547" s="241"/>
      <c r="K547" s="241"/>
      <c r="L547" s="241"/>
      <c r="M547" s="376"/>
      <c r="N547" s="377"/>
      <c r="O547" s="377"/>
      <c r="P547" s="377"/>
      <c r="Q547" s="377"/>
      <c r="R547" s="241"/>
      <c r="S547" s="71"/>
      <c r="T547" s="71"/>
      <c r="U547" s="71"/>
      <c r="V547" s="71"/>
      <c r="W547" s="71"/>
      <c r="X547" s="71"/>
      <c r="Y547" s="71"/>
    </row>
    <row r="548" spans="1:25">
      <c r="A548" s="80"/>
      <c r="B548" s="241"/>
      <c r="C548" s="241"/>
      <c r="D548" s="241"/>
      <c r="E548" s="241"/>
      <c r="F548" s="241"/>
      <c r="G548" s="241"/>
      <c r="H548" s="241"/>
      <c r="I548" s="241"/>
      <c r="J548" s="241"/>
      <c r="K548" s="241"/>
      <c r="L548" s="241"/>
      <c r="M548" s="376"/>
      <c r="N548" s="377"/>
      <c r="O548" s="377"/>
      <c r="P548" s="377"/>
      <c r="Q548" s="377"/>
      <c r="R548" s="241"/>
      <c r="S548" s="71"/>
      <c r="T548" s="71"/>
      <c r="U548" s="71"/>
      <c r="V548" s="71"/>
      <c r="W548" s="71"/>
      <c r="X548" s="71"/>
      <c r="Y548" s="71"/>
    </row>
    <row r="549" spans="1:25">
      <c r="A549" s="80"/>
      <c r="B549" s="241"/>
      <c r="C549" s="241"/>
      <c r="D549" s="241"/>
      <c r="E549" s="241"/>
      <c r="F549" s="241"/>
      <c r="G549" s="241"/>
      <c r="H549" s="241"/>
      <c r="I549" s="241"/>
      <c r="J549" s="241"/>
      <c r="K549" s="241"/>
      <c r="L549" s="241"/>
      <c r="M549" s="376"/>
      <c r="N549" s="377"/>
      <c r="O549" s="377"/>
      <c r="P549" s="377"/>
      <c r="Q549" s="377"/>
      <c r="R549" s="241"/>
      <c r="S549" s="71"/>
      <c r="T549" s="71"/>
      <c r="U549" s="71"/>
      <c r="V549" s="71"/>
      <c r="W549" s="71"/>
      <c r="X549" s="71"/>
      <c r="Y549" s="71"/>
    </row>
    <row r="550" spans="1:25">
      <c r="A550" s="80"/>
      <c r="B550" s="241"/>
      <c r="C550" s="241"/>
      <c r="D550" s="241"/>
      <c r="E550" s="241"/>
      <c r="F550" s="241"/>
      <c r="G550" s="241"/>
      <c r="H550" s="241"/>
      <c r="I550" s="241"/>
      <c r="J550" s="241"/>
      <c r="K550" s="241"/>
      <c r="L550" s="241"/>
      <c r="M550" s="376"/>
      <c r="N550" s="377"/>
      <c r="O550" s="377"/>
      <c r="P550" s="377"/>
      <c r="Q550" s="377"/>
      <c r="R550" s="241"/>
      <c r="S550" s="71"/>
      <c r="T550" s="71"/>
      <c r="U550" s="71"/>
      <c r="V550" s="71"/>
      <c r="W550" s="71"/>
      <c r="X550" s="71"/>
      <c r="Y550" s="71"/>
    </row>
    <row r="551" spans="1:25">
      <c r="A551" s="80"/>
      <c r="B551" s="241"/>
      <c r="C551" s="241"/>
      <c r="D551" s="241"/>
      <c r="E551" s="241"/>
      <c r="F551" s="241"/>
      <c r="G551" s="241"/>
      <c r="H551" s="241"/>
      <c r="I551" s="241"/>
      <c r="J551" s="241"/>
      <c r="K551" s="241"/>
      <c r="L551" s="241"/>
      <c r="M551" s="376"/>
      <c r="N551" s="377"/>
      <c r="O551" s="377"/>
      <c r="P551" s="377"/>
      <c r="Q551" s="377"/>
      <c r="R551" s="241"/>
      <c r="S551" s="71"/>
      <c r="T551" s="71"/>
      <c r="U551" s="71"/>
      <c r="V551" s="71"/>
      <c r="W551" s="71"/>
      <c r="X551" s="71"/>
      <c r="Y551" s="71"/>
    </row>
    <row r="552" spans="1:25">
      <c r="A552" s="80"/>
      <c r="B552" s="241"/>
      <c r="C552" s="241"/>
      <c r="D552" s="241"/>
      <c r="E552" s="241"/>
      <c r="F552" s="241"/>
      <c r="G552" s="241"/>
      <c r="H552" s="241"/>
      <c r="I552" s="241"/>
      <c r="J552" s="241"/>
      <c r="K552" s="241"/>
      <c r="L552" s="241"/>
      <c r="M552" s="376"/>
      <c r="N552" s="377"/>
      <c r="O552" s="377"/>
      <c r="P552" s="377"/>
      <c r="Q552" s="377"/>
      <c r="R552" s="241"/>
      <c r="S552" s="71"/>
      <c r="T552" s="71"/>
      <c r="U552" s="71"/>
      <c r="V552" s="71"/>
      <c r="W552" s="71"/>
      <c r="X552" s="71"/>
      <c r="Y552" s="71"/>
    </row>
    <row r="553" spans="1:25">
      <c r="A553" s="80"/>
      <c r="B553" s="241"/>
      <c r="C553" s="241"/>
      <c r="D553" s="241"/>
      <c r="E553" s="241"/>
      <c r="F553" s="241"/>
      <c r="G553" s="241"/>
      <c r="H553" s="241"/>
      <c r="I553" s="241"/>
      <c r="J553" s="241"/>
      <c r="K553" s="241"/>
      <c r="L553" s="241"/>
      <c r="M553" s="376"/>
      <c r="N553" s="377"/>
      <c r="O553" s="377"/>
      <c r="P553" s="377"/>
      <c r="Q553" s="377"/>
      <c r="R553" s="241"/>
      <c r="S553" s="71"/>
      <c r="T553" s="71"/>
      <c r="U553" s="71"/>
      <c r="V553" s="71"/>
      <c r="W553" s="71"/>
      <c r="X553" s="71"/>
      <c r="Y553" s="71"/>
    </row>
    <row r="554" spans="1:25">
      <c r="A554" s="80"/>
      <c r="B554" s="241"/>
      <c r="C554" s="241"/>
      <c r="D554" s="241"/>
      <c r="E554" s="241"/>
      <c r="F554" s="241"/>
      <c r="G554" s="241"/>
      <c r="H554" s="241"/>
      <c r="I554" s="241"/>
      <c r="J554" s="241"/>
      <c r="K554" s="241"/>
      <c r="L554" s="241"/>
      <c r="M554" s="376"/>
      <c r="N554" s="377"/>
      <c r="O554" s="377"/>
      <c r="P554" s="377"/>
      <c r="Q554" s="377"/>
      <c r="R554" s="241"/>
      <c r="S554" s="71"/>
      <c r="T554" s="71"/>
      <c r="U554" s="71"/>
      <c r="V554" s="71"/>
      <c r="W554" s="71"/>
      <c r="X554" s="71"/>
      <c r="Y554" s="71"/>
    </row>
    <row r="555" spans="1:25">
      <c r="A555" s="80"/>
      <c r="B555" s="241"/>
      <c r="C555" s="241"/>
      <c r="D555" s="241"/>
      <c r="E555" s="241"/>
      <c r="F555" s="241"/>
      <c r="G555" s="241"/>
      <c r="H555" s="241"/>
      <c r="I555" s="241"/>
      <c r="J555" s="241"/>
      <c r="K555" s="241"/>
      <c r="L555" s="241"/>
      <c r="M555" s="376"/>
      <c r="N555" s="377"/>
      <c r="O555" s="377"/>
      <c r="P555" s="377"/>
      <c r="Q555" s="377"/>
      <c r="R555" s="241"/>
      <c r="S555" s="71"/>
      <c r="T555" s="71"/>
      <c r="U555" s="71"/>
      <c r="V555" s="71"/>
      <c r="W555" s="71"/>
      <c r="X555" s="71"/>
      <c r="Y555" s="71"/>
    </row>
    <row r="556" spans="1:25">
      <c r="A556" s="80"/>
      <c r="B556" s="241"/>
      <c r="C556" s="241"/>
      <c r="D556" s="241"/>
      <c r="E556" s="241"/>
      <c r="F556" s="241"/>
      <c r="G556" s="241"/>
      <c r="H556" s="241"/>
      <c r="I556" s="241"/>
      <c r="J556" s="241"/>
      <c r="K556" s="241"/>
      <c r="L556" s="241"/>
      <c r="M556" s="376"/>
      <c r="N556" s="377"/>
      <c r="O556" s="377"/>
      <c r="P556" s="377"/>
      <c r="Q556" s="377"/>
      <c r="R556" s="241"/>
      <c r="S556" s="71"/>
      <c r="T556" s="71"/>
      <c r="U556" s="71"/>
      <c r="V556" s="71"/>
      <c r="W556" s="71"/>
      <c r="X556" s="71"/>
      <c r="Y556" s="71"/>
    </row>
    <row r="557" spans="1:25">
      <c r="A557" s="80"/>
      <c r="B557" s="241"/>
      <c r="C557" s="241"/>
      <c r="D557" s="241"/>
      <c r="E557" s="241"/>
      <c r="F557" s="241"/>
      <c r="G557" s="241"/>
      <c r="H557" s="241"/>
      <c r="I557" s="241"/>
      <c r="J557" s="241"/>
      <c r="K557" s="241"/>
      <c r="L557" s="241"/>
      <c r="M557" s="376"/>
      <c r="N557" s="377"/>
      <c r="O557" s="377"/>
      <c r="P557" s="377"/>
      <c r="Q557" s="377"/>
      <c r="R557" s="241"/>
      <c r="S557" s="71"/>
      <c r="T557" s="71"/>
      <c r="U557" s="71"/>
      <c r="V557" s="71"/>
      <c r="W557" s="71"/>
      <c r="X557" s="71"/>
      <c r="Y557" s="71"/>
    </row>
    <row r="558" spans="1:25">
      <c r="A558" s="80"/>
      <c r="B558" s="241"/>
      <c r="C558" s="241"/>
      <c r="D558" s="241"/>
      <c r="E558" s="241"/>
      <c r="F558" s="241"/>
      <c r="G558" s="241"/>
      <c r="H558" s="241"/>
      <c r="I558" s="241"/>
      <c r="J558" s="241"/>
      <c r="K558" s="241"/>
      <c r="L558" s="241"/>
      <c r="M558" s="376"/>
      <c r="N558" s="377"/>
      <c r="O558" s="377"/>
      <c r="P558" s="377"/>
      <c r="Q558" s="377"/>
      <c r="R558" s="241"/>
      <c r="S558" s="71"/>
      <c r="T558" s="71"/>
      <c r="U558" s="71"/>
      <c r="V558" s="71"/>
      <c r="W558" s="71"/>
      <c r="X558" s="71"/>
      <c r="Y558" s="71"/>
    </row>
    <row r="559" spans="1:25">
      <c r="A559" s="80"/>
      <c r="B559" s="241"/>
      <c r="C559" s="241"/>
      <c r="D559" s="241"/>
      <c r="E559" s="241"/>
      <c r="F559" s="241"/>
      <c r="G559" s="241"/>
      <c r="H559" s="241"/>
      <c r="I559" s="241"/>
      <c r="J559" s="241"/>
      <c r="K559" s="241"/>
      <c r="L559" s="241"/>
      <c r="M559" s="376"/>
      <c r="N559" s="377"/>
      <c r="O559" s="377"/>
      <c r="P559" s="377"/>
      <c r="Q559" s="377"/>
      <c r="R559" s="241"/>
      <c r="S559" s="71"/>
      <c r="T559" s="71"/>
      <c r="U559" s="71"/>
      <c r="V559" s="71"/>
      <c r="W559" s="71"/>
      <c r="X559" s="71"/>
      <c r="Y559" s="71"/>
    </row>
    <row r="560" spans="1:25">
      <c r="A560" s="80"/>
      <c r="B560" s="241"/>
      <c r="C560" s="241"/>
      <c r="D560" s="241"/>
      <c r="E560" s="241"/>
      <c r="F560" s="241"/>
      <c r="G560" s="241"/>
      <c r="H560" s="241"/>
      <c r="I560" s="241"/>
      <c r="J560" s="241"/>
      <c r="K560" s="241"/>
      <c r="L560" s="241"/>
      <c r="M560" s="376"/>
      <c r="N560" s="377"/>
      <c r="O560" s="377"/>
      <c r="P560" s="377"/>
      <c r="Q560" s="377"/>
      <c r="R560" s="241"/>
      <c r="S560" s="71"/>
      <c r="T560" s="71"/>
      <c r="U560" s="71"/>
      <c r="V560" s="71"/>
      <c r="W560" s="71"/>
      <c r="X560" s="71"/>
      <c r="Y560" s="71"/>
    </row>
    <row r="561" spans="1:25">
      <c r="A561" s="80"/>
      <c r="B561" s="241"/>
      <c r="C561" s="241"/>
      <c r="D561" s="241"/>
      <c r="E561" s="241"/>
      <c r="F561" s="241"/>
      <c r="G561" s="241"/>
      <c r="H561" s="241"/>
      <c r="I561" s="241"/>
      <c r="J561" s="241"/>
      <c r="K561" s="241"/>
      <c r="L561" s="241"/>
      <c r="M561" s="376"/>
      <c r="N561" s="377"/>
      <c r="O561" s="377"/>
      <c r="P561" s="377"/>
      <c r="Q561" s="377"/>
      <c r="R561" s="241"/>
      <c r="S561" s="71"/>
      <c r="T561" s="71"/>
      <c r="U561" s="71"/>
      <c r="V561" s="71"/>
      <c r="W561" s="71"/>
      <c r="X561" s="71"/>
      <c r="Y561" s="71"/>
    </row>
    <row r="562" spans="1:25">
      <c r="A562" s="80"/>
      <c r="B562" s="241"/>
      <c r="C562" s="241"/>
      <c r="D562" s="241"/>
      <c r="E562" s="241"/>
      <c r="F562" s="241"/>
      <c r="G562" s="241"/>
      <c r="H562" s="241"/>
      <c r="I562" s="241"/>
      <c r="J562" s="241"/>
      <c r="K562" s="241"/>
      <c r="L562" s="241"/>
      <c r="M562" s="376"/>
      <c r="N562" s="377"/>
      <c r="O562" s="377"/>
      <c r="P562" s="377"/>
      <c r="Q562" s="377"/>
      <c r="R562" s="241"/>
      <c r="S562" s="71"/>
      <c r="T562" s="71"/>
      <c r="U562" s="71"/>
      <c r="V562" s="71"/>
      <c r="W562" s="71"/>
      <c r="X562" s="71"/>
      <c r="Y562" s="71"/>
    </row>
    <row r="563" spans="1:25">
      <c r="A563" s="80"/>
      <c r="B563" s="241"/>
      <c r="C563" s="241"/>
      <c r="D563" s="241"/>
      <c r="E563" s="241"/>
      <c r="F563" s="241"/>
      <c r="G563" s="241"/>
      <c r="H563" s="241"/>
      <c r="I563" s="241"/>
      <c r="J563" s="241"/>
      <c r="K563" s="241"/>
      <c r="L563" s="241"/>
      <c r="M563" s="376"/>
      <c r="N563" s="377"/>
      <c r="O563" s="377"/>
      <c r="P563" s="377"/>
      <c r="Q563" s="377"/>
      <c r="R563" s="241"/>
      <c r="S563" s="71"/>
      <c r="T563" s="71"/>
      <c r="U563" s="71"/>
      <c r="V563" s="71"/>
      <c r="W563" s="71"/>
      <c r="X563" s="71"/>
      <c r="Y563" s="71"/>
    </row>
    <row r="564" spans="1:25">
      <c r="A564" s="80"/>
      <c r="B564" s="241"/>
      <c r="C564" s="241"/>
      <c r="D564" s="241"/>
      <c r="E564" s="241"/>
      <c r="F564" s="241"/>
      <c r="G564" s="241"/>
      <c r="H564" s="241"/>
      <c r="I564" s="241"/>
      <c r="J564" s="241"/>
      <c r="K564" s="241"/>
      <c r="L564" s="241"/>
      <c r="M564" s="376"/>
      <c r="N564" s="377"/>
      <c r="O564" s="377"/>
      <c r="P564" s="377"/>
      <c r="Q564" s="377"/>
      <c r="R564" s="241"/>
      <c r="S564" s="71"/>
      <c r="T564" s="71"/>
      <c r="U564" s="71"/>
      <c r="V564" s="71"/>
      <c r="W564" s="71"/>
      <c r="X564" s="71"/>
      <c r="Y564" s="71"/>
    </row>
    <row r="565" spans="1:25">
      <c r="A565" s="80"/>
      <c r="B565" s="241"/>
      <c r="C565" s="241"/>
      <c r="D565" s="241"/>
      <c r="E565" s="241"/>
      <c r="F565" s="241"/>
      <c r="G565" s="241"/>
      <c r="H565" s="241"/>
      <c r="I565" s="241"/>
      <c r="J565" s="241"/>
      <c r="K565" s="241"/>
      <c r="L565" s="241"/>
      <c r="M565" s="376"/>
      <c r="N565" s="377"/>
      <c r="O565" s="377"/>
      <c r="P565" s="377"/>
      <c r="Q565" s="377"/>
      <c r="R565" s="241"/>
      <c r="S565" s="71"/>
      <c r="T565" s="71"/>
      <c r="U565" s="71"/>
      <c r="V565" s="71"/>
      <c r="W565" s="71"/>
      <c r="X565" s="71"/>
      <c r="Y565" s="71"/>
    </row>
    <row r="566" spans="1:25">
      <c r="A566" s="80"/>
      <c r="B566" s="241"/>
      <c r="C566" s="241"/>
      <c r="D566" s="241"/>
      <c r="E566" s="241"/>
      <c r="F566" s="241"/>
      <c r="G566" s="241"/>
      <c r="H566" s="241"/>
      <c r="I566" s="241"/>
      <c r="J566" s="241"/>
      <c r="K566" s="241"/>
      <c r="L566" s="241"/>
      <c r="M566" s="376"/>
      <c r="N566" s="377"/>
      <c r="O566" s="377"/>
      <c r="P566" s="377"/>
      <c r="Q566" s="377"/>
      <c r="R566" s="241"/>
      <c r="S566" s="71"/>
      <c r="T566" s="71"/>
      <c r="U566" s="71"/>
      <c r="V566" s="71"/>
      <c r="W566" s="71"/>
      <c r="X566" s="71"/>
      <c r="Y566" s="71"/>
    </row>
    <row r="567" spans="1:25">
      <c r="A567" s="80"/>
      <c r="B567" s="241"/>
      <c r="C567" s="241"/>
      <c r="D567" s="241"/>
      <c r="E567" s="241"/>
      <c r="F567" s="241"/>
      <c r="G567" s="241"/>
      <c r="H567" s="241"/>
      <c r="I567" s="241"/>
      <c r="J567" s="241"/>
      <c r="K567" s="241"/>
      <c r="L567" s="241"/>
      <c r="M567" s="376"/>
      <c r="N567" s="377"/>
      <c r="O567" s="377"/>
      <c r="P567" s="377"/>
      <c r="Q567" s="377"/>
      <c r="R567" s="241"/>
      <c r="S567" s="71"/>
      <c r="T567" s="71"/>
      <c r="U567" s="71"/>
      <c r="V567" s="71"/>
      <c r="W567" s="71"/>
      <c r="X567" s="71"/>
      <c r="Y567" s="71"/>
    </row>
    <row r="568" spans="1:25">
      <c r="A568" s="80"/>
      <c r="B568" s="241"/>
      <c r="C568" s="241"/>
      <c r="D568" s="241"/>
      <c r="E568" s="241"/>
      <c r="F568" s="241"/>
      <c r="G568" s="241"/>
      <c r="H568" s="241"/>
      <c r="I568" s="241"/>
      <c r="J568" s="241"/>
      <c r="K568" s="241"/>
      <c r="L568" s="241"/>
      <c r="M568" s="376"/>
      <c r="N568" s="377"/>
      <c r="O568" s="377"/>
      <c r="P568" s="377"/>
      <c r="Q568" s="377"/>
      <c r="R568" s="241"/>
      <c r="S568" s="71"/>
      <c r="T568" s="71"/>
      <c r="U568" s="71"/>
      <c r="V568" s="71"/>
      <c r="W568" s="71"/>
      <c r="X568" s="71"/>
      <c r="Y568" s="71"/>
    </row>
    <row r="569" spans="1:25">
      <c r="A569" s="80"/>
      <c r="B569" s="241"/>
      <c r="C569" s="241"/>
      <c r="D569" s="241"/>
      <c r="E569" s="241"/>
      <c r="F569" s="241"/>
      <c r="G569" s="241"/>
      <c r="H569" s="241"/>
      <c r="I569" s="241"/>
      <c r="J569" s="241"/>
      <c r="K569" s="241"/>
      <c r="L569" s="241"/>
      <c r="M569" s="376"/>
      <c r="N569" s="377"/>
      <c r="O569" s="377"/>
      <c r="P569" s="377"/>
      <c r="Q569" s="377"/>
      <c r="R569" s="241"/>
      <c r="S569" s="71"/>
      <c r="T569" s="71"/>
      <c r="U569" s="71"/>
      <c r="V569" s="71"/>
      <c r="W569" s="71"/>
      <c r="X569" s="71"/>
      <c r="Y569" s="71"/>
    </row>
    <row r="570" spans="1:25">
      <c r="A570" s="80"/>
      <c r="B570" s="241"/>
      <c r="C570" s="241"/>
      <c r="D570" s="241"/>
      <c r="E570" s="241"/>
      <c r="F570" s="241"/>
      <c r="G570" s="241"/>
      <c r="H570" s="241"/>
      <c r="I570" s="241"/>
      <c r="J570" s="241"/>
      <c r="K570" s="241"/>
      <c r="L570" s="241"/>
      <c r="M570" s="376"/>
      <c r="N570" s="377"/>
      <c r="O570" s="377"/>
      <c r="P570" s="377"/>
      <c r="Q570" s="377"/>
      <c r="R570" s="241"/>
      <c r="S570" s="71"/>
      <c r="T570" s="71"/>
      <c r="U570" s="71"/>
      <c r="V570" s="71"/>
      <c r="W570" s="71"/>
      <c r="X570" s="71"/>
      <c r="Y570" s="71"/>
    </row>
    <row r="571" spans="1:25">
      <c r="A571" s="80"/>
      <c r="B571" s="241"/>
      <c r="C571" s="241"/>
      <c r="D571" s="241"/>
      <c r="E571" s="241"/>
      <c r="F571" s="241"/>
      <c r="G571" s="241"/>
      <c r="H571" s="241"/>
      <c r="I571" s="241"/>
      <c r="J571" s="241"/>
      <c r="K571" s="241"/>
      <c r="L571" s="241"/>
      <c r="M571" s="376"/>
      <c r="N571" s="377"/>
      <c r="O571" s="377"/>
      <c r="P571" s="377"/>
      <c r="Q571" s="377"/>
      <c r="R571" s="241"/>
      <c r="S571" s="71"/>
      <c r="T571" s="71"/>
      <c r="U571" s="71"/>
      <c r="V571" s="71"/>
      <c r="W571" s="71"/>
      <c r="X571" s="71"/>
      <c r="Y571" s="71"/>
    </row>
    <row r="572" spans="1:25">
      <c r="A572" s="80"/>
      <c r="B572" s="241"/>
      <c r="C572" s="241"/>
      <c r="D572" s="241"/>
      <c r="E572" s="241"/>
      <c r="F572" s="241"/>
      <c r="G572" s="241"/>
      <c r="H572" s="241"/>
      <c r="I572" s="241"/>
      <c r="J572" s="241"/>
      <c r="K572" s="241"/>
      <c r="L572" s="241"/>
      <c r="M572" s="376"/>
      <c r="N572" s="377"/>
      <c r="O572" s="377"/>
      <c r="P572" s="377"/>
      <c r="Q572" s="377"/>
      <c r="R572" s="241"/>
      <c r="S572" s="71"/>
      <c r="T572" s="71"/>
      <c r="U572" s="71"/>
      <c r="V572" s="71"/>
      <c r="W572" s="71"/>
      <c r="X572" s="71"/>
      <c r="Y572" s="71"/>
    </row>
    <row r="573" spans="1:25">
      <c r="A573" s="80"/>
      <c r="B573" s="241"/>
      <c r="C573" s="241"/>
      <c r="D573" s="241"/>
      <c r="E573" s="241"/>
      <c r="F573" s="241"/>
      <c r="G573" s="241"/>
      <c r="H573" s="241"/>
      <c r="I573" s="241"/>
      <c r="J573" s="241"/>
      <c r="K573" s="241"/>
      <c r="L573" s="241"/>
      <c r="M573" s="376"/>
      <c r="N573" s="377"/>
      <c r="O573" s="377"/>
      <c r="P573" s="377"/>
      <c r="Q573" s="377"/>
      <c r="R573" s="241"/>
      <c r="S573" s="71"/>
      <c r="T573" s="71"/>
      <c r="U573" s="71"/>
      <c r="V573" s="71"/>
      <c r="W573" s="71"/>
      <c r="X573" s="71"/>
      <c r="Y573" s="71"/>
    </row>
    <row r="574" spans="1:25">
      <c r="A574" s="80"/>
      <c r="B574" s="241"/>
      <c r="C574" s="241"/>
      <c r="D574" s="241"/>
      <c r="E574" s="241"/>
      <c r="F574" s="241"/>
      <c r="G574" s="241"/>
      <c r="H574" s="241"/>
      <c r="I574" s="241"/>
      <c r="J574" s="241"/>
      <c r="K574" s="241"/>
      <c r="L574" s="241"/>
      <c r="M574" s="376"/>
      <c r="N574" s="377"/>
      <c r="O574" s="377"/>
      <c r="P574" s="377"/>
      <c r="Q574" s="377"/>
      <c r="R574" s="241"/>
      <c r="S574" s="71"/>
      <c r="T574" s="71"/>
      <c r="U574" s="71"/>
      <c r="V574" s="71"/>
      <c r="W574" s="71"/>
      <c r="X574" s="71"/>
      <c r="Y574" s="71"/>
    </row>
    <row r="575" spans="1:25">
      <c r="A575" s="80"/>
      <c r="B575" s="241"/>
      <c r="C575" s="241"/>
      <c r="D575" s="241"/>
      <c r="E575" s="241"/>
      <c r="F575" s="241"/>
      <c r="G575" s="241"/>
      <c r="H575" s="241"/>
      <c r="I575" s="241"/>
      <c r="J575" s="241"/>
      <c r="K575" s="241"/>
      <c r="L575" s="241"/>
      <c r="M575" s="376"/>
      <c r="N575" s="377"/>
      <c r="O575" s="377"/>
      <c r="P575" s="377"/>
      <c r="Q575" s="377"/>
      <c r="R575" s="241"/>
      <c r="S575" s="71"/>
      <c r="T575" s="71"/>
      <c r="U575" s="71"/>
      <c r="V575" s="71"/>
      <c r="W575" s="71"/>
      <c r="X575" s="71"/>
      <c r="Y575" s="71"/>
    </row>
    <row r="576" spans="1:25">
      <c r="A576" s="80"/>
      <c r="B576" s="241"/>
      <c r="C576" s="241"/>
      <c r="D576" s="241"/>
      <c r="E576" s="241"/>
      <c r="F576" s="241"/>
      <c r="G576" s="241"/>
      <c r="H576" s="241"/>
      <c r="I576" s="241"/>
      <c r="J576" s="241"/>
      <c r="K576" s="241"/>
      <c r="L576" s="241"/>
      <c r="M576" s="376"/>
      <c r="N576" s="377"/>
      <c r="O576" s="377"/>
      <c r="P576" s="377"/>
      <c r="Q576" s="377"/>
      <c r="R576" s="241"/>
      <c r="S576" s="71"/>
      <c r="T576" s="71"/>
      <c r="U576" s="71"/>
      <c r="V576" s="71"/>
      <c r="W576" s="71"/>
      <c r="X576" s="71"/>
      <c r="Y576" s="71"/>
    </row>
    <row r="577" spans="1:25">
      <c r="A577" s="80"/>
      <c r="B577" s="241"/>
      <c r="C577" s="241"/>
      <c r="D577" s="241"/>
      <c r="E577" s="241"/>
      <c r="F577" s="241"/>
      <c r="G577" s="241"/>
      <c r="H577" s="241"/>
      <c r="I577" s="241"/>
      <c r="J577" s="241"/>
      <c r="K577" s="241"/>
      <c r="L577" s="241"/>
      <c r="M577" s="376"/>
      <c r="N577" s="377"/>
      <c r="O577" s="377"/>
      <c r="P577" s="377"/>
      <c r="Q577" s="377"/>
      <c r="R577" s="241"/>
      <c r="S577" s="71"/>
      <c r="T577" s="71"/>
      <c r="U577" s="71"/>
      <c r="V577" s="71"/>
      <c r="W577" s="71"/>
      <c r="X577" s="71"/>
      <c r="Y577" s="71"/>
    </row>
    <row r="578" spans="1:25">
      <c r="A578" s="80"/>
      <c r="B578" s="241"/>
      <c r="C578" s="241"/>
      <c r="D578" s="241"/>
      <c r="E578" s="241"/>
      <c r="F578" s="241"/>
      <c r="G578" s="241"/>
      <c r="H578" s="241"/>
      <c r="I578" s="241"/>
      <c r="J578" s="241"/>
      <c r="K578" s="241"/>
      <c r="L578" s="241"/>
      <c r="M578" s="376"/>
      <c r="N578" s="377"/>
      <c r="O578" s="377"/>
      <c r="P578" s="377"/>
      <c r="Q578" s="377"/>
      <c r="R578" s="241"/>
      <c r="S578" s="71"/>
      <c r="T578" s="71"/>
      <c r="U578" s="71"/>
      <c r="V578" s="71"/>
      <c r="W578" s="71"/>
      <c r="X578" s="71"/>
      <c r="Y578" s="71"/>
    </row>
    <row r="579" spans="1:25">
      <c r="A579" s="80"/>
      <c r="B579" s="241"/>
      <c r="C579" s="241"/>
      <c r="D579" s="241"/>
      <c r="E579" s="241"/>
      <c r="F579" s="241"/>
      <c r="G579" s="241"/>
      <c r="H579" s="241"/>
      <c r="I579" s="241"/>
      <c r="J579" s="241"/>
      <c r="K579" s="241"/>
      <c r="L579" s="241"/>
      <c r="M579" s="376"/>
      <c r="N579" s="377"/>
      <c r="O579" s="377"/>
      <c r="P579" s="377"/>
      <c r="Q579" s="377"/>
      <c r="R579" s="241"/>
      <c r="S579" s="71"/>
      <c r="T579" s="71"/>
      <c r="U579" s="71"/>
      <c r="V579" s="71"/>
      <c r="W579" s="71"/>
      <c r="X579" s="71"/>
      <c r="Y579" s="71"/>
    </row>
    <row r="580" spans="1:25">
      <c r="A580" s="80"/>
      <c r="B580" s="241"/>
      <c r="C580" s="241"/>
      <c r="D580" s="241"/>
      <c r="E580" s="241"/>
      <c r="F580" s="241"/>
      <c r="G580" s="241"/>
      <c r="H580" s="241"/>
      <c r="I580" s="241"/>
      <c r="J580" s="241"/>
      <c r="K580" s="241"/>
      <c r="L580" s="241"/>
      <c r="M580" s="376"/>
      <c r="N580" s="377"/>
      <c r="O580" s="377"/>
      <c r="P580" s="377"/>
      <c r="Q580" s="377"/>
      <c r="R580" s="241"/>
      <c r="S580" s="71"/>
      <c r="T580" s="71"/>
      <c r="U580" s="71"/>
      <c r="V580" s="71"/>
      <c r="W580" s="71"/>
      <c r="X580" s="71"/>
      <c r="Y580" s="71"/>
    </row>
    <row r="581" spans="1:25">
      <c r="A581" s="80"/>
      <c r="B581" s="241"/>
      <c r="C581" s="241"/>
      <c r="D581" s="241"/>
      <c r="E581" s="241"/>
      <c r="F581" s="241"/>
      <c r="G581" s="241"/>
      <c r="H581" s="241"/>
      <c r="I581" s="241"/>
      <c r="J581" s="241"/>
      <c r="K581" s="241"/>
      <c r="L581" s="241"/>
      <c r="M581" s="376"/>
      <c r="N581" s="377"/>
      <c r="O581" s="377"/>
      <c r="P581" s="377"/>
      <c r="Q581" s="377"/>
      <c r="R581" s="241"/>
      <c r="S581" s="71"/>
      <c r="T581" s="71"/>
      <c r="U581" s="71"/>
      <c r="V581" s="71"/>
      <c r="W581" s="71"/>
      <c r="X581" s="71"/>
      <c r="Y581" s="71"/>
    </row>
    <row r="582" spans="1:25">
      <c r="A582" s="80"/>
      <c r="B582" s="241"/>
      <c r="C582" s="241"/>
      <c r="D582" s="241"/>
      <c r="E582" s="241"/>
      <c r="F582" s="241"/>
      <c r="G582" s="241"/>
      <c r="H582" s="241"/>
      <c r="I582" s="241"/>
      <c r="J582" s="241"/>
      <c r="K582" s="241"/>
      <c r="L582" s="241"/>
      <c r="M582" s="376"/>
      <c r="N582" s="377"/>
      <c r="O582" s="377"/>
      <c r="P582" s="377"/>
      <c r="Q582" s="377"/>
      <c r="R582" s="241"/>
      <c r="S582" s="71"/>
      <c r="T582" s="71"/>
      <c r="U582" s="71"/>
      <c r="V582" s="71"/>
      <c r="W582" s="71"/>
      <c r="X582" s="71"/>
      <c r="Y582" s="71"/>
    </row>
    <row r="583" spans="1:25">
      <c r="A583" s="80"/>
      <c r="B583" s="241"/>
      <c r="C583" s="241"/>
      <c r="D583" s="241"/>
      <c r="E583" s="241"/>
      <c r="F583" s="241"/>
      <c r="G583" s="241"/>
      <c r="H583" s="241"/>
      <c r="I583" s="241"/>
      <c r="J583" s="241"/>
      <c r="K583" s="241"/>
      <c r="L583" s="241"/>
      <c r="M583" s="376"/>
      <c r="N583" s="377"/>
      <c r="O583" s="377"/>
      <c r="P583" s="377"/>
      <c r="Q583" s="377"/>
      <c r="R583" s="241"/>
      <c r="S583" s="71"/>
      <c r="T583" s="71"/>
      <c r="U583" s="71"/>
      <c r="V583" s="71"/>
      <c r="W583" s="71"/>
      <c r="X583" s="71"/>
      <c r="Y583" s="71"/>
    </row>
    <row r="584" spans="1:25">
      <c r="A584" s="80"/>
      <c r="B584" s="241"/>
      <c r="C584" s="241"/>
      <c r="D584" s="241"/>
      <c r="E584" s="241"/>
      <c r="F584" s="241"/>
      <c r="G584" s="241"/>
      <c r="H584" s="241"/>
      <c r="I584" s="241"/>
      <c r="J584" s="241"/>
      <c r="K584" s="241"/>
      <c r="L584" s="241"/>
      <c r="M584" s="376"/>
      <c r="N584" s="377"/>
      <c r="O584" s="377"/>
      <c r="P584" s="377"/>
      <c r="Q584" s="377"/>
      <c r="R584" s="241"/>
      <c r="S584" s="71"/>
      <c r="T584" s="71"/>
      <c r="U584" s="71"/>
      <c r="V584" s="71"/>
      <c r="W584" s="71"/>
      <c r="X584" s="71"/>
      <c r="Y584" s="71"/>
    </row>
    <row r="585" spans="1:25">
      <c r="A585" s="80"/>
      <c r="B585" s="241"/>
      <c r="C585" s="241"/>
      <c r="D585" s="241"/>
      <c r="E585" s="241"/>
      <c r="F585" s="241"/>
      <c r="G585" s="241"/>
      <c r="H585" s="241"/>
      <c r="I585" s="241"/>
      <c r="J585" s="241"/>
      <c r="K585" s="241"/>
      <c r="L585" s="241"/>
      <c r="M585" s="376"/>
      <c r="N585" s="377"/>
      <c r="O585" s="377"/>
      <c r="P585" s="377"/>
      <c r="Q585" s="377"/>
      <c r="R585" s="241"/>
      <c r="S585" s="71"/>
      <c r="T585" s="71"/>
      <c r="U585" s="71"/>
      <c r="V585" s="71"/>
      <c r="W585" s="71"/>
      <c r="X585" s="71"/>
      <c r="Y585" s="71"/>
    </row>
    <row r="586" spans="1:25">
      <c r="A586" s="80"/>
      <c r="B586" s="241"/>
      <c r="C586" s="241"/>
      <c r="D586" s="241"/>
      <c r="E586" s="241"/>
      <c r="F586" s="241"/>
      <c r="G586" s="241"/>
      <c r="H586" s="241"/>
      <c r="I586" s="241"/>
      <c r="J586" s="241"/>
      <c r="K586" s="241"/>
      <c r="L586" s="241"/>
      <c r="M586" s="376"/>
      <c r="N586" s="377"/>
      <c r="O586" s="377"/>
      <c r="P586" s="377"/>
      <c r="Q586" s="377"/>
      <c r="R586" s="241"/>
      <c r="S586" s="71"/>
      <c r="T586" s="71"/>
      <c r="U586" s="71"/>
      <c r="V586" s="71"/>
      <c r="W586" s="71"/>
      <c r="X586" s="71"/>
      <c r="Y586" s="71"/>
    </row>
    <row r="587" spans="1:25">
      <c r="A587" s="80"/>
      <c r="B587" s="241"/>
      <c r="C587" s="241"/>
      <c r="D587" s="241"/>
      <c r="E587" s="241"/>
      <c r="F587" s="241"/>
      <c r="G587" s="241"/>
      <c r="H587" s="241"/>
      <c r="I587" s="241"/>
      <c r="J587" s="241"/>
      <c r="K587" s="241"/>
      <c r="L587" s="241"/>
      <c r="M587" s="376"/>
      <c r="N587" s="377"/>
      <c r="O587" s="377"/>
      <c r="P587" s="377"/>
      <c r="Q587" s="377"/>
      <c r="R587" s="241"/>
      <c r="S587" s="71"/>
      <c r="T587" s="71"/>
      <c r="U587" s="71"/>
      <c r="V587" s="71"/>
      <c r="W587" s="71"/>
      <c r="X587" s="71"/>
      <c r="Y587" s="71"/>
    </row>
    <row r="588" spans="1:25">
      <c r="A588" s="80"/>
      <c r="B588" s="241"/>
      <c r="C588" s="241"/>
      <c r="D588" s="241"/>
      <c r="E588" s="241"/>
      <c r="F588" s="241"/>
      <c r="G588" s="241"/>
      <c r="H588" s="241"/>
      <c r="I588" s="241"/>
      <c r="J588" s="241"/>
      <c r="K588" s="241"/>
      <c r="L588" s="241"/>
      <c r="M588" s="376"/>
      <c r="N588" s="377"/>
      <c r="O588" s="377"/>
      <c r="P588" s="377"/>
      <c r="Q588" s="377"/>
      <c r="R588" s="241"/>
      <c r="S588" s="71"/>
      <c r="T588" s="71"/>
      <c r="U588" s="71"/>
      <c r="V588" s="71"/>
      <c r="W588" s="71"/>
      <c r="X588" s="71"/>
      <c r="Y588" s="71"/>
    </row>
    <row r="589" spans="1:25">
      <c r="A589" s="80"/>
      <c r="B589" s="241"/>
      <c r="C589" s="241"/>
      <c r="D589" s="241"/>
      <c r="E589" s="241"/>
      <c r="F589" s="241"/>
      <c r="G589" s="241"/>
      <c r="H589" s="241"/>
      <c r="I589" s="241"/>
      <c r="J589" s="241"/>
      <c r="K589" s="241"/>
      <c r="L589" s="241"/>
      <c r="M589" s="376"/>
      <c r="N589" s="377"/>
      <c r="O589" s="377"/>
      <c r="P589" s="377"/>
      <c r="Q589" s="377"/>
      <c r="R589" s="241"/>
      <c r="S589" s="71"/>
      <c r="T589" s="71"/>
      <c r="U589" s="71"/>
      <c r="V589" s="71"/>
      <c r="W589" s="71"/>
      <c r="X589" s="71"/>
      <c r="Y589" s="71"/>
    </row>
    <row r="590" spans="1:25">
      <c r="A590" s="80"/>
      <c r="B590" s="241"/>
      <c r="C590" s="241"/>
      <c r="D590" s="241"/>
      <c r="E590" s="241"/>
      <c r="F590" s="241"/>
      <c r="G590" s="241"/>
      <c r="H590" s="241"/>
      <c r="I590" s="241"/>
      <c r="J590" s="241"/>
      <c r="K590" s="241"/>
      <c r="L590" s="241"/>
      <c r="M590" s="376"/>
      <c r="N590" s="377"/>
      <c r="O590" s="377"/>
      <c r="P590" s="377"/>
      <c r="Q590" s="377"/>
      <c r="R590" s="241"/>
      <c r="S590" s="71"/>
      <c r="T590" s="71"/>
      <c r="U590" s="71"/>
      <c r="V590" s="71"/>
      <c r="W590" s="71"/>
      <c r="X590" s="71"/>
      <c r="Y590" s="71"/>
    </row>
    <row r="591" spans="1:25">
      <c r="A591" s="80"/>
      <c r="B591" s="241"/>
      <c r="C591" s="241"/>
      <c r="D591" s="241"/>
      <c r="E591" s="241"/>
      <c r="F591" s="241"/>
      <c r="G591" s="241"/>
      <c r="H591" s="241"/>
      <c r="I591" s="241"/>
      <c r="J591" s="241"/>
      <c r="K591" s="241"/>
      <c r="L591" s="241"/>
      <c r="M591" s="376"/>
      <c r="N591" s="377"/>
      <c r="O591" s="377"/>
      <c r="P591" s="377"/>
      <c r="Q591" s="377"/>
      <c r="R591" s="241"/>
      <c r="S591" s="71"/>
      <c r="T591" s="71"/>
      <c r="U591" s="71"/>
      <c r="V591" s="71"/>
      <c r="W591" s="71"/>
      <c r="X591" s="71"/>
      <c r="Y591" s="71"/>
    </row>
    <row r="592" spans="1:25">
      <c r="A592" s="80"/>
      <c r="B592" s="241"/>
      <c r="C592" s="241"/>
      <c r="D592" s="241"/>
      <c r="E592" s="241"/>
      <c r="F592" s="241"/>
      <c r="G592" s="241"/>
      <c r="H592" s="241"/>
      <c r="I592" s="241"/>
      <c r="J592" s="241"/>
      <c r="K592" s="241"/>
      <c r="L592" s="241"/>
      <c r="M592" s="376"/>
      <c r="N592" s="377"/>
      <c r="O592" s="377"/>
      <c r="P592" s="377"/>
      <c r="Q592" s="377"/>
      <c r="R592" s="241"/>
      <c r="S592" s="71"/>
      <c r="T592" s="71"/>
      <c r="U592" s="71"/>
      <c r="V592" s="71"/>
      <c r="W592" s="71"/>
      <c r="X592" s="71"/>
      <c r="Y592" s="71"/>
    </row>
    <row r="593" spans="1:25">
      <c r="A593" s="80"/>
      <c r="B593" s="241"/>
      <c r="C593" s="241"/>
      <c r="D593" s="241"/>
      <c r="E593" s="241"/>
      <c r="F593" s="241"/>
      <c r="G593" s="241"/>
      <c r="H593" s="241"/>
      <c r="I593" s="241"/>
      <c r="J593" s="241"/>
      <c r="K593" s="241"/>
      <c r="L593" s="241"/>
      <c r="M593" s="376"/>
      <c r="N593" s="377"/>
      <c r="O593" s="377"/>
      <c r="P593" s="377"/>
      <c r="Q593" s="377"/>
      <c r="R593" s="241"/>
      <c r="S593" s="71"/>
      <c r="T593" s="71"/>
      <c r="U593" s="71"/>
      <c r="V593" s="71"/>
      <c r="W593" s="71"/>
      <c r="X593" s="71"/>
      <c r="Y593" s="71"/>
    </row>
    <row r="594" spans="1:25">
      <c r="A594" s="80"/>
      <c r="B594" s="241"/>
      <c r="C594" s="241"/>
      <c r="D594" s="241"/>
      <c r="E594" s="241"/>
      <c r="F594" s="241"/>
      <c r="G594" s="241"/>
      <c r="H594" s="241"/>
      <c r="I594" s="241"/>
      <c r="J594" s="241"/>
      <c r="K594" s="241"/>
      <c r="L594" s="241"/>
      <c r="M594" s="376"/>
      <c r="N594" s="377"/>
      <c r="O594" s="377"/>
      <c r="P594" s="377"/>
      <c r="Q594" s="377"/>
      <c r="R594" s="241"/>
      <c r="S594" s="71"/>
      <c r="T594" s="71"/>
      <c r="U594" s="71"/>
      <c r="V594" s="71"/>
      <c r="W594" s="71"/>
      <c r="X594" s="71"/>
      <c r="Y594" s="71"/>
    </row>
    <row r="595" spans="1:25">
      <c r="A595" s="80"/>
      <c r="B595" s="241"/>
      <c r="C595" s="241"/>
      <c r="D595" s="241"/>
      <c r="E595" s="241"/>
      <c r="F595" s="241"/>
      <c r="G595" s="241"/>
      <c r="H595" s="241"/>
      <c r="I595" s="241"/>
      <c r="J595" s="241"/>
      <c r="K595" s="241"/>
      <c r="L595" s="241"/>
      <c r="M595" s="376"/>
      <c r="N595" s="377"/>
      <c r="O595" s="377"/>
      <c r="P595" s="377"/>
      <c r="Q595" s="377"/>
      <c r="R595" s="241"/>
      <c r="S595" s="71"/>
      <c r="T595" s="71"/>
      <c r="U595" s="71"/>
      <c r="V595" s="71"/>
      <c r="W595" s="71"/>
      <c r="X595" s="71"/>
      <c r="Y595" s="71"/>
    </row>
    <row r="596" spans="1:25">
      <c r="A596" s="80"/>
      <c r="B596" s="241"/>
      <c r="C596" s="241"/>
      <c r="D596" s="241"/>
      <c r="E596" s="241"/>
      <c r="F596" s="241"/>
      <c r="G596" s="241"/>
      <c r="H596" s="241"/>
      <c r="I596" s="241"/>
      <c r="J596" s="241"/>
      <c r="K596" s="241"/>
      <c r="L596" s="241"/>
      <c r="M596" s="376"/>
      <c r="N596" s="377"/>
      <c r="O596" s="377"/>
      <c r="P596" s="377"/>
      <c r="Q596" s="377"/>
      <c r="R596" s="241"/>
      <c r="S596" s="71"/>
      <c r="T596" s="71"/>
      <c r="U596" s="71"/>
      <c r="V596" s="71"/>
      <c r="W596" s="71"/>
      <c r="X596" s="71"/>
      <c r="Y596" s="71"/>
    </row>
    <row r="597" spans="1:25">
      <c r="A597" s="80"/>
      <c r="B597" s="241"/>
      <c r="C597" s="241"/>
      <c r="D597" s="241"/>
      <c r="E597" s="241"/>
      <c r="F597" s="241"/>
      <c r="G597" s="241"/>
      <c r="H597" s="241"/>
      <c r="I597" s="241"/>
      <c r="J597" s="241"/>
      <c r="K597" s="241"/>
      <c r="L597" s="241"/>
      <c r="M597" s="376"/>
      <c r="N597" s="377"/>
      <c r="O597" s="377"/>
      <c r="P597" s="377"/>
      <c r="Q597" s="377"/>
      <c r="R597" s="241"/>
      <c r="S597" s="71"/>
      <c r="T597" s="71"/>
      <c r="U597" s="71"/>
      <c r="V597" s="71"/>
      <c r="W597" s="71"/>
      <c r="X597" s="71"/>
      <c r="Y597" s="71"/>
    </row>
    <row r="598" spans="1:25">
      <c r="A598" s="80"/>
      <c r="B598" s="241"/>
      <c r="C598" s="241"/>
      <c r="D598" s="241"/>
      <c r="E598" s="241"/>
      <c r="F598" s="241"/>
      <c r="G598" s="241"/>
      <c r="H598" s="241"/>
      <c r="I598" s="241"/>
      <c r="J598" s="241"/>
      <c r="K598" s="241"/>
      <c r="L598" s="241"/>
      <c r="M598" s="376"/>
      <c r="N598" s="377"/>
      <c r="O598" s="377"/>
      <c r="P598" s="377"/>
      <c r="Q598" s="377"/>
      <c r="R598" s="241"/>
      <c r="S598" s="71"/>
      <c r="T598" s="71"/>
      <c r="U598" s="71"/>
      <c r="V598" s="71"/>
      <c r="W598" s="71"/>
      <c r="X598" s="71"/>
      <c r="Y598" s="71"/>
    </row>
    <row r="599" spans="1:25">
      <c r="A599" s="80"/>
      <c r="B599" s="241"/>
      <c r="C599" s="241"/>
      <c r="D599" s="241"/>
      <c r="E599" s="241"/>
      <c r="F599" s="241"/>
      <c r="G599" s="241"/>
      <c r="H599" s="241"/>
      <c r="I599" s="241"/>
      <c r="J599" s="241"/>
      <c r="K599" s="241"/>
      <c r="L599" s="241"/>
      <c r="M599" s="376"/>
      <c r="N599" s="377"/>
      <c r="O599" s="377"/>
      <c r="P599" s="377"/>
      <c r="Q599" s="377"/>
      <c r="R599" s="241"/>
      <c r="S599" s="71"/>
      <c r="T599" s="71"/>
      <c r="U599" s="71"/>
      <c r="V599" s="71"/>
      <c r="W599" s="71"/>
      <c r="X599" s="71"/>
      <c r="Y599" s="71"/>
    </row>
    <row r="600" spans="1:25">
      <c r="A600" s="80"/>
      <c r="B600" s="241"/>
      <c r="C600" s="241"/>
      <c r="D600" s="241"/>
      <c r="E600" s="241"/>
      <c r="F600" s="241"/>
      <c r="G600" s="241"/>
      <c r="H600" s="241"/>
      <c r="I600" s="241"/>
      <c r="J600" s="241"/>
      <c r="K600" s="241"/>
      <c r="L600" s="241"/>
      <c r="M600" s="376"/>
      <c r="N600" s="377"/>
      <c r="O600" s="377"/>
      <c r="P600" s="377"/>
      <c r="Q600" s="377"/>
      <c r="R600" s="241"/>
      <c r="S600" s="71"/>
      <c r="T600" s="71"/>
      <c r="U600" s="71"/>
      <c r="V600" s="71"/>
      <c r="W600" s="71"/>
      <c r="X600" s="71"/>
      <c r="Y600" s="71"/>
    </row>
    <row r="601" spans="1:25">
      <c r="A601" s="80"/>
      <c r="B601" s="241"/>
      <c r="C601" s="241"/>
      <c r="D601" s="241"/>
      <c r="E601" s="241"/>
      <c r="F601" s="241"/>
      <c r="G601" s="241"/>
      <c r="H601" s="241"/>
      <c r="I601" s="241"/>
      <c r="J601" s="241"/>
      <c r="K601" s="241"/>
      <c r="L601" s="241"/>
      <c r="M601" s="376"/>
      <c r="N601" s="377"/>
      <c r="O601" s="377"/>
      <c r="P601" s="377"/>
      <c r="Q601" s="377"/>
      <c r="R601" s="241"/>
      <c r="S601" s="71"/>
      <c r="T601" s="71"/>
      <c r="U601" s="71"/>
      <c r="V601" s="71"/>
      <c r="W601" s="71"/>
      <c r="X601" s="71"/>
      <c r="Y601" s="71"/>
    </row>
    <row r="602" spans="1:25">
      <c r="A602" s="80"/>
      <c r="B602" s="241"/>
      <c r="C602" s="241"/>
      <c r="D602" s="241"/>
      <c r="E602" s="241"/>
      <c r="F602" s="241"/>
      <c r="G602" s="241"/>
      <c r="H602" s="241"/>
      <c r="I602" s="241"/>
      <c r="J602" s="241"/>
      <c r="K602" s="241"/>
      <c r="L602" s="241"/>
      <c r="M602" s="376"/>
      <c r="N602" s="377"/>
      <c r="O602" s="377"/>
      <c r="P602" s="377"/>
      <c r="Q602" s="377"/>
      <c r="R602" s="241"/>
      <c r="S602" s="71"/>
      <c r="T602" s="71"/>
      <c r="U602" s="71"/>
      <c r="V602" s="71"/>
      <c r="W602" s="71"/>
      <c r="X602" s="71"/>
      <c r="Y602" s="71"/>
    </row>
    <row r="603" spans="1:25">
      <c r="A603" s="80"/>
      <c r="B603" s="241"/>
      <c r="C603" s="241"/>
      <c r="D603" s="241"/>
      <c r="E603" s="241"/>
      <c r="F603" s="241"/>
      <c r="G603" s="241"/>
      <c r="H603" s="241"/>
      <c r="I603" s="241"/>
      <c r="J603" s="241"/>
      <c r="K603" s="241"/>
      <c r="L603" s="241"/>
      <c r="M603" s="376"/>
      <c r="N603" s="377"/>
      <c r="O603" s="377"/>
      <c r="P603" s="377"/>
      <c r="Q603" s="377"/>
      <c r="R603" s="241"/>
      <c r="S603" s="71"/>
      <c r="T603" s="71"/>
      <c r="U603" s="71"/>
      <c r="V603" s="71"/>
      <c r="W603" s="71"/>
      <c r="X603" s="71"/>
      <c r="Y603" s="71"/>
    </row>
    <row r="604" spans="1:25">
      <c r="A604" s="80"/>
      <c r="B604" s="241"/>
      <c r="C604" s="241"/>
      <c r="D604" s="241"/>
      <c r="E604" s="241"/>
      <c r="F604" s="241"/>
      <c r="G604" s="241"/>
      <c r="H604" s="241"/>
      <c r="I604" s="241"/>
      <c r="J604" s="241"/>
      <c r="K604" s="241"/>
      <c r="L604" s="241"/>
      <c r="M604" s="376"/>
      <c r="N604" s="377"/>
      <c r="O604" s="377"/>
      <c r="P604" s="377"/>
      <c r="Q604" s="377"/>
      <c r="R604" s="241"/>
      <c r="S604" s="71"/>
      <c r="T604" s="71"/>
      <c r="U604" s="71"/>
      <c r="V604" s="71"/>
      <c r="W604" s="71"/>
      <c r="X604" s="71"/>
      <c r="Y604" s="71"/>
    </row>
    <row r="605" spans="1:25">
      <c r="A605" s="80"/>
      <c r="B605" s="241"/>
      <c r="C605" s="241"/>
      <c r="D605" s="241"/>
      <c r="E605" s="241"/>
      <c r="F605" s="241"/>
      <c r="G605" s="241"/>
      <c r="H605" s="241"/>
      <c r="I605" s="241"/>
      <c r="J605" s="241"/>
      <c r="K605" s="241"/>
      <c r="L605" s="241"/>
      <c r="M605" s="376"/>
      <c r="N605" s="377"/>
      <c r="O605" s="377"/>
      <c r="P605" s="377"/>
      <c r="Q605" s="377"/>
      <c r="R605" s="241"/>
      <c r="S605" s="71"/>
      <c r="T605" s="71"/>
      <c r="U605" s="71"/>
      <c r="V605" s="71"/>
      <c r="W605" s="71"/>
      <c r="X605" s="71"/>
      <c r="Y605" s="71"/>
    </row>
    <row r="606" spans="1:25">
      <c r="A606" s="80"/>
      <c r="B606" s="241"/>
      <c r="C606" s="241"/>
      <c r="D606" s="241"/>
      <c r="E606" s="241"/>
      <c r="F606" s="241"/>
      <c r="G606" s="241"/>
      <c r="H606" s="241"/>
      <c r="I606" s="241"/>
      <c r="J606" s="241"/>
      <c r="K606" s="241"/>
      <c r="L606" s="241"/>
      <c r="M606" s="376"/>
      <c r="N606" s="377"/>
      <c r="O606" s="377"/>
      <c r="P606" s="377"/>
      <c r="Q606" s="377"/>
      <c r="R606" s="241"/>
      <c r="S606" s="71"/>
      <c r="T606" s="71"/>
      <c r="U606" s="71"/>
      <c r="V606" s="71"/>
      <c r="W606" s="71"/>
      <c r="X606" s="71"/>
      <c r="Y606" s="71"/>
    </row>
    <row r="607" spans="1:25">
      <c r="A607" s="80"/>
      <c r="B607" s="241"/>
      <c r="C607" s="241"/>
      <c r="D607" s="241"/>
      <c r="E607" s="241"/>
      <c r="F607" s="241"/>
      <c r="G607" s="241"/>
      <c r="H607" s="241"/>
      <c r="I607" s="241"/>
      <c r="J607" s="241"/>
      <c r="K607" s="241"/>
      <c r="L607" s="241"/>
      <c r="M607" s="376"/>
      <c r="N607" s="377"/>
      <c r="O607" s="377"/>
      <c r="P607" s="377"/>
      <c r="Q607" s="377"/>
      <c r="R607" s="241"/>
      <c r="S607" s="71"/>
      <c r="T607" s="71"/>
      <c r="U607" s="71"/>
      <c r="V607" s="71"/>
      <c r="W607" s="71"/>
      <c r="X607" s="71"/>
      <c r="Y607" s="71"/>
    </row>
    <row r="608" spans="1:25">
      <c r="A608" s="80"/>
      <c r="B608" s="241"/>
      <c r="C608" s="241"/>
      <c r="D608" s="241"/>
      <c r="E608" s="241"/>
      <c r="F608" s="241"/>
      <c r="G608" s="241"/>
      <c r="H608" s="241"/>
      <c r="I608" s="241"/>
      <c r="J608" s="241"/>
      <c r="K608" s="241"/>
      <c r="L608" s="241"/>
      <c r="M608" s="376"/>
      <c r="N608" s="377"/>
      <c r="O608" s="377"/>
      <c r="P608" s="377"/>
      <c r="Q608" s="377"/>
      <c r="R608" s="241"/>
      <c r="S608" s="71"/>
      <c r="T608" s="71"/>
      <c r="U608" s="71"/>
      <c r="V608" s="71"/>
      <c r="W608" s="71"/>
      <c r="X608" s="71"/>
      <c r="Y608" s="71"/>
    </row>
    <row r="609" spans="1:25">
      <c r="A609" s="80"/>
      <c r="B609" s="241"/>
      <c r="C609" s="241"/>
      <c r="D609" s="241"/>
      <c r="E609" s="241"/>
      <c r="F609" s="241"/>
      <c r="G609" s="241"/>
      <c r="H609" s="241"/>
      <c r="I609" s="241"/>
      <c r="J609" s="241"/>
      <c r="K609" s="241"/>
      <c r="L609" s="241"/>
      <c r="M609" s="376"/>
      <c r="N609" s="377"/>
      <c r="O609" s="377"/>
      <c r="P609" s="377"/>
      <c r="Q609" s="377"/>
      <c r="R609" s="241"/>
      <c r="S609" s="71"/>
      <c r="T609" s="71"/>
      <c r="U609" s="71"/>
      <c r="V609" s="71"/>
      <c r="W609" s="71"/>
      <c r="X609" s="71"/>
      <c r="Y609" s="71"/>
    </row>
    <row r="610" spans="1:25">
      <c r="A610" s="80"/>
      <c r="B610" s="241"/>
      <c r="C610" s="241"/>
      <c r="D610" s="241"/>
      <c r="E610" s="241"/>
      <c r="F610" s="241"/>
      <c r="G610" s="241"/>
      <c r="H610" s="241"/>
      <c r="I610" s="241"/>
      <c r="J610" s="241"/>
      <c r="K610" s="241"/>
      <c r="L610" s="241"/>
      <c r="M610" s="376"/>
      <c r="N610" s="377"/>
      <c r="O610" s="377"/>
      <c r="P610" s="377"/>
      <c r="Q610" s="377"/>
      <c r="R610" s="241"/>
      <c r="S610" s="71"/>
      <c r="T610" s="71"/>
      <c r="U610" s="71"/>
      <c r="V610" s="71"/>
      <c r="W610" s="71"/>
      <c r="X610" s="71"/>
      <c r="Y610" s="71"/>
    </row>
    <row r="611" spans="1:25">
      <c r="A611" s="80"/>
      <c r="B611" s="241"/>
      <c r="C611" s="241"/>
      <c r="D611" s="241"/>
      <c r="E611" s="241"/>
      <c r="F611" s="241"/>
      <c r="G611" s="241"/>
      <c r="H611" s="241"/>
      <c r="I611" s="241"/>
      <c r="J611" s="241"/>
      <c r="K611" s="241"/>
      <c r="L611" s="241"/>
      <c r="M611" s="376"/>
      <c r="N611" s="377"/>
      <c r="O611" s="377"/>
      <c r="P611" s="377"/>
      <c r="Q611" s="377"/>
      <c r="R611" s="241"/>
      <c r="S611" s="71"/>
      <c r="T611" s="71"/>
      <c r="U611" s="71"/>
      <c r="V611" s="71"/>
      <c r="W611" s="71"/>
      <c r="X611" s="71"/>
      <c r="Y611" s="71"/>
    </row>
    <row r="612" spans="1:25">
      <c r="A612" s="80"/>
      <c r="B612" s="241"/>
      <c r="C612" s="241"/>
      <c r="D612" s="241"/>
      <c r="E612" s="241"/>
      <c r="F612" s="241"/>
      <c r="G612" s="241"/>
      <c r="H612" s="241"/>
      <c r="I612" s="241"/>
      <c r="J612" s="241"/>
      <c r="K612" s="241"/>
      <c r="L612" s="241"/>
      <c r="M612" s="376"/>
      <c r="N612" s="377"/>
      <c r="O612" s="377"/>
      <c r="P612" s="377"/>
      <c r="Q612" s="377"/>
      <c r="R612" s="241"/>
      <c r="S612" s="71"/>
      <c r="T612" s="71"/>
      <c r="U612" s="71"/>
      <c r="V612" s="71"/>
      <c r="W612" s="71"/>
      <c r="X612" s="71"/>
      <c r="Y612" s="71"/>
    </row>
    <row r="613" spans="1:25">
      <c r="A613" s="80"/>
      <c r="B613" s="241"/>
      <c r="C613" s="241"/>
      <c r="D613" s="241"/>
      <c r="E613" s="241"/>
      <c r="F613" s="241"/>
      <c r="G613" s="241"/>
      <c r="H613" s="241"/>
      <c r="I613" s="241"/>
      <c r="J613" s="241"/>
      <c r="K613" s="241"/>
      <c r="L613" s="241"/>
      <c r="M613" s="376"/>
      <c r="N613" s="377"/>
      <c r="O613" s="377"/>
      <c r="P613" s="377"/>
      <c r="Q613" s="377"/>
      <c r="R613" s="241"/>
      <c r="S613" s="71"/>
      <c r="T613" s="71"/>
      <c r="U613" s="71"/>
      <c r="V613" s="71"/>
      <c r="W613" s="71"/>
      <c r="X613" s="71"/>
      <c r="Y613" s="71"/>
    </row>
    <row r="614" spans="1:25">
      <c r="A614" s="80"/>
      <c r="B614" s="241"/>
      <c r="C614" s="241"/>
      <c r="D614" s="241"/>
      <c r="E614" s="241"/>
      <c r="F614" s="241"/>
      <c r="G614" s="241"/>
      <c r="H614" s="241"/>
      <c r="I614" s="241"/>
      <c r="J614" s="241"/>
      <c r="K614" s="241"/>
      <c r="L614" s="241"/>
      <c r="M614" s="376"/>
      <c r="N614" s="377"/>
      <c r="O614" s="377"/>
      <c r="P614" s="377"/>
      <c r="Q614" s="377"/>
      <c r="R614" s="241"/>
      <c r="S614" s="71"/>
      <c r="T614" s="71"/>
      <c r="U614" s="71"/>
      <c r="V614" s="71"/>
      <c r="W614" s="71"/>
      <c r="X614" s="71"/>
      <c r="Y614" s="71"/>
    </row>
    <row r="615" spans="1:25">
      <c r="A615" s="80"/>
      <c r="B615" s="241"/>
      <c r="C615" s="241"/>
      <c r="D615" s="241"/>
      <c r="E615" s="241"/>
      <c r="F615" s="241"/>
      <c r="G615" s="241"/>
      <c r="H615" s="241"/>
      <c r="I615" s="241"/>
      <c r="J615" s="241"/>
      <c r="K615" s="241"/>
      <c r="L615" s="241"/>
      <c r="M615" s="376"/>
      <c r="N615" s="377"/>
      <c r="O615" s="377"/>
      <c r="P615" s="377"/>
      <c r="Q615" s="377"/>
      <c r="R615" s="241"/>
      <c r="S615" s="71"/>
      <c r="T615" s="71"/>
      <c r="U615" s="71"/>
      <c r="V615" s="71"/>
      <c r="W615" s="71"/>
      <c r="X615" s="71"/>
      <c r="Y615" s="71"/>
    </row>
    <row r="616" spans="1:25">
      <c r="A616" s="80"/>
      <c r="B616" s="241"/>
      <c r="C616" s="241"/>
      <c r="D616" s="241"/>
      <c r="E616" s="241"/>
      <c r="F616" s="241"/>
      <c r="G616" s="241"/>
      <c r="H616" s="241"/>
      <c r="I616" s="241"/>
      <c r="J616" s="241"/>
      <c r="K616" s="241"/>
      <c r="L616" s="241"/>
      <c r="M616" s="376"/>
      <c r="N616" s="377"/>
      <c r="O616" s="377"/>
      <c r="P616" s="377"/>
      <c r="Q616" s="377"/>
      <c r="R616" s="241"/>
      <c r="S616" s="71"/>
      <c r="T616" s="71"/>
      <c r="U616" s="71"/>
      <c r="V616" s="71"/>
      <c r="W616" s="71"/>
      <c r="X616" s="71"/>
      <c r="Y616" s="71"/>
    </row>
    <row r="617" spans="1:25">
      <c r="A617" s="80"/>
      <c r="B617" s="241"/>
      <c r="C617" s="241"/>
      <c r="D617" s="241"/>
      <c r="E617" s="241"/>
      <c r="F617" s="241"/>
      <c r="G617" s="241"/>
      <c r="H617" s="241"/>
      <c r="I617" s="241"/>
      <c r="J617" s="241"/>
      <c r="K617" s="241"/>
      <c r="L617" s="241"/>
      <c r="M617" s="376"/>
      <c r="N617" s="377"/>
      <c r="O617" s="377"/>
      <c r="P617" s="377"/>
      <c r="Q617" s="377"/>
      <c r="R617" s="241"/>
      <c r="S617" s="71"/>
      <c r="T617" s="71"/>
      <c r="U617" s="71"/>
      <c r="V617" s="71"/>
      <c r="W617" s="71"/>
      <c r="X617" s="71"/>
      <c r="Y617" s="71"/>
    </row>
    <row r="618" spans="1:25">
      <c r="A618" s="80"/>
      <c r="B618" s="241"/>
      <c r="C618" s="241"/>
      <c r="D618" s="241"/>
      <c r="E618" s="241"/>
      <c r="F618" s="241"/>
      <c r="G618" s="241"/>
      <c r="H618" s="241"/>
      <c r="I618" s="241"/>
      <c r="J618" s="241"/>
      <c r="K618" s="241"/>
      <c r="L618" s="241"/>
      <c r="M618" s="376"/>
      <c r="N618" s="377"/>
      <c r="O618" s="377"/>
      <c r="P618" s="377"/>
      <c r="Q618" s="377"/>
      <c r="R618" s="241"/>
      <c r="S618" s="71"/>
      <c r="T618" s="71"/>
      <c r="U618" s="71"/>
      <c r="V618" s="71"/>
      <c r="W618" s="71"/>
      <c r="X618" s="71"/>
      <c r="Y618" s="71"/>
    </row>
    <row r="619" spans="1:25">
      <c r="A619" s="80"/>
      <c r="B619" s="241"/>
      <c r="C619" s="241"/>
      <c r="D619" s="241"/>
      <c r="E619" s="241"/>
      <c r="F619" s="241"/>
      <c r="G619" s="241"/>
      <c r="H619" s="241"/>
      <c r="I619" s="241"/>
      <c r="J619" s="241"/>
      <c r="K619" s="241"/>
      <c r="L619" s="241"/>
      <c r="M619" s="376"/>
      <c r="N619" s="377"/>
      <c r="O619" s="377"/>
      <c r="P619" s="377"/>
      <c r="Q619" s="377"/>
      <c r="R619" s="241"/>
      <c r="S619" s="71"/>
      <c r="T619" s="71"/>
      <c r="U619" s="71"/>
      <c r="V619" s="71"/>
      <c r="W619" s="71"/>
      <c r="X619" s="71"/>
      <c r="Y619" s="71"/>
    </row>
    <row r="620" spans="1:25">
      <c r="A620" s="80"/>
      <c r="B620" s="241"/>
      <c r="C620" s="241"/>
      <c r="D620" s="241"/>
      <c r="E620" s="241"/>
      <c r="F620" s="241"/>
      <c r="G620" s="241"/>
      <c r="H620" s="241"/>
      <c r="I620" s="241"/>
      <c r="J620" s="241"/>
      <c r="K620" s="241"/>
      <c r="L620" s="241"/>
      <c r="M620" s="376"/>
      <c r="N620" s="377"/>
      <c r="O620" s="377"/>
      <c r="P620" s="377"/>
      <c r="Q620" s="377"/>
      <c r="R620" s="241"/>
      <c r="S620" s="71"/>
      <c r="T620" s="71"/>
      <c r="U620" s="71"/>
      <c r="V620" s="71"/>
      <c r="W620" s="71"/>
      <c r="X620" s="71"/>
      <c r="Y620" s="71"/>
    </row>
    <row r="621" spans="1:25">
      <c r="A621" s="80"/>
      <c r="B621" s="241"/>
      <c r="C621" s="241"/>
      <c r="D621" s="241"/>
      <c r="E621" s="241"/>
      <c r="F621" s="241"/>
      <c r="G621" s="241"/>
      <c r="H621" s="241"/>
      <c r="I621" s="241"/>
      <c r="J621" s="241"/>
      <c r="K621" s="241"/>
      <c r="L621" s="241"/>
      <c r="M621" s="376"/>
      <c r="N621" s="377"/>
      <c r="O621" s="377"/>
      <c r="P621" s="377"/>
      <c r="Q621" s="377"/>
      <c r="R621" s="241"/>
      <c r="S621" s="71"/>
      <c r="T621" s="71"/>
      <c r="U621" s="71"/>
      <c r="V621" s="71"/>
      <c r="W621" s="71"/>
      <c r="X621" s="71"/>
      <c r="Y621" s="71"/>
    </row>
    <row r="622" spans="1:25">
      <c r="A622" s="80"/>
      <c r="B622" s="241"/>
      <c r="C622" s="241"/>
      <c r="D622" s="241"/>
      <c r="E622" s="241"/>
      <c r="F622" s="241"/>
      <c r="G622" s="241"/>
      <c r="H622" s="241"/>
      <c r="I622" s="241"/>
      <c r="J622" s="241"/>
      <c r="K622" s="241"/>
      <c r="L622" s="241"/>
      <c r="M622" s="376"/>
      <c r="N622" s="377"/>
      <c r="O622" s="377"/>
      <c r="P622" s="377"/>
      <c r="Q622" s="377"/>
      <c r="R622" s="241"/>
      <c r="S622" s="71"/>
      <c r="T622" s="71"/>
      <c r="U622" s="71"/>
      <c r="V622" s="71"/>
      <c r="W622" s="71"/>
      <c r="X622" s="71"/>
      <c r="Y622" s="71"/>
    </row>
    <row r="623" spans="1:25">
      <c r="A623" s="80"/>
      <c r="B623" s="241"/>
      <c r="C623" s="241"/>
      <c r="D623" s="241"/>
      <c r="E623" s="241"/>
      <c r="F623" s="241"/>
      <c r="G623" s="241"/>
      <c r="H623" s="241"/>
      <c r="I623" s="241"/>
      <c r="J623" s="241"/>
      <c r="K623" s="241"/>
      <c r="L623" s="241"/>
      <c r="M623" s="376"/>
      <c r="N623" s="377"/>
      <c r="O623" s="377"/>
      <c r="P623" s="377"/>
      <c r="Q623" s="377"/>
      <c r="R623" s="241"/>
      <c r="S623" s="71"/>
      <c r="T623" s="71"/>
      <c r="U623" s="71"/>
      <c r="V623" s="71"/>
      <c r="W623" s="71"/>
      <c r="X623" s="71"/>
      <c r="Y623" s="71"/>
    </row>
    <row r="624" spans="1:25">
      <c r="A624" s="80"/>
      <c r="B624" s="241"/>
      <c r="C624" s="241"/>
      <c r="D624" s="241"/>
      <c r="E624" s="241"/>
      <c r="F624" s="241"/>
      <c r="G624" s="241"/>
      <c r="H624" s="241"/>
      <c r="I624" s="241"/>
      <c r="J624" s="241"/>
      <c r="K624" s="241"/>
      <c r="L624" s="241"/>
      <c r="M624" s="376"/>
      <c r="N624" s="377"/>
      <c r="O624" s="377"/>
      <c r="P624" s="377"/>
      <c r="Q624" s="377"/>
      <c r="R624" s="241"/>
      <c r="S624" s="71"/>
      <c r="T624" s="71"/>
      <c r="U624" s="71"/>
      <c r="V624" s="71"/>
      <c r="W624" s="71"/>
      <c r="X624" s="71"/>
      <c r="Y624" s="71"/>
    </row>
    <row r="625" spans="1:25">
      <c r="A625" s="80"/>
      <c r="B625" s="241"/>
      <c r="C625" s="241"/>
      <c r="D625" s="241"/>
      <c r="E625" s="241"/>
      <c r="F625" s="241"/>
      <c r="G625" s="241"/>
      <c r="H625" s="241"/>
      <c r="I625" s="241"/>
      <c r="J625" s="241"/>
      <c r="K625" s="241"/>
      <c r="L625" s="241"/>
      <c r="M625" s="376"/>
      <c r="N625" s="377"/>
      <c r="O625" s="377"/>
      <c r="P625" s="377"/>
      <c r="Q625" s="377"/>
      <c r="R625" s="241"/>
      <c r="S625" s="71"/>
      <c r="T625" s="71"/>
      <c r="U625" s="71"/>
      <c r="V625" s="71"/>
      <c r="W625" s="71"/>
      <c r="X625" s="71"/>
      <c r="Y625" s="71"/>
    </row>
    <row r="626" spans="1:25">
      <c r="A626" s="80"/>
      <c r="B626" s="241"/>
      <c r="C626" s="241"/>
      <c r="D626" s="241"/>
      <c r="E626" s="241"/>
      <c r="F626" s="241"/>
      <c r="G626" s="241"/>
      <c r="H626" s="241"/>
      <c r="I626" s="241"/>
      <c r="J626" s="241"/>
      <c r="K626" s="241"/>
      <c r="L626" s="241"/>
      <c r="M626" s="376"/>
      <c r="N626" s="377"/>
      <c r="O626" s="377"/>
      <c r="P626" s="377"/>
      <c r="Q626" s="377"/>
      <c r="R626" s="241"/>
      <c r="S626" s="71"/>
      <c r="T626" s="71"/>
      <c r="U626" s="71"/>
      <c r="V626" s="71"/>
      <c r="W626" s="71"/>
      <c r="X626" s="71"/>
      <c r="Y626" s="71"/>
    </row>
    <row r="627" spans="1:25">
      <c r="A627" s="80"/>
      <c r="B627" s="241"/>
      <c r="C627" s="241"/>
      <c r="D627" s="241"/>
      <c r="E627" s="241"/>
      <c r="F627" s="241"/>
      <c r="G627" s="241"/>
      <c r="H627" s="241"/>
      <c r="I627" s="241"/>
      <c r="J627" s="241"/>
      <c r="K627" s="241"/>
      <c r="L627" s="241"/>
      <c r="M627" s="376"/>
      <c r="N627" s="377"/>
      <c r="O627" s="377"/>
      <c r="P627" s="377"/>
      <c r="Q627" s="377"/>
      <c r="R627" s="241"/>
      <c r="S627" s="71"/>
      <c r="T627" s="71"/>
      <c r="U627" s="71"/>
      <c r="V627" s="71"/>
      <c r="W627" s="71"/>
      <c r="X627" s="71"/>
      <c r="Y627" s="71"/>
    </row>
    <row r="628" spans="1:25">
      <c r="A628" s="80"/>
      <c r="B628" s="241"/>
      <c r="C628" s="241"/>
      <c r="D628" s="241"/>
      <c r="E628" s="241"/>
      <c r="F628" s="241"/>
      <c r="G628" s="241"/>
      <c r="H628" s="241"/>
      <c r="I628" s="241"/>
      <c r="J628" s="241"/>
      <c r="K628" s="241"/>
      <c r="L628" s="241"/>
      <c r="M628" s="376"/>
      <c r="N628" s="377"/>
      <c r="O628" s="377"/>
      <c r="P628" s="377"/>
      <c r="Q628" s="377"/>
      <c r="R628" s="241"/>
      <c r="S628" s="71"/>
      <c r="T628" s="71"/>
      <c r="U628" s="71"/>
      <c r="V628" s="71"/>
      <c r="W628" s="71"/>
      <c r="X628" s="71"/>
      <c r="Y628" s="71"/>
    </row>
    <row r="629" spans="1:25">
      <c r="A629" s="80"/>
      <c r="B629" s="241"/>
      <c r="C629" s="241"/>
      <c r="D629" s="241"/>
      <c r="E629" s="241"/>
      <c r="F629" s="241"/>
      <c r="G629" s="241"/>
      <c r="H629" s="241"/>
      <c r="I629" s="241"/>
      <c r="J629" s="241"/>
      <c r="K629" s="241"/>
      <c r="L629" s="241"/>
      <c r="M629" s="376"/>
      <c r="N629" s="377"/>
      <c r="O629" s="377"/>
      <c r="P629" s="377"/>
      <c r="Q629" s="377"/>
      <c r="R629" s="241"/>
      <c r="S629" s="71"/>
      <c r="T629" s="71"/>
      <c r="U629" s="71"/>
      <c r="V629" s="71"/>
      <c r="W629" s="71"/>
      <c r="X629" s="71"/>
      <c r="Y629" s="71"/>
    </row>
    <row r="630" spans="1:25">
      <c r="A630" s="80"/>
      <c r="B630" s="241"/>
      <c r="C630" s="241"/>
      <c r="D630" s="241"/>
      <c r="E630" s="241"/>
      <c r="F630" s="241"/>
      <c r="G630" s="241"/>
      <c r="H630" s="241"/>
      <c r="I630" s="241"/>
      <c r="J630" s="241"/>
      <c r="K630" s="241"/>
      <c r="L630" s="241"/>
      <c r="M630" s="376"/>
      <c r="N630" s="377"/>
      <c r="O630" s="377"/>
      <c r="P630" s="377"/>
      <c r="Q630" s="377"/>
      <c r="R630" s="241"/>
      <c r="S630" s="71"/>
      <c r="T630" s="71"/>
      <c r="U630" s="71"/>
      <c r="V630" s="71"/>
      <c r="W630" s="71"/>
      <c r="X630" s="71"/>
      <c r="Y630" s="71"/>
    </row>
    <row r="631" spans="1:25">
      <c r="A631" s="80"/>
      <c r="B631" s="241"/>
      <c r="C631" s="241"/>
      <c r="D631" s="241"/>
      <c r="E631" s="241"/>
      <c r="F631" s="241"/>
      <c r="G631" s="241"/>
      <c r="H631" s="241"/>
      <c r="I631" s="241"/>
      <c r="J631" s="241"/>
      <c r="K631" s="241"/>
      <c r="L631" s="241"/>
      <c r="M631" s="376"/>
      <c r="N631" s="377"/>
      <c r="O631" s="377"/>
      <c r="P631" s="377"/>
      <c r="Q631" s="377"/>
      <c r="R631" s="241"/>
      <c r="S631" s="71"/>
      <c r="T631" s="71"/>
      <c r="U631" s="71"/>
      <c r="V631" s="71"/>
      <c r="W631" s="71"/>
      <c r="X631" s="71"/>
      <c r="Y631" s="71"/>
    </row>
    <row r="632" spans="1:25">
      <c r="A632" s="80"/>
      <c r="B632" s="241"/>
      <c r="C632" s="241"/>
      <c r="D632" s="241"/>
      <c r="E632" s="241"/>
      <c r="F632" s="241"/>
      <c r="G632" s="241"/>
      <c r="H632" s="241"/>
      <c r="I632" s="241"/>
      <c r="J632" s="241"/>
      <c r="K632" s="241"/>
      <c r="L632" s="241"/>
      <c r="M632" s="376"/>
      <c r="N632" s="377"/>
      <c r="O632" s="377"/>
      <c r="P632" s="377"/>
      <c r="Q632" s="377"/>
      <c r="R632" s="241"/>
      <c r="S632" s="71"/>
      <c r="T632" s="71"/>
      <c r="U632" s="71"/>
      <c r="V632" s="71"/>
      <c r="W632" s="71"/>
      <c r="X632" s="71"/>
      <c r="Y632" s="71"/>
    </row>
    <row r="633" spans="1:25">
      <c r="A633" s="80"/>
      <c r="B633" s="241"/>
      <c r="C633" s="241"/>
      <c r="D633" s="241"/>
      <c r="E633" s="241"/>
      <c r="F633" s="241"/>
      <c r="G633" s="241"/>
      <c r="H633" s="241"/>
      <c r="I633" s="241"/>
      <c r="J633" s="241"/>
      <c r="K633" s="241"/>
      <c r="L633" s="241"/>
      <c r="M633" s="376"/>
      <c r="N633" s="377"/>
      <c r="O633" s="377"/>
      <c r="P633" s="377"/>
      <c r="Q633" s="377"/>
      <c r="R633" s="241"/>
      <c r="S633" s="71"/>
      <c r="T633" s="71"/>
      <c r="U633" s="71"/>
      <c r="V633" s="71"/>
      <c r="W633" s="71"/>
      <c r="X633" s="71"/>
      <c r="Y633" s="71"/>
    </row>
    <row r="634" spans="1:25">
      <c r="A634" s="80"/>
      <c r="B634" s="241"/>
      <c r="C634" s="241"/>
      <c r="D634" s="241"/>
      <c r="E634" s="241"/>
      <c r="F634" s="241"/>
      <c r="G634" s="241"/>
      <c r="H634" s="241"/>
      <c r="I634" s="241"/>
      <c r="J634" s="241"/>
      <c r="K634" s="241"/>
      <c r="L634" s="241"/>
      <c r="M634" s="376"/>
      <c r="N634" s="377"/>
      <c r="O634" s="377"/>
      <c r="P634" s="377"/>
      <c r="Q634" s="377"/>
      <c r="R634" s="241"/>
      <c r="S634" s="71"/>
      <c r="T634" s="71"/>
      <c r="U634" s="71"/>
      <c r="V634" s="71"/>
      <c r="W634" s="71"/>
      <c r="X634" s="71"/>
      <c r="Y634" s="71"/>
    </row>
    <row r="635" spans="1:25">
      <c r="A635" s="80"/>
      <c r="B635" s="241"/>
      <c r="C635" s="241"/>
      <c r="D635" s="241"/>
      <c r="E635" s="241"/>
      <c r="F635" s="241"/>
      <c r="G635" s="241"/>
      <c r="H635" s="241"/>
      <c r="I635" s="241"/>
      <c r="J635" s="241"/>
      <c r="K635" s="241"/>
      <c r="L635" s="241"/>
      <c r="M635" s="376"/>
      <c r="N635" s="377"/>
      <c r="O635" s="377"/>
      <c r="P635" s="377"/>
      <c r="Q635" s="377"/>
      <c r="R635" s="241"/>
      <c r="S635" s="71"/>
      <c r="T635" s="71"/>
      <c r="U635" s="71"/>
      <c r="V635" s="71"/>
      <c r="W635" s="71"/>
      <c r="X635" s="71"/>
      <c r="Y635" s="71"/>
    </row>
    <row r="636" spans="1:25">
      <c r="A636" s="80"/>
      <c r="B636" s="241"/>
      <c r="C636" s="241"/>
      <c r="D636" s="241"/>
      <c r="E636" s="241"/>
      <c r="F636" s="241"/>
      <c r="G636" s="241"/>
      <c r="H636" s="241"/>
      <c r="I636" s="241"/>
      <c r="J636" s="241"/>
      <c r="K636" s="241"/>
      <c r="L636" s="241"/>
      <c r="M636" s="376"/>
      <c r="N636" s="377"/>
      <c r="O636" s="377"/>
      <c r="P636" s="377"/>
      <c r="Q636" s="377"/>
      <c r="R636" s="241"/>
      <c r="S636" s="71"/>
      <c r="T636" s="71"/>
      <c r="U636" s="71"/>
      <c r="V636" s="71"/>
      <c r="W636" s="71"/>
      <c r="X636" s="71"/>
      <c r="Y636" s="71"/>
    </row>
    <row r="637" spans="1:25">
      <c r="A637" s="80"/>
      <c r="B637" s="241"/>
      <c r="C637" s="241"/>
      <c r="D637" s="241"/>
      <c r="E637" s="241"/>
      <c r="F637" s="241"/>
      <c r="G637" s="241"/>
      <c r="H637" s="241"/>
      <c r="I637" s="241"/>
      <c r="J637" s="241"/>
      <c r="K637" s="241"/>
      <c r="L637" s="241"/>
      <c r="M637" s="376"/>
      <c r="N637" s="377"/>
      <c r="O637" s="377"/>
      <c r="P637" s="377"/>
      <c r="Q637" s="377"/>
      <c r="R637" s="241"/>
      <c r="S637" s="71"/>
      <c r="T637" s="71"/>
      <c r="U637" s="71"/>
      <c r="V637" s="71"/>
      <c r="W637" s="71"/>
      <c r="X637" s="71"/>
      <c r="Y637" s="71"/>
    </row>
    <row r="638" spans="1:25">
      <c r="A638" s="80"/>
      <c r="B638" s="241"/>
      <c r="C638" s="241"/>
      <c r="D638" s="241"/>
      <c r="E638" s="241"/>
      <c r="F638" s="241"/>
      <c r="G638" s="241"/>
      <c r="H638" s="241"/>
      <c r="I638" s="241"/>
      <c r="J638" s="241"/>
      <c r="K638" s="241"/>
      <c r="L638" s="241"/>
      <c r="M638" s="376"/>
      <c r="N638" s="377"/>
      <c r="O638" s="377"/>
      <c r="P638" s="377"/>
      <c r="Q638" s="377"/>
      <c r="R638" s="241"/>
      <c r="S638" s="71"/>
      <c r="T638" s="71"/>
      <c r="U638" s="71"/>
      <c r="V638" s="71"/>
      <c r="W638" s="71"/>
      <c r="X638" s="71"/>
      <c r="Y638" s="71"/>
    </row>
    <row r="639" spans="1:25">
      <c r="A639" s="80"/>
      <c r="B639" s="241"/>
      <c r="C639" s="241"/>
      <c r="D639" s="241"/>
      <c r="E639" s="241"/>
      <c r="F639" s="241"/>
      <c r="G639" s="241"/>
      <c r="H639" s="241"/>
      <c r="I639" s="241"/>
      <c r="J639" s="241"/>
      <c r="K639" s="241"/>
      <c r="L639" s="241"/>
      <c r="M639" s="376"/>
      <c r="N639" s="377"/>
      <c r="O639" s="377"/>
      <c r="P639" s="377"/>
      <c r="Q639" s="377"/>
      <c r="R639" s="241"/>
      <c r="S639" s="71"/>
      <c r="T639" s="71"/>
      <c r="U639" s="71"/>
      <c r="V639" s="71"/>
      <c r="W639" s="71"/>
      <c r="X639" s="71"/>
      <c r="Y639" s="71"/>
    </row>
    <row r="640" spans="1:25">
      <c r="A640" s="80"/>
      <c r="B640" s="241"/>
      <c r="C640" s="241"/>
      <c r="D640" s="241"/>
      <c r="E640" s="241"/>
      <c r="F640" s="241"/>
      <c r="G640" s="241"/>
      <c r="H640" s="241"/>
      <c r="I640" s="241"/>
      <c r="J640" s="241"/>
      <c r="K640" s="241"/>
      <c r="L640" s="241"/>
      <c r="M640" s="376"/>
      <c r="N640" s="377"/>
      <c r="O640" s="377"/>
      <c r="P640" s="377"/>
      <c r="Q640" s="377"/>
      <c r="R640" s="241"/>
      <c r="S640" s="71"/>
      <c r="T640" s="71"/>
      <c r="U640" s="71"/>
      <c r="V640" s="71"/>
      <c r="W640" s="71"/>
      <c r="X640" s="71"/>
      <c r="Y640" s="71"/>
    </row>
    <row r="641" spans="1:25">
      <c r="A641" s="80"/>
      <c r="B641" s="241"/>
      <c r="C641" s="241"/>
      <c r="D641" s="241"/>
      <c r="E641" s="241"/>
      <c r="F641" s="241"/>
      <c r="G641" s="241"/>
      <c r="H641" s="241"/>
      <c r="I641" s="241"/>
      <c r="J641" s="241"/>
      <c r="K641" s="241"/>
      <c r="L641" s="241"/>
      <c r="M641" s="376"/>
      <c r="N641" s="377"/>
      <c r="O641" s="377"/>
      <c r="P641" s="377"/>
      <c r="Q641" s="377"/>
      <c r="R641" s="241"/>
      <c r="S641" s="71"/>
      <c r="T641" s="71"/>
      <c r="U641" s="71"/>
      <c r="V641" s="71"/>
      <c r="W641" s="71"/>
      <c r="X641" s="71"/>
      <c r="Y641" s="71"/>
    </row>
    <row r="642" spans="1:25">
      <c r="A642" s="80"/>
      <c r="B642" s="241"/>
      <c r="C642" s="241"/>
      <c r="D642" s="241"/>
      <c r="E642" s="241"/>
      <c r="F642" s="241"/>
      <c r="G642" s="241"/>
      <c r="H642" s="241"/>
      <c r="I642" s="241"/>
      <c r="J642" s="241"/>
      <c r="K642" s="241"/>
      <c r="L642" s="241"/>
      <c r="M642" s="376"/>
      <c r="N642" s="377"/>
      <c r="O642" s="377"/>
      <c r="P642" s="377"/>
      <c r="Q642" s="377"/>
      <c r="R642" s="241"/>
      <c r="S642" s="71"/>
      <c r="T642" s="71"/>
      <c r="U642" s="71"/>
      <c r="V642" s="71"/>
      <c r="W642" s="71"/>
      <c r="X642" s="71"/>
      <c r="Y642" s="71"/>
    </row>
    <row r="643" spans="1:25">
      <c r="A643" s="80"/>
      <c r="B643" s="241"/>
      <c r="C643" s="241"/>
      <c r="D643" s="241"/>
      <c r="E643" s="241"/>
      <c r="F643" s="241"/>
      <c r="G643" s="241"/>
      <c r="H643" s="241"/>
      <c r="I643" s="241"/>
      <c r="J643" s="241"/>
      <c r="K643" s="241"/>
      <c r="L643" s="241"/>
      <c r="M643" s="376"/>
      <c r="N643" s="377"/>
      <c r="O643" s="377"/>
      <c r="P643" s="377"/>
      <c r="Q643" s="377"/>
      <c r="R643" s="241"/>
      <c r="S643" s="71"/>
      <c r="T643" s="71"/>
      <c r="U643" s="71"/>
      <c r="V643" s="71"/>
      <c r="W643" s="71"/>
      <c r="X643" s="71"/>
      <c r="Y643" s="71"/>
    </row>
    <row r="644" spans="1:25">
      <c r="A644" s="80"/>
      <c r="B644" s="241"/>
      <c r="C644" s="241"/>
      <c r="D644" s="241"/>
      <c r="E644" s="241"/>
      <c r="F644" s="241"/>
      <c r="G644" s="241"/>
      <c r="H644" s="241"/>
      <c r="I644" s="241"/>
      <c r="J644" s="241"/>
      <c r="K644" s="241"/>
      <c r="L644" s="241"/>
      <c r="M644" s="376"/>
      <c r="N644" s="377"/>
      <c r="O644" s="377"/>
      <c r="P644" s="377"/>
      <c r="Q644" s="377"/>
      <c r="R644" s="241"/>
      <c r="S644" s="71"/>
      <c r="T644" s="71"/>
      <c r="U644" s="71"/>
      <c r="V644" s="71"/>
      <c r="W644" s="71"/>
      <c r="X644" s="71"/>
      <c r="Y644" s="71"/>
    </row>
    <row r="645" spans="1:25">
      <c r="A645" s="80"/>
      <c r="B645" s="241"/>
      <c r="C645" s="241"/>
      <c r="D645" s="241"/>
      <c r="E645" s="241"/>
      <c r="F645" s="241"/>
      <c r="G645" s="241"/>
      <c r="H645" s="241"/>
      <c r="I645" s="241"/>
      <c r="J645" s="241"/>
      <c r="K645" s="241"/>
      <c r="L645" s="241"/>
      <c r="M645" s="376"/>
      <c r="N645" s="377"/>
      <c r="O645" s="377"/>
      <c r="P645" s="377"/>
      <c r="Q645" s="377"/>
      <c r="R645" s="241"/>
      <c r="S645" s="71"/>
      <c r="T645" s="71"/>
      <c r="U645" s="71"/>
      <c r="V645" s="71"/>
      <c r="W645" s="71"/>
      <c r="X645" s="71"/>
      <c r="Y645" s="71"/>
    </row>
    <row r="646" spans="1:25">
      <c r="A646" s="80"/>
      <c r="B646" s="241"/>
      <c r="C646" s="241"/>
      <c r="D646" s="241"/>
      <c r="E646" s="241"/>
      <c r="F646" s="241"/>
      <c r="G646" s="241"/>
      <c r="H646" s="241"/>
      <c r="I646" s="241"/>
      <c r="J646" s="241"/>
      <c r="K646" s="241"/>
      <c r="L646" s="241"/>
      <c r="M646" s="376"/>
      <c r="N646" s="377"/>
      <c r="O646" s="377"/>
      <c r="P646" s="377"/>
      <c r="Q646" s="377"/>
      <c r="R646" s="241"/>
      <c r="S646" s="71"/>
      <c r="T646" s="71"/>
      <c r="U646" s="71"/>
      <c r="V646" s="71"/>
      <c r="W646" s="71"/>
      <c r="X646" s="71"/>
      <c r="Y646" s="71"/>
    </row>
    <row r="647" spans="1:25">
      <c r="A647" s="80"/>
      <c r="B647" s="241"/>
      <c r="C647" s="241"/>
      <c r="D647" s="241"/>
      <c r="E647" s="241"/>
      <c r="F647" s="241"/>
      <c r="G647" s="241"/>
      <c r="H647" s="241"/>
      <c r="I647" s="241"/>
      <c r="J647" s="241"/>
      <c r="K647" s="241"/>
      <c r="L647" s="241"/>
      <c r="M647" s="376"/>
      <c r="N647" s="377"/>
      <c r="O647" s="377"/>
      <c r="P647" s="377"/>
      <c r="Q647" s="377"/>
      <c r="R647" s="241"/>
      <c r="S647" s="71"/>
      <c r="T647" s="71"/>
      <c r="U647" s="71"/>
      <c r="V647" s="71"/>
      <c r="W647" s="71"/>
      <c r="X647" s="71"/>
      <c r="Y647" s="71"/>
    </row>
    <row r="648" spans="1:25">
      <c r="A648" s="80"/>
      <c r="B648" s="241"/>
      <c r="C648" s="241"/>
      <c r="D648" s="241"/>
      <c r="E648" s="241"/>
      <c r="F648" s="241"/>
      <c r="G648" s="241"/>
      <c r="H648" s="241"/>
      <c r="I648" s="241"/>
      <c r="J648" s="241"/>
      <c r="K648" s="241"/>
      <c r="L648" s="241"/>
      <c r="M648" s="376"/>
      <c r="N648" s="377"/>
      <c r="O648" s="377"/>
      <c r="P648" s="377"/>
      <c r="Q648" s="377"/>
      <c r="R648" s="241"/>
      <c r="S648" s="71"/>
      <c r="T648" s="71"/>
      <c r="U648" s="71"/>
      <c r="V648" s="71"/>
      <c r="W648" s="71"/>
      <c r="X648" s="71"/>
      <c r="Y648" s="71"/>
    </row>
    <row r="649" spans="1:25">
      <c r="A649" s="80"/>
      <c r="B649" s="241"/>
      <c r="C649" s="241"/>
      <c r="D649" s="241"/>
      <c r="E649" s="241"/>
      <c r="F649" s="241"/>
      <c r="G649" s="241"/>
      <c r="H649" s="241"/>
      <c r="I649" s="241"/>
      <c r="J649" s="241"/>
      <c r="K649" s="241"/>
      <c r="L649" s="241"/>
      <c r="M649" s="376"/>
      <c r="N649" s="377"/>
      <c r="O649" s="377"/>
      <c r="P649" s="377"/>
      <c r="Q649" s="377"/>
      <c r="R649" s="241"/>
      <c r="S649" s="71"/>
      <c r="T649" s="71"/>
      <c r="U649" s="71"/>
      <c r="V649" s="71"/>
      <c r="W649" s="71"/>
      <c r="X649" s="71"/>
      <c r="Y649" s="71"/>
    </row>
    <row r="650" spans="1:25">
      <c r="A650" s="80"/>
      <c r="B650" s="241"/>
      <c r="C650" s="241"/>
      <c r="D650" s="241"/>
      <c r="E650" s="241"/>
      <c r="F650" s="241"/>
      <c r="G650" s="241"/>
      <c r="H650" s="241"/>
      <c r="I650" s="241"/>
      <c r="J650" s="241"/>
      <c r="K650" s="241"/>
      <c r="L650" s="241"/>
      <c r="M650" s="376"/>
      <c r="N650" s="377"/>
      <c r="O650" s="377"/>
      <c r="P650" s="377"/>
      <c r="Q650" s="377"/>
      <c r="R650" s="241"/>
      <c r="S650" s="71"/>
      <c r="T650" s="71"/>
      <c r="U650" s="71"/>
      <c r="V650" s="71"/>
      <c r="W650" s="71"/>
      <c r="X650" s="71"/>
      <c r="Y650" s="71"/>
    </row>
    <row r="651" spans="1:25">
      <c r="A651" s="80"/>
      <c r="B651" s="241"/>
      <c r="C651" s="241"/>
      <c r="D651" s="241"/>
      <c r="E651" s="241"/>
      <c r="F651" s="241"/>
      <c r="G651" s="241"/>
      <c r="H651" s="241"/>
      <c r="I651" s="241"/>
      <c r="J651" s="241"/>
      <c r="K651" s="241"/>
      <c r="L651" s="241"/>
      <c r="M651" s="376"/>
      <c r="N651" s="377"/>
      <c r="O651" s="377"/>
      <c r="P651" s="377"/>
      <c r="Q651" s="377"/>
      <c r="R651" s="241"/>
      <c r="S651" s="71"/>
      <c r="T651" s="71"/>
      <c r="U651" s="71"/>
      <c r="V651" s="71"/>
      <c r="W651" s="71"/>
      <c r="X651" s="71"/>
      <c r="Y651" s="71"/>
    </row>
    <row r="652" spans="1:25">
      <c r="A652" s="80"/>
      <c r="B652" s="241"/>
      <c r="C652" s="241"/>
      <c r="D652" s="241"/>
      <c r="E652" s="241"/>
      <c r="F652" s="241"/>
      <c r="G652" s="241"/>
      <c r="H652" s="241"/>
      <c r="I652" s="241"/>
      <c r="J652" s="241"/>
      <c r="K652" s="241"/>
      <c r="L652" s="241"/>
      <c r="M652" s="376"/>
      <c r="N652" s="377"/>
      <c r="O652" s="377"/>
      <c r="P652" s="377"/>
      <c r="Q652" s="377"/>
      <c r="R652" s="241"/>
      <c r="S652" s="71"/>
      <c r="T652" s="71"/>
      <c r="U652" s="71"/>
      <c r="V652" s="71"/>
      <c r="W652" s="71"/>
      <c r="X652" s="71"/>
      <c r="Y652" s="71"/>
    </row>
    <row r="653" spans="1:25">
      <c r="A653" s="80"/>
      <c r="B653" s="241"/>
      <c r="C653" s="241"/>
      <c r="D653" s="241"/>
      <c r="E653" s="241"/>
      <c r="F653" s="241"/>
      <c r="G653" s="241"/>
      <c r="H653" s="241"/>
      <c r="I653" s="241"/>
      <c r="J653" s="241"/>
      <c r="K653" s="241"/>
      <c r="L653" s="241"/>
      <c r="M653" s="376"/>
      <c r="N653" s="377"/>
      <c r="O653" s="377"/>
      <c r="P653" s="377"/>
      <c r="Q653" s="377"/>
      <c r="R653" s="241"/>
      <c r="S653" s="71"/>
      <c r="T653" s="71"/>
      <c r="U653" s="71"/>
      <c r="V653" s="71"/>
      <c r="W653" s="71"/>
      <c r="X653" s="71"/>
      <c r="Y653" s="71"/>
    </row>
    <row r="654" spans="1:25">
      <c r="A654" s="80"/>
      <c r="B654" s="241"/>
      <c r="C654" s="241"/>
      <c r="D654" s="241"/>
      <c r="E654" s="241"/>
      <c r="F654" s="241"/>
      <c r="G654" s="241"/>
      <c r="H654" s="241"/>
      <c r="I654" s="241"/>
      <c r="J654" s="241"/>
      <c r="K654" s="241"/>
      <c r="L654" s="241"/>
      <c r="M654" s="376"/>
      <c r="N654" s="377"/>
      <c r="O654" s="377"/>
      <c r="P654" s="377"/>
      <c r="Q654" s="377"/>
      <c r="R654" s="241"/>
      <c r="S654" s="71"/>
      <c r="T654" s="71"/>
      <c r="U654" s="71"/>
      <c r="V654" s="71"/>
      <c r="W654" s="71"/>
      <c r="X654" s="71"/>
      <c r="Y654" s="71"/>
    </row>
    <row r="655" spans="1:25">
      <c r="A655" s="80"/>
      <c r="B655" s="241"/>
      <c r="C655" s="241"/>
      <c r="D655" s="241"/>
      <c r="E655" s="241"/>
      <c r="F655" s="241"/>
      <c r="G655" s="241"/>
      <c r="H655" s="241"/>
      <c r="I655" s="241"/>
      <c r="J655" s="241"/>
      <c r="K655" s="241"/>
      <c r="L655" s="241"/>
      <c r="M655" s="376"/>
      <c r="N655" s="377"/>
      <c r="O655" s="377"/>
      <c r="P655" s="377"/>
      <c r="Q655" s="377"/>
      <c r="R655" s="241"/>
      <c r="S655" s="71"/>
      <c r="T655" s="71"/>
      <c r="U655" s="71"/>
      <c r="V655" s="71"/>
      <c r="W655" s="71"/>
      <c r="X655" s="71"/>
      <c r="Y655" s="71"/>
    </row>
    <row r="656" spans="1:25">
      <c r="A656" s="80"/>
      <c r="B656" s="241"/>
      <c r="C656" s="241"/>
      <c r="D656" s="241"/>
      <c r="E656" s="241"/>
      <c r="F656" s="241"/>
      <c r="G656" s="241"/>
      <c r="H656" s="241"/>
      <c r="I656" s="241"/>
      <c r="J656" s="241"/>
      <c r="K656" s="241"/>
      <c r="L656" s="241"/>
      <c r="M656" s="376"/>
      <c r="N656" s="377"/>
      <c r="O656" s="377"/>
      <c r="P656" s="377"/>
      <c r="Q656" s="377"/>
      <c r="R656" s="241"/>
      <c r="S656" s="71"/>
      <c r="T656" s="71"/>
      <c r="U656" s="71"/>
      <c r="V656" s="71"/>
      <c r="W656" s="71"/>
      <c r="X656" s="71"/>
      <c r="Y656" s="71"/>
    </row>
    <row r="657" spans="1:25">
      <c r="A657" s="80"/>
      <c r="B657" s="241"/>
      <c r="C657" s="241"/>
      <c r="D657" s="241"/>
      <c r="E657" s="241"/>
      <c r="F657" s="241"/>
      <c r="G657" s="241"/>
      <c r="H657" s="241"/>
      <c r="I657" s="241"/>
      <c r="J657" s="241"/>
      <c r="K657" s="241"/>
      <c r="L657" s="241"/>
      <c r="M657" s="376"/>
      <c r="N657" s="377"/>
      <c r="O657" s="377"/>
      <c r="P657" s="377"/>
      <c r="Q657" s="377"/>
      <c r="R657" s="241"/>
      <c r="S657" s="71"/>
      <c r="T657" s="71"/>
      <c r="U657" s="71"/>
      <c r="V657" s="71"/>
      <c r="W657" s="71"/>
      <c r="X657" s="71"/>
      <c r="Y657" s="71"/>
    </row>
    <row r="658" spans="1:25">
      <c r="A658" s="80"/>
      <c r="B658" s="241"/>
      <c r="C658" s="241"/>
      <c r="D658" s="241"/>
      <c r="E658" s="241"/>
      <c r="F658" s="241"/>
      <c r="G658" s="241"/>
      <c r="H658" s="241"/>
      <c r="I658" s="241"/>
      <c r="J658" s="241"/>
      <c r="K658" s="241"/>
      <c r="L658" s="241"/>
      <c r="M658" s="376"/>
      <c r="N658" s="377"/>
      <c r="O658" s="377"/>
      <c r="P658" s="377"/>
      <c r="Q658" s="377"/>
      <c r="R658" s="241"/>
      <c r="S658" s="71"/>
      <c r="T658" s="71"/>
      <c r="U658" s="71"/>
      <c r="V658" s="71"/>
      <c r="W658" s="71"/>
      <c r="X658" s="71"/>
      <c r="Y658" s="71"/>
    </row>
    <row r="659" spans="1:25">
      <c r="A659" s="80"/>
      <c r="B659" s="241"/>
      <c r="C659" s="241"/>
      <c r="D659" s="241"/>
      <c r="E659" s="241"/>
      <c r="F659" s="241"/>
      <c r="G659" s="241"/>
      <c r="H659" s="241"/>
      <c r="I659" s="241"/>
      <c r="J659" s="241"/>
      <c r="K659" s="241"/>
      <c r="L659" s="241"/>
      <c r="M659" s="376"/>
      <c r="N659" s="377"/>
      <c r="O659" s="377"/>
      <c r="P659" s="377"/>
      <c r="Q659" s="377"/>
      <c r="R659" s="241"/>
      <c r="S659" s="71"/>
      <c r="T659" s="71"/>
      <c r="U659" s="71"/>
      <c r="V659" s="71"/>
      <c r="W659" s="71"/>
      <c r="X659" s="71"/>
      <c r="Y659" s="71"/>
    </row>
    <row r="660" spans="1:25">
      <c r="A660" s="80"/>
      <c r="B660" s="241"/>
      <c r="C660" s="241"/>
      <c r="D660" s="241"/>
      <c r="E660" s="241"/>
      <c r="F660" s="241"/>
      <c r="G660" s="241"/>
      <c r="H660" s="241"/>
      <c r="I660" s="241"/>
      <c r="J660" s="241"/>
      <c r="K660" s="241"/>
      <c r="L660" s="241"/>
      <c r="M660" s="376"/>
      <c r="N660" s="377"/>
      <c r="O660" s="377"/>
      <c r="P660" s="377"/>
      <c r="Q660" s="377"/>
      <c r="R660" s="241"/>
      <c r="S660" s="71"/>
      <c r="T660" s="71"/>
      <c r="U660" s="71"/>
      <c r="V660" s="71"/>
      <c r="W660" s="71"/>
      <c r="X660" s="71"/>
      <c r="Y660" s="71"/>
    </row>
    <row r="661" spans="1:25">
      <c r="A661" s="80"/>
      <c r="B661" s="241"/>
      <c r="C661" s="241"/>
      <c r="D661" s="241"/>
      <c r="E661" s="241"/>
      <c r="F661" s="241"/>
      <c r="G661" s="241"/>
      <c r="H661" s="241"/>
      <c r="I661" s="241"/>
      <c r="J661" s="241"/>
      <c r="K661" s="241"/>
      <c r="L661" s="241"/>
      <c r="M661" s="376"/>
      <c r="N661" s="377"/>
      <c r="O661" s="377"/>
      <c r="P661" s="377"/>
      <c r="Q661" s="377"/>
      <c r="R661" s="241"/>
      <c r="S661" s="71"/>
      <c r="T661" s="71"/>
      <c r="U661" s="71"/>
      <c r="V661" s="71"/>
      <c r="W661" s="71"/>
      <c r="X661" s="71"/>
      <c r="Y661" s="71"/>
    </row>
    <row r="662" spans="1:25">
      <c r="A662" s="80"/>
      <c r="B662" s="241"/>
      <c r="C662" s="241"/>
      <c r="D662" s="241"/>
      <c r="E662" s="241"/>
      <c r="F662" s="241"/>
      <c r="G662" s="241"/>
      <c r="H662" s="241"/>
      <c r="I662" s="241"/>
      <c r="J662" s="241"/>
      <c r="K662" s="241"/>
      <c r="L662" s="241"/>
      <c r="M662" s="376"/>
      <c r="N662" s="377"/>
      <c r="O662" s="377"/>
      <c r="P662" s="377"/>
      <c r="Q662" s="377"/>
      <c r="R662" s="241"/>
      <c r="S662" s="71"/>
      <c r="T662" s="71"/>
      <c r="U662" s="71"/>
      <c r="V662" s="71"/>
      <c r="W662" s="71"/>
      <c r="X662" s="71"/>
      <c r="Y662" s="71"/>
    </row>
    <row r="663" spans="1:25">
      <c r="A663" s="80"/>
      <c r="B663" s="241"/>
      <c r="C663" s="241"/>
      <c r="D663" s="241"/>
      <c r="E663" s="241"/>
      <c r="F663" s="241"/>
      <c r="G663" s="241"/>
      <c r="H663" s="241"/>
      <c r="I663" s="241"/>
      <c r="J663" s="241"/>
      <c r="K663" s="241"/>
      <c r="L663" s="241"/>
      <c r="M663" s="376"/>
      <c r="N663" s="377"/>
      <c r="O663" s="377"/>
      <c r="P663" s="377"/>
      <c r="Q663" s="377"/>
      <c r="R663" s="241"/>
      <c r="S663" s="71"/>
      <c r="T663" s="71"/>
      <c r="U663" s="71"/>
      <c r="V663" s="71"/>
      <c r="W663" s="71"/>
      <c r="X663" s="71"/>
      <c r="Y663" s="71"/>
    </row>
    <row r="664" spans="1:25">
      <c r="A664" s="80"/>
      <c r="B664" s="241"/>
      <c r="C664" s="241"/>
      <c r="D664" s="241"/>
      <c r="E664" s="241"/>
      <c r="F664" s="241"/>
      <c r="G664" s="241"/>
      <c r="H664" s="241"/>
      <c r="I664" s="241"/>
      <c r="J664" s="241"/>
      <c r="K664" s="241"/>
      <c r="L664" s="241"/>
      <c r="M664" s="376"/>
      <c r="N664" s="377"/>
      <c r="O664" s="377"/>
      <c r="P664" s="377"/>
      <c r="Q664" s="377"/>
      <c r="R664" s="241"/>
      <c r="S664" s="71"/>
      <c r="T664" s="71"/>
      <c r="U664" s="71"/>
      <c r="V664" s="71"/>
      <c r="W664" s="71"/>
      <c r="X664" s="71"/>
      <c r="Y664" s="71"/>
    </row>
    <row r="665" spans="1:25">
      <c r="A665" s="80"/>
      <c r="B665" s="241"/>
      <c r="C665" s="241"/>
      <c r="D665" s="241"/>
      <c r="E665" s="241"/>
      <c r="F665" s="241"/>
      <c r="G665" s="241"/>
      <c r="H665" s="241"/>
      <c r="I665" s="241"/>
      <c r="J665" s="241"/>
      <c r="K665" s="241"/>
      <c r="L665" s="241"/>
      <c r="M665" s="376"/>
      <c r="N665" s="377"/>
      <c r="O665" s="377"/>
      <c r="P665" s="377"/>
      <c r="Q665" s="377"/>
      <c r="R665" s="241"/>
      <c r="S665" s="71"/>
      <c r="T665" s="71"/>
      <c r="U665" s="71"/>
      <c r="V665" s="71"/>
      <c r="W665" s="71"/>
      <c r="X665" s="71"/>
      <c r="Y665" s="71"/>
    </row>
    <row r="666" spans="1:25">
      <c r="A666" s="80"/>
      <c r="B666" s="241"/>
      <c r="C666" s="241"/>
      <c r="D666" s="241"/>
      <c r="E666" s="241"/>
      <c r="F666" s="241"/>
      <c r="G666" s="241"/>
      <c r="H666" s="241"/>
      <c r="I666" s="241"/>
      <c r="J666" s="241"/>
      <c r="K666" s="241"/>
      <c r="L666" s="241"/>
      <c r="M666" s="376"/>
      <c r="N666" s="377"/>
      <c r="O666" s="377"/>
      <c r="P666" s="377"/>
      <c r="Q666" s="377"/>
      <c r="R666" s="241"/>
      <c r="S666" s="71"/>
      <c r="T666" s="71"/>
      <c r="U666" s="71"/>
      <c r="V666" s="71"/>
      <c r="W666" s="71"/>
      <c r="X666" s="71"/>
      <c r="Y666" s="71"/>
    </row>
    <row r="667" spans="1:25">
      <c r="A667" s="80"/>
      <c r="B667" s="241"/>
      <c r="C667" s="241"/>
      <c r="D667" s="241"/>
      <c r="E667" s="241"/>
      <c r="F667" s="241"/>
      <c r="G667" s="241"/>
      <c r="H667" s="241"/>
      <c r="I667" s="241"/>
      <c r="J667" s="241"/>
      <c r="K667" s="241"/>
      <c r="L667" s="241"/>
      <c r="M667" s="376"/>
      <c r="N667" s="377"/>
      <c r="O667" s="377"/>
      <c r="P667" s="377"/>
      <c r="Q667" s="377"/>
      <c r="R667" s="241"/>
      <c r="S667" s="71"/>
      <c r="T667" s="71"/>
      <c r="U667" s="71"/>
      <c r="V667" s="71"/>
      <c r="W667" s="71"/>
      <c r="X667" s="71"/>
      <c r="Y667" s="71"/>
    </row>
    <row r="668" spans="1:25">
      <c r="A668" s="80"/>
      <c r="B668" s="241"/>
      <c r="C668" s="241"/>
      <c r="D668" s="241"/>
      <c r="E668" s="241"/>
      <c r="F668" s="241"/>
      <c r="G668" s="241"/>
      <c r="H668" s="241"/>
      <c r="I668" s="241"/>
      <c r="J668" s="241"/>
      <c r="K668" s="241"/>
      <c r="L668" s="241"/>
      <c r="M668" s="376"/>
      <c r="N668" s="377"/>
      <c r="O668" s="377"/>
      <c r="P668" s="377"/>
      <c r="Q668" s="377"/>
      <c r="R668" s="241"/>
      <c r="S668" s="71"/>
      <c r="T668" s="71"/>
      <c r="U668" s="71"/>
      <c r="V668" s="71"/>
      <c r="W668" s="71"/>
      <c r="X668" s="71"/>
      <c r="Y668" s="71"/>
    </row>
    <row r="669" spans="1:25">
      <c r="A669" s="80"/>
      <c r="B669" s="241"/>
      <c r="C669" s="241"/>
      <c r="D669" s="241"/>
      <c r="E669" s="241"/>
      <c r="F669" s="241"/>
      <c r="G669" s="241"/>
      <c r="H669" s="241"/>
      <c r="I669" s="241"/>
      <c r="J669" s="241"/>
      <c r="K669" s="241"/>
      <c r="L669" s="241"/>
      <c r="M669" s="376"/>
      <c r="N669" s="377"/>
      <c r="O669" s="377"/>
      <c r="P669" s="377"/>
      <c r="Q669" s="377"/>
      <c r="R669" s="241"/>
      <c r="S669" s="71"/>
      <c r="T669" s="71"/>
      <c r="U669" s="71"/>
      <c r="V669" s="71"/>
      <c r="W669" s="71"/>
      <c r="X669" s="71"/>
      <c r="Y669" s="71"/>
    </row>
    <row r="670" spans="1:25">
      <c r="A670" s="80"/>
      <c r="B670" s="241"/>
      <c r="C670" s="241"/>
      <c r="D670" s="241"/>
      <c r="E670" s="241"/>
      <c r="F670" s="241"/>
      <c r="G670" s="241"/>
      <c r="H670" s="241"/>
      <c r="I670" s="241"/>
      <c r="J670" s="241"/>
      <c r="K670" s="241"/>
      <c r="L670" s="241"/>
      <c r="M670" s="376"/>
      <c r="N670" s="377"/>
      <c r="O670" s="377"/>
      <c r="P670" s="377"/>
      <c r="Q670" s="377"/>
      <c r="R670" s="241"/>
      <c r="S670" s="71"/>
      <c r="T670" s="71"/>
      <c r="U670" s="71"/>
      <c r="V670" s="71"/>
      <c r="W670" s="71"/>
      <c r="X670" s="71"/>
      <c r="Y670" s="71"/>
    </row>
    <row r="671" spans="1:25">
      <c r="A671" s="80"/>
      <c r="B671" s="241"/>
      <c r="C671" s="241"/>
      <c r="D671" s="241"/>
      <c r="E671" s="241"/>
      <c r="F671" s="241"/>
      <c r="G671" s="241"/>
      <c r="H671" s="241"/>
      <c r="I671" s="241"/>
      <c r="J671" s="241"/>
      <c r="K671" s="241"/>
      <c r="L671" s="241"/>
      <c r="M671" s="376"/>
      <c r="N671" s="377"/>
      <c r="O671" s="377"/>
      <c r="P671" s="377"/>
      <c r="Q671" s="377"/>
      <c r="R671" s="241"/>
      <c r="S671" s="71"/>
      <c r="T671" s="71"/>
      <c r="U671" s="71"/>
      <c r="V671" s="71"/>
      <c r="W671" s="71"/>
      <c r="X671" s="71"/>
      <c r="Y671" s="71"/>
    </row>
    <row r="672" spans="1:25">
      <c r="A672" s="80"/>
      <c r="B672" s="241"/>
      <c r="C672" s="241"/>
      <c r="D672" s="241"/>
      <c r="E672" s="241"/>
      <c r="F672" s="241"/>
      <c r="G672" s="241"/>
      <c r="H672" s="241"/>
      <c r="I672" s="241"/>
      <c r="J672" s="241"/>
      <c r="K672" s="241"/>
      <c r="L672" s="241"/>
      <c r="M672" s="376"/>
      <c r="N672" s="377"/>
      <c r="O672" s="377"/>
      <c r="P672" s="377"/>
      <c r="Q672" s="377"/>
      <c r="R672" s="241"/>
      <c r="S672" s="71"/>
      <c r="T672" s="71"/>
      <c r="U672" s="71"/>
      <c r="V672" s="71"/>
      <c r="W672" s="71"/>
      <c r="X672" s="71"/>
      <c r="Y672" s="71"/>
    </row>
    <row r="673" spans="1:25">
      <c r="A673" s="80"/>
      <c r="B673" s="241"/>
      <c r="C673" s="241"/>
      <c r="D673" s="241"/>
      <c r="E673" s="241"/>
      <c r="F673" s="241"/>
      <c r="G673" s="241"/>
      <c r="H673" s="241"/>
      <c r="I673" s="241"/>
      <c r="J673" s="241"/>
      <c r="K673" s="241"/>
      <c r="L673" s="241"/>
      <c r="M673" s="376"/>
      <c r="N673" s="377"/>
      <c r="O673" s="377"/>
      <c r="P673" s="377"/>
      <c r="Q673" s="377"/>
      <c r="R673" s="241"/>
      <c r="S673" s="71"/>
      <c r="T673" s="71"/>
      <c r="U673" s="71"/>
      <c r="V673" s="71"/>
      <c r="W673" s="71"/>
      <c r="X673" s="71"/>
      <c r="Y673" s="71"/>
    </row>
    <row r="674" spans="1:25">
      <c r="A674" s="80"/>
      <c r="B674" s="241"/>
      <c r="C674" s="241"/>
      <c r="D674" s="241"/>
      <c r="E674" s="241"/>
      <c r="F674" s="241"/>
      <c r="G674" s="241"/>
      <c r="H674" s="241"/>
      <c r="I674" s="241"/>
      <c r="J674" s="241"/>
      <c r="K674" s="241"/>
      <c r="L674" s="241"/>
      <c r="M674" s="376"/>
      <c r="N674" s="377"/>
      <c r="O674" s="377"/>
      <c r="P674" s="377"/>
      <c r="Q674" s="377"/>
      <c r="R674" s="241"/>
      <c r="S674" s="71"/>
      <c r="T674" s="71"/>
      <c r="U674" s="71"/>
      <c r="V674" s="71"/>
      <c r="W674" s="71"/>
      <c r="X674" s="71"/>
      <c r="Y674" s="71"/>
    </row>
    <row r="675" spans="1:25">
      <c r="A675" s="80"/>
      <c r="B675" s="241"/>
      <c r="C675" s="241"/>
      <c r="D675" s="241"/>
      <c r="E675" s="241"/>
      <c r="F675" s="241"/>
      <c r="G675" s="241"/>
      <c r="H675" s="241"/>
      <c r="I675" s="241"/>
      <c r="J675" s="241"/>
      <c r="K675" s="241"/>
      <c r="L675" s="241"/>
      <c r="M675" s="376"/>
      <c r="N675" s="377"/>
      <c r="O675" s="377"/>
      <c r="P675" s="377"/>
      <c r="Q675" s="377"/>
      <c r="R675" s="241"/>
      <c r="S675" s="71"/>
      <c r="T675" s="71"/>
      <c r="U675" s="71"/>
      <c r="V675" s="71"/>
      <c r="W675" s="71"/>
      <c r="X675" s="71"/>
      <c r="Y675" s="71"/>
    </row>
    <row r="676" spans="1:25">
      <c r="A676" s="80"/>
      <c r="B676" s="241"/>
      <c r="C676" s="241"/>
      <c r="D676" s="241"/>
      <c r="E676" s="241"/>
      <c r="F676" s="241"/>
      <c r="G676" s="241"/>
      <c r="H676" s="241"/>
      <c r="I676" s="241"/>
      <c r="J676" s="241"/>
      <c r="K676" s="241"/>
      <c r="L676" s="241"/>
      <c r="M676" s="376"/>
      <c r="N676" s="377"/>
      <c r="O676" s="377"/>
      <c r="P676" s="377"/>
      <c r="Q676" s="377"/>
      <c r="R676" s="241"/>
      <c r="S676" s="71"/>
      <c r="T676" s="71"/>
      <c r="U676" s="71"/>
      <c r="V676" s="71"/>
      <c r="W676" s="71"/>
      <c r="X676" s="71"/>
      <c r="Y676" s="71"/>
    </row>
    <row r="677" spans="1:25">
      <c r="A677" s="80"/>
      <c r="B677" s="241"/>
      <c r="C677" s="241"/>
      <c r="D677" s="241"/>
      <c r="E677" s="241"/>
      <c r="F677" s="241"/>
      <c r="G677" s="241"/>
      <c r="H677" s="241"/>
      <c r="I677" s="241"/>
      <c r="J677" s="241"/>
      <c r="K677" s="241"/>
      <c r="L677" s="241"/>
      <c r="M677" s="376"/>
      <c r="N677" s="377"/>
      <c r="O677" s="377"/>
      <c r="P677" s="377"/>
      <c r="Q677" s="377"/>
      <c r="R677" s="241"/>
      <c r="S677" s="71"/>
      <c r="T677" s="71"/>
      <c r="U677" s="71"/>
      <c r="V677" s="71"/>
      <c r="W677" s="71"/>
      <c r="X677" s="71"/>
      <c r="Y677" s="71"/>
    </row>
    <row r="678" spans="1:25">
      <c r="A678" s="80"/>
      <c r="B678" s="241"/>
      <c r="C678" s="241"/>
      <c r="D678" s="241"/>
      <c r="E678" s="241"/>
      <c r="F678" s="241"/>
      <c r="G678" s="241"/>
      <c r="H678" s="241"/>
      <c r="I678" s="241"/>
      <c r="J678" s="241"/>
      <c r="K678" s="241"/>
      <c r="L678" s="241"/>
      <c r="M678" s="376"/>
      <c r="N678" s="377"/>
      <c r="O678" s="377"/>
      <c r="P678" s="377"/>
      <c r="Q678" s="377"/>
      <c r="R678" s="241"/>
      <c r="S678" s="71"/>
      <c r="T678" s="71"/>
      <c r="U678" s="71"/>
      <c r="V678" s="71"/>
      <c r="W678" s="71"/>
      <c r="X678" s="71"/>
      <c r="Y678" s="71"/>
    </row>
    <row r="679" spans="1:25">
      <c r="A679" s="80"/>
      <c r="B679" s="241"/>
      <c r="C679" s="241"/>
      <c r="D679" s="241"/>
      <c r="E679" s="241"/>
      <c r="F679" s="241"/>
      <c r="G679" s="241"/>
      <c r="H679" s="241"/>
      <c r="I679" s="241"/>
      <c r="J679" s="241"/>
      <c r="K679" s="241"/>
      <c r="L679" s="241"/>
      <c r="M679" s="376"/>
      <c r="N679" s="377"/>
      <c r="O679" s="377"/>
      <c r="P679" s="377"/>
      <c r="Q679" s="377"/>
      <c r="R679" s="241"/>
      <c r="S679" s="71"/>
      <c r="T679" s="71"/>
      <c r="U679" s="71"/>
      <c r="V679" s="71"/>
      <c r="W679" s="71"/>
      <c r="X679" s="71"/>
      <c r="Y679" s="71"/>
    </row>
    <row r="680" spans="1:25">
      <c r="A680" s="80"/>
      <c r="B680" s="241"/>
      <c r="C680" s="241"/>
      <c r="D680" s="241"/>
      <c r="E680" s="241"/>
      <c r="F680" s="241"/>
      <c r="G680" s="241"/>
      <c r="H680" s="241"/>
      <c r="I680" s="241"/>
      <c r="J680" s="241"/>
      <c r="K680" s="241"/>
      <c r="L680" s="241"/>
      <c r="M680" s="376"/>
      <c r="N680" s="377"/>
      <c r="O680" s="377"/>
      <c r="P680" s="377"/>
      <c r="Q680" s="377"/>
      <c r="R680" s="241"/>
      <c r="S680" s="71"/>
      <c r="T680" s="71"/>
      <c r="U680" s="71"/>
      <c r="V680" s="71"/>
      <c r="W680" s="71"/>
      <c r="X680" s="71"/>
      <c r="Y680" s="71"/>
    </row>
    <row r="681" spans="1:25">
      <c r="A681" s="80"/>
      <c r="B681" s="241"/>
      <c r="C681" s="241"/>
      <c r="D681" s="241"/>
      <c r="E681" s="241"/>
      <c r="F681" s="241"/>
      <c r="G681" s="241"/>
      <c r="H681" s="241"/>
      <c r="I681" s="241"/>
      <c r="J681" s="241"/>
      <c r="K681" s="241"/>
      <c r="L681" s="241"/>
      <c r="M681" s="376"/>
      <c r="N681" s="377"/>
      <c r="O681" s="377"/>
      <c r="P681" s="377"/>
      <c r="Q681" s="377"/>
      <c r="R681" s="241"/>
      <c r="S681" s="71"/>
      <c r="T681" s="71"/>
      <c r="U681" s="71"/>
      <c r="V681" s="71"/>
      <c r="W681" s="71"/>
      <c r="X681" s="71"/>
      <c r="Y681" s="71"/>
    </row>
    <row r="682" spans="1:25">
      <c r="A682" s="80"/>
      <c r="B682" s="241"/>
      <c r="C682" s="241"/>
      <c r="D682" s="241"/>
      <c r="E682" s="241"/>
      <c r="F682" s="241"/>
      <c r="G682" s="241"/>
      <c r="H682" s="241"/>
      <c r="I682" s="241"/>
      <c r="J682" s="241"/>
      <c r="K682" s="241"/>
      <c r="L682" s="241"/>
      <c r="M682" s="376"/>
      <c r="N682" s="377"/>
      <c r="O682" s="377"/>
      <c r="P682" s="377"/>
      <c r="Q682" s="377"/>
      <c r="R682" s="241"/>
      <c r="S682" s="71"/>
      <c r="T682" s="71"/>
      <c r="U682" s="71"/>
      <c r="V682" s="71"/>
      <c r="W682" s="71"/>
      <c r="X682" s="71"/>
      <c r="Y682" s="71"/>
    </row>
    <row r="683" spans="1:25">
      <c r="A683" s="80"/>
      <c r="B683" s="241"/>
      <c r="C683" s="241"/>
      <c r="D683" s="241"/>
      <c r="E683" s="241"/>
      <c r="F683" s="241"/>
      <c r="G683" s="241"/>
      <c r="H683" s="241"/>
      <c r="I683" s="241"/>
      <c r="J683" s="241"/>
      <c r="K683" s="241"/>
      <c r="L683" s="241"/>
      <c r="M683" s="376"/>
      <c r="N683" s="377"/>
      <c r="O683" s="377"/>
      <c r="P683" s="377"/>
      <c r="Q683" s="377"/>
      <c r="R683" s="241"/>
      <c r="S683" s="71"/>
      <c r="T683" s="71"/>
      <c r="U683" s="71"/>
      <c r="V683" s="71"/>
      <c r="W683" s="71"/>
      <c r="X683" s="71"/>
      <c r="Y683" s="71"/>
    </row>
    <row r="684" spans="1:25">
      <c r="A684" s="80"/>
      <c r="B684" s="241"/>
      <c r="C684" s="241"/>
      <c r="D684" s="241"/>
      <c r="E684" s="241"/>
      <c r="F684" s="241"/>
      <c r="G684" s="241"/>
      <c r="H684" s="241"/>
      <c r="I684" s="241"/>
      <c r="J684" s="241"/>
      <c r="K684" s="241"/>
      <c r="L684" s="241"/>
      <c r="M684" s="376"/>
      <c r="N684" s="377"/>
      <c r="O684" s="377"/>
      <c r="P684" s="377"/>
      <c r="Q684" s="377"/>
      <c r="R684" s="241"/>
      <c r="S684" s="71"/>
      <c r="T684" s="71"/>
      <c r="U684" s="71"/>
      <c r="V684" s="71"/>
      <c r="W684" s="71"/>
      <c r="X684" s="71"/>
      <c r="Y684" s="71"/>
    </row>
    <row r="685" spans="1:25">
      <c r="A685" s="80"/>
      <c r="B685" s="241"/>
      <c r="C685" s="241"/>
      <c r="D685" s="241"/>
      <c r="E685" s="241"/>
      <c r="F685" s="241"/>
      <c r="G685" s="241"/>
      <c r="H685" s="241"/>
      <c r="I685" s="241"/>
      <c r="J685" s="241"/>
      <c r="K685" s="241"/>
      <c r="L685" s="241"/>
      <c r="M685" s="376"/>
      <c r="N685" s="377"/>
      <c r="O685" s="377"/>
      <c r="P685" s="377"/>
      <c r="Q685" s="377"/>
      <c r="R685" s="241"/>
      <c r="S685" s="71"/>
      <c r="T685" s="71"/>
      <c r="U685" s="71"/>
      <c r="V685" s="71"/>
      <c r="W685" s="71"/>
      <c r="X685" s="71"/>
      <c r="Y685" s="71"/>
    </row>
    <row r="686" spans="1:25">
      <c r="A686" s="80"/>
      <c r="B686" s="241"/>
      <c r="C686" s="241"/>
      <c r="D686" s="241"/>
      <c r="E686" s="241"/>
      <c r="F686" s="241"/>
      <c r="G686" s="241"/>
      <c r="H686" s="241"/>
      <c r="I686" s="241"/>
      <c r="J686" s="241"/>
      <c r="K686" s="241"/>
      <c r="L686" s="241"/>
      <c r="M686" s="376"/>
      <c r="N686" s="377"/>
      <c r="O686" s="377"/>
      <c r="P686" s="377"/>
      <c r="Q686" s="377"/>
      <c r="R686" s="241"/>
      <c r="S686" s="71"/>
      <c r="T686" s="71"/>
      <c r="U686" s="71"/>
      <c r="V686" s="71"/>
      <c r="W686" s="71"/>
      <c r="X686" s="71"/>
      <c r="Y686" s="71"/>
    </row>
    <row r="687" spans="1:25">
      <c r="A687" s="80"/>
      <c r="B687" s="241"/>
      <c r="C687" s="241"/>
      <c r="D687" s="241"/>
      <c r="E687" s="241"/>
      <c r="F687" s="241"/>
      <c r="G687" s="241"/>
      <c r="H687" s="241"/>
      <c r="I687" s="241"/>
      <c r="J687" s="241"/>
      <c r="K687" s="241"/>
      <c r="L687" s="241"/>
      <c r="M687" s="376"/>
      <c r="N687" s="377"/>
      <c r="O687" s="377"/>
      <c r="P687" s="377"/>
      <c r="Q687" s="377"/>
      <c r="R687" s="241"/>
      <c r="S687" s="71"/>
      <c r="T687" s="71"/>
      <c r="U687" s="71"/>
      <c r="V687" s="71"/>
      <c r="W687" s="71"/>
      <c r="X687" s="71"/>
      <c r="Y687" s="71"/>
    </row>
    <row r="688" spans="1:25">
      <c r="A688" s="80"/>
      <c r="B688" s="241"/>
      <c r="C688" s="241"/>
      <c r="D688" s="241"/>
      <c r="E688" s="241"/>
      <c r="F688" s="241"/>
      <c r="G688" s="241"/>
      <c r="H688" s="241"/>
      <c r="I688" s="241"/>
      <c r="J688" s="241"/>
      <c r="K688" s="241"/>
      <c r="L688" s="241"/>
      <c r="M688" s="376"/>
      <c r="N688" s="377"/>
      <c r="O688" s="377"/>
      <c r="P688" s="377"/>
      <c r="Q688" s="377"/>
      <c r="R688" s="241"/>
      <c r="S688" s="71"/>
      <c r="T688" s="71"/>
      <c r="U688" s="71"/>
      <c r="V688" s="71"/>
      <c r="W688" s="71"/>
      <c r="X688" s="71"/>
      <c r="Y688" s="71"/>
    </row>
    <row r="689" spans="1:25">
      <c r="A689" s="80"/>
      <c r="B689" s="241"/>
      <c r="C689" s="241"/>
      <c r="D689" s="241"/>
      <c r="E689" s="241"/>
      <c r="F689" s="241"/>
      <c r="G689" s="241"/>
      <c r="H689" s="241"/>
      <c r="I689" s="241"/>
      <c r="J689" s="241"/>
      <c r="K689" s="241"/>
      <c r="L689" s="241"/>
      <c r="M689" s="376"/>
      <c r="N689" s="377"/>
      <c r="O689" s="377"/>
      <c r="P689" s="377"/>
      <c r="Q689" s="377"/>
      <c r="R689" s="241"/>
      <c r="S689" s="71"/>
      <c r="T689" s="71"/>
      <c r="U689" s="71"/>
      <c r="V689" s="71"/>
      <c r="W689" s="71"/>
      <c r="X689" s="71"/>
      <c r="Y689" s="71"/>
    </row>
    <row r="690" spans="1:25">
      <c r="A690" s="80"/>
      <c r="B690" s="241"/>
      <c r="C690" s="241"/>
      <c r="D690" s="241"/>
      <c r="E690" s="241"/>
      <c r="F690" s="241"/>
      <c r="G690" s="241"/>
      <c r="H690" s="241"/>
      <c r="I690" s="241"/>
      <c r="J690" s="241"/>
      <c r="K690" s="241"/>
      <c r="L690" s="241"/>
      <c r="M690" s="376"/>
      <c r="N690" s="377"/>
      <c r="O690" s="377"/>
      <c r="P690" s="377"/>
      <c r="Q690" s="377"/>
      <c r="R690" s="241"/>
      <c r="S690" s="71"/>
      <c r="T690" s="71"/>
      <c r="U690" s="71"/>
      <c r="V690" s="71"/>
      <c r="W690" s="71"/>
      <c r="X690" s="71"/>
      <c r="Y690" s="71"/>
    </row>
    <row r="691" spans="1:25">
      <c r="A691" s="80"/>
      <c r="B691" s="241"/>
      <c r="C691" s="241"/>
      <c r="D691" s="241"/>
      <c r="E691" s="241"/>
      <c r="F691" s="241"/>
      <c r="G691" s="241"/>
      <c r="H691" s="241"/>
      <c r="I691" s="241"/>
      <c r="J691" s="241"/>
      <c r="K691" s="241"/>
      <c r="L691" s="241"/>
      <c r="M691" s="376"/>
      <c r="N691" s="377"/>
      <c r="O691" s="377"/>
      <c r="P691" s="377"/>
      <c r="Q691" s="377"/>
      <c r="R691" s="241"/>
      <c r="S691" s="71"/>
      <c r="T691" s="71"/>
      <c r="U691" s="71"/>
      <c r="V691" s="71"/>
      <c r="W691" s="71"/>
      <c r="X691" s="71"/>
      <c r="Y691" s="71"/>
    </row>
    <row r="692" spans="1:25">
      <c r="A692" s="80"/>
      <c r="B692" s="241"/>
      <c r="C692" s="241"/>
      <c r="D692" s="241"/>
      <c r="E692" s="241"/>
      <c r="F692" s="241"/>
      <c r="G692" s="241"/>
      <c r="H692" s="241"/>
      <c r="I692" s="241"/>
      <c r="J692" s="241"/>
      <c r="K692" s="241"/>
      <c r="L692" s="241"/>
      <c r="M692" s="376"/>
      <c r="N692" s="377"/>
      <c r="O692" s="377"/>
      <c r="P692" s="377"/>
      <c r="Q692" s="377"/>
      <c r="R692" s="241"/>
      <c r="S692" s="71"/>
      <c r="T692" s="71"/>
      <c r="U692" s="71"/>
      <c r="V692" s="71"/>
      <c r="W692" s="71"/>
      <c r="X692" s="71"/>
      <c r="Y692" s="71"/>
    </row>
    <row r="693" spans="1:25">
      <c r="A693" s="80"/>
      <c r="B693" s="241"/>
      <c r="C693" s="241"/>
      <c r="D693" s="241"/>
      <c r="E693" s="241"/>
      <c r="F693" s="241"/>
      <c r="G693" s="241"/>
      <c r="H693" s="241"/>
      <c r="I693" s="241"/>
      <c r="J693" s="241"/>
      <c r="K693" s="241"/>
      <c r="L693" s="241"/>
      <c r="M693" s="376"/>
      <c r="N693" s="377"/>
      <c r="O693" s="377"/>
      <c r="P693" s="377"/>
      <c r="Q693" s="377"/>
      <c r="R693" s="241"/>
      <c r="S693" s="71"/>
      <c r="T693" s="71"/>
      <c r="U693" s="71"/>
      <c r="V693" s="71"/>
      <c r="W693" s="71"/>
      <c r="X693" s="71"/>
      <c r="Y693" s="71"/>
    </row>
    <row r="694" spans="1:25">
      <c r="A694" s="80"/>
      <c r="B694" s="241"/>
      <c r="C694" s="241"/>
      <c r="D694" s="241"/>
      <c r="E694" s="241"/>
      <c r="F694" s="241"/>
      <c r="G694" s="241"/>
      <c r="H694" s="241"/>
      <c r="I694" s="241"/>
      <c r="J694" s="241"/>
      <c r="K694" s="241"/>
      <c r="L694" s="241"/>
      <c r="M694" s="376"/>
      <c r="N694" s="377"/>
      <c r="O694" s="377"/>
      <c r="P694" s="377"/>
      <c r="Q694" s="377"/>
      <c r="R694" s="241"/>
      <c r="S694" s="71"/>
      <c r="T694" s="71"/>
      <c r="U694" s="71"/>
      <c r="V694" s="71"/>
      <c r="W694" s="71"/>
      <c r="X694" s="71"/>
      <c r="Y694" s="71"/>
    </row>
    <row r="695" spans="1:25">
      <c r="A695" s="80"/>
      <c r="B695" s="241"/>
      <c r="C695" s="241"/>
      <c r="D695" s="241"/>
      <c r="E695" s="241"/>
      <c r="F695" s="241"/>
      <c r="G695" s="241"/>
      <c r="H695" s="241"/>
      <c r="I695" s="241"/>
      <c r="J695" s="241"/>
      <c r="K695" s="241"/>
      <c r="L695" s="241"/>
      <c r="M695" s="376"/>
      <c r="N695" s="377"/>
      <c r="O695" s="377"/>
      <c r="P695" s="377"/>
      <c r="Q695" s="377"/>
      <c r="R695" s="241"/>
      <c r="S695" s="71"/>
      <c r="T695" s="71"/>
      <c r="U695" s="71"/>
      <c r="V695" s="71"/>
      <c r="W695" s="71"/>
      <c r="X695" s="71"/>
      <c r="Y695" s="71"/>
    </row>
    <row r="696" spans="1:25">
      <c r="A696" s="80"/>
      <c r="B696" s="241"/>
      <c r="C696" s="241"/>
      <c r="D696" s="241"/>
      <c r="E696" s="241"/>
      <c r="F696" s="241"/>
      <c r="G696" s="241"/>
      <c r="H696" s="241"/>
      <c r="I696" s="241"/>
      <c r="J696" s="241"/>
      <c r="K696" s="241"/>
      <c r="L696" s="241"/>
      <c r="M696" s="376"/>
      <c r="N696" s="377"/>
      <c r="O696" s="377"/>
      <c r="P696" s="377"/>
      <c r="Q696" s="377"/>
      <c r="R696" s="241"/>
      <c r="S696" s="71"/>
      <c r="T696" s="71"/>
      <c r="U696" s="71"/>
      <c r="V696" s="71"/>
      <c r="W696" s="71"/>
      <c r="X696" s="71"/>
      <c r="Y696" s="71"/>
    </row>
    <row r="697" spans="1:25">
      <c r="A697" s="80"/>
      <c r="B697" s="241"/>
      <c r="C697" s="241"/>
      <c r="D697" s="241"/>
      <c r="E697" s="241"/>
      <c r="F697" s="241"/>
      <c r="G697" s="241"/>
      <c r="H697" s="241"/>
      <c r="I697" s="241"/>
      <c r="J697" s="241"/>
      <c r="K697" s="241"/>
      <c r="L697" s="241"/>
      <c r="M697" s="376"/>
      <c r="N697" s="377"/>
      <c r="O697" s="377"/>
      <c r="P697" s="377"/>
      <c r="Q697" s="377"/>
      <c r="R697" s="241"/>
      <c r="S697" s="71"/>
      <c r="T697" s="71"/>
      <c r="U697" s="71"/>
      <c r="V697" s="71"/>
      <c r="W697" s="71"/>
      <c r="X697" s="71"/>
      <c r="Y697" s="71"/>
    </row>
    <row r="698" spans="1:25">
      <c r="A698" s="80"/>
      <c r="B698" s="241"/>
      <c r="C698" s="241"/>
      <c r="D698" s="241"/>
      <c r="E698" s="241"/>
      <c r="F698" s="241"/>
      <c r="G698" s="241"/>
      <c r="H698" s="241"/>
      <c r="I698" s="241"/>
      <c r="J698" s="241"/>
      <c r="K698" s="241"/>
      <c r="L698" s="241"/>
      <c r="M698" s="376"/>
      <c r="N698" s="377"/>
      <c r="O698" s="377"/>
      <c r="P698" s="377"/>
      <c r="Q698" s="377"/>
      <c r="R698" s="241"/>
      <c r="S698" s="71"/>
      <c r="T698" s="71"/>
      <c r="U698" s="71"/>
      <c r="V698" s="71"/>
      <c r="W698" s="71"/>
      <c r="X698" s="71"/>
      <c r="Y698" s="71"/>
    </row>
    <row r="699" spans="1:25">
      <c r="A699" s="80"/>
      <c r="B699" s="241"/>
      <c r="C699" s="241"/>
      <c r="D699" s="241"/>
      <c r="E699" s="241"/>
      <c r="F699" s="241"/>
      <c r="G699" s="241"/>
      <c r="H699" s="241"/>
      <c r="I699" s="241"/>
      <c r="J699" s="241"/>
      <c r="K699" s="241"/>
      <c r="L699" s="241"/>
      <c r="M699" s="376"/>
      <c r="N699" s="377"/>
      <c r="O699" s="377"/>
      <c r="P699" s="377"/>
      <c r="Q699" s="377"/>
      <c r="R699" s="241"/>
      <c r="S699" s="71"/>
      <c r="T699" s="71"/>
      <c r="U699" s="71"/>
      <c r="V699" s="71"/>
      <c r="W699" s="71"/>
      <c r="X699" s="71"/>
      <c r="Y699" s="71"/>
    </row>
    <row r="700" spans="1:25">
      <c r="A700" s="80"/>
      <c r="B700" s="241"/>
      <c r="C700" s="241"/>
      <c r="D700" s="241"/>
      <c r="E700" s="241"/>
      <c r="F700" s="241"/>
      <c r="G700" s="241"/>
      <c r="H700" s="241"/>
      <c r="I700" s="241"/>
      <c r="J700" s="241"/>
      <c r="K700" s="241"/>
      <c r="L700" s="241"/>
      <c r="M700" s="376"/>
      <c r="N700" s="377"/>
      <c r="O700" s="377"/>
      <c r="P700" s="377"/>
      <c r="Q700" s="377"/>
      <c r="R700" s="241"/>
      <c r="S700" s="71"/>
      <c r="T700" s="71"/>
      <c r="U700" s="71"/>
      <c r="V700" s="71"/>
      <c r="W700" s="71"/>
      <c r="X700" s="71"/>
      <c r="Y700" s="71"/>
    </row>
    <row r="701" spans="1:25">
      <c r="A701" s="80"/>
      <c r="B701" s="241"/>
      <c r="C701" s="241"/>
      <c r="D701" s="241"/>
      <c r="E701" s="241"/>
      <c r="F701" s="241"/>
      <c r="G701" s="241"/>
      <c r="H701" s="241"/>
      <c r="I701" s="241"/>
      <c r="J701" s="241"/>
      <c r="K701" s="241"/>
      <c r="L701" s="241"/>
      <c r="M701" s="376"/>
      <c r="N701" s="377"/>
      <c r="O701" s="377"/>
      <c r="P701" s="377"/>
      <c r="Q701" s="377"/>
      <c r="R701" s="241"/>
      <c r="S701" s="71"/>
      <c r="T701" s="71"/>
      <c r="U701" s="71"/>
      <c r="V701" s="71"/>
      <c r="W701" s="71"/>
      <c r="X701" s="71"/>
      <c r="Y701" s="71"/>
    </row>
    <row r="702" spans="1:25">
      <c r="A702" s="80"/>
      <c r="B702" s="241"/>
      <c r="C702" s="241"/>
      <c r="D702" s="241"/>
      <c r="E702" s="241"/>
      <c r="F702" s="241"/>
      <c r="G702" s="241"/>
      <c r="H702" s="241"/>
      <c r="I702" s="241"/>
      <c r="J702" s="241"/>
      <c r="K702" s="241"/>
      <c r="L702" s="241"/>
      <c r="M702" s="376"/>
      <c r="N702" s="377"/>
      <c r="O702" s="377"/>
      <c r="P702" s="377"/>
      <c r="Q702" s="377"/>
      <c r="R702" s="241"/>
      <c r="S702" s="71"/>
      <c r="T702" s="71"/>
      <c r="U702" s="71"/>
      <c r="V702" s="71"/>
      <c r="W702" s="71"/>
      <c r="X702" s="71"/>
      <c r="Y702" s="71"/>
    </row>
    <row r="703" spans="1:25">
      <c r="A703" s="80"/>
      <c r="B703" s="241"/>
      <c r="C703" s="241"/>
      <c r="D703" s="241"/>
      <c r="E703" s="241"/>
      <c r="F703" s="241"/>
      <c r="G703" s="241"/>
      <c r="H703" s="241"/>
      <c r="I703" s="241"/>
      <c r="J703" s="241"/>
      <c r="K703" s="241"/>
      <c r="L703" s="241"/>
      <c r="M703" s="376"/>
      <c r="N703" s="377"/>
      <c r="O703" s="377"/>
      <c r="P703" s="377"/>
      <c r="Q703" s="377"/>
      <c r="R703" s="241"/>
      <c r="S703" s="71"/>
      <c r="T703" s="71"/>
      <c r="U703" s="71"/>
      <c r="V703" s="71"/>
      <c r="W703" s="71"/>
      <c r="X703" s="71"/>
      <c r="Y703" s="71"/>
    </row>
    <row r="704" spans="1:25">
      <c r="A704" s="80"/>
      <c r="B704" s="241"/>
      <c r="C704" s="241"/>
      <c r="D704" s="241"/>
      <c r="E704" s="241"/>
      <c r="F704" s="241"/>
      <c r="G704" s="241"/>
      <c r="H704" s="241"/>
      <c r="I704" s="241"/>
      <c r="J704" s="241"/>
      <c r="K704" s="241"/>
      <c r="L704" s="241"/>
      <c r="M704" s="376"/>
      <c r="N704" s="377"/>
      <c r="O704" s="377"/>
      <c r="P704" s="377"/>
      <c r="Q704" s="377"/>
      <c r="R704" s="241"/>
      <c r="S704" s="71"/>
      <c r="T704" s="71"/>
      <c r="U704" s="71"/>
      <c r="V704" s="71"/>
      <c r="W704" s="71"/>
      <c r="X704" s="71"/>
      <c r="Y704" s="71"/>
    </row>
    <row r="705" spans="1:25">
      <c r="A705" s="80"/>
      <c r="B705" s="241"/>
      <c r="C705" s="241"/>
      <c r="D705" s="241"/>
      <c r="E705" s="241"/>
      <c r="F705" s="241"/>
      <c r="G705" s="241"/>
      <c r="H705" s="241"/>
      <c r="I705" s="241"/>
      <c r="J705" s="241"/>
      <c r="K705" s="241"/>
      <c r="L705" s="241"/>
      <c r="M705" s="376"/>
      <c r="N705" s="377"/>
      <c r="O705" s="377"/>
      <c r="P705" s="377"/>
      <c r="Q705" s="377"/>
      <c r="R705" s="241"/>
      <c r="S705" s="71"/>
      <c r="T705" s="71"/>
      <c r="U705" s="71"/>
      <c r="V705" s="71"/>
      <c r="W705" s="71"/>
      <c r="X705" s="71"/>
      <c r="Y705" s="71"/>
    </row>
    <row r="706" spans="1:25">
      <c r="A706" s="80"/>
      <c r="B706" s="241"/>
      <c r="C706" s="241"/>
      <c r="D706" s="241"/>
      <c r="E706" s="241"/>
      <c r="F706" s="241"/>
      <c r="G706" s="241"/>
      <c r="H706" s="241"/>
      <c r="I706" s="241"/>
      <c r="J706" s="241"/>
      <c r="K706" s="241"/>
      <c r="L706" s="241"/>
      <c r="M706" s="376"/>
      <c r="N706" s="377"/>
      <c r="O706" s="377"/>
      <c r="P706" s="377"/>
      <c r="Q706" s="377"/>
      <c r="R706" s="241"/>
      <c r="S706" s="71"/>
      <c r="T706" s="71"/>
      <c r="U706" s="71"/>
      <c r="V706" s="71"/>
      <c r="W706" s="71"/>
      <c r="X706" s="71"/>
      <c r="Y706" s="71"/>
    </row>
    <row r="707" spans="1:25">
      <c r="A707" s="80"/>
      <c r="B707" s="241"/>
      <c r="C707" s="241"/>
      <c r="D707" s="241"/>
      <c r="E707" s="241"/>
      <c r="F707" s="241"/>
      <c r="G707" s="241"/>
      <c r="H707" s="241"/>
      <c r="I707" s="241"/>
      <c r="J707" s="241"/>
      <c r="K707" s="241"/>
      <c r="L707" s="241"/>
      <c r="M707" s="376"/>
      <c r="N707" s="377"/>
      <c r="O707" s="377"/>
      <c r="P707" s="377"/>
      <c r="Q707" s="377"/>
      <c r="R707" s="241"/>
      <c r="S707" s="71"/>
      <c r="T707" s="71"/>
      <c r="U707" s="71"/>
      <c r="V707" s="71"/>
      <c r="W707" s="71"/>
      <c r="X707" s="71"/>
      <c r="Y707" s="71"/>
    </row>
    <row r="708" spans="1:25">
      <c r="A708" s="80"/>
      <c r="B708" s="241"/>
      <c r="C708" s="241"/>
      <c r="D708" s="241"/>
      <c r="E708" s="241"/>
      <c r="F708" s="241"/>
      <c r="G708" s="241"/>
      <c r="H708" s="241"/>
      <c r="I708" s="241"/>
      <c r="J708" s="241"/>
      <c r="K708" s="241"/>
      <c r="L708" s="241"/>
      <c r="M708" s="376"/>
      <c r="N708" s="377"/>
      <c r="O708" s="377"/>
      <c r="P708" s="377"/>
      <c r="Q708" s="377"/>
      <c r="R708" s="241"/>
      <c r="S708" s="71"/>
      <c r="T708" s="71"/>
      <c r="U708" s="71"/>
      <c r="V708" s="71"/>
      <c r="W708" s="71"/>
      <c r="X708" s="71"/>
      <c r="Y708" s="71"/>
    </row>
    <row r="709" spans="1:25">
      <c r="A709" s="80"/>
      <c r="B709" s="241"/>
      <c r="C709" s="241"/>
      <c r="D709" s="241"/>
      <c r="E709" s="241"/>
      <c r="F709" s="241"/>
      <c r="G709" s="241"/>
      <c r="H709" s="241"/>
      <c r="I709" s="241"/>
      <c r="J709" s="241"/>
      <c r="K709" s="241"/>
      <c r="L709" s="241"/>
      <c r="M709" s="376"/>
      <c r="N709" s="377"/>
      <c r="O709" s="377"/>
      <c r="P709" s="377"/>
      <c r="Q709" s="377"/>
      <c r="R709" s="241"/>
      <c r="S709" s="71"/>
      <c r="T709" s="71"/>
      <c r="U709" s="71"/>
      <c r="V709" s="71"/>
      <c r="W709" s="71"/>
      <c r="X709" s="71"/>
      <c r="Y709" s="71"/>
    </row>
    <row r="710" spans="1:25">
      <c r="A710" s="80"/>
      <c r="B710" s="241"/>
      <c r="C710" s="241"/>
      <c r="D710" s="241"/>
      <c r="E710" s="241"/>
      <c r="F710" s="241"/>
      <c r="G710" s="241"/>
      <c r="H710" s="241"/>
      <c r="I710" s="241"/>
      <c r="J710" s="241"/>
      <c r="K710" s="241"/>
      <c r="L710" s="241"/>
      <c r="M710" s="376"/>
      <c r="N710" s="377"/>
      <c r="O710" s="377"/>
      <c r="P710" s="377"/>
      <c r="Q710" s="377"/>
      <c r="R710" s="241"/>
      <c r="S710" s="71"/>
      <c r="T710" s="71"/>
      <c r="U710" s="71"/>
      <c r="V710" s="71"/>
      <c r="W710" s="71"/>
      <c r="X710" s="71"/>
      <c r="Y710" s="71"/>
    </row>
    <row r="711" spans="1:25">
      <c r="A711" s="80"/>
      <c r="B711" s="241"/>
      <c r="C711" s="241"/>
      <c r="D711" s="241"/>
      <c r="E711" s="241"/>
      <c r="F711" s="241"/>
      <c r="G711" s="241"/>
      <c r="H711" s="241"/>
      <c r="I711" s="241"/>
      <c r="J711" s="241"/>
      <c r="K711" s="241"/>
      <c r="L711" s="241"/>
      <c r="M711" s="376"/>
      <c r="N711" s="377"/>
      <c r="O711" s="377"/>
      <c r="P711" s="377"/>
      <c r="Q711" s="377"/>
      <c r="R711" s="241"/>
      <c r="S711" s="71"/>
      <c r="T711" s="71"/>
      <c r="U711" s="71"/>
      <c r="V711" s="71"/>
      <c r="W711" s="71"/>
      <c r="X711" s="71"/>
      <c r="Y711" s="71"/>
    </row>
    <row r="712" spans="1:25">
      <c r="A712" s="80"/>
      <c r="B712" s="241"/>
      <c r="C712" s="241"/>
      <c r="D712" s="241"/>
      <c r="E712" s="241"/>
      <c r="F712" s="241"/>
      <c r="G712" s="241"/>
      <c r="H712" s="241"/>
      <c r="I712" s="241"/>
      <c r="J712" s="241"/>
      <c r="K712" s="241"/>
      <c r="L712" s="241"/>
      <c r="M712" s="376"/>
      <c r="N712" s="377"/>
      <c r="O712" s="377"/>
      <c r="P712" s="377"/>
      <c r="Q712" s="377"/>
      <c r="R712" s="241"/>
      <c r="S712" s="71"/>
      <c r="T712" s="71"/>
      <c r="U712" s="71"/>
      <c r="V712" s="71"/>
      <c r="W712" s="71"/>
      <c r="X712" s="71"/>
      <c r="Y712" s="71"/>
    </row>
    <row r="713" spans="1:25">
      <c r="A713" s="80"/>
      <c r="B713" s="241"/>
      <c r="C713" s="241"/>
      <c r="D713" s="241"/>
      <c r="E713" s="241"/>
      <c r="F713" s="241"/>
      <c r="G713" s="241"/>
      <c r="H713" s="241"/>
      <c r="I713" s="241"/>
      <c r="J713" s="241"/>
      <c r="K713" s="241"/>
      <c r="L713" s="241"/>
      <c r="M713" s="376"/>
      <c r="N713" s="377"/>
      <c r="O713" s="377"/>
      <c r="P713" s="377"/>
      <c r="Q713" s="377"/>
      <c r="R713" s="241"/>
      <c r="S713" s="71"/>
      <c r="T713" s="71"/>
      <c r="U713" s="71"/>
      <c r="V713" s="71"/>
      <c r="W713" s="71"/>
      <c r="X713" s="71"/>
      <c r="Y713" s="71"/>
    </row>
    <row r="714" spans="1:25">
      <c r="A714" s="80"/>
      <c r="B714" s="241"/>
      <c r="C714" s="241"/>
      <c r="D714" s="241"/>
      <c r="E714" s="241"/>
      <c r="F714" s="241"/>
      <c r="G714" s="241"/>
      <c r="H714" s="241"/>
      <c r="I714" s="241"/>
      <c r="J714" s="241"/>
      <c r="K714" s="241"/>
      <c r="L714" s="241"/>
      <c r="M714" s="376"/>
      <c r="N714" s="377"/>
      <c r="O714" s="377"/>
      <c r="P714" s="377"/>
      <c r="Q714" s="377"/>
      <c r="R714" s="241"/>
      <c r="S714" s="71"/>
      <c r="T714" s="71"/>
      <c r="U714" s="71"/>
      <c r="V714" s="71"/>
      <c r="W714" s="71"/>
      <c r="X714" s="71"/>
      <c r="Y714" s="71"/>
    </row>
    <row r="715" spans="1:25">
      <c r="A715" s="80"/>
      <c r="B715" s="241"/>
      <c r="C715" s="241"/>
      <c r="D715" s="241"/>
      <c r="E715" s="241"/>
      <c r="F715" s="241"/>
      <c r="G715" s="241"/>
      <c r="H715" s="241"/>
      <c r="I715" s="241"/>
      <c r="J715" s="241"/>
      <c r="K715" s="241"/>
      <c r="L715" s="241"/>
      <c r="M715" s="376"/>
      <c r="N715" s="377"/>
      <c r="O715" s="377"/>
      <c r="P715" s="377"/>
      <c r="Q715" s="377"/>
      <c r="R715" s="241"/>
      <c r="S715" s="71"/>
      <c r="T715" s="71"/>
      <c r="U715" s="71"/>
      <c r="V715" s="71"/>
      <c r="W715" s="71"/>
      <c r="X715" s="71"/>
      <c r="Y715" s="71"/>
    </row>
    <row r="716" spans="1:25">
      <c r="A716" s="80"/>
      <c r="B716" s="241"/>
      <c r="C716" s="241"/>
      <c r="D716" s="241"/>
      <c r="E716" s="241"/>
      <c r="F716" s="241"/>
      <c r="G716" s="241"/>
      <c r="H716" s="241"/>
      <c r="I716" s="241"/>
      <c r="J716" s="241"/>
      <c r="K716" s="241"/>
      <c r="L716" s="241"/>
      <c r="M716" s="376"/>
      <c r="N716" s="377"/>
      <c r="O716" s="377"/>
      <c r="P716" s="377"/>
      <c r="Q716" s="377"/>
      <c r="R716" s="241"/>
      <c r="S716" s="71"/>
      <c r="T716" s="71"/>
      <c r="U716" s="71"/>
      <c r="V716" s="71"/>
      <c r="W716" s="71"/>
      <c r="X716" s="71"/>
      <c r="Y716" s="71"/>
    </row>
    <row r="717" spans="1:25">
      <c r="A717" s="80"/>
      <c r="B717" s="241"/>
      <c r="C717" s="241"/>
      <c r="D717" s="241"/>
      <c r="E717" s="241"/>
      <c r="F717" s="241"/>
      <c r="G717" s="241"/>
      <c r="H717" s="241"/>
      <c r="I717" s="241"/>
      <c r="J717" s="241"/>
      <c r="K717" s="241"/>
      <c r="L717" s="241"/>
      <c r="M717" s="376"/>
      <c r="N717" s="377"/>
      <c r="O717" s="377"/>
      <c r="P717" s="377"/>
      <c r="Q717" s="377"/>
      <c r="R717" s="241"/>
      <c r="S717" s="71"/>
      <c r="T717" s="71"/>
      <c r="U717" s="71"/>
      <c r="V717" s="71"/>
      <c r="W717" s="71"/>
      <c r="X717" s="71"/>
      <c r="Y717" s="71"/>
    </row>
    <row r="718" spans="1:25">
      <c r="A718" s="80"/>
      <c r="B718" s="241"/>
      <c r="C718" s="241"/>
      <c r="D718" s="241"/>
      <c r="E718" s="241"/>
      <c r="F718" s="241"/>
      <c r="G718" s="241"/>
      <c r="H718" s="241"/>
      <c r="I718" s="241"/>
      <c r="J718" s="241"/>
      <c r="K718" s="241"/>
      <c r="L718" s="241"/>
      <c r="M718" s="376"/>
      <c r="N718" s="377"/>
      <c r="O718" s="377"/>
      <c r="P718" s="377"/>
      <c r="Q718" s="377"/>
      <c r="R718" s="241"/>
      <c r="S718" s="71"/>
      <c r="T718" s="71"/>
      <c r="U718" s="71"/>
      <c r="V718" s="71"/>
      <c r="W718" s="71"/>
      <c r="X718" s="71"/>
      <c r="Y718" s="71"/>
    </row>
    <row r="719" spans="1:25">
      <c r="A719" s="80"/>
      <c r="B719" s="241"/>
      <c r="C719" s="241"/>
      <c r="D719" s="241"/>
      <c r="E719" s="241"/>
      <c r="F719" s="241"/>
      <c r="G719" s="241"/>
      <c r="H719" s="241"/>
      <c r="I719" s="241"/>
      <c r="J719" s="241"/>
      <c r="K719" s="241"/>
      <c r="L719" s="241"/>
      <c r="M719" s="376"/>
      <c r="N719" s="377"/>
      <c r="O719" s="377"/>
      <c r="P719" s="377"/>
      <c r="Q719" s="377"/>
      <c r="R719" s="241"/>
      <c r="S719" s="71"/>
      <c r="T719" s="71"/>
      <c r="U719" s="71"/>
      <c r="V719" s="71"/>
      <c r="W719" s="71"/>
      <c r="X719" s="71"/>
      <c r="Y719" s="71"/>
    </row>
    <row r="720" spans="1:25">
      <c r="A720" s="80"/>
      <c r="B720" s="241"/>
      <c r="C720" s="241"/>
      <c r="D720" s="241"/>
      <c r="E720" s="241"/>
      <c r="F720" s="241"/>
      <c r="G720" s="241"/>
      <c r="H720" s="241"/>
      <c r="I720" s="241"/>
      <c r="J720" s="241"/>
      <c r="K720" s="241"/>
      <c r="L720" s="241"/>
      <c r="M720" s="376"/>
      <c r="N720" s="377"/>
      <c r="O720" s="377"/>
      <c r="P720" s="377"/>
      <c r="Q720" s="377"/>
      <c r="R720" s="241"/>
      <c r="S720" s="71"/>
      <c r="T720" s="71"/>
      <c r="U720" s="71"/>
      <c r="V720" s="71"/>
      <c r="W720" s="71"/>
      <c r="X720" s="71"/>
      <c r="Y720" s="71"/>
    </row>
    <row r="721" spans="1:25">
      <c r="A721" s="80"/>
      <c r="B721" s="241"/>
      <c r="C721" s="241"/>
      <c r="D721" s="241"/>
      <c r="E721" s="241"/>
      <c r="F721" s="241"/>
      <c r="G721" s="241"/>
      <c r="H721" s="241"/>
      <c r="I721" s="241"/>
      <c r="J721" s="241"/>
      <c r="K721" s="241"/>
      <c r="L721" s="241"/>
      <c r="M721" s="376"/>
      <c r="N721" s="377"/>
      <c r="O721" s="377"/>
      <c r="P721" s="377"/>
      <c r="Q721" s="377"/>
      <c r="R721" s="241"/>
      <c r="S721" s="71"/>
      <c r="T721" s="71"/>
      <c r="U721" s="71"/>
      <c r="V721" s="71"/>
      <c r="W721" s="71"/>
      <c r="X721" s="71"/>
      <c r="Y721" s="71"/>
    </row>
    <row r="722" spans="1:25">
      <c r="A722" s="80"/>
      <c r="B722" s="241"/>
      <c r="C722" s="241"/>
      <c r="D722" s="241"/>
      <c r="E722" s="241"/>
      <c r="F722" s="241"/>
      <c r="G722" s="241"/>
      <c r="H722" s="241"/>
      <c r="I722" s="241"/>
      <c r="J722" s="241"/>
      <c r="K722" s="241"/>
      <c r="L722" s="241"/>
      <c r="M722" s="376"/>
      <c r="N722" s="377"/>
      <c r="O722" s="377"/>
      <c r="P722" s="377"/>
      <c r="Q722" s="377"/>
      <c r="R722" s="241"/>
      <c r="S722" s="71"/>
      <c r="T722" s="71"/>
      <c r="U722" s="71"/>
      <c r="V722" s="71"/>
      <c r="W722" s="71"/>
      <c r="X722" s="71"/>
      <c r="Y722" s="71"/>
    </row>
    <row r="723" spans="1:25">
      <c r="A723" s="80"/>
      <c r="B723" s="241"/>
      <c r="C723" s="241"/>
      <c r="D723" s="241"/>
      <c r="E723" s="241"/>
      <c r="F723" s="241"/>
      <c r="G723" s="241"/>
      <c r="H723" s="241"/>
      <c r="I723" s="241"/>
      <c r="J723" s="241"/>
      <c r="K723" s="241"/>
      <c r="L723" s="241"/>
      <c r="M723" s="376"/>
      <c r="N723" s="377"/>
      <c r="O723" s="377"/>
      <c r="P723" s="377"/>
      <c r="Q723" s="377"/>
      <c r="R723" s="241"/>
      <c r="S723" s="71"/>
      <c r="T723" s="71"/>
      <c r="U723" s="71"/>
      <c r="V723" s="71"/>
      <c r="W723" s="71"/>
      <c r="X723" s="71"/>
      <c r="Y723" s="71"/>
    </row>
    <row r="724" spans="1:25">
      <c r="A724" s="80"/>
      <c r="B724" s="241"/>
      <c r="C724" s="241"/>
      <c r="D724" s="241"/>
      <c r="E724" s="241"/>
      <c r="F724" s="241"/>
      <c r="G724" s="241"/>
      <c r="H724" s="241"/>
      <c r="I724" s="241"/>
      <c r="J724" s="241"/>
      <c r="K724" s="241"/>
      <c r="L724" s="241"/>
      <c r="M724" s="376"/>
      <c r="N724" s="377"/>
      <c r="O724" s="377"/>
      <c r="P724" s="377"/>
      <c r="Q724" s="377"/>
      <c r="R724" s="241"/>
      <c r="S724" s="71"/>
      <c r="T724" s="71"/>
      <c r="U724" s="71"/>
      <c r="V724" s="71"/>
      <c r="W724" s="71"/>
      <c r="X724" s="71"/>
      <c r="Y724" s="71"/>
    </row>
    <row r="725" spans="1:25">
      <c r="A725" s="80"/>
      <c r="B725" s="241"/>
      <c r="C725" s="241"/>
      <c r="D725" s="241"/>
      <c r="E725" s="241"/>
      <c r="F725" s="241"/>
      <c r="G725" s="241"/>
      <c r="H725" s="241"/>
      <c r="I725" s="241"/>
      <c r="J725" s="241"/>
      <c r="K725" s="241"/>
      <c r="L725" s="241"/>
      <c r="M725" s="376"/>
      <c r="N725" s="377"/>
      <c r="O725" s="377"/>
      <c r="P725" s="377"/>
      <c r="Q725" s="377"/>
      <c r="R725" s="241"/>
      <c r="S725" s="71"/>
      <c r="T725" s="71"/>
      <c r="U725" s="71"/>
      <c r="V725" s="71"/>
      <c r="W725" s="71"/>
      <c r="X725" s="71"/>
      <c r="Y725" s="71"/>
    </row>
    <row r="726" spans="1:25">
      <c r="A726" s="80"/>
      <c r="B726" s="241"/>
      <c r="C726" s="241"/>
      <c r="D726" s="241"/>
      <c r="E726" s="241"/>
      <c r="F726" s="241"/>
      <c r="G726" s="241"/>
      <c r="H726" s="241"/>
      <c r="I726" s="241"/>
      <c r="J726" s="241"/>
      <c r="K726" s="241"/>
      <c r="L726" s="241"/>
      <c r="M726" s="376"/>
      <c r="N726" s="377"/>
      <c r="O726" s="377"/>
      <c r="P726" s="377"/>
      <c r="Q726" s="377"/>
      <c r="R726" s="241"/>
      <c r="S726" s="71"/>
      <c r="T726" s="71"/>
      <c r="U726" s="71"/>
      <c r="V726" s="71"/>
      <c r="W726" s="71"/>
      <c r="X726" s="71"/>
      <c r="Y726" s="71"/>
    </row>
    <row r="727" spans="1:25">
      <c r="A727" s="80"/>
      <c r="B727" s="241"/>
      <c r="C727" s="241"/>
      <c r="D727" s="241"/>
      <c r="E727" s="241"/>
      <c r="F727" s="241"/>
      <c r="G727" s="241"/>
      <c r="H727" s="241"/>
      <c r="I727" s="241"/>
      <c r="J727" s="241"/>
      <c r="K727" s="241"/>
      <c r="L727" s="241"/>
      <c r="M727" s="376"/>
      <c r="N727" s="377"/>
      <c r="O727" s="377"/>
      <c r="P727" s="377"/>
      <c r="Q727" s="377"/>
      <c r="R727" s="241"/>
      <c r="S727" s="71"/>
      <c r="T727" s="71"/>
      <c r="U727" s="71"/>
      <c r="V727" s="71"/>
      <c r="W727" s="71"/>
      <c r="X727" s="71"/>
      <c r="Y727" s="71"/>
    </row>
    <row r="728" spans="1:25">
      <c r="A728" s="80"/>
      <c r="B728" s="241"/>
      <c r="C728" s="241"/>
      <c r="D728" s="241"/>
      <c r="E728" s="241"/>
      <c r="F728" s="241"/>
      <c r="G728" s="241"/>
      <c r="H728" s="241"/>
      <c r="I728" s="241"/>
      <c r="J728" s="241"/>
      <c r="K728" s="241"/>
      <c r="L728" s="241"/>
      <c r="M728" s="376"/>
      <c r="N728" s="377"/>
      <c r="O728" s="377"/>
      <c r="P728" s="377"/>
      <c r="Q728" s="377"/>
      <c r="R728" s="241"/>
      <c r="S728" s="71"/>
      <c r="T728" s="71"/>
      <c r="U728" s="71"/>
      <c r="V728" s="71"/>
      <c r="W728" s="71"/>
      <c r="X728" s="71"/>
      <c r="Y728" s="71"/>
    </row>
    <row r="729" spans="1:25">
      <c r="A729" s="80"/>
      <c r="B729" s="241"/>
      <c r="C729" s="241"/>
      <c r="D729" s="241"/>
      <c r="E729" s="241"/>
      <c r="F729" s="241"/>
      <c r="G729" s="241"/>
      <c r="H729" s="241"/>
      <c r="I729" s="241"/>
      <c r="J729" s="241"/>
      <c r="K729" s="241"/>
      <c r="L729" s="241"/>
      <c r="M729" s="376"/>
      <c r="N729" s="377"/>
      <c r="O729" s="377"/>
      <c r="P729" s="377"/>
      <c r="Q729" s="377"/>
      <c r="R729" s="241"/>
      <c r="S729" s="71"/>
      <c r="T729" s="71"/>
      <c r="U729" s="71"/>
      <c r="V729" s="71"/>
      <c r="W729" s="71"/>
      <c r="X729" s="71"/>
      <c r="Y729" s="71"/>
    </row>
    <row r="730" spans="1:25">
      <c r="A730" s="80"/>
      <c r="B730" s="241"/>
      <c r="C730" s="241"/>
      <c r="D730" s="241"/>
      <c r="E730" s="241"/>
      <c r="F730" s="241"/>
      <c r="G730" s="241"/>
      <c r="H730" s="241"/>
      <c r="I730" s="241"/>
      <c r="J730" s="241"/>
      <c r="K730" s="241"/>
      <c r="L730" s="241"/>
      <c r="M730" s="376"/>
      <c r="N730" s="377"/>
      <c r="O730" s="377"/>
      <c r="P730" s="377"/>
      <c r="Q730" s="377"/>
      <c r="R730" s="241"/>
      <c r="S730" s="71"/>
      <c r="T730" s="71"/>
      <c r="U730" s="71"/>
      <c r="V730" s="71"/>
      <c r="W730" s="71"/>
      <c r="X730" s="71"/>
      <c r="Y730" s="71"/>
    </row>
    <row r="731" spans="1:25">
      <c r="A731" s="80"/>
      <c r="B731" s="241"/>
      <c r="C731" s="241"/>
      <c r="D731" s="241"/>
      <c r="E731" s="241"/>
      <c r="F731" s="241"/>
      <c r="G731" s="241"/>
      <c r="H731" s="241"/>
      <c r="I731" s="241"/>
      <c r="J731" s="241"/>
      <c r="K731" s="241"/>
      <c r="L731" s="241"/>
      <c r="M731" s="376"/>
      <c r="N731" s="377"/>
      <c r="O731" s="377"/>
      <c r="P731" s="377"/>
      <c r="Q731" s="377"/>
      <c r="R731" s="241"/>
      <c r="S731" s="71"/>
      <c r="T731" s="71"/>
      <c r="U731" s="71"/>
      <c r="V731" s="71"/>
      <c r="W731" s="71"/>
      <c r="X731" s="71"/>
      <c r="Y731" s="71"/>
    </row>
    <row r="732" spans="1:25">
      <c r="A732" s="80"/>
      <c r="B732" s="241"/>
      <c r="C732" s="241"/>
      <c r="D732" s="241"/>
      <c r="E732" s="241"/>
      <c r="F732" s="241"/>
      <c r="G732" s="241"/>
      <c r="H732" s="241"/>
      <c r="I732" s="241"/>
      <c r="J732" s="241"/>
      <c r="K732" s="241"/>
      <c r="L732" s="241"/>
      <c r="M732" s="376"/>
      <c r="N732" s="377"/>
      <c r="O732" s="377"/>
      <c r="P732" s="377"/>
      <c r="Q732" s="377"/>
      <c r="R732" s="241"/>
      <c r="S732" s="71"/>
      <c r="T732" s="71"/>
      <c r="U732" s="71"/>
      <c r="V732" s="71"/>
      <c r="W732" s="71"/>
      <c r="X732" s="71"/>
      <c r="Y732" s="71"/>
    </row>
    <row r="733" spans="1:25">
      <c r="A733" s="80"/>
      <c r="B733" s="241"/>
      <c r="C733" s="241"/>
      <c r="D733" s="241"/>
      <c r="E733" s="241"/>
      <c r="F733" s="241"/>
      <c r="G733" s="241"/>
      <c r="H733" s="241"/>
      <c r="I733" s="241"/>
      <c r="J733" s="241"/>
      <c r="K733" s="241"/>
      <c r="L733" s="241"/>
      <c r="M733" s="376"/>
      <c r="N733" s="377"/>
      <c r="O733" s="377"/>
      <c r="P733" s="377"/>
      <c r="Q733" s="377"/>
      <c r="R733" s="241"/>
      <c r="S733" s="71"/>
      <c r="T733" s="71"/>
      <c r="U733" s="71"/>
      <c r="V733" s="71"/>
      <c r="W733" s="71"/>
      <c r="X733" s="71"/>
      <c r="Y733" s="71"/>
    </row>
    <row r="734" spans="1:25">
      <c r="A734" s="80"/>
      <c r="B734" s="241"/>
      <c r="C734" s="241"/>
      <c r="D734" s="241"/>
      <c r="E734" s="241"/>
      <c r="F734" s="241"/>
      <c r="G734" s="241"/>
      <c r="H734" s="241"/>
      <c r="I734" s="241"/>
      <c r="J734" s="241"/>
      <c r="K734" s="241"/>
      <c r="L734" s="241"/>
      <c r="M734" s="376"/>
      <c r="N734" s="377"/>
      <c r="O734" s="377"/>
      <c r="P734" s="377"/>
      <c r="Q734" s="377"/>
      <c r="R734" s="241"/>
      <c r="S734" s="71"/>
      <c r="T734" s="71"/>
      <c r="U734" s="71"/>
      <c r="V734" s="71"/>
      <c r="W734" s="71"/>
      <c r="X734" s="71"/>
      <c r="Y734" s="71"/>
    </row>
    <row r="735" spans="1:25">
      <c r="A735" s="80"/>
      <c r="B735" s="241"/>
      <c r="C735" s="241"/>
      <c r="D735" s="241"/>
      <c r="E735" s="241"/>
      <c r="F735" s="241"/>
      <c r="G735" s="241"/>
      <c r="H735" s="241"/>
      <c r="I735" s="241"/>
      <c r="J735" s="241"/>
      <c r="K735" s="241"/>
      <c r="L735" s="241"/>
      <c r="M735" s="376"/>
      <c r="N735" s="377"/>
      <c r="O735" s="377"/>
      <c r="P735" s="377"/>
      <c r="Q735" s="377"/>
      <c r="R735" s="241"/>
      <c r="S735" s="71"/>
      <c r="T735" s="71"/>
      <c r="U735" s="71"/>
      <c r="V735" s="71"/>
      <c r="W735" s="71"/>
      <c r="X735" s="71"/>
      <c r="Y735" s="71"/>
    </row>
    <row r="736" spans="1:25">
      <c r="A736" s="80"/>
      <c r="B736" s="241"/>
      <c r="C736" s="241"/>
      <c r="D736" s="241"/>
      <c r="E736" s="241"/>
      <c r="F736" s="241"/>
      <c r="G736" s="241"/>
      <c r="H736" s="241"/>
      <c r="I736" s="241"/>
      <c r="J736" s="241"/>
      <c r="K736" s="241"/>
      <c r="L736" s="241"/>
      <c r="M736" s="376"/>
      <c r="N736" s="377"/>
      <c r="O736" s="377"/>
      <c r="P736" s="377"/>
      <c r="Q736" s="377"/>
      <c r="R736" s="241"/>
      <c r="S736" s="71"/>
      <c r="T736" s="71"/>
      <c r="U736" s="71"/>
      <c r="V736" s="71"/>
      <c r="W736" s="71"/>
      <c r="X736" s="71"/>
      <c r="Y736" s="71"/>
    </row>
    <row r="737" spans="1:25">
      <c r="A737" s="80"/>
      <c r="B737" s="241"/>
      <c r="C737" s="241"/>
      <c r="D737" s="241"/>
      <c r="E737" s="241"/>
      <c r="F737" s="241"/>
      <c r="G737" s="241"/>
      <c r="H737" s="241"/>
      <c r="I737" s="241"/>
      <c r="J737" s="241"/>
      <c r="K737" s="241"/>
      <c r="L737" s="241"/>
      <c r="M737" s="376"/>
      <c r="N737" s="377"/>
      <c r="O737" s="377"/>
      <c r="P737" s="377"/>
      <c r="Q737" s="377"/>
      <c r="R737" s="241"/>
      <c r="S737" s="71"/>
      <c r="T737" s="71"/>
      <c r="U737" s="71"/>
      <c r="V737" s="71"/>
      <c r="W737" s="71"/>
      <c r="X737" s="71"/>
      <c r="Y737" s="71"/>
    </row>
    <row r="738" spans="1:25">
      <c r="A738" s="80"/>
      <c r="B738" s="241"/>
      <c r="C738" s="241"/>
      <c r="D738" s="241"/>
      <c r="E738" s="241"/>
      <c r="F738" s="241"/>
      <c r="G738" s="241"/>
      <c r="H738" s="241"/>
      <c r="I738" s="241"/>
      <c r="J738" s="241"/>
      <c r="K738" s="241"/>
      <c r="L738" s="241"/>
      <c r="M738" s="376"/>
      <c r="N738" s="377"/>
      <c r="O738" s="377"/>
      <c r="P738" s="377"/>
      <c r="Q738" s="377"/>
      <c r="R738" s="241"/>
      <c r="S738" s="71"/>
      <c r="T738" s="71"/>
      <c r="U738" s="71"/>
      <c r="V738" s="71"/>
      <c r="W738" s="71"/>
      <c r="X738" s="71"/>
      <c r="Y738" s="71"/>
    </row>
    <row r="739" spans="1:25">
      <c r="A739" s="80"/>
      <c r="B739" s="241"/>
      <c r="C739" s="241"/>
      <c r="D739" s="241"/>
      <c r="E739" s="241"/>
      <c r="F739" s="241"/>
      <c r="G739" s="241"/>
      <c r="H739" s="241"/>
      <c r="I739" s="241"/>
      <c r="J739" s="241"/>
      <c r="K739" s="241"/>
      <c r="L739" s="241"/>
      <c r="M739" s="376"/>
      <c r="N739" s="377"/>
      <c r="O739" s="377"/>
      <c r="P739" s="377"/>
      <c r="Q739" s="377"/>
      <c r="R739" s="241"/>
      <c r="S739" s="71"/>
      <c r="T739" s="71"/>
      <c r="U739" s="71"/>
      <c r="V739" s="71"/>
      <c r="W739" s="71"/>
      <c r="X739" s="71"/>
      <c r="Y739" s="71"/>
    </row>
    <row r="740" spans="1:25">
      <c r="A740" s="80"/>
      <c r="B740" s="241"/>
      <c r="C740" s="241"/>
      <c r="D740" s="241"/>
      <c r="E740" s="241"/>
      <c r="F740" s="241"/>
      <c r="G740" s="241"/>
      <c r="H740" s="241"/>
      <c r="I740" s="241"/>
      <c r="J740" s="241"/>
      <c r="K740" s="241"/>
      <c r="L740" s="241"/>
      <c r="M740" s="376"/>
      <c r="N740" s="377"/>
      <c r="O740" s="377"/>
      <c r="P740" s="377"/>
      <c r="Q740" s="377"/>
      <c r="R740" s="241"/>
      <c r="S740" s="71"/>
      <c r="T740" s="71"/>
      <c r="U740" s="71"/>
      <c r="V740" s="71"/>
      <c r="W740" s="71"/>
      <c r="X740" s="71"/>
      <c r="Y740" s="71"/>
    </row>
    <row r="741" spans="1:25">
      <c r="A741" s="80"/>
      <c r="B741" s="241"/>
      <c r="C741" s="241"/>
      <c r="D741" s="241"/>
      <c r="E741" s="241"/>
      <c r="F741" s="241"/>
      <c r="G741" s="241"/>
      <c r="H741" s="241"/>
      <c r="I741" s="241"/>
      <c r="J741" s="241"/>
      <c r="K741" s="241"/>
      <c r="L741" s="241"/>
      <c r="M741" s="376"/>
      <c r="N741" s="377"/>
      <c r="O741" s="377"/>
      <c r="P741" s="377"/>
      <c r="Q741" s="377"/>
      <c r="R741" s="241"/>
      <c r="S741" s="71"/>
      <c r="T741" s="71"/>
      <c r="U741" s="71"/>
      <c r="V741" s="71"/>
      <c r="W741" s="71"/>
      <c r="X741" s="71"/>
      <c r="Y741" s="71"/>
    </row>
    <row r="742" spans="1:25">
      <c r="A742" s="80"/>
      <c r="B742" s="241"/>
      <c r="C742" s="241"/>
      <c r="D742" s="241"/>
      <c r="E742" s="241"/>
      <c r="F742" s="241"/>
      <c r="G742" s="241"/>
      <c r="H742" s="241"/>
      <c r="I742" s="241"/>
      <c r="J742" s="241"/>
      <c r="K742" s="241"/>
      <c r="L742" s="241"/>
      <c r="M742" s="376"/>
      <c r="N742" s="377"/>
      <c r="O742" s="377"/>
      <c r="P742" s="377"/>
      <c r="Q742" s="377"/>
      <c r="R742" s="241"/>
      <c r="S742" s="71"/>
      <c r="T742" s="71"/>
      <c r="U742" s="71"/>
      <c r="V742" s="71"/>
      <c r="W742" s="71"/>
      <c r="X742" s="71"/>
      <c r="Y742" s="71"/>
    </row>
    <row r="743" spans="1:25">
      <c r="A743" s="80"/>
      <c r="B743" s="241"/>
      <c r="C743" s="241"/>
      <c r="D743" s="241"/>
      <c r="E743" s="241"/>
      <c r="F743" s="241"/>
      <c r="G743" s="241"/>
      <c r="H743" s="241"/>
      <c r="I743" s="241"/>
      <c r="J743" s="241"/>
      <c r="K743" s="241"/>
      <c r="L743" s="241"/>
      <c r="M743" s="376"/>
      <c r="N743" s="377"/>
      <c r="O743" s="377"/>
      <c r="P743" s="377"/>
      <c r="Q743" s="377"/>
      <c r="R743" s="241"/>
      <c r="S743" s="71"/>
      <c r="T743" s="71"/>
      <c r="U743" s="71"/>
      <c r="V743" s="71"/>
      <c r="W743" s="71"/>
      <c r="X743" s="71"/>
      <c r="Y743" s="71"/>
    </row>
    <row r="744" spans="1:25">
      <c r="A744" s="80"/>
      <c r="B744" s="241"/>
      <c r="C744" s="241"/>
      <c r="D744" s="241"/>
      <c r="E744" s="241"/>
      <c r="F744" s="241"/>
      <c r="G744" s="241"/>
      <c r="H744" s="241"/>
      <c r="I744" s="241"/>
      <c r="J744" s="241"/>
      <c r="K744" s="241"/>
      <c r="L744" s="241"/>
      <c r="M744" s="376"/>
      <c r="N744" s="377"/>
      <c r="O744" s="377"/>
      <c r="P744" s="377"/>
      <c r="Q744" s="377"/>
      <c r="R744" s="241"/>
      <c r="S744" s="71"/>
      <c r="T744" s="71"/>
      <c r="U744" s="71"/>
      <c r="V744" s="71"/>
      <c r="W744" s="71"/>
      <c r="X744" s="71"/>
      <c r="Y744" s="71"/>
    </row>
    <row r="745" spans="1:25">
      <c r="A745" s="80"/>
      <c r="B745" s="241"/>
      <c r="C745" s="241"/>
      <c r="D745" s="241"/>
      <c r="E745" s="241"/>
      <c r="F745" s="241"/>
      <c r="G745" s="241"/>
      <c r="H745" s="241"/>
      <c r="I745" s="241"/>
      <c r="J745" s="241"/>
      <c r="K745" s="241"/>
      <c r="L745" s="241"/>
      <c r="M745" s="376"/>
      <c r="N745" s="377"/>
      <c r="O745" s="377"/>
      <c r="P745" s="377"/>
      <c r="Q745" s="377"/>
      <c r="R745" s="241"/>
      <c r="S745" s="71"/>
      <c r="T745" s="71"/>
      <c r="U745" s="71"/>
      <c r="V745" s="71"/>
      <c r="W745" s="71"/>
      <c r="X745" s="71"/>
      <c r="Y745" s="71"/>
    </row>
    <row r="746" spans="1:25">
      <c r="A746" s="80"/>
      <c r="B746" s="241"/>
      <c r="C746" s="241"/>
      <c r="D746" s="241"/>
      <c r="E746" s="241"/>
      <c r="F746" s="241"/>
      <c r="G746" s="241"/>
      <c r="H746" s="241"/>
      <c r="I746" s="241"/>
      <c r="J746" s="241"/>
      <c r="K746" s="241"/>
      <c r="L746" s="241"/>
      <c r="M746" s="376"/>
      <c r="N746" s="377"/>
      <c r="O746" s="377"/>
      <c r="P746" s="377"/>
      <c r="Q746" s="377"/>
      <c r="R746" s="241"/>
      <c r="S746" s="71"/>
      <c r="T746" s="71"/>
      <c r="U746" s="71"/>
      <c r="V746" s="71"/>
      <c r="W746" s="71"/>
      <c r="X746" s="71"/>
      <c r="Y746" s="71"/>
    </row>
    <row r="747" spans="1:25">
      <c r="A747" s="80"/>
      <c r="B747" s="241"/>
      <c r="C747" s="241"/>
      <c r="D747" s="241"/>
      <c r="E747" s="241"/>
      <c r="F747" s="241"/>
      <c r="G747" s="241"/>
      <c r="H747" s="241"/>
      <c r="I747" s="241"/>
      <c r="J747" s="241"/>
      <c r="K747" s="241"/>
      <c r="L747" s="241"/>
      <c r="M747" s="376"/>
      <c r="N747" s="377"/>
      <c r="O747" s="377"/>
      <c r="P747" s="377"/>
      <c r="Q747" s="377"/>
      <c r="R747" s="241"/>
      <c r="S747" s="71"/>
      <c r="T747" s="71"/>
      <c r="U747" s="71"/>
      <c r="V747" s="71"/>
      <c r="W747" s="71"/>
      <c r="X747" s="71"/>
      <c r="Y747" s="71"/>
    </row>
    <row r="748" spans="1:25">
      <c r="A748" s="80"/>
      <c r="B748" s="241"/>
      <c r="C748" s="241"/>
      <c r="D748" s="241"/>
      <c r="E748" s="241"/>
      <c r="F748" s="241"/>
      <c r="G748" s="241"/>
      <c r="H748" s="241"/>
      <c r="I748" s="241"/>
      <c r="J748" s="241"/>
      <c r="K748" s="241"/>
      <c r="L748" s="241"/>
      <c r="M748" s="376"/>
      <c r="N748" s="377"/>
      <c r="O748" s="377"/>
      <c r="P748" s="377"/>
      <c r="Q748" s="377"/>
      <c r="R748" s="241"/>
      <c r="S748" s="71"/>
      <c r="T748" s="71"/>
      <c r="U748" s="71"/>
      <c r="V748" s="71"/>
      <c r="W748" s="71"/>
      <c r="X748" s="71"/>
      <c r="Y748" s="71"/>
    </row>
    <row r="749" spans="1:25">
      <c r="A749" s="80"/>
      <c r="B749" s="241"/>
      <c r="C749" s="241"/>
      <c r="D749" s="241"/>
      <c r="E749" s="241"/>
      <c r="F749" s="241"/>
      <c r="G749" s="241"/>
      <c r="H749" s="241"/>
      <c r="I749" s="241"/>
      <c r="J749" s="241"/>
      <c r="K749" s="241"/>
      <c r="L749" s="241"/>
      <c r="M749" s="376"/>
      <c r="N749" s="377"/>
      <c r="O749" s="377"/>
      <c r="P749" s="377"/>
      <c r="Q749" s="377"/>
      <c r="R749" s="241"/>
      <c r="S749" s="71"/>
      <c r="T749" s="71"/>
      <c r="U749" s="71"/>
      <c r="V749" s="71"/>
      <c r="W749" s="71"/>
      <c r="X749" s="71"/>
      <c r="Y749" s="71"/>
    </row>
    <row r="750" spans="1:25">
      <c r="A750" s="80"/>
      <c r="B750" s="241"/>
      <c r="C750" s="241"/>
      <c r="D750" s="241"/>
      <c r="E750" s="241"/>
      <c r="F750" s="241"/>
      <c r="G750" s="241"/>
      <c r="H750" s="241"/>
      <c r="I750" s="241"/>
      <c r="J750" s="241"/>
      <c r="K750" s="241"/>
      <c r="L750" s="241"/>
      <c r="M750" s="376"/>
      <c r="N750" s="377"/>
      <c r="O750" s="377"/>
      <c r="P750" s="377"/>
      <c r="Q750" s="377"/>
      <c r="R750" s="241"/>
      <c r="S750" s="71"/>
      <c r="T750" s="71"/>
      <c r="U750" s="71"/>
      <c r="V750" s="71"/>
      <c r="W750" s="71"/>
      <c r="X750" s="71"/>
      <c r="Y750" s="71"/>
    </row>
    <row r="751" spans="1:25">
      <c r="A751" s="80"/>
      <c r="B751" s="241"/>
      <c r="C751" s="241"/>
      <c r="D751" s="241"/>
      <c r="E751" s="241"/>
      <c r="F751" s="241"/>
      <c r="G751" s="241"/>
      <c r="H751" s="241"/>
      <c r="I751" s="241"/>
      <c r="J751" s="241"/>
      <c r="K751" s="241"/>
      <c r="L751" s="241"/>
      <c r="M751" s="376"/>
      <c r="N751" s="377"/>
      <c r="O751" s="377"/>
      <c r="P751" s="377"/>
      <c r="Q751" s="377"/>
      <c r="R751" s="241"/>
      <c r="S751" s="71"/>
      <c r="T751" s="71"/>
      <c r="U751" s="71"/>
      <c r="V751" s="71"/>
      <c r="W751" s="71"/>
      <c r="X751" s="71"/>
      <c r="Y751" s="71"/>
    </row>
    <row r="752" spans="1:25">
      <c r="A752" s="80"/>
      <c r="B752" s="241"/>
      <c r="C752" s="241"/>
      <c r="D752" s="241"/>
      <c r="E752" s="241"/>
      <c r="F752" s="241"/>
      <c r="G752" s="241"/>
      <c r="H752" s="241"/>
      <c r="I752" s="241"/>
      <c r="J752" s="241"/>
      <c r="K752" s="241"/>
      <c r="L752" s="241"/>
      <c r="M752" s="376"/>
      <c r="N752" s="377"/>
      <c r="O752" s="377"/>
      <c r="P752" s="377"/>
      <c r="Q752" s="377"/>
      <c r="R752" s="241"/>
      <c r="S752" s="71"/>
      <c r="T752" s="71"/>
      <c r="U752" s="71"/>
      <c r="V752" s="71"/>
      <c r="W752" s="71"/>
      <c r="X752" s="71"/>
      <c r="Y752" s="71"/>
    </row>
    <row r="753" spans="1:25">
      <c r="A753" s="80"/>
      <c r="B753" s="241"/>
      <c r="C753" s="241"/>
      <c r="D753" s="241"/>
      <c r="E753" s="241"/>
      <c r="F753" s="241"/>
      <c r="G753" s="241"/>
      <c r="H753" s="241"/>
      <c r="I753" s="241"/>
      <c r="J753" s="241"/>
      <c r="K753" s="241"/>
      <c r="L753" s="241"/>
      <c r="M753" s="376"/>
      <c r="N753" s="377"/>
      <c r="O753" s="377"/>
      <c r="P753" s="377"/>
      <c r="Q753" s="377"/>
      <c r="R753" s="241"/>
      <c r="S753" s="71"/>
      <c r="T753" s="71"/>
      <c r="U753" s="71"/>
      <c r="V753" s="71"/>
      <c r="W753" s="71"/>
      <c r="X753" s="71"/>
      <c r="Y753" s="71"/>
    </row>
    <row r="754" spans="1:25">
      <c r="A754" s="80"/>
      <c r="B754" s="241"/>
      <c r="C754" s="241"/>
      <c r="D754" s="241"/>
      <c r="E754" s="241"/>
      <c r="F754" s="241"/>
      <c r="G754" s="241"/>
      <c r="H754" s="241"/>
      <c r="I754" s="241"/>
      <c r="J754" s="241"/>
      <c r="K754" s="241"/>
      <c r="L754" s="241"/>
      <c r="M754" s="376"/>
      <c r="N754" s="377"/>
      <c r="O754" s="377"/>
      <c r="P754" s="377"/>
      <c r="Q754" s="377"/>
      <c r="R754" s="241"/>
      <c r="S754" s="71"/>
      <c r="T754" s="71"/>
      <c r="U754" s="71"/>
      <c r="V754" s="71"/>
      <c r="W754" s="71"/>
      <c r="X754" s="71"/>
      <c r="Y754" s="71"/>
    </row>
    <row r="755" spans="1:25">
      <c r="A755" s="80"/>
      <c r="B755" s="241"/>
      <c r="C755" s="241"/>
      <c r="D755" s="241"/>
      <c r="E755" s="241"/>
      <c r="F755" s="241"/>
      <c r="G755" s="241"/>
      <c r="H755" s="241"/>
      <c r="I755" s="241"/>
      <c r="J755" s="241"/>
      <c r="K755" s="241"/>
      <c r="L755" s="241"/>
      <c r="M755" s="376"/>
      <c r="N755" s="377"/>
      <c r="O755" s="377"/>
      <c r="P755" s="377"/>
      <c r="Q755" s="377"/>
      <c r="R755" s="241"/>
      <c r="S755" s="71"/>
      <c r="T755" s="71"/>
      <c r="U755" s="71"/>
      <c r="V755" s="71"/>
      <c r="W755" s="71"/>
      <c r="X755" s="71"/>
      <c r="Y755" s="71"/>
    </row>
    <row r="756" spans="1:25">
      <c r="A756" s="80"/>
      <c r="B756" s="241"/>
      <c r="C756" s="241"/>
      <c r="D756" s="241"/>
      <c r="E756" s="241"/>
      <c r="F756" s="241"/>
      <c r="G756" s="241"/>
      <c r="H756" s="241"/>
      <c r="I756" s="241"/>
      <c r="J756" s="241"/>
      <c r="K756" s="241"/>
      <c r="L756" s="241"/>
      <c r="M756" s="376"/>
      <c r="N756" s="377"/>
      <c r="O756" s="377"/>
      <c r="P756" s="377"/>
      <c r="Q756" s="377"/>
      <c r="R756" s="241"/>
      <c r="S756" s="71"/>
      <c r="T756" s="71"/>
      <c r="U756" s="71"/>
      <c r="V756" s="71"/>
      <c r="W756" s="71"/>
      <c r="X756" s="71"/>
      <c r="Y756" s="71"/>
    </row>
    <row r="757" spans="1:25">
      <c r="A757" s="80"/>
      <c r="B757" s="241"/>
      <c r="C757" s="241"/>
      <c r="D757" s="241"/>
      <c r="E757" s="241"/>
      <c r="F757" s="241"/>
      <c r="G757" s="241"/>
      <c r="H757" s="241"/>
      <c r="I757" s="241"/>
      <c r="J757" s="241"/>
      <c r="K757" s="241"/>
      <c r="L757" s="241"/>
      <c r="M757" s="376"/>
      <c r="N757" s="377"/>
      <c r="O757" s="377"/>
      <c r="P757" s="377"/>
      <c r="Q757" s="377"/>
      <c r="R757" s="241"/>
      <c r="S757" s="71"/>
      <c r="T757" s="71"/>
      <c r="U757" s="71"/>
      <c r="V757" s="71"/>
      <c r="W757" s="71"/>
      <c r="X757" s="71"/>
      <c r="Y757" s="71"/>
    </row>
    <row r="758" spans="1:25">
      <c r="A758" s="80"/>
      <c r="B758" s="241"/>
      <c r="C758" s="241"/>
      <c r="D758" s="241"/>
      <c r="E758" s="241"/>
      <c r="F758" s="241"/>
      <c r="G758" s="241"/>
      <c r="H758" s="241"/>
      <c r="I758" s="241"/>
      <c r="J758" s="241"/>
      <c r="K758" s="241"/>
      <c r="L758" s="241"/>
      <c r="M758" s="376"/>
      <c r="N758" s="377"/>
      <c r="O758" s="377"/>
      <c r="P758" s="377"/>
      <c r="Q758" s="377"/>
      <c r="R758" s="241"/>
      <c r="S758" s="71"/>
      <c r="T758" s="71"/>
      <c r="U758" s="71"/>
      <c r="V758" s="71"/>
      <c r="W758" s="71"/>
      <c r="X758" s="71"/>
      <c r="Y758" s="71"/>
    </row>
    <row r="759" spans="1:25">
      <c r="A759" s="80"/>
      <c r="B759" s="241"/>
      <c r="C759" s="241"/>
      <c r="D759" s="241"/>
      <c r="E759" s="241"/>
      <c r="F759" s="241"/>
      <c r="G759" s="241"/>
      <c r="H759" s="241"/>
      <c r="I759" s="241"/>
      <c r="J759" s="241"/>
      <c r="K759" s="241"/>
      <c r="L759" s="241"/>
      <c r="M759" s="376"/>
      <c r="N759" s="377"/>
      <c r="O759" s="377"/>
      <c r="P759" s="377"/>
      <c r="Q759" s="377"/>
      <c r="R759" s="241"/>
      <c r="S759" s="71"/>
      <c r="T759" s="71"/>
      <c r="U759" s="71"/>
      <c r="V759" s="71"/>
      <c r="W759" s="71"/>
      <c r="X759" s="71"/>
      <c r="Y759" s="71"/>
    </row>
    <row r="760" spans="1:25">
      <c r="A760" s="80"/>
      <c r="B760" s="241"/>
      <c r="C760" s="241"/>
      <c r="D760" s="241"/>
      <c r="E760" s="241"/>
      <c r="F760" s="241"/>
      <c r="G760" s="241"/>
      <c r="H760" s="241"/>
      <c r="I760" s="241"/>
      <c r="J760" s="241"/>
      <c r="K760" s="241"/>
      <c r="L760" s="241"/>
      <c r="M760" s="376"/>
      <c r="N760" s="377"/>
      <c r="O760" s="377"/>
      <c r="P760" s="377"/>
      <c r="Q760" s="377"/>
      <c r="R760" s="241"/>
      <c r="S760" s="71"/>
      <c r="T760" s="71"/>
      <c r="U760" s="71"/>
      <c r="V760" s="71"/>
      <c r="W760" s="71"/>
      <c r="X760" s="71"/>
      <c r="Y760" s="71"/>
    </row>
    <row r="761" spans="1:25">
      <c r="A761" s="80"/>
      <c r="B761" s="241"/>
      <c r="C761" s="241"/>
      <c r="D761" s="241"/>
      <c r="E761" s="241"/>
      <c r="F761" s="241"/>
      <c r="G761" s="241"/>
      <c r="H761" s="241"/>
      <c r="I761" s="241"/>
      <c r="J761" s="241"/>
      <c r="K761" s="241"/>
      <c r="L761" s="241"/>
      <c r="M761" s="376"/>
      <c r="N761" s="377"/>
      <c r="O761" s="377"/>
      <c r="P761" s="377"/>
      <c r="Q761" s="377"/>
      <c r="R761" s="241"/>
      <c r="S761" s="71"/>
      <c r="T761" s="71"/>
      <c r="U761" s="71"/>
      <c r="V761" s="71"/>
      <c r="W761" s="71"/>
      <c r="X761" s="71"/>
      <c r="Y761" s="71"/>
    </row>
    <row r="762" spans="1:25">
      <c r="A762" s="80"/>
      <c r="B762" s="241"/>
      <c r="C762" s="241"/>
      <c r="D762" s="241"/>
      <c r="E762" s="241"/>
      <c r="F762" s="241"/>
      <c r="G762" s="241"/>
      <c r="H762" s="241"/>
      <c r="I762" s="241"/>
      <c r="J762" s="241"/>
      <c r="K762" s="241"/>
      <c r="L762" s="241"/>
      <c r="M762" s="376"/>
      <c r="N762" s="377"/>
      <c r="O762" s="377"/>
      <c r="P762" s="377"/>
      <c r="Q762" s="377"/>
      <c r="R762" s="241"/>
      <c r="S762" s="71"/>
      <c r="T762" s="71"/>
      <c r="U762" s="71"/>
      <c r="V762" s="71"/>
      <c r="W762" s="71"/>
      <c r="X762" s="71"/>
      <c r="Y762" s="71"/>
    </row>
    <row r="763" spans="1:25">
      <c r="A763" s="80"/>
      <c r="B763" s="241"/>
      <c r="C763" s="241"/>
      <c r="D763" s="241"/>
      <c r="E763" s="241"/>
      <c r="F763" s="241"/>
      <c r="G763" s="241"/>
      <c r="H763" s="241"/>
      <c r="I763" s="241"/>
      <c r="J763" s="241"/>
      <c r="K763" s="241"/>
      <c r="L763" s="241"/>
      <c r="M763" s="376"/>
      <c r="N763" s="377"/>
      <c r="O763" s="377"/>
      <c r="P763" s="377"/>
      <c r="Q763" s="377"/>
      <c r="R763" s="241"/>
      <c r="S763" s="71"/>
      <c r="T763" s="71"/>
      <c r="U763" s="71"/>
      <c r="V763" s="71"/>
      <c r="W763" s="71"/>
      <c r="X763" s="71"/>
      <c r="Y763" s="71"/>
    </row>
    <row r="764" spans="1:25">
      <c r="A764" s="80"/>
      <c r="B764" s="241"/>
      <c r="C764" s="241"/>
      <c r="D764" s="241"/>
      <c r="E764" s="241"/>
      <c r="F764" s="241"/>
      <c r="G764" s="241"/>
      <c r="H764" s="241"/>
      <c r="I764" s="241"/>
      <c r="J764" s="241"/>
      <c r="K764" s="241"/>
      <c r="L764" s="241"/>
      <c r="M764" s="376"/>
      <c r="N764" s="377"/>
      <c r="O764" s="377"/>
      <c r="P764" s="377"/>
      <c r="Q764" s="377"/>
      <c r="R764" s="241"/>
      <c r="S764" s="71"/>
      <c r="T764" s="71"/>
      <c r="U764" s="71"/>
      <c r="V764" s="71"/>
      <c r="W764" s="71"/>
      <c r="X764" s="71"/>
      <c r="Y764" s="71"/>
    </row>
    <row r="765" spans="1:25">
      <c r="A765" s="80"/>
      <c r="B765" s="241"/>
      <c r="C765" s="241"/>
      <c r="D765" s="241"/>
      <c r="E765" s="241"/>
      <c r="F765" s="241"/>
      <c r="G765" s="241"/>
      <c r="H765" s="241"/>
      <c r="I765" s="241"/>
      <c r="J765" s="241"/>
      <c r="K765" s="241"/>
      <c r="L765" s="241"/>
      <c r="M765" s="376"/>
      <c r="N765" s="377"/>
      <c r="O765" s="377"/>
      <c r="P765" s="377"/>
      <c r="Q765" s="377"/>
      <c r="R765" s="241"/>
      <c r="S765" s="71"/>
      <c r="T765" s="71"/>
      <c r="U765" s="71"/>
      <c r="V765" s="71"/>
      <c r="W765" s="71"/>
      <c r="X765" s="71"/>
      <c r="Y765" s="71"/>
    </row>
    <row r="766" spans="1:25">
      <c r="A766" s="80"/>
      <c r="B766" s="241"/>
      <c r="C766" s="241"/>
      <c r="D766" s="241"/>
      <c r="E766" s="241"/>
      <c r="F766" s="241"/>
      <c r="G766" s="241"/>
      <c r="H766" s="241"/>
      <c r="I766" s="241"/>
      <c r="J766" s="241"/>
      <c r="K766" s="241"/>
      <c r="L766" s="241"/>
      <c r="M766" s="376"/>
      <c r="N766" s="377"/>
      <c r="O766" s="377"/>
      <c r="P766" s="377"/>
      <c r="Q766" s="377"/>
      <c r="R766" s="241"/>
      <c r="S766" s="71"/>
      <c r="T766" s="71"/>
      <c r="U766" s="71"/>
      <c r="V766" s="71"/>
      <c r="W766" s="71"/>
      <c r="X766" s="71"/>
      <c r="Y766" s="71"/>
    </row>
    <row r="767" spans="1:25">
      <c r="A767" s="80"/>
      <c r="B767" s="241"/>
      <c r="C767" s="241"/>
      <c r="D767" s="241"/>
      <c r="E767" s="241"/>
      <c r="F767" s="241"/>
      <c r="G767" s="241"/>
      <c r="H767" s="241"/>
      <c r="I767" s="241"/>
      <c r="J767" s="241"/>
      <c r="K767" s="241"/>
      <c r="L767" s="241"/>
      <c r="M767" s="376"/>
      <c r="N767" s="377"/>
      <c r="O767" s="377"/>
      <c r="P767" s="377"/>
      <c r="Q767" s="377"/>
      <c r="R767" s="241"/>
      <c r="S767" s="71"/>
      <c r="T767" s="71"/>
      <c r="U767" s="71"/>
      <c r="V767" s="71"/>
      <c r="W767" s="71"/>
      <c r="X767" s="71"/>
      <c r="Y767" s="71"/>
    </row>
    <row r="768" spans="1:25">
      <c r="A768" s="80"/>
      <c r="B768" s="241"/>
      <c r="C768" s="241"/>
      <c r="D768" s="241"/>
      <c r="E768" s="241"/>
      <c r="F768" s="241"/>
      <c r="G768" s="241"/>
      <c r="H768" s="241"/>
      <c r="I768" s="241"/>
      <c r="J768" s="241"/>
      <c r="K768" s="241"/>
      <c r="L768" s="241"/>
      <c r="M768" s="376"/>
      <c r="N768" s="377"/>
      <c r="O768" s="377"/>
      <c r="P768" s="377"/>
      <c r="Q768" s="377"/>
      <c r="R768" s="241"/>
      <c r="S768" s="71"/>
      <c r="T768" s="71"/>
      <c r="U768" s="71"/>
      <c r="V768" s="71"/>
      <c r="W768" s="71"/>
      <c r="X768" s="71"/>
      <c r="Y768" s="71"/>
    </row>
    <row r="769" spans="1:25">
      <c r="A769" s="80"/>
      <c r="B769" s="241"/>
      <c r="C769" s="241"/>
      <c r="D769" s="241"/>
      <c r="E769" s="241"/>
      <c r="F769" s="241"/>
      <c r="G769" s="241"/>
      <c r="H769" s="241"/>
      <c r="I769" s="241"/>
      <c r="J769" s="241"/>
      <c r="K769" s="241"/>
      <c r="L769" s="241"/>
      <c r="M769" s="376"/>
      <c r="N769" s="377"/>
      <c r="O769" s="377"/>
      <c r="P769" s="377"/>
      <c r="Q769" s="377"/>
      <c r="R769" s="241"/>
      <c r="S769" s="71"/>
      <c r="T769" s="71"/>
      <c r="U769" s="71"/>
      <c r="V769" s="71"/>
      <c r="W769" s="71"/>
      <c r="X769" s="71"/>
      <c r="Y769" s="71"/>
    </row>
    <row r="770" spans="1:25">
      <c r="A770" s="80"/>
      <c r="B770" s="241"/>
      <c r="C770" s="241"/>
      <c r="D770" s="241"/>
      <c r="E770" s="241"/>
      <c r="F770" s="241"/>
      <c r="G770" s="241"/>
      <c r="H770" s="241"/>
      <c r="I770" s="241"/>
      <c r="J770" s="241"/>
      <c r="K770" s="241"/>
      <c r="L770" s="241"/>
      <c r="M770" s="376"/>
      <c r="N770" s="377"/>
      <c r="O770" s="377"/>
      <c r="P770" s="377"/>
      <c r="Q770" s="377"/>
      <c r="R770" s="241"/>
      <c r="S770" s="71"/>
      <c r="T770" s="71"/>
      <c r="U770" s="71"/>
      <c r="V770" s="71"/>
      <c r="W770" s="71"/>
      <c r="X770" s="71"/>
      <c r="Y770" s="71"/>
    </row>
    <row r="771" spans="1:25">
      <c r="A771" s="80"/>
      <c r="B771" s="241"/>
      <c r="C771" s="241"/>
      <c r="D771" s="241"/>
      <c r="E771" s="241"/>
      <c r="F771" s="241"/>
      <c r="G771" s="241"/>
      <c r="H771" s="241"/>
      <c r="I771" s="241"/>
      <c r="J771" s="241"/>
      <c r="K771" s="241"/>
      <c r="L771" s="241"/>
      <c r="M771" s="376"/>
      <c r="N771" s="377"/>
      <c r="O771" s="377"/>
      <c r="P771" s="377"/>
      <c r="Q771" s="377"/>
      <c r="R771" s="241"/>
      <c r="S771" s="71"/>
      <c r="T771" s="71"/>
      <c r="U771" s="71"/>
      <c r="V771" s="71"/>
      <c r="W771" s="71"/>
      <c r="X771" s="71"/>
      <c r="Y771" s="71"/>
    </row>
    <row r="772" spans="1:25">
      <c r="A772" s="80"/>
      <c r="B772" s="241"/>
      <c r="C772" s="241"/>
      <c r="D772" s="241"/>
      <c r="E772" s="241"/>
      <c r="F772" s="241"/>
      <c r="G772" s="241"/>
      <c r="H772" s="241"/>
      <c r="I772" s="241"/>
      <c r="J772" s="241"/>
      <c r="K772" s="241"/>
      <c r="L772" s="241"/>
      <c r="M772" s="376"/>
      <c r="N772" s="377"/>
      <c r="O772" s="377"/>
      <c r="P772" s="377"/>
      <c r="Q772" s="377"/>
      <c r="R772" s="241"/>
      <c r="S772" s="71"/>
      <c r="T772" s="71"/>
      <c r="U772" s="71"/>
      <c r="V772" s="71"/>
      <c r="W772" s="71"/>
      <c r="X772" s="71"/>
      <c r="Y772" s="71"/>
    </row>
    <row r="773" spans="1:25">
      <c r="A773" s="80"/>
      <c r="B773" s="241"/>
      <c r="C773" s="241"/>
      <c r="D773" s="241"/>
      <c r="E773" s="241"/>
      <c r="F773" s="241"/>
      <c r="G773" s="241"/>
      <c r="H773" s="241"/>
      <c r="I773" s="241"/>
      <c r="J773" s="241"/>
      <c r="K773" s="241"/>
      <c r="L773" s="241"/>
      <c r="M773" s="376"/>
      <c r="N773" s="377"/>
      <c r="O773" s="377"/>
      <c r="P773" s="377"/>
      <c r="Q773" s="377"/>
      <c r="R773" s="241"/>
      <c r="S773" s="71"/>
      <c r="T773" s="71"/>
      <c r="U773" s="71"/>
      <c r="V773" s="71"/>
      <c r="W773" s="71"/>
      <c r="X773" s="71"/>
      <c r="Y773" s="71"/>
    </row>
    <row r="774" spans="1:25">
      <c r="A774" s="80"/>
      <c r="B774" s="241"/>
      <c r="C774" s="241"/>
      <c r="D774" s="241"/>
      <c r="E774" s="241"/>
      <c r="F774" s="241"/>
      <c r="G774" s="241"/>
      <c r="H774" s="241"/>
      <c r="I774" s="241"/>
      <c r="J774" s="241"/>
      <c r="K774" s="241"/>
      <c r="L774" s="241"/>
      <c r="M774" s="376"/>
      <c r="N774" s="377"/>
      <c r="O774" s="377"/>
      <c r="P774" s="377"/>
      <c r="Q774" s="377"/>
      <c r="R774" s="241"/>
      <c r="S774" s="71"/>
      <c r="T774" s="71"/>
      <c r="U774" s="71"/>
      <c r="V774" s="71"/>
      <c r="W774" s="71"/>
      <c r="X774" s="71"/>
      <c r="Y774" s="71"/>
    </row>
    <row r="775" spans="1:25">
      <c r="A775" s="80"/>
      <c r="B775" s="241"/>
      <c r="C775" s="241"/>
      <c r="D775" s="241"/>
      <c r="E775" s="241"/>
      <c r="F775" s="241"/>
      <c r="G775" s="241"/>
      <c r="H775" s="241"/>
      <c r="I775" s="241"/>
      <c r="J775" s="241"/>
      <c r="K775" s="241"/>
      <c r="L775" s="241"/>
      <c r="M775" s="376"/>
      <c r="N775" s="377"/>
      <c r="O775" s="377"/>
      <c r="P775" s="377"/>
      <c r="Q775" s="377"/>
      <c r="R775" s="241"/>
      <c r="S775" s="71"/>
      <c r="T775" s="71"/>
      <c r="U775" s="71"/>
      <c r="V775" s="71"/>
      <c r="W775" s="71"/>
      <c r="X775" s="71"/>
      <c r="Y775" s="71"/>
    </row>
    <row r="776" spans="1:25">
      <c r="A776" s="80"/>
      <c r="B776" s="241"/>
      <c r="C776" s="241"/>
      <c r="D776" s="241"/>
      <c r="E776" s="241"/>
      <c r="F776" s="241"/>
      <c r="G776" s="241"/>
      <c r="H776" s="241"/>
      <c r="I776" s="241"/>
      <c r="J776" s="241"/>
      <c r="K776" s="241"/>
      <c r="L776" s="241"/>
      <c r="M776" s="376"/>
      <c r="N776" s="377"/>
      <c r="O776" s="377"/>
      <c r="P776" s="377"/>
      <c r="Q776" s="377"/>
      <c r="R776" s="241"/>
      <c r="S776" s="71"/>
      <c r="T776" s="71"/>
      <c r="U776" s="71"/>
      <c r="V776" s="71"/>
      <c r="W776" s="71"/>
      <c r="X776" s="71"/>
      <c r="Y776" s="71"/>
    </row>
    <row r="777" spans="1:25">
      <c r="A777" s="80"/>
      <c r="B777" s="241"/>
      <c r="C777" s="241"/>
      <c r="D777" s="241"/>
      <c r="E777" s="241"/>
      <c r="F777" s="241"/>
      <c r="G777" s="241"/>
      <c r="H777" s="241"/>
      <c r="I777" s="241"/>
      <c r="J777" s="241"/>
      <c r="K777" s="241"/>
      <c r="L777" s="241"/>
      <c r="M777" s="376"/>
      <c r="N777" s="377"/>
      <c r="O777" s="377"/>
      <c r="P777" s="377"/>
      <c r="Q777" s="377"/>
      <c r="R777" s="241"/>
      <c r="S777" s="71"/>
      <c r="T777" s="71"/>
      <c r="U777" s="71"/>
      <c r="V777" s="71"/>
      <c r="W777" s="71"/>
      <c r="X777" s="71"/>
      <c r="Y777" s="71"/>
    </row>
    <row r="778" spans="1:25">
      <c r="A778" s="80"/>
      <c r="B778" s="241"/>
      <c r="C778" s="241"/>
      <c r="D778" s="241"/>
      <c r="E778" s="241"/>
      <c r="F778" s="241"/>
      <c r="G778" s="241"/>
      <c r="H778" s="241"/>
      <c r="I778" s="241"/>
      <c r="J778" s="241"/>
      <c r="K778" s="241"/>
      <c r="L778" s="241"/>
      <c r="M778" s="376"/>
      <c r="N778" s="377"/>
      <c r="O778" s="377"/>
      <c r="P778" s="377"/>
      <c r="Q778" s="377"/>
      <c r="R778" s="241"/>
      <c r="S778" s="71"/>
      <c r="T778" s="71"/>
      <c r="U778" s="71"/>
      <c r="V778" s="71"/>
      <c r="W778" s="71"/>
      <c r="X778" s="71"/>
      <c r="Y778" s="71"/>
    </row>
    <row r="779" spans="1:25">
      <c r="A779" s="80"/>
      <c r="B779" s="241"/>
      <c r="C779" s="241"/>
      <c r="D779" s="241"/>
      <c r="E779" s="241"/>
      <c r="F779" s="241"/>
      <c r="G779" s="241"/>
      <c r="H779" s="241"/>
      <c r="I779" s="241"/>
      <c r="J779" s="241"/>
      <c r="K779" s="241"/>
      <c r="L779" s="241"/>
      <c r="M779" s="376"/>
      <c r="N779" s="377"/>
      <c r="O779" s="377"/>
      <c r="P779" s="377"/>
      <c r="Q779" s="377"/>
      <c r="R779" s="241"/>
      <c r="S779" s="71"/>
      <c r="T779" s="71"/>
      <c r="U779" s="71"/>
      <c r="V779" s="71"/>
      <c r="W779" s="71"/>
      <c r="X779" s="71"/>
      <c r="Y779" s="71"/>
    </row>
    <row r="780" spans="1:25">
      <c r="A780" s="80"/>
      <c r="B780" s="241"/>
      <c r="C780" s="241"/>
      <c r="D780" s="241"/>
      <c r="E780" s="241"/>
      <c r="F780" s="241"/>
      <c r="G780" s="241"/>
      <c r="H780" s="241"/>
      <c r="I780" s="241"/>
      <c r="J780" s="241"/>
      <c r="K780" s="241"/>
      <c r="L780" s="241"/>
      <c r="M780" s="376"/>
      <c r="N780" s="377"/>
      <c r="O780" s="377"/>
      <c r="P780" s="377"/>
      <c r="Q780" s="377"/>
      <c r="R780" s="241"/>
      <c r="S780" s="71"/>
      <c r="T780" s="71"/>
      <c r="U780" s="71"/>
      <c r="V780" s="71"/>
      <c r="W780" s="71"/>
      <c r="X780" s="71"/>
      <c r="Y780" s="71"/>
    </row>
    <row r="781" spans="1:25">
      <c r="A781" s="80"/>
      <c r="B781" s="241"/>
      <c r="C781" s="241"/>
      <c r="D781" s="241"/>
      <c r="E781" s="241"/>
      <c r="F781" s="241"/>
      <c r="G781" s="241"/>
      <c r="H781" s="241"/>
      <c r="I781" s="241"/>
      <c r="J781" s="241"/>
      <c r="K781" s="241"/>
      <c r="L781" s="241"/>
      <c r="M781" s="376"/>
      <c r="N781" s="377"/>
      <c r="O781" s="377"/>
      <c r="P781" s="377"/>
      <c r="Q781" s="377"/>
      <c r="R781" s="241"/>
      <c r="S781" s="71"/>
      <c r="T781" s="71"/>
      <c r="U781" s="71"/>
      <c r="V781" s="71"/>
      <c r="W781" s="71"/>
      <c r="X781" s="71"/>
      <c r="Y781" s="71"/>
    </row>
    <row r="782" spans="1:25">
      <c r="A782" s="80"/>
      <c r="B782" s="241"/>
      <c r="C782" s="241"/>
      <c r="D782" s="241"/>
      <c r="E782" s="241"/>
      <c r="F782" s="241"/>
      <c r="G782" s="241"/>
      <c r="H782" s="241"/>
      <c r="I782" s="241"/>
      <c r="J782" s="241"/>
      <c r="K782" s="241"/>
      <c r="L782" s="241"/>
      <c r="M782" s="376"/>
      <c r="N782" s="377"/>
      <c r="O782" s="377"/>
      <c r="P782" s="377"/>
      <c r="Q782" s="377"/>
      <c r="R782" s="241"/>
      <c r="S782" s="71"/>
      <c r="T782" s="71"/>
      <c r="U782" s="71"/>
      <c r="V782" s="71"/>
      <c r="W782" s="71"/>
      <c r="X782" s="71"/>
      <c r="Y782" s="71"/>
    </row>
    <row r="783" spans="1:25">
      <c r="A783" s="80"/>
      <c r="B783" s="241"/>
      <c r="C783" s="241"/>
      <c r="D783" s="241"/>
      <c r="E783" s="241"/>
      <c r="F783" s="241"/>
      <c r="G783" s="241"/>
      <c r="H783" s="241"/>
      <c r="I783" s="241"/>
      <c r="J783" s="241"/>
      <c r="K783" s="241"/>
      <c r="L783" s="241"/>
      <c r="M783" s="376"/>
      <c r="N783" s="377"/>
      <c r="O783" s="377"/>
      <c r="P783" s="377"/>
      <c r="Q783" s="377"/>
      <c r="R783" s="241"/>
      <c r="S783" s="71"/>
      <c r="T783" s="71"/>
      <c r="U783" s="71"/>
      <c r="V783" s="71"/>
      <c r="W783" s="71"/>
      <c r="X783" s="71"/>
      <c r="Y783" s="71"/>
    </row>
    <row r="784" spans="1:25">
      <c r="A784" s="80"/>
      <c r="B784" s="241"/>
      <c r="C784" s="241"/>
      <c r="D784" s="241"/>
      <c r="E784" s="241"/>
      <c r="F784" s="241"/>
      <c r="G784" s="241"/>
      <c r="H784" s="241"/>
      <c r="I784" s="241"/>
      <c r="J784" s="241"/>
      <c r="K784" s="241"/>
      <c r="L784" s="241"/>
      <c r="M784" s="376"/>
      <c r="N784" s="377"/>
      <c r="O784" s="377"/>
      <c r="P784" s="377"/>
      <c r="Q784" s="377"/>
      <c r="R784" s="241"/>
      <c r="S784" s="71"/>
      <c r="T784" s="71"/>
      <c r="U784" s="71"/>
      <c r="V784" s="71"/>
      <c r="W784" s="71"/>
      <c r="X784" s="71"/>
      <c r="Y784" s="71"/>
    </row>
    <row r="785" spans="1:25">
      <c r="A785" s="80"/>
      <c r="B785" s="241"/>
      <c r="C785" s="241"/>
      <c r="D785" s="241"/>
      <c r="E785" s="241"/>
      <c r="F785" s="241"/>
      <c r="G785" s="241"/>
      <c r="H785" s="241"/>
      <c r="I785" s="241"/>
      <c r="J785" s="241"/>
      <c r="K785" s="241"/>
      <c r="L785" s="241"/>
      <c r="M785" s="376"/>
      <c r="N785" s="377"/>
      <c r="O785" s="377"/>
      <c r="P785" s="377"/>
      <c r="Q785" s="377"/>
      <c r="R785" s="241"/>
      <c r="S785" s="71"/>
      <c r="T785" s="71"/>
      <c r="U785" s="71"/>
      <c r="V785" s="71"/>
      <c r="W785" s="71"/>
      <c r="X785" s="71"/>
      <c r="Y785" s="71"/>
    </row>
    <row r="786" spans="1:25">
      <c r="A786" s="80"/>
      <c r="B786" s="241"/>
      <c r="C786" s="241"/>
      <c r="D786" s="241"/>
      <c r="E786" s="241"/>
      <c r="F786" s="241"/>
      <c r="G786" s="241"/>
      <c r="H786" s="241"/>
      <c r="I786" s="241"/>
      <c r="J786" s="241"/>
      <c r="K786" s="241"/>
      <c r="L786" s="241"/>
      <c r="M786" s="376"/>
      <c r="N786" s="377"/>
      <c r="O786" s="377"/>
      <c r="P786" s="377"/>
      <c r="Q786" s="377"/>
      <c r="R786" s="241"/>
      <c r="S786" s="71"/>
      <c r="T786" s="71"/>
      <c r="U786" s="71"/>
      <c r="V786" s="71"/>
      <c r="W786" s="71"/>
      <c r="X786" s="71"/>
      <c r="Y786" s="71"/>
    </row>
    <row r="787" spans="1:25">
      <c r="A787" s="80"/>
      <c r="B787" s="241"/>
      <c r="C787" s="241"/>
      <c r="D787" s="241"/>
      <c r="E787" s="241"/>
      <c r="F787" s="241"/>
      <c r="G787" s="241"/>
      <c r="H787" s="241"/>
      <c r="I787" s="241"/>
      <c r="J787" s="241"/>
      <c r="K787" s="241"/>
      <c r="L787" s="241"/>
      <c r="M787" s="376"/>
      <c r="N787" s="377"/>
      <c r="O787" s="377"/>
      <c r="P787" s="377"/>
      <c r="Q787" s="377"/>
      <c r="R787" s="241"/>
      <c r="S787" s="71"/>
      <c r="T787" s="71"/>
      <c r="U787" s="71"/>
      <c r="V787" s="71"/>
      <c r="W787" s="71"/>
      <c r="X787" s="71"/>
      <c r="Y787" s="71"/>
    </row>
    <row r="788" spans="1:25">
      <c r="A788" s="80"/>
      <c r="B788" s="241"/>
      <c r="C788" s="241"/>
      <c r="D788" s="241"/>
      <c r="E788" s="241"/>
      <c r="F788" s="241"/>
      <c r="G788" s="241"/>
      <c r="H788" s="241"/>
      <c r="I788" s="241"/>
      <c r="J788" s="241"/>
      <c r="K788" s="241"/>
      <c r="L788" s="241"/>
      <c r="M788" s="376"/>
      <c r="N788" s="377"/>
      <c r="O788" s="377"/>
      <c r="P788" s="377"/>
      <c r="Q788" s="377"/>
      <c r="R788" s="241"/>
      <c r="S788" s="71"/>
      <c r="T788" s="71"/>
      <c r="U788" s="71"/>
      <c r="V788" s="71"/>
      <c r="W788" s="71"/>
      <c r="X788" s="71"/>
      <c r="Y788" s="71"/>
    </row>
    <row r="789" spans="1:25">
      <c r="A789" s="80"/>
      <c r="B789" s="241"/>
      <c r="C789" s="241"/>
      <c r="D789" s="241"/>
      <c r="E789" s="241"/>
      <c r="F789" s="241"/>
      <c r="G789" s="241"/>
      <c r="H789" s="241"/>
      <c r="I789" s="241"/>
      <c r="J789" s="241"/>
      <c r="K789" s="241"/>
      <c r="L789" s="241"/>
      <c r="M789" s="376"/>
      <c r="N789" s="377"/>
      <c r="O789" s="377"/>
      <c r="P789" s="377"/>
      <c r="Q789" s="377"/>
      <c r="R789" s="241"/>
      <c r="S789" s="71"/>
      <c r="T789" s="71"/>
      <c r="U789" s="71"/>
      <c r="V789" s="71"/>
      <c r="W789" s="71"/>
      <c r="X789" s="71"/>
      <c r="Y789" s="71"/>
    </row>
    <row r="790" spans="1:25">
      <c r="A790" s="80"/>
      <c r="B790" s="241"/>
      <c r="C790" s="241"/>
      <c r="D790" s="241"/>
      <c r="E790" s="241"/>
      <c r="F790" s="241"/>
      <c r="G790" s="241"/>
      <c r="H790" s="241"/>
      <c r="I790" s="241"/>
      <c r="J790" s="241"/>
      <c r="K790" s="241"/>
      <c r="L790" s="241"/>
      <c r="M790" s="376"/>
      <c r="N790" s="377"/>
      <c r="O790" s="377"/>
      <c r="P790" s="377"/>
      <c r="Q790" s="377"/>
      <c r="R790" s="241"/>
      <c r="S790" s="71"/>
      <c r="T790" s="71"/>
      <c r="U790" s="71"/>
      <c r="V790" s="71"/>
      <c r="W790" s="71"/>
      <c r="X790" s="71"/>
      <c r="Y790" s="71"/>
    </row>
    <row r="791" spans="1:25">
      <c r="A791" s="80"/>
      <c r="B791" s="241"/>
      <c r="C791" s="241"/>
      <c r="D791" s="241"/>
      <c r="E791" s="241"/>
      <c r="F791" s="241"/>
      <c r="G791" s="241"/>
      <c r="H791" s="241"/>
      <c r="I791" s="241"/>
      <c r="J791" s="241"/>
      <c r="K791" s="241"/>
      <c r="L791" s="241"/>
      <c r="M791" s="376"/>
      <c r="N791" s="377"/>
      <c r="O791" s="377"/>
      <c r="P791" s="377"/>
      <c r="Q791" s="377"/>
      <c r="R791" s="241"/>
      <c r="S791" s="71"/>
      <c r="T791" s="71"/>
      <c r="U791" s="71"/>
      <c r="V791" s="71"/>
      <c r="W791" s="71"/>
      <c r="X791" s="71"/>
      <c r="Y791" s="71"/>
    </row>
  </sheetData>
  <mergeCells count="23">
    <mergeCell ref="S243:T243"/>
    <mergeCell ref="S199:T199"/>
    <mergeCell ref="S209:T209"/>
    <mergeCell ref="S210:T210"/>
    <mergeCell ref="S211:T211"/>
    <mergeCell ref="S212:T212"/>
    <mergeCell ref="S240:T240"/>
    <mergeCell ref="S241:T241"/>
    <mergeCell ref="S192:T192"/>
    <mergeCell ref="S193:T193"/>
    <mergeCell ref="S197:T197"/>
    <mergeCell ref="S198:T198"/>
    <mergeCell ref="S242:T242"/>
    <mergeCell ref="S107:T107"/>
    <mergeCell ref="S108:T108"/>
    <mergeCell ref="S174:T174"/>
    <mergeCell ref="S190:T190"/>
    <mergeCell ref="S191:T191"/>
    <mergeCell ref="S102:T102"/>
    <mergeCell ref="S103:T103"/>
    <mergeCell ref="S104:T104"/>
    <mergeCell ref="S105:T105"/>
    <mergeCell ref="S106:T106"/>
  </mergeCells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O997"/>
  <sheetViews>
    <sheetView workbookViewId="0"/>
  </sheetViews>
  <sheetFormatPr defaultColWidth="11.25" defaultRowHeight="15" customHeight="1"/>
  <cols>
    <col min="1" max="1" width="14.875" customWidth="1"/>
    <col min="3" max="3" width="12.75" hidden="1" customWidth="1"/>
    <col min="4" max="12" width="11.25" hidden="1"/>
  </cols>
  <sheetData>
    <row r="1" spans="1:15">
      <c r="A1" s="378" t="s">
        <v>457</v>
      </c>
      <c r="B1" s="379" t="s">
        <v>0</v>
      </c>
      <c r="C1" s="380" t="s">
        <v>918</v>
      </c>
      <c r="D1" s="380" t="s">
        <v>919</v>
      </c>
      <c r="E1" s="380" t="s">
        <v>920</v>
      </c>
      <c r="F1" s="380" t="s">
        <v>921</v>
      </c>
      <c r="G1" s="381"/>
      <c r="H1" s="381"/>
      <c r="I1" s="380" t="s">
        <v>922</v>
      </c>
      <c r="J1" s="380" t="s">
        <v>923</v>
      </c>
      <c r="K1" s="380" t="s">
        <v>924</v>
      </c>
      <c r="L1" s="380" t="s">
        <v>925</v>
      </c>
      <c r="M1" s="382" t="s">
        <v>926</v>
      </c>
      <c r="N1" s="383" t="s">
        <v>927</v>
      </c>
      <c r="O1" s="378" t="s">
        <v>7</v>
      </c>
    </row>
    <row r="2" spans="1:15">
      <c r="A2" s="384">
        <v>45505</v>
      </c>
      <c r="B2" s="385" t="s">
        <v>928</v>
      </c>
      <c r="C2" s="386">
        <v>1</v>
      </c>
      <c r="D2" s="386">
        <v>921</v>
      </c>
      <c r="E2" s="386" t="s">
        <v>929</v>
      </c>
      <c r="F2" s="386">
        <v>0</v>
      </c>
      <c r="G2" s="386">
        <v>0</v>
      </c>
      <c r="H2" s="387">
        <v>0</v>
      </c>
      <c r="I2" s="388">
        <v>45505.5622337963</v>
      </c>
      <c r="J2" s="386">
        <v>2.2240000000000002</v>
      </c>
      <c r="K2" s="386">
        <v>128.85</v>
      </c>
      <c r="L2" s="386">
        <v>1</v>
      </c>
      <c r="M2" s="389">
        <f t="shared" ref="M2:M102" si="0">J2</f>
        <v>2.2240000000000002</v>
      </c>
      <c r="N2" s="390">
        <f t="shared" ref="N2:N8" si="1">M2</f>
        <v>2.2240000000000002</v>
      </c>
      <c r="O2" s="378" t="s">
        <v>12</v>
      </c>
    </row>
    <row r="3" spans="1:15">
      <c r="A3" s="384">
        <v>45505</v>
      </c>
      <c r="B3" s="385" t="s">
        <v>930</v>
      </c>
      <c r="C3" s="386">
        <v>2</v>
      </c>
      <c r="D3" s="386">
        <v>921</v>
      </c>
      <c r="E3" s="386" t="s">
        <v>931</v>
      </c>
      <c r="F3" s="386">
        <v>0</v>
      </c>
      <c r="G3" s="386">
        <v>0</v>
      </c>
      <c r="H3" s="387">
        <v>0</v>
      </c>
      <c r="I3" s="388">
        <v>45505.563159722224</v>
      </c>
      <c r="J3" s="386">
        <v>2.2250000000000001</v>
      </c>
      <c r="K3" s="386">
        <v>128.91999999999999</v>
      </c>
      <c r="L3" s="386">
        <v>1</v>
      </c>
      <c r="M3" s="389">
        <f t="shared" si="0"/>
        <v>2.2250000000000001</v>
      </c>
      <c r="N3" s="390">
        <f t="shared" si="1"/>
        <v>2.2250000000000001</v>
      </c>
      <c r="O3" s="378" t="s">
        <v>12</v>
      </c>
    </row>
    <row r="4" spans="1:15">
      <c r="A4" s="384">
        <v>45505</v>
      </c>
      <c r="B4" s="385">
        <v>2.2200000000000002</v>
      </c>
      <c r="C4" s="386">
        <v>3</v>
      </c>
      <c r="D4" s="386">
        <v>921</v>
      </c>
      <c r="E4" s="386" t="s">
        <v>932</v>
      </c>
      <c r="F4" s="386">
        <v>0</v>
      </c>
      <c r="G4" s="386">
        <v>0</v>
      </c>
      <c r="H4" s="387">
        <v>0</v>
      </c>
      <c r="I4" s="388">
        <v>45505.564085648148</v>
      </c>
      <c r="J4" s="386">
        <v>2.2269999999999999</v>
      </c>
      <c r="K4" s="386">
        <v>128.99</v>
      </c>
      <c r="L4" s="386">
        <v>1</v>
      </c>
      <c r="M4" s="389">
        <f t="shared" si="0"/>
        <v>2.2269999999999999</v>
      </c>
      <c r="N4" s="390">
        <f t="shared" si="1"/>
        <v>2.2269999999999999</v>
      </c>
      <c r="O4" s="378" t="s">
        <v>12</v>
      </c>
    </row>
    <row r="5" spans="1:15">
      <c r="A5" s="384">
        <v>45505</v>
      </c>
      <c r="B5" s="391"/>
      <c r="C5" s="386">
        <v>4</v>
      </c>
      <c r="D5" s="386">
        <v>0</v>
      </c>
      <c r="E5" s="386" t="s">
        <v>933</v>
      </c>
      <c r="F5" s="386">
        <v>0</v>
      </c>
      <c r="G5" s="386">
        <v>0</v>
      </c>
      <c r="H5" s="387">
        <v>0</v>
      </c>
      <c r="I5" s="388">
        <v>45505.565011574072</v>
      </c>
      <c r="J5" s="386">
        <v>1.2769999999999999</v>
      </c>
      <c r="K5" s="386">
        <v>82.93</v>
      </c>
      <c r="L5" s="386">
        <v>1</v>
      </c>
      <c r="M5" s="389">
        <f t="shared" si="0"/>
        <v>1.2769999999999999</v>
      </c>
      <c r="N5" s="390">
        <f t="shared" si="1"/>
        <v>1.2769999999999999</v>
      </c>
      <c r="O5" s="378" t="s">
        <v>12</v>
      </c>
    </row>
    <row r="6" spans="1:15">
      <c r="A6" s="384">
        <v>45505</v>
      </c>
      <c r="B6" s="385">
        <v>1.1100000000000001</v>
      </c>
      <c r="C6" s="386">
        <v>5</v>
      </c>
      <c r="D6" s="386">
        <v>902</v>
      </c>
      <c r="E6" s="386" t="s">
        <v>932</v>
      </c>
      <c r="F6" s="386">
        <v>0</v>
      </c>
      <c r="G6" s="386">
        <v>0</v>
      </c>
      <c r="H6" s="387">
        <v>0</v>
      </c>
      <c r="I6" s="388">
        <v>45505.565937500003</v>
      </c>
      <c r="J6" s="386">
        <v>1.0680000000000001</v>
      </c>
      <c r="K6" s="386">
        <v>72.790000000000006</v>
      </c>
      <c r="L6" s="386">
        <v>1</v>
      </c>
      <c r="M6" s="389">
        <f t="shared" si="0"/>
        <v>1.0680000000000001</v>
      </c>
      <c r="N6" s="390">
        <f t="shared" si="1"/>
        <v>1.0680000000000001</v>
      </c>
      <c r="O6" s="378" t="s">
        <v>12</v>
      </c>
    </row>
    <row r="7" spans="1:15">
      <c r="A7" s="384">
        <v>45505</v>
      </c>
      <c r="B7" s="385">
        <v>0.55000000000000004</v>
      </c>
      <c r="C7" s="386">
        <v>6</v>
      </c>
      <c r="D7" s="386">
        <v>903</v>
      </c>
      <c r="E7" s="386" t="s">
        <v>932</v>
      </c>
      <c r="F7" s="386">
        <v>0</v>
      </c>
      <c r="G7" s="386">
        <v>0</v>
      </c>
      <c r="H7" s="387">
        <v>0</v>
      </c>
      <c r="I7" s="388">
        <v>45505.566863425927</v>
      </c>
      <c r="J7" s="386">
        <v>0.60599999999999998</v>
      </c>
      <c r="K7" s="386">
        <v>50.36</v>
      </c>
      <c r="L7" s="386">
        <v>1</v>
      </c>
      <c r="M7" s="389">
        <f t="shared" si="0"/>
        <v>0.60599999999999998</v>
      </c>
      <c r="N7" s="390">
        <f t="shared" si="1"/>
        <v>0.60599999999999998</v>
      </c>
      <c r="O7" s="378" t="s">
        <v>12</v>
      </c>
    </row>
    <row r="8" spans="1:15">
      <c r="A8" s="384">
        <v>45505</v>
      </c>
      <c r="B8" s="391"/>
      <c r="C8" s="386">
        <v>7</v>
      </c>
      <c r="D8" s="386">
        <v>0</v>
      </c>
      <c r="E8" s="386" t="s">
        <v>933</v>
      </c>
      <c r="F8" s="386">
        <v>0</v>
      </c>
      <c r="G8" s="386">
        <v>0</v>
      </c>
      <c r="H8" s="387">
        <v>0</v>
      </c>
      <c r="I8" s="388">
        <v>45505.567789351851</v>
      </c>
      <c r="J8" s="386">
        <v>0.63500000000000001</v>
      </c>
      <c r="K8" s="386">
        <v>51.75</v>
      </c>
      <c r="L8" s="386">
        <v>1</v>
      </c>
      <c r="M8" s="389">
        <f t="shared" si="0"/>
        <v>0.63500000000000001</v>
      </c>
      <c r="N8" s="390">
        <f t="shared" si="1"/>
        <v>0.63500000000000001</v>
      </c>
      <c r="O8" s="378" t="s">
        <v>12</v>
      </c>
    </row>
    <row r="9" spans="1:15">
      <c r="A9" s="384">
        <v>45505</v>
      </c>
      <c r="B9" s="385" t="s">
        <v>79</v>
      </c>
      <c r="C9" s="386">
        <v>8</v>
      </c>
      <c r="D9" s="386">
        <v>905</v>
      </c>
      <c r="E9" s="386" t="s">
        <v>932</v>
      </c>
      <c r="F9" s="386">
        <v>0</v>
      </c>
      <c r="G9" s="386">
        <v>0</v>
      </c>
      <c r="H9" s="387">
        <v>0</v>
      </c>
      <c r="I9" s="388">
        <v>45505.568715277775</v>
      </c>
      <c r="J9" s="386">
        <v>-2.1999999999999999E-2</v>
      </c>
      <c r="K9" s="386">
        <v>19.899999999999999</v>
      </c>
      <c r="L9" s="386">
        <v>1</v>
      </c>
      <c r="M9" s="389">
        <f t="shared" si="0"/>
        <v>-2.1999999999999999E-2</v>
      </c>
      <c r="N9" s="378" t="s">
        <v>934</v>
      </c>
      <c r="O9" s="378" t="s">
        <v>12</v>
      </c>
    </row>
    <row r="10" spans="1:15">
      <c r="A10" s="384">
        <v>45505</v>
      </c>
      <c r="B10" s="385" t="s">
        <v>935</v>
      </c>
      <c r="C10" s="386">
        <v>9</v>
      </c>
      <c r="D10" s="386">
        <v>0</v>
      </c>
      <c r="E10" s="386" t="s">
        <v>936</v>
      </c>
      <c r="F10" s="386">
        <v>0</v>
      </c>
      <c r="G10" s="386">
        <v>0</v>
      </c>
      <c r="H10" s="387">
        <v>0</v>
      </c>
      <c r="I10" s="388">
        <v>45505.569641203707</v>
      </c>
      <c r="J10" s="386">
        <v>-0.432</v>
      </c>
      <c r="K10" s="386">
        <v>0</v>
      </c>
      <c r="L10" s="386">
        <v>1</v>
      </c>
      <c r="M10" s="389">
        <f t="shared" si="0"/>
        <v>-0.432</v>
      </c>
      <c r="N10" s="378" t="s">
        <v>934</v>
      </c>
      <c r="O10" s="378" t="s">
        <v>12</v>
      </c>
    </row>
    <row r="11" spans="1:15">
      <c r="A11" s="384">
        <v>45505</v>
      </c>
      <c r="B11" s="385" t="s">
        <v>937</v>
      </c>
      <c r="C11" s="386">
        <v>10</v>
      </c>
      <c r="D11" s="386">
        <v>921</v>
      </c>
      <c r="E11" s="386" t="s">
        <v>938</v>
      </c>
      <c r="F11" s="386">
        <v>0</v>
      </c>
      <c r="G11" s="386">
        <v>1</v>
      </c>
      <c r="H11" s="387">
        <v>1</v>
      </c>
      <c r="I11" s="388">
        <v>45505.572418981479</v>
      </c>
      <c r="J11" s="386">
        <v>2.2269999999999999</v>
      </c>
      <c r="K11" s="386">
        <v>128.99</v>
      </c>
      <c r="L11" s="386">
        <v>1</v>
      </c>
      <c r="M11" s="389">
        <f t="shared" si="0"/>
        <v>2.2269999999999999</v>
      </c>
      <c r="N11" s="390">
        <f t="shared" ref="N11:N13" si="2">M11</f>
        <v>2.2269999999999999</v>
      </c>
      <c r="O11" s="378" t="s">
        <v>12</v>
      </c>
    </row>
    <row r="12" spans="1:15">
      <c r="A12" s="384">
        <v>45505</v>
      </c>
      <c r="B12" s="385" t="s">
        <v>939</v>
      </c>
      <c r="C12" s="386">
        <v>11</v>
      </c>
      <c r="D12" s="386">
        <v>904</v>
      </c>
      <c r="E12" s="386" t="s">
        <v>940</v>
      </c>
      <c r="F12" s="386">
        <v>0</v>
      </c>
      <c r="G12" s="386">
        <v>1</v>
      </c>
      <c r="H12" s="387">
        <v>2</v>
      </c>
      <c r="I12" s="388">
        <v>45505.573344907411</v>
      </c>
      <c r="J12" s="386">
        <v>0.63500000000000001</v>
      </c>
      <c r="K12" s="386">
        <v>51.75</v>
      </c>
      <c r="L12" s="386">
        <v>1</v>
      </c>
      <c r="M12" s="389">
        <f t="shared" si="0"/>
        <v>0.63500000000000001</v>
      </c>
      <c r="N12" s="390">
        <f t="shared" si="2"/>
        <v>0.63500000000000001</v>
      </c>
      <c r="O12" s="378" t="s">
        <v>12</v>
      </c>
    </row>
    <row r="13" spans="1:15">
      <c r="A13" s="384">
        <v>45505</v>
      </c>
      <c r="B13" s="385" t="s">
        <v>939</v>
      </c>
      <c r="C13" s="386">
        <v>12</v>
      </c>
      <c r="D13" s="386">
        <v>904</v>
      </c>
      <c r="E13" s="386" t="s">
        <v>940</v>
      </c>
      <c r="F13" s="386">
        <v>0</v>
      </c>
      <c r="G13" s="386">
        <v>1</v>
      </c>
      <c r="H13" s="387">
        <v>3</v>
      </c>
      <c r="I13" s="388">
        <v>45505.574270833335</v>
      </c>
      <c r="J13" s="386">
        <v>0.63500000000000001</v>
      </c>
      <c r="K13" s="386">
        <v>51.75</v>
      </c>
      <c r="L13" s="386">
        <v>1</v>
      </c>
      <c r="M13" s="389">
        <f t="shared" si="0"/>
        <v>0.63500000000000001</v>
      </c>
      <c r="N13" s="390">
        <f t="shared" si="2"/>
        <v>0.63500000000000001</v>
      </c>
      <c r="O13" s="378" t="s">
        <v>12</v>
      </c>
    </row>
    <row r="14" spans="1:15">
      <c r="A14" s="384">
        <v>45505</v>
      </c>
      <c r="B14" s="385" t="s">
        <v>79</v>
      </c>
      <c r="C14" s="386">
        <v>13</v>
      </c>
      <c r="D14" s="386">
        <v>905</v>
      </c>
      <c r="E14" s="386" t="s">
        <v>941</v>
      </c>
      <c r="F14" s="386">
        <v>0</v>
      </c>
      <c r="G14" s="386">
        <v>0</v>
      </c>
      <c r="H14" s="387">
        <v>1</v>
      </c>
      <c r="I14" s="388">
        <v>45505.575196759259</v>
      </c>
      <c r="J14" s="386">
        <v>-2.5000000000000001E-2</v>
      </c>
      <c r="K14" s="386">
        <v>19.71</v>
      </c>
      <c r="L14" s="386">
        <v>1</v>
      </c>
      <c r="M14" s="389">
        <f t="shared" si="0"/>
        <v>-2.5000000000000001E-2</v>
      </c>
      <c r="N14" s="378" t="s">
        <v>934</v>
      </c>
      <c r="O14" s="378" t="s">
        <v>12</v>
      </c>
    </row>
    <row r="15" spans="1:15">
      <c r="A15" s="384">
        <v>45505</v>
      </c>
      <c r="B15" s="385" t="s">
        <v>942</v>
      </c>
      <c r="C15" s="386">
        <v>14</v>
      </c>
      <c r="D15" s="386">
        <v>906</v>
      </c>
      <c r="E15" s="386" t="s">
        <v>943</v>
      </c>
      <c r="F15" s="386">
        <v>0</v>
      </c>
      <c r="G15" s="386">
        <v>0</v>
      </c>
      <c r="H15" s="387">
        <v>2</v>
      </c>
      <c r="I15" s="388">
        <v>45505.576122685183</v>
      </c>
      <c r="J15" s="386">
        <v>0.94799999999999995</v>
      </c>
      <c r="K15" s="386">
        <v>66.959999999999994</v>
      </c>
      <c r="L15" s="386">
        <v>1</v>
      </c>
      <c r="M15" s="389">
        <f t="shared" si="0"/>
        <v>0.94799999999999995</v>
      </c>
      <c r="N15" s="390">
        <f t="shared" ref="N15:N28" si="3">M15</f>
        <v>0.94799999999999995</v>
      </c>
      <c r="O15" s="378" t="s">
        <v>12</v>
      </c>
    </row>
    <row r="16" spans="1:15">
      <c r="A16" s="384">
        <v>45505</v>
      </c>
      <c r="B16" s="385" t="s">
        <v>944</v>
      </c>
      <c r="C16" s="386">
        <v>15</v>
      </c>
      <c r="D16" s="386">
        <v>907</v>
      </c>
      <c r="E16" s="386" t="s">
        <v>945</v>
      </c>
      <c r="F16" s="386">
        <v>0</v>
      </c>
      <c r="G16" s="386">
        <v>0</v>
      </c>
      <c r="H16" s="387">
        <v>0</v>
      </c>
      <c r="I16" s="388">
        <v>45505.577048611114</v>
      </c>
      <c r="J16" s="386">
        <v>1.4830000000000001</v>
      </c>
      <c r="K16" s="386">
        <v>92.89</v>
      </c>
      <c r="L16" s="386">
        <v>1</v>
      </c>
      <c r="M16" s="389">
        <f t="shared" si="0"/>
        <v>1.4830000000000001</v>
      </c>
      <c r="N16" s="390">
        <f t="shared" si="3"/>
        <v>1.4830000000000001</v>
      </c>
      <c r="O16" s="378" t="s">
        <v>12</v>
      </c>
    </row>
    <row r="17" spans="1:15">
      <c r="A17" s="384">
        <v>45505</v>
      </c>
      <c r="B17" s="385">
        <v>10</v>
      </c>
      <c r="C17" s="386">
        <v>16</v>
      </c>
      <c r="D17" s="386">
        <v>1</v>
      </c>
      <c r="E17" s="386" t="s">
        <v>941</v>
      </c>
      <c r="F17" s="386">
        <v>0</v>
      </c>
      <c r="G17" s="386">
        <v>0</v>
      </c>
      <c r="H17" s="387">
        <v>0</v>
      </c>
      <c r="I17" s="388">
        <v>45505.577974537038</v>
      </c>
      <c r="J17" s="386">
        <v>8.5999999999999993E-2</v>
      </c>
      <c r="K17" s="386">
        <v>25.14</v>
      </c>
      <c r="L17" s="386">
        <v>1</v>
      </c>
      <c r="M17" s="389">
        <f t="shared" si="0"/>
        <v>8.5999999999999993E-2</v>
      </c>
      <c r="N17" s="390">
        <f t="shared" si="3"/>
        <v>8.5999999999999993E-2</v>
      </c>
      <c r="O17" s="378" t="s">
        <v>12</v>
      </c>
    </row>
    <row r="18" spans="1:15">
      <c r="A18" s="384">
        <v>45505</v>
      </c>
      <c r="B18" s="385">
        <v>75</v>
      </c>
      <c r="C18" s="386">
        <v>17</v>
      </c>
      <c r="D18" s="386">
        <v>2</v>
      </c>
      <c r="E18" s="386" t="s">
        <v>941</v>
      </c>
      <c r="F18" s="386">
        <v>0</v>
      </c>
      <c r="G18" s="386">
        <v>0</v>
      </c>
      <c r="H18" s="387">
        <v>0</v>
      </c>
      <c r="I18" s="388">
        <v>45505.578900462962</v>
      </c>
      <c r="J18" s="386">
        <v>0.39900000000000002</v>
      </c>
      <c r="K18" s="386">
        <v>40.29</v>
      </c>
      <c r="L18" s="386">
        <v>1</v>
      </c>
      <c r="M18" s="389">
        <f t="shared" si="0"/>
        <v>0.39900000000000002</v>
      </c>
      <c r="N18" s="390">
        <f t="shared" si="3"/>
        <v>0.39900000000000002</v>
      </c>
      <c r="O18" s="378" t="s">
        <v>12</v>
      </c>
    </row>
    <row r="19" spans="1:15">
      <c r="A19" s="384">
        <v>45505</v>
      </c>
      <c r="B19" s="385">
        <v>114</v>
      </c>
      <c r="C19" s="386">
        <v>18</v>
      </c>
      <c r="D19" s="386">
        <v>3</v>
      </c>
      <c r="E19" s="386" t="s">
        <v>941</v>
      </c>
      <c r="F19" s="386">
        <v>0</v>
      </c>
      <c r="G19" s="386">
        <v>0</v>
      </c>
      <c r="H19" s="387">
        <v>0</v>
      </c>
      <c r="I19" s="388">
        <v>45505.579826388886</v>
      </c>
      <c r="J19" s="386">
        <v>0.21199999999999999</v>
      </c>
      <c r="K19" s="386">
        <v>31.22</v>
      </c>
      <c r="L19" s="386">
        <v>1</v>
      </c>
      <c r="M19" s="389">
        <f t="shared" si="0"/>
        <v>0.21199999999999999</v>
      </c>
      <c r="N19" s="390">
        <f t="shared" si="3"/>
        <v>0.21199999999999999</v>
      </c>
      <c r="O19" s="378" t="s">
        <v>12</v>
      </c>
    </row>
    <row r="20" spans="1:15">
      <c r="A20" s="384">
        <v>45505</v>
      </c>
      <c r="B20" s="385">
        <v>62</v>
      </c>
      <c r="C20" s="386">
        <v>19</v>
      </c>
      <c r="D20" s="386">
        <v>4</v>
      </c>
      <c r="E20" s="386" t="s">
        <v>941</v>
      </c>
      <c r="F20" s="386">
        <v>0</v>
      </c>
      <c r="G20" s="386">
        <v>0</v>
      </c>
      <c r="H20" s="387">
        <v>0</v>
      </c>
      <c r="I20" s="388">
        <v>45505.580752314818</v>
      </c>
      <c r="J20" s="386">
        <v>0.115</v>
      </c>
      <c r="K20" s="386">
        <v>26.54</v>
      </c>
      <c r="L20" s="386">
        <v>1</v>
      </c>
      <c r="M20" s="389">
        <f t="shared" si="0"/>
        <v>0.115</v>
      </c>
      <c r="N20" s="390">
        <f t="shared" si="3"/>
        <v>0.115</v>
      </c>
      <c r="O20" s="378" t="s">
        <v>12</v>
      </c>
    </row>
    <row r="21" spans="1:15">
      <c r="A21" s="384">
        <v>45505</v>
      </c>
      <c r="B21" s="385">
        <v>88</v>
      </c>
      <c r="C21" s="386">
        <v>20</v>
      </c>
      <c r="D21" s="386">
        <v>5</v>
      </c>
      <c r="E21" s="386" t="s">
        <v>941</v>
      </c>
      <c r="F21" s="386">
        <v>0</v>
      </c>
      <c r="G21" s="388">
        <v>0</v>
      </c>
      <c r="H21" s="387">
        <v>1</v>
      </c>
      <c r="I21" s="388">
        <v>45505.581678240742</v>
      </c>
      <c r="J21" s="386">
        <v>0.14000000000000001</v>
      </c>
      <c r="K21" s="386">
        <v>27.74</v>
      </c>
      <c r="L21" s="386">
        <v>1</v>
      </c>
      <c r="M21" s="389">
        <f t="shared" si="0"/>
        <v>0.14000000000000001</v>
      </c>
      <c r="N21" s="390">
        <f t="shared" si="3"/>
        <v>0.14000000000000001</v>
      </c>
      <c r="O21" s="378" t="s">
        <v>12</v>
      </c>
    </row>
    <row r="22" spans="1:15">
      <c r="A22" s="384">
        <v>45505</v>
      </c>
      <c r="B22" s="385">
        <v>205</v>
      </c>
      <c r="C22" s="386">
        <v>21</v>
      </c>
      <c r="D22" s="386">
        <v>6</v>
      </c>
      <c r="E22" s="386" t="s">
        <v>941</v>
      </c>
      <c r="F22" s="386">
        <v>0</v>
      </c>
      <c r="G22" s="388">
        <v>0</v>
      </c>
      <c r="H22" s="387">
        <v>0</v>
      </c>
      <c r="I22" s="388">
        <v>45505.582604166666</v>
      </c>
      <c r="J22" s="386">
        <v>8.5999999999999993E-2</v>
      </c>
      <c r="K22" s="386">
        <v>25.13</v>
      </c>
      <c r="L22" s="386">
        <v>1</v>
      </c>
      <c r="M22" s="389">
        <f t="shared" si="0"/>
        <v>8.5999999999999993E-2</v>
      </c>
      <c r="N22" s="390">
        <f t="shared" si="3"/>
        <v>8.5999999999999993E-2</v>
      </c>
      <c r="O22" s="378" t="s">
        <v>12</v>
      </c>
    </row>
    <row r="23" spans="1:15">
      <c r="A23" s="384">
        <v>45505</v>
      </c>
      <c r="B23" s="385">
        <v>270</v>
      </c>
      <c r="C23" s="386">
        <v>22</v>
      </c>
      <c r="D23" s="386">
        <v>7</v>
      </c>
      <c r="E23" s="386" t="s">
        <v>941</v>
      </c>
      <c r="F23" s="386">
        <v>0</v>
      </c>
      <c r="G23" s="388">
        <v>0</v>
      </c>
      <c r="H23" s="387">
        <v>0</v>
      </c>
      <c r="I23" s="388">
        <v>45505.58353009259</v>
      </c>
      <c r="J23" s="386">
        <v>0.96199999999999997</v>
      </c>
      <c r="K23" s="386">
        <v>67.650000000000006</v>
      </c>
      <c r="L23" s="386">
        <v>1</v>
      </c>
      <c r="M23" s="389">
        <f t="shared" si="0"/>
        <v>0.96199999999999997</v>
      </c>
      <c r="N23" s="390">
        <f t="shared" si="3"/>
        <v>0.96199999999999997</v>
      </c>
      <c r="O23" s="378" t="s">
        <v>12</v>
      </c>
    </row>
    <row r="24" spans="1:15">
      <c r="A24" s="384">
        <v>45505</v>
      </c>
      <c r="B24" s="385">
        <v>101</v>
      </c>
      <c r="C24" s="386">
        <v>23</v>
      </c>
      <c r="D24" s="386">
        <v>8</v>
      </c>
      <c r="E24" s="386" t="s">
        <v>941</v>
      </c>
      <c r="F24" s="386">
        <v>0</v>
      </c>
      <c r="G24" s="388">
        <v>0</v>
      </c>
      <c r="H24" s="387">
        <v>0</v>
      </c>
      <c r="I24" s="388">
        <v>45505.584456018521</v>
      </c>
      <c r="J24" s="386">
        <v>0.158</v>
      </c>
      <c r="K24" s="386">
        <v>28.61</v>
      </c>
      <c r="L24" s="386">
        <v>1</v>
      </c>
      <c r="M24" s="389">
        <f t="shared" si="0"/>
        <v>0.158</v>
      </c>
      <c r="N24" s="390">
        <f t="shared" si="3"/>
        <v>0.158</v>
      </c>
      <c r="O24" s="378" t="s">
        <v>12</v>
      </c>
    </row>
    <row r="25" spans="1:15">
      <c r="A25" s="384">
        <v>45505</v>
      </c>
      <c r="B25" s="385">
        <v>127</v>
      </c>
      <c r="C25" s="386">
        <v>24</v>
      </c>
      <c r="D25" s="386">
        <v>9</v>
      </c>
      <c r="E25" s="386" t="s">
        <v>941</v>
      </c>
      <c r="F25" s="386">
        <v>0</v>
      </c>
      <c r="G25" s="388">
        <v>0</v>
      </c>
      <c r="H25" s="387">
        <v>0</v>
      </c>
      <c r="I25" s="388">
        <v>45505.585381944446</v>
      </c>
      <c r="J25" s="386">
        <v>0.08</v>
      </c>
      <c r="K25" s="386">
        <v>24.81</v>
      </c>
      <c r="L25" s="386">
        <v>1</v>
      </c>
      <c r="M25" s="389">
        <f t="shared" si="0"/>
        <v>0.08</v>
      </c>
      <c r="N25" s="390">
        <f t="shared" si="3"/>
        <v>0.08</v>
      </c>
      <c r="O25" s="378" t="s">
        <v>12</v>
      </c>
    </row>
    <row r="26" spans="1:15">
      <c r="A26" s="384">
        <v>45505</v>
      </c>
      <c r="B26" s="385">
        <v>439</v>
      </c>
      <c r="C26" s="386">
        <v>25</v>
      </c>
      <c r="D26" s="386">
        <v>10</v>
      </c>
      <c r="E26" s="386" t="s">
        <v>941</v>
      </c>
      <c r="F26" s="386">
        <v>0</v>
      </c>
      <c r="G26" s="388">
        <v>0</v>
      </c>
      <c r="H26" s="387">
        <v>1</v>
      </c>
      <c r="I26" s="388">
        <v>45505.58630787037</v>
      </c>
      <c r="J26" s="386">
        <v>3.4000000000000002E-2</v>
      </c>
      <c r="K26" s="386">
        <v>22.58</v>
      </c>
      <c r="L26" s="386">
        <v>1</v>
      </c>
      <c r="M26" s="389">
        <f t="shared" si="0"/>
        <v>3.4000000000000002E-2</v>
      </c>
      <c r="N26" s="390">
        <f t="shared" si="3"/>
        <v>3.4000000000000002E-2</v>
      </c>
      <c r="O26" s="378" t="s">
        <v>12</v>
      </c>
    </row>
    <row r="27" spans="1:15">
      <c r="A27" s="384">
        <v>45505</v>
      </c>
      <c r="B27" s="385" t="s">
        <v>946</v>
      </c>
      <c r="C27" s="386">
        <v>26</v>
      </c>
      <c r="D27" s="386">
        <v>11</v>
      </c>
      <c r="E27" s="386" t="s">
        <v>943</v>
      </c>
      <c r="F27" s="386">
        <v>0</v>
      </c>
      <c r="G27" s="388">
        <v>0</v>
      </c>
      <c r="H27" s="387">
        <v>2</v>
      </c>
      <c r="I27" s="388">
        <v>45505.587233796294</v>
      </c>
      <c r="J27" s="386">
        <v>1.2170000000000001</v>
      </c>
      <c r="K27" s="386">
        <v>79.97</v>
      </c>
      <c r="L27" s="386">
        <v>1</v>
      </c>
      <c r="M27" s="389">
        <f t="shared" si="0"/>
        <v>1.2170000000000001</v>
      </c>
      <c r="N27" s="390">
        <f t="shared" si="3"/>
        <v>1.2170000000000001</v>
      </c>
      <c r="O27" s="378" t="s">
        <v>12</v>
      </c>
    </row>
    <row r="28" spans="1:15">
      <c r="A28" s="384">
        <v>45505</v>
      </c>
      <c r="B28" s="385" t="s">
        <v>944</v>
      </c>
      <c r="C28" s="386">
        <v>27</v>
      </c>
      <c r="D28" s="386">
        <v>907</v>
      </c>
      <c r="E28" s="386" t="s">
        <v>945</v>
      </c>
      <c r="F28" s="386">
        <v>0</v>
      </c>
      <c r="G28" s="388">
        <v>0</v>
      </c>
      <c r="H28" s="387">
        <v>0</v>
      </c>
      <c r="I28" s="388">
        <v>45505.588159722225</v>
      </c>
      <c r="J28" s="386">
        <v>1.532</v>
      </c>
      <c r="K28" s="386">
        <v>95.26</v>
      </c>
      <c r="L28" s="386">
        <v>1</v>
      </c>
      <c r="M28" s="389">
        <f t="shared" si="0"/>
        <v>1.532</v>
      </c>
      <c r="N28" s="390">
        <f t="shared" si="3"/>
        <v>1.532</v>
      </c>
      <c r="O28" s="378" t="s">
        <v>12</v>
      </c>
    </row>
    <row r="29" spans="1:15">
      <c r="A29" s="384">
        <v>45505</v>
      </c>
      <c r="B29" s="385" t="s">
        <v>935</v>
      </c>
      <c r="C29" s="386">
        <v>28</v>
      </c>
      <c r="D29" s="386">
        <v>0</v>
      </c>
      <c r="E29" s="386" t="s">
        <v>936</v>
      </c>
      <c r="F29" s="386">
        <v>0</v>
      </c>
      <c r="G29" s="388">
        <v>0</v>
      </c>
      <c r="H29" s="387">
        <v>0</v>
      </c>
      <c r="I29" s="388">
        <v>45505.589085648149</v>
      </c>
      <c r="J29" s="386">
        <v>-0.432</v>
      </c>
      <c r="K29" s="386">
        <v>0</v>
      </c>
      <c r="L29" s="386">
        <v>1</v>
      </c>
      <c r="M29" s="389">
        <f t="shared" si="0"/>
        <v>-0.432</v>
      </c>
      <c r="N29" s="378" t="s">
        <v>934</v>
      </c>
      <c r="O29" s="378" t="s">
        <v>12</v>
      </c>
    </row>
    <row r="30" spans="1:15">
      <c r="A30" s="384">
        <v>45505</v>
      </c>
      <c r="B30" s="385">
        <v>153</v>
      </c>
      <c r="C30" s="386">
        <v>29</v>
      </c>
      <c r="D30" s="386">
        <v>12</v>
      </c>
      <c r="E30" s="386" t="s">
        <v>941</v>
      </c>
      <c r="F30" s="386">
        <v>0</v>
      </c>
      <c r="G30" s="388">
        <v>0</v>
      </c>
      <c r="H30" s="387">
        <v>0</v>
      </c>
      <c r="I30" s="388">
        <v>45505.591863425929</v>
      </c>
      <c r="J30" s="386">
        <v>0.125</v>
      </c>
      <c r="K30" s="386">
        <v>27.01</v>
      </c>
      <c r="L30" s="386">
        <v>1</v>
      </c>
      <c r="M30" s="389">
        <f t="shared" si="0"/>
        <v>0.125</v>
      </c>
      <c r="N30" s="390">
        <f t="shared" ref="N30:N41" si="4">M30</f>
        <v>0.125</v>
      </c>
      <c r="O30" s="378" t="s">
        <v>12</v>
      </c>
    </row>
    <row r="31" spans="1:15">
      <c r="A31" s="384">
        <v>45505</v>
      </c>
      <c r="B31" s="385">
        <v>283</v>
      </c>
      <c r="C31" s="386">
        <v>30</v>
      </c>
      <c r="D31" s="386">
        <v>13</v>
      </c>
      <c r="E31" s="386" t="s">
        <v>941</v>
      </c>
      <c r="F31" s="386">
        <v>0</v>
      </c>
      <c r="G31" s="388">
        <v>0</v>
      </c>
      <c r="H31" s="387">
        <v>0</v>
      </c>
      <c r="I31" s="388">
        <v>45505.592789351853</v>
      </c>
      <c r="J31" s="386">
        <v>7.0999999999999994E-2</v>
      </c>
      <c r="K31" s="386">
        <v>24.38</v>
      </c>
      <c r="L31" s="386">
        <v>1</v>
      </c>
      <c r="M31" s="389">
        <f t="shared" si="0"/>
        <v>7.0999999999999994E-2</v>
      </c>
      <c r="N31" s="390">
        <f t="shared" si="4"/>
        <v>7.0999999999999994E-2</v>
      </c>
      <c r="O31" s="378" t="s">
        <v>12</v>
      </c>
    </row>
    <row r="32" spans="1:15">
      <c r="A32" s="384">
        <v>45505</v>
      </c>
      <c r="B32" s="385">
        <v>322</v>
      </c>
      <c r="C32" s="386">
        <v>31</v>
      </c>
      <c r="D32" s="386">
        <v>14</v>
      </c>
      <c r="E32" s="386" t="s">
        <v>941</v>
      </c>
      <c r="F32" s="386">
        <v>0</v>
      </c>
      <c r="G32" s="388">
        <v>0</v>
      </c>
      <c r="H32" s="387">
        <v>0</v>
      </c>
      <c r="I32" s="388">
        <v>45505.593715277777</v>
      </c>
      <c r="J32" s="386">
        <v>0.55400000000000005</v>
      </c>
      <c r="K32" s="386">
        <v>47.84</v>
      </c>
      <c r="L32" s="386">
        <v>1</v>
      </c>
      <c r="M32" s="389">
        <f t="shared" si="0"/>
        <v>0.55400000000000005</v>
      </c>
      <c r="N32" s="390">
        <f t="shared" si="4"/>
        <v>0.55400000000000005</v>
      </c>
      <c r="O32" s="378" t="s">
        <v>12</v>
      </c>
    </row>
    <row r="33" spans="1:15">
      <c r="A33" s="384">
        <v>45505</v>
      </c>
      <c r="B33" s="385">
        <v>348</v>
      </c>
      <c r="C33" s="386">
        <v>32</v>
      </c>
      <c r="D33" s="386">
        <v>15</v>
      </c>
      <c r="E33" s="386" t="s">
        <v>941</v>
      </c>
      <c r="F33" s="386">
        <v>0</v>
      </c>
      <c r="G33" s="388">
        <v>0</v>
      </c>
      <c r="H33" s="387">
        <v>0</v>
      </c>
      <c r="I33" s="388">
        <v>45505.594641203701</v>
      </c>
      <c r="J33" s="386">
        <v>0.154</v>
      </c>
      <c r="K33" s="386">
        <v>28.41</v>
      </c>
      <c r="L33" s="386">
        <v>1</v>
      </c>
      <c r="M33" s="389">
        <f t="shared" si="0"/>
        <v>0.154</v>
      </c>
      <c r="N33" s="390">
        <f t="shared" si="4"/>
        <v>0.154</v>
      </c>
      <c r="O33" s="378" t="s">
        <v>12</v>
      </c>
    </row>
    <row r="34" spans="1:15">
      <c r="A34" s="384">
        <v>45505</v>
      </c>
      <c r="B34" s="385">
        <v>166</v>
      </c>
      <c r="C34" s="386">
        <v>33</v>
      </c>
      <c r="D34" s="386">
        <v>16</v>
      </c>
      <c r="E34" s="386" t="s">
        <v>941</v>
      </c>
      <c r="F34" s="386">
        <v>0</v>
      </c>
      <c r="G34" s="388">
        <v>0</v>
      </c>
      <c r="H34" s="387">
        <v>1</v>
      </c>
      <c r="I34" s="388">
        <v>45505.595567129632</v>
      </c>
      <c r="J34" s="386">
        <v>0.29499999999999998</v>
      </c>
      <c r="K34" s="386">
        <v>35.26</v>
      </c>
      <c r="L34" s="386">
        <v>1</v>
      </c>
      <c r="M34" s="389">
        <f t="shared" si="0"/>
        <v>0.29499999999999998</v>
      </c>
      <c r="N34" s="390">
        <f t="shared" si="4"/>
        <v>0.29499999999999998</v>
      </c>
      <c r="O34" s="378" t="s">
        <v>12</v>
      </c>
    </row>
    <row r="35" spans="1:15">
      <c r="A35" s="384">
        <v>45505</v>
      </c>
      <c r="B35" s="385">
        <v>140</v>
      </c>
      <c r="C35" s="386">
        <v>34</v>
      </c>
      <c r="D35" s="386">
        <v>17</v>
      </c>
      <c r="E35" s="386" t="s">
        <v>941</v>
      </c>
      <c r="F35" s="386">
        <v>0</v>
      </c>
      <c r="G35" s="388">
        <v>0</v>
      </c>
      <c r="H35" s="387">
        <v>0</v>
      </c>
      <c r="I35" s="388">
        <v>45505.596493055556</v>
      </c>
      <c r="J35" s="386">
        <v>0.40899999999999997</v>
      </c>
      <c r="K35" s="386">
        <v>40.770000000000003</v>
      </c>
      <c r="L35" s="386">
        <v>1</v>
      </c>
      <c r="M35" s="389">
        <f t="shared" si="0"/>
        <v>0.40899999999999997</v>
      </c>
      <c r="N35" s="390">
        <f t="shared" si="4"/>
        <v>0.40899999999999997</v>
      </c>
      <c r="O35" s="378" t="s">
        <v>12</v>
      </c>
    </row>
    <row r="36" spans="1:15">
      <c r="A36" s="384">
        <v>45505</v>
      </c>
      <c r="B36" s="385">
        <v>23</v>
      </c>
      <c r="C36" s="386">
        <v>35</v>
      </c>
      <c r="D36" s="386">
        <v>18</v>
      </c>
      <c r="E36" s="386" t="s">
        <v>941</v>
      </c>
      <c r="F36" s="386">
        <v>0</v>
      </c>
      <c r="G36" s="388">
        <v>0</v>
      </c>
      <c r="H36" s="387">
        <v>0</v>
      </c>
      <c r="I36" s="388">
        <v>45505.597418981481</v>
      </c>
      <c r="J36" s="386">
        <v>0.16900000000000001</v>
      </c>
      <c r="K36" s="386">
        <v>29.16</v>
      </c>
      <c r="L36" s="386">
        <v>1</v>
      </c>
      <c r="M36" s="389">
        <f t="shared" si="0"/>
        <v>0.16900000000000001</v>
      </c>
      <c r="N36" s="390">
        <f t="shared" si="4"/>
        <v>0.16900000000000001</v>
      </c>
      <c r="O36" s="378" t="s">
        <v>12</v>
      </c>
    </row>
    <row r="37" spans="1:15">
      <c r="A37" s="384">
        <v>45505</v>
      </c>
      <c r="B37" s="385">
        <v>36</v>
      </c>
      <c r="C37" s="386">
        <v>36</v>
      </c>
      <c r="D37" s="386">
        <v>19</v>
      </c>
      <c r="E37" s="386" t="s">
        <v>941</v>
      </c>
      <c r="F37" s="386">
        <v>0</v>
      </c>
      <c r="G37" s="388">
        <v>0</v>
      </c>
      <c r="H37" s="387">
        <v>0</v>
      </c>
      <c r="I37" s="388">
        <v>45505.598344907405</v>
      </c>
      <c r="J37" s="386">
        <v>0.374</v>
      </c>
      <c r="K37" s="386">
        <v>39.07</v>
      </c>
      <c r="L37" s="386">
        <v>1</v>
      </c>
      <c r="M37" s="389">
        <f t="shared" si="0"/>
        <v>0.374</v>
      </c>
      <c r="N37" s="390">
        <f t="shared" si="4"/>
        <v>0.374</v>
      </c>
      <c r="O37" s="378" t="s">
        <v>12</v>
      </c>
    </row>
    <row r="38" spans="1:15">
      <c r="A38" s="384">
        <v>45505</v>
      </c>
      <c r="B38" s="385">
        <v>179</v>
      </c>
      <c r="C38" s="386">
        <v>37</v>
      </c>
      <c r="D38" s="386">
        <v>20</v>
      </c>
      <c r="E38" s="386" t="s">
        <v>941</v>
      </c>
      <c r="F38" s="386">
        <v>0</v>
      </c>
      <c r="G38" s="388">
        <v>0</v>
      </c>
      <c r="H38" s="387">
        <v>0</v>
      </c>
      <c r="I38" s="388">
        <v>45505.599270833336</v>
      </c>
      <c r="J38" s="386">
        <v>0.34100000000000003</v>
      </c>
      <c r="K38" s="386">
        <v>37.51</v>
      </c>
      <c r="L38" s="386">
        <v>1</v>
      </c>
      <c r="M38" s="389">
        <f t="shared" si="0"/>
        <v>0.34100000000000003</v>
      </c>
      <c r="N38" s="390">
        <f t="shared" si="4"/>
        <v>0.34100000000000003</v>
      </c>
      <c r="O38" s="378" t="s">
        <v>12</v>
      </c>
    </row>
    <row r="39" spans="1:15">
      <c r="A39" s="384">
        <v>45505</v>
      </c>
      <c r="B39" s="385">
        <v>569</v>
      </c>
      <c r="C39" s="386">
        <v>38</v>
      </c>
      <c r="D39" s="386">
        <v>21</v>
      </c>
      <c r="E39" s="386" t="s">
        <v>941</v>
      </c>
      <c r="F39" s="386">
        <v>0</v>
      </c>
      <c r="G39" s="388">
        <v>0</v>
      </c>
      <c r="H39" s="387">
        <v>0</v>
      </c>
      <c r="I39" s="388">
        <v>45505.60019675926</v>
      </c>
      <c r="J39" s="386">
        <v>0.11600000000000001</v>
      </c>
      <c r="K39" s="386">
        <v>26.57</v>
      </c>
      <c r="L39" s="386">
        <v>1</v>
      </c>
      <c r="M39" s="389">
        <f t="shared" si="0"/>
        <v>0.11600000000000001</v>
      </c>
      <c r="N39" s="390">
        <f t="shared" si="4"/>
        <v>0.11600000000000001</v>
      </c>
      <c r="O39" s="378" t="s">
        <v>12</v>
      </c>
    </row>
    <row r="40" spans="1:15">
      <c r="A40" s="384">
        <v>45505</v>
      </c>
      <c r="B40" s="385" t="s">
        <v>947</v>
      </c>
      <c r="C40" s="386">
        <v>39</v>
      </c>
      <c r="D40" s="386">
        <v>22</v>
      </c>
      <c r="E40" s="386" t="s">
        <v>943</v>
      </c>
      <c r="F40" s="386">
        <v>0</v>
      </c>
      <c r="G40" s="388">
        <v>0</v>
      </c>
      <c r="H40" s="387">
        <v>1</v>
      </c>
      <c r="I40" s="388">
        <v>45505.601122685184</v>
      </c>
      <c r="J40" s="386">
        <v>1.1419999999999999</v>
      </c>
      <c r="K40" s="386">
        <v>76.37</v>
      </c>
      <c r="L40" s="386">
        <v>1</v>
      </c>
      <c r="M40" s="389">
        <f t="shared" si="0"/>
        <v>1.1419999999999999</v>
      </c>
      <c r="N40" s="390">
        <f t="shared" si="4"/>
        <v>1.1419999999999999</v>
      </c>
      <c r="O40" s="378" t="s">
        <v>12</v>
      </c>
    </row>
    <row r="41" spans="1:15">
      <c r="A41" s="384">
        <v>45505</v>
      </c>
      <c r="B41" s="385" t="s">
        <v>944</v>
      </c>
      <c r="C41" s="386">
        <v>40</v>
      </c>
      <c r="D41" s="386">
        <v>907</v>
      </c>
      <c r="E41" s="386" t="s">
        <v>945</v>
      </c>
      <c r="F41" s="386">
        <v>0</v>
      </c>
      <c r="G41" s="388">
        <v>0</v>
      </c>
      <c r="H41" s="387">
        <v>0</v>
      </c>
      <c r="I41" s="388">
        <v>45505.602048611108</v>
      </c>
      <c r="J41" s="386">
        <v>1.4810000000000001</v>
      </c>
      <c r="K41" s="386">
        <v>92.78</v>
      </c>
      <c r="L41" s="386">
        <v>1</v>
      </c>
      <c r="M41" s="389">
        <f t="shared" si="0"/>
        <v>1.4810000000000001</v>
      </c>
      <c r="N41" s="390">
        <f t="shared" si="4"/>
        <v>1.4810000000000001</v>
      </c>
      <c r="O41" s="378" t="s">
        <v>12</v>
      </c>
    </row>
    <row r="42" spans="1:15">
      <c r="A42" s="384">
        <v>45505</v>
      </c>
      <c r="B42" s="385" t="s">
        <v>935</v>
      </c>
      <c r="C42" s="386">
        <v>41</v>
      </c>
      <c r="D42" s="386">
        <v>0</v>
      </c>
      <c r="E42" s="386" t="s">
        <v>936</v>
      </c>
      <c r="F42" s="386">
        <v>0</v>
      </c>
      <c r="G42" s="388">
        <v>0</v>
      </c>
      <c r="H42" s="387">
        <v>0</v>
      </c>
      <c r="I42" s="388">
        <v>45505.60297453704</v>
      </c>
      <c r="J42" s="386">
        <v>-0.432</v>
      </c>
      <c r="K42" s="386">
        <v>0</v>
      </c>
      <c r="L42" s="386">
        <v>1</v>
      </c>
      <c r="M42" s="389">
        <f t="shared" si="0"/>
        <v>-0.432</v>
      </c>
      <c r="N42" s="378" t="s">
        <v>934</v>
      </c>
      <c r="O42" s="378" t="s">
        <v>12</v>
      </c>
    </row>
    <row r="43" spans="1:15">
      <c r="A43" s="384">
        <v>45505</v>
      </c>
      <c r="B43" s="385">
        <v>231</v>
      </c>
      <c r="C43" s="386">
        <v>42</v>
      </c>
      <c r="D43" s="386">
        <v>23</v>
      </c>
      <c r="E43" s="386" t="s">
        <v>941</v>
      </c>
      <c r="F43" s="386">
        <v>0</v>
      </c>
      <c r="G43" s="388">
        <v>0</v>
      </c>
      <c r="H43" s="387">
        <v>0</v>
      </c>
      <c r="I43" s="388">
        <v>45505.605752314812</v>
      </c>
      <c r="J43" s="386">
        <v>0.40400000000000003</v>
      </c>
      <c r="K43" s="386">
        <v>40.54</v>
      </c>
      <c r="L43" s="386">
        <v>1</v>
      </c>
      <c r="M43" s="389">
        <f t="shared" si="0"/>
        <v>0.40400000000000003</v>
      </c>
      <c r="N43" s="390">
        <f t="shared" ref="N43:N44" si="5">M43</f>
        <v>0.40400000000000003</v>
      </c>
      <c r="O43" s="378" t="s">
        <v>12</v>
      </c>
    </row>
    <row r="44" spans="1:15">
      <c r="A44" s="384">
        <v>45505</v>
      </c>
      <c r="B44" s="385">
        <v>218</v>
      </c>
      <c r="C44" s="386">
        <v>43</v>
      </c>
      <c r="D44" s="386">
        <v>24</v>
      </c>
      <c r="E44" s="386" t="s">
        <v>941</v>
      </c>
      <c r="F44" s="386">
        <v>0</v>
      </c>
      <c r="G44" s="388">
        <v>0</v>
      </c>
      <c r="H44" s="387">
        <v>0</v>
      </c>
      <c r="I44" s="388">
        <v>45505.606678240743</v>
      </c>
      <c r="J44" s="386">
        <v>0.11700000000000001</v>
      </c>
      <c r="K44" s="386">
        <v>26.62</v>
      </c>
      <c r="L44" s="386">
        <v>1</v>
      </c>
      <c r="M44" s="389">
        <f t="shared" si="0"/>
        <v>0.11700000000000001</v>
      </c>
      <c r="N44" s="390">
        <f t="shared" si="5"/>
        <v>0.11700000000000001</v>
      </c>
      <c r="O44" s="378" t="s">
        <v>12</v>
      </c>
    </row>
    <row r="45" spans="1:15">
      <c r="A45" s="384">
        <v>45505</v>
      </c>
      <c r="B45" s="385">
        <v>257</v>
      </c>
      <c r="C45" s="386">
        <v>44</v>
      </c>
      <c r="D45" s="386">
        <v>25</v>
      </c>
      <c r="E45" s="386" t="s">
        <v>941</v>
      </c>
      <c r="F45" s="386">
        <v>0</v>
      </c>
      <c r="G45" s="388">
        <v>0</v>
      </c>
      <c r="H45" s="387">
        <v>0</v>
      </c>
      <c r="I45" s="388">
        <v>45505.607604166667</v>
      </c>
      <c r="J45" s="386">
        <v>-5.3999999999999999E-2</v>
      </c>
      <c r="K45" s="386">
        <v>18.32</v>
      </c>
      <c r="L45" s="386">
        <v>1</v>
      </c>
      <c r="M45" s="389">
        <f t="shared" si="0"/>
        <v>-5.3999999999999999E-2</v>
      </c>
      <c r="N45" s="378" t="s">
        <v>934</v>
      </c>
      <c r="O45" s="378" t="s">
        <v>12</v>
      </c>
    </row>
    <row r="46" spans="1:15">
      <c r="A46" s="384">
        <v>45505</v>
      </c>
      <c r="B46" s="385">
        <v>309</v>
      </c>
      <c r="C46" s="386">
        <v>45</v>
      </c>
      <c r="D46" s="386">
        <v>26</v>
      </c>
      <c r="E46" s="386" t="s">
        <v>941</v>
      </c>
      <c r="F46" s="386">
        <v>0</v>
      </c>
      <c r="G46" s="388">
        <v>0</v>
      </c>
      <c r="H46" s="387">
        <v>0</v>
      </c>
      <c r="I46" s="388">
        <v>45505.608530092592</v>
      </c>
      <c r="J46" s="386">
        <v>0.65200000000000002</v>
      </c>
      <c r="K46" s="386">
        <v>52.6</v>
      </c>
      <c r="L46" s="386">
        <v>1</v>
      </c>
      <c r="M46" s="389">
        <f t="shared" si="0"/>
        <v>0.65200000000000002</v>
      </c>
      <c r="N46" s="390">
        <f t="shared" ref="N46:N50" si="6">M46</f>
        <v>0.65200000000000002</v>
      </c>
      <c r="O46" s="378" t="s">
        <v>12</v>
      </c>
    </row>
    <row r="47" spans="1:15">
      <c r="A47" s="384">
        <v>45505</v>
      </c>
      <c r="B47" s="385">
        <v>192</v>
      </c>
      <c r="C47" s="386">
        <v>46</v>
      </c>
      <c r="D47" s="386">
        <v>27</v>
      </c>
      <c r="E47" s="386" t="s">
        <v>941</v>
      </c>
      <c r="F47" s="386">
        <v>0</v>
      </c>
      <c r="G47" s="388">
        <v>0</v>
      </c>
      <c r="H47" s="387">
        <v>0</v>
      </c>
      <c r="I47" s="388">
        <v>45505.609456018516</v>
      </c>
      <c r="J47" s="386">
        <v>0.38300000000000001</v>
      </c>
      <c r="K47" s="386">
        <v>39.520000000000003</v>
      </c>
      <c r="L47" s="386">
        <v>1</v>
      </c>
      <c r="M47" s="389">
        <f t="shared" si="0"/>
        <v>0.38300000000000001</v>
      </c>
      <c r="N47" s="390">
        <f t="shared" si="6"/>
        <v>0.38300000000000001</v>
      </c>
      <c r="O47" s="378" t="s">
        <v>12</v>
      </c>
    </row>
    <row r="48" spans="1:15">
      <c r="A48" s="384">
        <v>45505</v>
      </c>
      <c r="B48" s="385">
        <v>296</v>
      </c>
      <c r="C48" s="386">
        <v>47</v>
      </c>
      <c r="D48" s="386">
        <v>28</v>
      </c>
      <c r="E48" s="386" t="s">
        <v>941</v>
      </c>
      <c r="F48" s="386">
        <v>0</v>
      </c>
      <c r="G48" s="388">
        <v>0</v>
      </c>
      <c r="H48" s="387">
        <v>0</v>
      </c>
      <c r="I48" s="388">
        <v>45505.610381944447</v>
      </c>
      <c r="J48" s="386">
        <v>0.13100000000000001</v>
      </c>
      <c r="K48" s="386">
        <v>27.32</v>
      </c>
      <c r="L48" s="386">
        <v>1</v>
      </c>
      <c r="M48" s="389">
        <f t="shared" si="0"/>
        <v>0.13100000000000001</v>
      </c>
      <c r="N48" s="390">
        <f t="shared" si="6"/>
        <v>0.13100000000000001</v>
      </c>
      <c r="O48" s="378" t="s">
        <v>12</v>
      </c>
    </row>
    <row r="49" spans="1:15">
      <c r="A49" s="384">
        <v>45505</v>
      </c>
      <c r="B49" s="385">
        <v>244</v>
      </c>
      <c r="C49" s="386">
        <v>48</v>
      </c>
      <c r="D49" s="386">
        <v>29</v>
      </c>
      <c r="E49" s="386" t="s">
        <v>941</v>
      </c>
      <c r="F49" s="386">
        <v>0</v>
      </c>
      <c r="G49" s="388">
        <v>0</v>
      </c>
      <c r="H49" s="387">
        <v>0</v>
      </c>
      <c r="I49" s="388">
        <v>45505.611307870371</v>
      </c>
      <c r="J49" s="386">
        <v>0.30599999999999999</v>
      </c>
      <c r="K49" s="386">
        <v>35.799999999999997</v>
      </c>
      <c r="L49" s="386">
        <v>1</v>
      </c>
      <c r="M49" s="389">
        <f t="shared" si="0"/>
        <v>0.30599999999999999</v>
      </c>
      <c r="N49" s="390">
        <f t="shared" si="6"/>
        <v>0.30599999999999999</v>
      </c>
      <c r="O49" s="378" t="s">
        <v>12</v>
      </c>
    </row>
    <row r="50" spans="1:15">
      <c r="A50" s="384">
        <v>45505</v>
      </c>
      <c r="B50" s="385">
        <v>49</v>
      </c>
      <c r="C50" s="386">
        <v>49</v>
      </c>
      <c r="D50" s="386">
        <v>30</v>
      </c>
      <c r="E50" s="386" t="s">
        <v>941</v>
      </c>
      <c r="F50" s="386">
        <v>0</v>
      </c>
      <c r="G50" s="388">
        <v>0</v>
      </c>
      <c r="H50" s="387">
        <v>0</v>
      </c>
      <c r="I50" s="388">
        <v>45505.612233796295</v>
      </c>
      <c r="J50" s="386">
        <v>0.187</v>
      </c>
      <c r="K50" s="386">
        <v>30</v>
      </c>
      <c r="L50" s="386">
        <v>1</v>
      </c>
      <c r="M50" s="389">
        <f t="shared" si="0"/>
        <v>0.187</v>
      </c>
      <c r="N50" s="390">
        <f t="shared" si="6"/>
        <v>0.187</v>
      </c>
      <c r="O50" s="378" t="s">
        <v>12</v>
      </c>
    </row>
    <row r="51" spans="1:15">
      <c r="A51" s="384">
        <v>45505</v>
      </c>
      <c r="B51" s="385">
        <v>582</v>
      </c>
      <c r="C51" s="386">
        <v>50</v>
      </c>
      <c r="D51" s="386">
        <v>31</v>
      </c>
      <c r="E51" s="386" t="s">
        <v>941</v>
      </c>
      <c r="F51" s="386">
        <v>0</v>
      </c>
      <c r="G51" s="388">
        <v>0</v>
      </c>
      <c r="H51" s="387">
        <v>0</v>
      </c>
      <c r="I51" s="388">
        <v>45505.613159722219</v>
      </c>
      <c r="J51" s="386">
        <v>-1.2E-2</v>
      </c>
      <c r="K51" s="386">
        <v>20.37</v>
      </c>
      <c r="L51" s="386">
        <v>1</v>
      </c>
      <c r="M51" s="389">
        <f t="shared" si="0"/>
        <v>-1.2E-2</v>
      </c>
      <c r="N51" s="378" t="s">
        <v>934</v>
      </c>
      <c r="O51" s="378" t="s">
        <v>12</v>
      </c>
    </row>
    <row r="52" spans="1:15">
      <c r="A52" s="384">
        <v>45505</v>
      </c>
      <c r="B52" s="385" t="s">
        <v>948</v>
      </c>
      <c r="C52" s="386">
        <v>51</v>
      </c>
      <c r="D52" s="386">
        <v>32</v>
      </c>
      <c r="E52" s="386" t="s">
        <v>943</v>
      </c>
      <c r="F52" s="386">
        <v>0</v>
      </c>
      <c r="G52" s="388">
        <v>0</v>
      </c>
      <c r="H52" s="387">
        <v>1</v>
      </c>
      <c r="I52" s="388">
        <v>45505.614085648151</v>
      </c>
      <c r="J52" s="386">
        <v>1.135</v>
      </c>
      <c r="K52" s="386">
        <v>76.010000000000005</v>
      </c>
      <c r="L52" s="386">
        <v>1</v>
      </c>
      <c r="M52" s="389">
        <f t="shared" si="0"/>
        <v>1.135</v>
      </c>
      <c r="N52" s="390">
        <f t="shared" ref="N52:N53" si="7">M52</f>
        <v>1.135</v>
      </c>
      <c r="O52" s="378" t="s">
        <v>12</v>
      </c>
    </row>
    <row r="53" spans="1:15">
      <c r="A53" s="384">
        <v>45505</v>
      </c>
      <c r="B53" s="385" t="s">
        <v>944</v>
      </c>
      <c r="C53" s="386">
        <v>52</v>
      </c>
      <c r="D53" s="386">
        <v>907</v>
      </c>
      <c r="E53" s="386" t="s">
        <v>945</v>
      </c>
      <c r="F53" s="386">
        <v>0</v>
      </c>
      <c r="G53" s="388">
        <v>0</v>
      </c>
      <c r="H53" s="387">
        <v>0</v>
      </c>
      <c r="I53" s="388">
        <v>45505.615011574075</v>
      </c>
      <c r="J53" s="386">
        <v>1.4830000000000001</v>
      </c>
      <c r="K53" s="386">
        <v>92.9</v>
      </c>
      <c r="L53" s="386">
        <v>1</v>
      </c>
      <c r="M53" s="389">
        <f t="shared" si="0"/>
        <v>1.4830000000000001</v>
      </c>
      <c r="N53" s="390">
        <f t="shared" si="7"/>
        <v>1.4830000000000001</v>
      </c>
      <c r="O53" s="378" t="s">
        <v>12</v>
      </c>
    </row>
    <row r="54" spans="1:15">
      <c r="A54" s="384">
        <v>45505</v>
      </c>
      <c r="B54" s="385" t="s">
        <v>935</v>
      </c>
      <c r="C54" s="386">
        <v>53</v>
      </c>
      <c r="D54" s="386">
        <v>0</v>
      </c>
      <c r="E54" s="386" t="s">
        <v>936</v>
      </c>
      <c r="F54" s="386">
        <v>0</v>
      </c>
      <c r="G54" s="388">
        <v>0</v>
      </c>
      <c r="H54" s="387">
        <v>0</v>
      </c>
      <c r="I54" s="388">
        <v>45505.615937499999</v>
      </c>
      <c r="J54" s="386">
        <v>-0.432</v>
      </c>
      <c r="K54" s="386">
        <v>0</v>
      </c>
      <c r="L54" s="386">
        <v>1</v>
      </c>
      <c r="M54" s="389">
        <f t="shared" si="0"/>
        <v>-0.432</v>
      </c>
      <c r="N54" s="378" t="s">
        <v>934</v>
      </c>
      <c r="O54" s="378" t="s">
        <v>12</v>
      </c>
    </row>
    <row r="55" spans="1:15">
      <c r="A55" s="384">
        <v>45505</v>
      </c>
      <c r="B55" s="385">
        <v>517</v>
      </c>
      <c r="C55" s="386">
        <v>54</v>
      </c>
      <c r="D55" s="386">
        <v>33</v>
      </c>
      <c r="E55" s="386" t="s">
        <v>941</v>
      </c>
      <c r="F55" s="386">
        <v>0</v>
      </c>
      <c r="G55" s="388">
        <v>0</v>
      </c>
      <c r="H55" s="387">
        <v>0</v>
      </c>
      <c r="I55" s="388">
        <v>45505.618715277778</v>
      </c>
      <c r="J55" s="386">
        <v>0.14199999999999999</v>
      </c>
      <c r="K55" s="386">
        <v>27.82</v>
      </c>
      <c r="L55" s="386">
        <v>1</v>
      </c>
      <c r="M55" s="389">
        <f t="shared" si="0"/>
        <v>0.14199999999999999</v>
      </c>
      <c r="N55" s="390">
        <f>M55</f>
        <v>0.14199999999999999</v>
      </c>
      <c r="O55" s="378" t="s">
        <v>12</v>
      </c>
    </row>
    <row r="56" spans="1:15">
      <c r="A56" s="384">
        <v>45505</v>
      </c>
      <c r="B56" s="385">
        <v>452</v>
      </c>
      <c r="C56" s="386">
        <v>55</v>
      </c>
      <c r="D56" s="386">
        <v>34</v>
      </c>
      <c r="E56" s="386" t="s">
        <v>941</v>
      </c>
      <c r="F56" s="386">
        <v>0</v>
      </c>
      <c r="G56" s="388">
        <v>0</v>
      </c>
      <c r="H56" s="387">
        <v>0</v>
      </c>
      <c r="I56" s="388">
        <v>45505.619641203702</v>
      </c>
      <c r="J56" s="386">
        <v>-1.2E-2</v>
      </c>
      <c r="K56" s="386">
        <v>20.350000000000001</v>
      </c>
      <c r="L56" s="386">
        <v>1</v>
      </c>
      <c r="M56" s="389">
        <f t="shared" si="0"/>
        <v>-1.2E-2</v>
      </c>
      <c r="N56" s="378" t="s">
        <v>934</v>
      </c>
      <c r="O56" s="378" t="s">
        <v>12</v>
      </c>
    </row>
    <row r="57" spans="1:15">
      <c r="A57" s="384">
        <v>45505</v>
      </c>
      <c r="B57" s="385">
        <v>400</v>
      </c>
      <c r="C57" s="386">
        <v>56</v>
      </c>
      <c r="D57" s="386">
        <v>35</v>
      </c>
      <c r="E57" s="386" t="s">
        <v>941</v>
      </c>
      <c r="F57" s="386">
        <v>0</v>
      </c>
      <c r="G57" s="388">
        <v>0</v>
      </c>
      <c r="H57" s="387">
        <v>0</v>
      </c>
      <c r="I57" s="388">
        <v>45505.620567129627</v>
      </c>
      <c r="J57" s="386">
        <v>1.7000000000000001E-2</v>
      </c>
      <c r="K57" s="386">
        <v>21.76</v>
      </c>
      <c r="L57" s="386">
        <v>1</v>
      </c>
      <c r="M57" s="389">
        <f t="shared" si="0"/>
        <v>1.7000000000000001E-2</v>
      </c>
      <c r="N57" s="390">
        <f t="shared" ref="N57:N58" si="8">M57</f>
        <v>1.7000000000000001E-2</v>
      </c>
      <c r="O57" s="378" t="s">
        <v>12</v>
      </c>
    </row>
    <row r="58" spans="1:15">
      <c r="A58" s="384">
        <v>45505</v>
      </c>
      <c r="B58" s="385">
        <v>413</v>
      </c>
      <c r="C58" s="386">
        <v>57</v>
      </c>
      <c r="D58" s="386">
        <v>36</v>
      </c>
      <c r="E58" s="386" t="s">
        <v>941</v>
      </c>
      <c r="F58" s="386">
        <v>0</v>
      </c>
      <c r="G58" s="388">
        <v>0</v>
      </c>
      <c r="H58" s="387">
        <v>0</v>
      </c>
      <c r="I58" s="388">
        <v>45505.621493055558</v>
      </c>
      <c r="J58" s="386">
        <v>8.7999999999999995E-2</v>
      </c>
      <c r="K58" s="386">
        <v>25.21</v>
      </c>
      <c r="L58" s="386">
        <v>1</v>
      </c>
      <c r="M58" s="389">
        <f t="shared" si="0"/>
        <v>8.7999999999999995E-2</v>
      </c>
      <c r="N58" s="390">
        <f t="shared" si="8"/>
        <v>8.7999999999999995E-2</v>
      </c>
      <c r="O58" s="378" t="s">
        <v>12</v>
      </c>
    </row>
    <row r="59" spans="1:15">
      <c r="A59" s="384">
        <v>45505</v>
      </c>
      <c r="B59" s="385">
        <v>374</v>
      </c>
      <c r="C59" s="386">
        <v>58</v>
      </c>
      <c r="D59" s="386">
        <v>37</v>
      </c>
      <c r="E59" s="386" t="s">
        <v>941</v>
      </c>
      <c r="F59" s="386">
        <v>0</v>
      </c>
      <c r="G59" s="388">
        <v>0</v>
      </c>
      <c r="H59" s="387">
        <v>0</v>
      </c>
      <c r="I59" s="388">
        <v>45505.622418981482</v>
      </c>
      <c r="J59" s="386">
        <v>-1.7999999999999999E-2</v>
      </c>
      <c r="K59" s="386">
        <v>20.07</v>
      </c>
      <c r="L59" s="386">
        <v>1</v>
      </c>
      <c r="M59" s="389">
        <f t="shared" si="0"/>
        <v>-1.7999999999999999E-2</v>
      </c>
      <c r="N59" s="378" t="s">
        <v>934</v>
      </c>
      <c r="O59" s="378" t="s">
        <v>12</v>
      </c>
    </row>
    <row r="60" spans="1:15">
      <c r="A60" s="384">
        <v>45505</v>
      </c>
      <c r="B60" s="385">
        <v>543</v>
      </c>
      <c r="C60" s="386">
        <v>59</v>
      </c>
      <c r="D60" s="386">
        <v>38</v>
      </c>
      <c r="E60" s="386" t="s">
        <v>941</v>
      </c>
      <c r="F60" s="386">
        <v>0</v>
      </c>
      <c r="G60" s="388">
        <v>0</v>
      </c>
      <c r="H60" s="387">
        <v>0</v>
      </c>
      <c r="I60" s="388">
        <v>45505.623344907406</v>
      </c>
      <c r="J60" s="386">
        <v>7.5999999999999998E-2</v>
      </c>
      <c r="K60" s="386">
        <v>24.62</v>
      </c>
      <c r="L60" s="386">
        <v>1</v>
      </c>
      <c r="M60" s="389">
        <f t="shared" si="0"/>
        <v>7.5999999999999998E-2</v>
      </c>
      <c r="N60" s="390">
        <f>M60</f>
        <v>7.5999999999999998E-2</v>
      </c>
      <c r="O60" s="378" t="s">
        <v>12</v>
      </c>
    </row>
    <row r="61" spans="1:15">
      <c r="A61" s="384">
        <v>45505</v>
      </c>
      <c r="B61" s="385">
        <v>504</v>
      </c>
      <c r="C61" s="386">
        <v>60</v>
      </c>
      <c r="D61" s="386">
        <v>39</v>
      </c>
      <c r="E61" s="386" t="s">
        <v>941</v>
      </c>
      <c r="F61" s="386">
        <v>0</v>
      </c>
      <c r="G61" s="388">
        <v>0</v>
      </c>
      <c r="H61" s="387">
        <v>0</v>
      </c>
      <c r="I61" s="388">
        <v>45505.62427083333</v>
      </c>
      <c r="J61" s="386">
        <v>-1.4E-2</v>
      </c>
      <c r="K61" s="386">
        <v>20.28</v>
      </c>
      <c r="L61" s="386">
        <v>1</v>
      </c>
      <c r="M61" s="389">
        <f t="shared" si="0"/>
        <v>-1.4E-2</v>
      </c>
      <c r="N61" s="378" t="s">
        <v>934</v>
      </c>
      <c r="O61" s="378" t="s">
        <v>12</v>
      </c>
    </row>
    <row r="62" spans="1:15">
      <c r="A62" s="384">
        <v>45505</v>
      </c>
      <c r="B62" s="385">
        <v>608</v>
      </c>
      <c r="C62" s="386">
        <v>61</v>
      </c>
      <c r="D62" s="386">
        <v>40</v>
      </c>
      <c r="E62" s="386" t="s">
        <v>941</v>
      </c>
      <c r="F62" s="386">
        <v>0</v>
      </c>
      <c r="G62" s="388">
        <v>0</v>
      </c>
      <c r="H62" s="387">
        <v>0</v>
      </c>
      <c r="I62" s="388">
        <v>45505.625196759262</v>
      </c>
      <c r="J62" s="386">
        <v>-1.7000000000000001E-2</v>
      </c>
      <c r="K62" s="386">
        <v>20.13</v>
      </c>
      <c r="L62" s="386">
        <v>1</v>
      </c>
      <c r="M62" s="389">
        <f t="shared" si="0"/>
        <v>-1.7000000000000001E-2</v>
      </c>
      <c r="N62" s="378" t="s">
        <v>934</v>
      </c>
      <c r="O62" s="378" t="s">
        <v>12</v>
      </c>
    </row>
    <row r="63" spans="1:15">
      <c r="A63" s="384">
        <v>45505</v>
      </c>
      <c r="B63" s="385">
        <v>426</v>
      </c>
      <c r="C63" s="386">
        <v>62</v>
      </c>
      <c r="D63" s="386">
        <v>41</v>
      </c>
      <c r="E63" s="386" t="s">
        <v>941</v>
      </c>
      <c r="F63" s="386">
        <v>0</v>
      </c>
      <c r="G63" s="388">
        <v>0</v>
      </c>
      <c r="H63" s="387">
        <v>0</v>
      </c>
      <c r="I63" s="388">
        <v>45505.626122685186</v>
      </c>
      <c r="J63" s="386">
        <v>6.0000000000000001E-3</v>
      </c>
      <c r="K63" s="386">
        <v>21.25</v>
      </c>
      <c r="L63" s="386">
        <v>1</v>
      </c>
      <c r="M63" s="389">
        <f t="shared" si="0"/>
        <v>6.0000000000000001E-3</v>
      </c>
      <c r="N63" s="378" t="s">
        <v>934</v>
      </c>
      <c r="O63" s="378" t="s">
        <v>12</v>
      </c>
    </row>
    <row r="64" spans="1:15">
      <c r="A64" s="384">
        <v>45505</v>
      </c>
      <c r="B64" s="385">
        <v>361</v>
      </c>
      <c r="C64" s="386">
        <v>63</v>
      </c>
      <c r="D64" s="386">
        <v>42</v>
      </c>
      <c r="E64" s="386" t="s">
        <v>941</v>
      </c>
      <c r="F64" s="386">
        <v>0</v>
      </c>
      <c r="G64" s="388">
        <v>0</v>
      </c>
      <c r="H64" s="387">
        <v>0</v>
      </c>
      <c r="I64" s="388">
        <v>45505.62704861111</v>
      </c>
      <c r="J64" s="386">
        <v>3.2000000000000001E-2</v>
      </c>
      <c r="K64" s="386">
        <v>22.5</v>
      </c>
      <c r="L64" s="386">
        <v>1</v>
      </c>
      <c r="M64" s="389">
        <f t="shared" si="0"/>
        <v>3.2000000000000001E-2</v>
      </c>
      <c r="N64" s="390">
        <f t="shared" ref="N64:N66" si="9">M64</f>
        <v>3.2000000000000001E-2</v>
      </c>
      <c r="O64" s="378" t="s">
        <v>12</v>
      </c>
    </row>
    <row r="65" spans="1:15">
      <c r="A65" s="384">
        <v>45505</v>
      </c>
      <c r="B65" s="385" t="s">
        <v>949</v>
      </c>
      <c r="C65" s="386">
        <v>64</v>
      </c>
      <c r="D65" s="386">
        <v>43</v>
      </c>
      <c r="E65" s="386" t="s">
        <v>943</v>
      </c>
      <c r="F65" s="386">
        <v>0</v>
      </c>
      <c r="G65" s="388">
        <v>0</v>
      </c>
      <c r="H65" s="387">
        <v>1</v>
      </c>
      <c r="I65" s="388">
        <v>45505.627974537034</v>
      </c>
      <c r="J65" s="386">
        <v>1.1599999999999999</v>
      </c>
      <c r="K65" s="386">
        <v>77.23</v>
      </c>
      <c r="L65" s="386">
        <v>1</v>
      </c>
      <c r="M65" s="389">
        <f t="shared" si="0"/>
        <v>1.1599999999999999</v>
      </c>
      <c r="N65" s="390">
        <f t="shared" si="9"/>
        <v>1.1599999999999999</v>
      </c>
      <c r="O65" s="378" t="s">
        <v>12</v>
      </c>
    </row>
    <row r="66" spans="1:15">
      <c r="A66" s="384">
        <v>45505</v>
      </c>
      <c r="B66" s="385" t="s">
        <v>944</v>
      </c>
      <c r="C66" s="386">
        <v>65</v>
      </c>
      <c r="D66" s="386">
        <v>907</v>
      </c>
      <c r="E66" s="386" t="s">
        <v>945</v>
      </c>
      <c r="F66" s="386">
        <v>0</v>
      </c>
      <c r="G66" s="388">
        <v>0</v>
      </c>
      <c r="H66" s="387">
        <v>0</v>
      </c>
      <c r="I66" s="388">
        <v>45505.628900462965</v>
      </c>
      <c r="J66" s="386">
        <v>1.4770000000000001</v>
      </c>
      <c r="K66" s="386">
        <v>92.62</v>
      </c>
      <c r="L66" s="386">
        <v>1</v>
      </c>
      <c r="M66" s="389">
        <f t="shared" si="0"/>
        <v>1.4770000000000001</v>
      </c>
      <c r="N66" s="390">
        <f t="shared" si="9"/>
        <v>1.4770000000000001</v>
      </c>
      <c r="O66" s="378" t="s">
        <v>12</v>
      </c>
    </row>
    <row r="67" spans="1:15">
      <c r="A67" s="384">
        <v>45505</v>
      </c>
      <c r="B67" s="385" t="s">
        <v>935</v>
      </c>
      <c r="C67" s="386">
        <v>66</v>
      </c>
      <c r="D67" s="386">
        <v>0</v>
      </c>
      <c r="E67" s="386" t="s">
        <v>936</v>
      </c>
      <c r="F67" s="386">
        <v>0</v>
      </c>
      <c r="G67" s="388">
        <v>0</v>
      </c>
      <c r="H67" s="387">
        <v>0</v>
      </c>
      <c r="I67" s="388">
        <v>45505.629826388889</v>
      </c>
      <c r="J67" s="386">
        <v>-0.432</v>
      </c>
      <c r="K67" s="386">
        <v>0</v>
      </c>
      <c r="L67" s="386">
        <v>1</v>
      </c>
      <c r="M67" s="389">
        <f t="shared" si="0"/>
        <v>-0.432</v>
      </c>
      <c r="N67" s="378" t="s">
        <v>934</v>
      </c>
      <c r="O67" s="378" t="s">
        <v>12</v>
      </c>
    </row>
    <row r="68" spans="1:15">
      <c r="A68" s="384">
        <v>45505</v>
      </c>
      <c r="B68" s="385">
        <v>621</v>
      </c>
      <c r="C68" s="386">
        <v>67</v>
      </c>
      <c r="D68" s="386">
        <v>44</v>
      </c>
      <c r="E68" s="386" t="s">
        <v>941</v>
      </c>
      <c r="F68" s="386">
        <v>0</v>
      </c>
      <c r="G68" s="388">
        <v>0</v>
      </c>
      <c r="H68" s="387">
        <v>0</v>
      </c>
      <c r="I68" s="388">
        <v>45505.632604166669</v>
      </c>
      <c r="J68" s="386">
        <v>0.02</v>
      </c>
      <c r="K68" s="386">
        <v>21.9</v>
      </c>
      <c r="L68" s="386">
        <v>1</v>
      </c>
      <c r="M68" s="389">
        <f t="shared" si="0"/>
        <v>0.02</v>
      </c>
      <c r="N68" s="390">
        <f>M68</f>
        <v>0.02</v>
      </c>
      <c r="O68" s="378" t="s">
        <v>12</v>
      </c>
    </row>
    <row r="69" spans="1:15">
      <c r="A69" s="384">
        <v>45505</v>
      </c>
      <c r="B69" s="385">
        <v>478</v>
      </c>
      <c r="C69" s="386">
        <v>68</v>
      </c>
      <c r="D69" s="386">
        <v>45</v>
      </c>
      <c r="E69" s="386" t="s">
        <v>941</v>
      </c>
      <c r="F69" s="386">
        <v>0</v>
      </c>
      <c r="G69" s="388">
        <v>0</v>
      </c>
      <c r="H69" s="387">
        <v>0</v>
      </c>
      <c r="I69" s="388">
        <v>45505.633530092593</v>
      </c>
      <c r="J69" s="386">
        <v>0</v>
      </c>
      <c r="K69" s="386">
        <v>20.93</v>
      </c>
      <c r="L69" s="386">
        <v>1</v>
      </c>
      <c r="M69" s="389">
        <f t="shared" si="0"/>
        <v>0</v>
      </c>
      <c r="N69" s="378" t="s">
        <v>934</v>
      </c>
      <c r="O69" s="378" t="s">
        <v>12</v>
      </c>
    </row>
    <row r="70" spans="1:15">
      <c r="A70" s="384">
        <v>45505</v>
      </c>
      <c r="B70" s="385">
        <v>335</v>
      </c>
      <c r="C70" s="386">
        <v>69</v>
      </c>
      <c r="D70" s="386">
        <v>46</v>
      </c>
      <c r="E70" s="386" t="s">
        <v>941</v>
      </c>
      <c r="F70" s="386">
        <v>0</v>
      </c>
      <c r="G70" s="388">
        <v>0</v>
      </c>
      <c r="H70" s="387">
        <v>0</v>
      </c>
      <c r="I70" s="388">
        <v>45505.634456018517</v>
      </c>
      <c r="J70" s="386">
        <v>0.188</v>
      </c>
      <c r="K70" s="386">
        <v>30.04</v>
      </c>
      <c r="L70" s="386">
        <v>1</v>
      </c>
      <c r="M70" s="389">
        <f t="shared" si="0"/>
        <v>0.188</v>
      </c>
      <c r="N70" s="390">
        <f t="shared" ref="N70:N72" si="10">M70</f>
        <v>0.188</v>
      </c>
      <c r="O70" s="378" t="s">
        <v>12</v>
      </c>
    </row>
    <row r="71" spans="1:15">
      <c r="A71" s="384">
        <v>45505</v>
      </c>
      <c r="B71" s="385">
        <v>530</v>
      </c>
      <c r="C71" s="386">
        <v>70</v>
      </c>
      <c r="D71" s="386">
        <v>47</v>
      </c>
      <c r="E71" s="386" t="s">
        <v>941</v>
      </c>
      <c r="F71" s="386">
        <v>0</v>
      </c>
      <c r="G71" s="388">
        <v>0</v>
      </c>
      <c r="H71" s="387">
        <v>0</v>
      </c>
      <c r="I71" s="388">
        <v>45505.635381944441</v>
      </c>
      <c r="J71" s="386">
        <v>0.30499999999999999</v>
      </c>
      <c r="K71" s="386">
        <v>35.729999999999997</v>
      </c>
      <c r="L71" s="386">
        <v>1</v>
      </c>
      <c r="M71" s="389">
        <f t="shared" si="0"/>
        <v>0.30499999999999999</v>
      </c>
      <c r="N71" s="390">
        <f t="shared" si="10"/>
        <v>0.30499999999999999</v>
      </c>
      <c r="O71" s="378" t="s">
        <v>12</v>
      </c>
    </row>
    <row r="72" spans="1:15">
      <c r="A72" s="384">
        <v>45505</v>
      </c>
      <c r="B72" s="385">
        <v>556</v>
      </c>
      <c r="C72" s="386">
        <v>71</v>
      </c>
      <c r="D72" s="386">
        <v>48</v>
      </c>
      <c r="E72" s="386" t="s">
        <v>941</v>
      </c>
      <c r="F72" s="386">
        <v>0</v>
      </c>
      <c r="G72" s="388">
        <v>0</v>
      </c>
      <c r="H72" s="387">
        <v>0</v>
      </c>
      <c r="I72" s="388">
        <v>45505.636307870373</v>
      </c>
      <c r="J72" s="386">
        <v>3.5000000000000003E-2</v>
      </c>
      <c r="K72" s="386">
        <v>22.63</v>
      </c>
      <c r="L72" s="386">
        <v>1</v>
      </c>
      <c r="M72" s="389">
        <f t="shared" si="0"/>
        <v>3.5000000000000003E-2</v>
      </c>
      <c r="N72" s="390">
        <f t="shared" si="10"/>
        <v>3.5000000000000003E-2</v>
      </c>
      <c r="O72" s="378" t="s">
        <v>12</v>
      </c>
    </row>
    <row r="73" spans="1:15">
      <c r="A73" s="384">
        <v>45505</v>
      </c>
      <c r="B73" s="385">
        <v>387</v>
      </c>
      <c r="C73" s="386">
        <v>72</v>
      </c>
      <c r="D73" s="386">
        <v>49</v>
      </c>
      <c r="E73" s="386" t="s">
        <v>941</v>
      </c>
      <c r="F73" s="386">
        <v>0</v>
      </c>
      <c r="G73" s="388">
        <v>0</v>
      </c>
      <c r="H73" s="387">
        <v>0</v>
      </c>
      <c r="I73" s="388">
        <v>45505.637233796297</v>
      </c>
      <c r="J73" s="386">
        <v>-8.0000000000000002E-3</v>
      </c>
      <c r="K73" s="386">
        <v>20.57</v>
      </c>
      <c r="L73" s="386">
        <v>1</v>
      </c>
      <c r="M73" s="389">
        <f t="shared" si="0"/>
        <v>-8.0000000000000002E-3</v>
      </c>
      <c r="N73" s="378" t="s">
        <v>934</v>
      </c>
      <c r="O73" s="378" t="s">
        <v>12</v>
      </c>
    </row>
    <row r="74" spans="1:15">
      <c r="A74" s="384">
        <v>45505</v>
      </c>
      <c r="B74" s="385">
        <v>491</v>
      </c>
      <c r="C74" s="386">
        <v>73</v>
      </c>
      <c r="D74" s="386">
        <v>50</v>
      </c>
      <c r="E74" s="386" t="s">
        <v>941</v>
      </c>
      <c r="F74" s="386">
        <v>0</v>
      </c>
      <c r="G74" s="388">
        <v>0</v>
      </c>
      <c r="H74" s="387">
        <v>0</v>
      </c>
      <c r="I74" s="388">
        <v>45505.638159722221</v>
      </c>
      <c r="J74" s="386">
        <v>1E-3</v>
      </c>
      <c r="K74" s="386">
        <v>21</v>
      </c>
      <c r="L74" s="386">
        <v>1</v>
      </c>
      <c r="M74" s="389">
        <f t="shared" si="0"/>
        <v>1E-3</v>
      </c>
      <c r="N74" s="378" t="s">
        <v>934</v>
      </c>
      <c r="O74" s="378" t="s">
        <v>12</v>
      </c>
    </row>
    <row r="75" spans="1:15">
      <c r="A75" s="384">
        <v>45505</v>
      </c>
      <c r="B75" s="392" t="s">
        <v>950</v>
      </c>
      <c r="C75" s="386">
        <v>74</v>
      </c>
      <c r="D75" s="386">
        <v>51</v>
      </c>
      <c r="E75" s="386" t="s">
        <v>941</v>
      </c>
      <c r="F75" s="386">
        <v>0</v>
      </c>
      <c r="G75" s="388">
        <v>0</v>
      </c>
      <c r="H75" s="387">
        <v>0</v>
      </c>
      <c r="I75" s="388">
        <v>45505.639085648145</v>
      </c>
      <c r="J75" s="386">
        <v>1.036</v>
      </c>
      <c r="K75" s="386">
        <v>71.209999999999994</v>
      </c>
      <c r="L75" s="386">
        <v>1</v>
      </c>
      <c r="M75" s="389">
        <f t="shared" si="0"/>
        <v>1.036</v>
      </c>
      <c r="N75" s="390">
        <f t="shared" ref="N75:N78" si="11">M75</f>
        <v>1.036</v>
      </c>
      <c r="O75" s="378" t="s">
        <v>12</v>
      </c>
    </row>
    <row r="76" spans="1:15">
      <c r="A76" s="384">
        <v>45505</v>
      </c>
      <c r="B76" s="385">
        <v>465</v>
      </c>
      <c r="C76" s="386">
        <v>75</v>
      </c>
      <c r="D76" s="386">
        <v>52</v>
      </c>
      <c r="E76" s="386" t="s">
        <v>941</v>
      </c>
      <c r="F76" s="386">
        <v>0</v>
      </c>
      <c r="G76" s="388">
        <v>0</v>
      </c>
      <c r="H76" s="387">
        <v>0</v>
      </c>
      <c r="I76" s="388">
        <v>45505.640011574076</v>
      </c>
      <c r="J76" s="386">
        <v>0.12</v>
      </c>
      <c r="K76" s="386">
        <v>26.78</v>
      </c>
      <c r="L76" s="386">
        <v>1</v>
      </c>
      <c r="M76" s="389">
        <f t="shared" si="0"/>
        <v>0.12</v>
      </c>
      <c r="N76" s="390">
        <f t="shared" si="11"/>
        <v>0.12</v>
      </c>
      <c r="O76" s="378" t="s">
        <v>12</v>
      </c>
    </row>
    <row r="77" spans="1:15">
      <c r="A77" s="384">
        <v>45505</v>
      </c>
      <c r="B77" s="385" t="s">
        <v>951</v>
      </c>
      <c r="C77" s="386">
        <v>76</v>
      </c>
      <c r="D77" s="386">
        <v>53</v>
      </c>
      <c r="E77" s="386" t="s">
        <v>943</v>
      </c>
      <c r="F77" s="386">
        <v>0</v>
      </c>
      <c r="G77" s="388">
        <v>0</v>
      </c>
      <c r="H77" s="387">
        <v>1</v>
      </c>
      <c r="I77" s="388">
        <v>45505.6409375</v>
      </c>
      <c r="J77" s="386">
        <v>1.214</v>
      </c>
      <c r="K77" s="386">
        <v>79.86</v>
      </c>
      <c r="L77" s="386">
        <v>1</v>
      </c>
      <c r="M77" s="389">
        <f t="shared" si="0"/>
        <v>1.214</v>
      </c>
      <c r="N77" s="390">
        <f t="shared" si="11"/>
        <v>1.214</v>
      </c>
      <c r="O77" s="378" t="s">
        <v>12</v>
      </c>
    </row>
    <row r="78" spans="1:15">
      <c r="A78" s="384">
        <v>45505</v>
      </c>
      <c r="B78" s="385" t="s">
        <v>944</v>
      </c>
      <c r="C78" s="386">
        <v>77</v>
      </c>
      <c r="D78" s="386">
        <v>907</v>
      </c>
      <c r="E78" s="386" t="s">
        <v>945</v>
      </c>
      <c r="F78" s="386">
        <v>0</v>
      </c>
      <c r="G78" s="388">
        <v>0</v>
      </c>
      <c r="H78" s="387">
        <v>0</v>
      </c>
      <c r="I78" s="388">
        <v>45505.641863425924</v>
      </c>
      <c r="J78" s="386">
        <v>1.466</v>
      </c>
      <c r="K78" s="386">
        <v>92.06</v>
      </c>
      <c r="L78" s="386">
        <v>1</v>
      </c>
      <c r="M78" s="389">
        <f t="shared" si="0"/>
        <v>1.466</v>
      </c>
      <c r="N78" s="390">
        <f t="shared" si="11"/>
        <v>1.466</v>
      </c>
      <c r="O78" s="378" t="s">
        <v>12</v>
      </c>
    </row>
    <row r="79" spans="1:15">
      <c r="A79" s="384">
        <v>45505</v>
      </c>
      <c r="B79" s="385" t="s">
        <v>935</v>
      </c>
      <c r="C79" s="386">
        <v>78</v>
      </c>
      <c r="D79" s="386">
        <v>0</v>
      </c>
      <c r="E79" s="386" t="s">
        <v>936</v>
      </c>
      <c r="F79" s="386">
        <v>0</v>
      </c>
      <c r="G79" s="388">
        <v>0</v>
      </c>
      <c r="H79" s="387">
        <v>0</v>
      </c>
      <c r="I79" s="388">
        <v>45505.642789351848</v>
      </c>
      <c r="J79" s="386">
        <v>-0.432</v>
      </c>
      <c r="K79" s="386">
        <v>0</v>
      </c>
      <c r="L79" s="386">
        <v>1</v>
      </c>
      <c r="M79" s="389">
        <f t="shared" si="0"/>
        <v>-0.432</v>
      </c>
      <c r="N79" s="378" t="s">
        <v>934</v>
      </c>
      <c r="O79" s="378" t="s">
        <v>12</v>
      </c>
    </row>
    <row r="80" spans="1:15">
      <c r="A80" s="384">
        <v>45505</v>
      </c>
      <c r="B80" s="385" t="s">
        <v>952</v>
      </c>
      <c r="C80" s="386">
        <v>79</v>
      </c>
      <c r="D80" s="386">
        <v>54</v>
      </c>
      <c r="E80" s="386" t="s">
        <v>941</v>
      </c>
      <c r="F80" s="386">
        <v>0</v>
      </c>
      <c r="G80" s="388">
        <v>0</v>
      </c>
      <c r="H80" s="387">
        <v>0</v>
      </c>
      <c r="I80" s="388">
        <v>45505.645567129628</v>
      </c>
      <c r="J80" s="386">
        <v>0.97699999999999998</v>
      </c>
      <c r="K80" s="386">
        <v>68.34</v>
      </c>
      <c r="L80" s="386">
        <v>1</v>
      </c>
      <c r="M80" s="389">
        <f t="shared" si="0"/>
        <v>0.97699999999999998</v>
      </c>
      <c r="N80" s="390">
        <f t="shared" ref="N80:N81" si="12">M80</f>
        <v>0.97699999999999998</v>
      </c>
      <c r="O80" s="378" t="s">
        <v>12</v>
      </c>
    </row>
    <row r="81" spans="1:15">
      <c r="A81" s="384">
        <v>45505</v>
      </c>
      <c r="B81" s="385" t="s">
        <v>953</v>
      </c>
      <c r="C81" s="386">
        <v>80</v>
      </c>
      <c r="D81" s="386">
        <v>55</v>
      </c>
      <c r="E81" s="386" t="s">
        <v>941</v>
      </c>
      <c r="F81" s="386">
        <v>0</v>
      </c>
      <c r="G81" s="388">
        <v>0</v>
      </c>
      <c r="H81" s="387">
        <v>0</v>
      </c>
      <c r="I81" s="388">
        <v>45505.646493055552</v>
      </c>
      <c r="J81" s="386">
        <v>0.998</v>
      </c>
      <c r="K81" s="386">
        <v>69.38</v>
      </c>
      <c r="L81" s="386">
        <v>1</v>
      </c>
      <c r="M81" s="389">
        <f t="shared" si="0"/>
        <v>0.998</v>
      </c>
      <c r="N81" s="390">
        <f t="shared" si="12"/>
        <v>0.998</v>
      </c>
      <c r="O81" s="378" t="s">
        <v>12</v>
      </c>
    </row>
    <row r="82" spans="1:15">
      <c r="A82" s="384">
        <v>45505</v>
      </c>
      <c r="B82" s="385" t="s">
        <v>954</v>
      </c>
      <c r="C82" s="386">
        <v>81</v>
      </c>
      <c r="D82" s="386">
        <v>56</v>
      </c>
      <c r="E82" s="386" t="s">
        <v>941</v>
      </c>
      <c r="F82" s="386">
        <v>0</v>
      </c>
      <c r="G82" s="388">
        <v>0</v>
      </c>
      <c r="H82" s="387">
        <v>0</v>
      </c>
      <c r="I82" s="388">
        <v>45505.647418981483</v>
      </c>
      <c r="J82" s="386">
        <v>-1.4999999999999999E-2</v>
      </c>
      <c r="K82" s="386">
        <v>20.21</v>
      </c>
      <c r="L82" s="386">
        <v>1</v>
      </c>
      <c r="M82" s="389">
        <f t="shared" si="0"/>
        <v>-1.4999999999999999E-2</v>
      </c>
      <c r="N82" s="378" t="s">
        <v>934</v>
      </c>
      <c r="O82" s="378" t="s">
        <v>12</v>
      </c>
    </row>
    <row r="83" spans="1:15">
      <c r="A83" s="384">
        <v>45505</v>
      </c>
      <c r="B83" s="385" t="s">
        <v>955</v>
      </c>
      <c r="C83" s="386">
        <v>82</v>
      </c>
      <c r="D83" s="386">
        <v>57</v>
      </c>
      <c r="E83" s="386" t="s">
        <v>941</v>
      </c>
      <c r="F83" s="386">
        <v>0</v>
      </c>
      <c r="G83" s="388">
        <v>0</v>
      </c>
      <c r="H83" s="387">
        <v>0</v>
      </c>
      <c r="I83" s="388">
        <v>45505.648344907408</v>
      </c>
      <c r="J83" s="386">
        <v>0.87</v>
      </c>
      <c r="K83" s="386">
        <v>63.17</v>
      </c>
      <c r="L83" s="386">
        <v>1</v>
      </c>
      <c r="M83" s="389">
        <f t="shared" si="0"/>
        <v>0.87</v>
      </c>
      <c r="N83" s="390">
        <f t="shared" ref="N83:N86" si="13">M83</f>
        <v>0.87</v>
      </c>
      <c r="O83" s="378" t="s">
        <v>12</v>
      </c>
    </row>
    <row r="84" spans="1:15">
      <c r="A84" s="384">
        <v>45505</v>
      </c>
      <c r="B84" s="385" t="s">
        <v>956</v>
      </c>
      <c r="C84" s="386">
        <v>83</v>
      </c>
      <c r="D84" s="386">
        <v>58</v>
      </c>
      <c r="E84" s="386" t="s">
        <v>941</v>
      </c>
      <c r="F84" s="386">
        <v>0</v>
      </c>
      <c r="G84" s="388">
        <v>0</v>
      </c>
      <c r="H84" s="387">
        <v>0</v>
      </c>
      <c r="I84" s="388">
        <v>45505.649270833332</v>
      </c>
      <c r="J84" s="386">
        <v>0.90200000000000002</v>
      </c>
      <c r="K84" s="386">
        <v>64.73</v>
      </c>
      <c r="L84" s="386">
        <v>1</v>
      </c>
      <c r="M84" s="389">
        <f t="shared" si="0"/>
        <v>0.90200000000000002</v>
      </c>
      <c r="N84" s="390">
        <f t="shared" si="13"/>
        <v>0.90200000000000002</v>
      </c>
      <c r="O84" s="378" t="s">
        <v>12</v>
      </c>
    </row>
    <row r="85" spans="1:15">
      <c r="A85" s="384">
        <v>45505</v>
      </c>
      <c r="B85" s="385" t="s">
        <v>957</v>
      </c>
      <c r="C85" s="386">
        <v>84</v>
      </c>
      <c r="D85" s="386">
        <v>59</v>
      </c>
      <c r="E85" s="386" t="s">
        <v>941</v>
      </c>
      <c r="F85" s="386">
        <v>0</v>
      </c>
      <c r="G85" s="388">
        <v>0</v>
      </c>
      <c r="H85" s="387">
        <v>0</v>
      </c>
      <c r="I85" s="388">
        <v>45505.650196759256</v>
      </c>
      <c r="J85" s="386">
        <v>0.83199999999999996</v>
      </c>
      <c r="K85" s="386">
        <v>61.3</v>
      </c>
      <c r="L85" s="386">
        <v>1</v>
      </c>
      <c r="M85" s="389">
        <f t="shared" si="0"/>
        <v>0.83199999999999996</v>
      </c>
      <c r="N85" s="390">
        <f t="shared" si="13"/>
        <v>0.83199999999999996</v>
      </c>
      <c r="O85" s="378" t="s">
        <v>12</v>
      </c>
    </row>
    <row r="86" spans="1:15">
      <c r="A86" s="384">
        <v>45505</v>
      </c>
      <c r="B86" s="385" t="s">
        <v>944</v>
      </c>
      <c r="C86" s="386">
        <v>85</v>
      </c>
      <c r="D86" s="386">
        <v>907</v>
      </c>
      <c r="E86" s="386" t="s">
        <v>945</v>
      </c>
      <c r="F86" s="386">
        <v>0</v>
      </c>
      <c r="G86" s="388">
        <v>0</v>
      </c>
      <c r="H86" s="387">
        <v>0</v>
      </c>
      <c r="I86" s="388">
        <v>45505.651122685187</v>
      </c>
      <c r="J86" s="386">
        <v>1.474</v>
      </c>
      <c r="K86" s="386">
        <v>92.45</v>
      </c>
      <c r="L86" s="386">
        <v>1</v>
      </c>
      <c r="M86" s="389">
        <f t="shared" si="0"/>
        <v>1.474</v>
      </c>
      <c r="N86" s="390">
        <f t="shared" si="13"/>
        <v>1.474</v>
      </c>
      <c r="O86" s="378" t="s">
        <v>12</v>
      </c>
    </row>
    <row r="87" spans="1:15">
      <c r="A87" s="384">
        <v>45505</v>
      </c>
      <c r="B87" s="385" t="s">
        <v>935</v>
      </c>
      <c r="C87" s="386">
        <v>86</v>
      </c>
      <c r="D87" s="386">
        <v>0</v>
      </c>
      <c r="E87" s="386" t="s">
        <v>936</v>
      </c>
      <c r="F87" s="386">
        <v>0</v>
      </c>
      <c r="G87" s="388">
        <v>0</v>
      </c>
      <c r="H87" s="387">
        <v>0</v>
      </c>
      <c r="I87" s="388">
        <v>45505.652048611111</v>
      </c>
      <c r="J87" s="386">
        <v>-0.432</v>
      </c>
      <c r="K87" s="386">
        <v>0</v>
      </c>
      <c r="L87" s="386">
        <v>1</v>
      </c>
      <c r="M87" s="389">
        <f t="shared" si="0"/>
        <v>-0.432</v>
      </c>
      <c r="N87" s="378" t="s">
        <v>934</v>
      </c>
      <c r="O87" s="378" t="s">
        <v>12</v>
      </c>
    </row>
    <row r="88" spans="1:15">
      <c r="A88" s="384">
        <v>45505</v>
      </c>
      <c r="B88" s="385" t="s">
        <v>79</v>
      </c>
      <c r="C88" s="386">
        <v>87</v>
      </c>
      <c r="D88" s="386">
        <v>905</v>
      </c>
      <c r="E88" s="386" t="s">
        <v>941</v>
      </c>
      <c r="F88" s="386">
        <v>0</v>
      </c>
      <c r="G88" s="388">
        <v>0</v>
      </c>
      <c r="H88" s="387">
        <v>0</v>
      </c>
      <c r="I88" s="388">
        <v>45505.654826388891</v>
      </c>
      <c r="J88" s="386">
        <v>-2.8000000000000001E-2</v>
      </c>
      <c r="K88" s="386">
        <v>19.57</v>
      </c>
      <c r="L88" s="386">
        <v>1</v>
      </c>
      <c r="M88" s="389">
        <f t="shared" si="0"/>
        <v>-2.8000000000000001E-2</v>
      </c>
      <c r="N88" s="378" t="s">
        <v>934</v>
      </c>
      <c r="O88" s="378" t="s">
        <v>12</v>
      </c>
    </row>
    <row r="89" spans="1:15">
      <c r="A89" s="384">
        <v>45505</v>
      </c>
      <c r="B89" s="385" t="s">
        <v>79</v>
      </c>
      <c r="C89" s="386">
        <v>88</v>
      </c>
      <c r="D89" s="386">
        <v>905</v>
      </c>
      <c r="E89" s="386" t="s">
        <v>941</v>
      </c>
      <c r="F89" s="386">
        <v>0</v>
      </c>
      <c r="G89" s="388">
        <v>0</v>
      </c>
      <c r="H89" s="387">
        <v>0</v>
      </c>
      <c r="I89" s="388">
        <v>45505.655752314815</v>
      </c>
      <c r="J89" s="386">
        <v>-3.2000000000000001E-2</v>
      </c>
      <c r="K89" s="386">
        <v>19.41</v>
      </c>
      <c r="L89" s="386">
        <v>1</v>
      </c>
      <c r="M89" s="389">
        <f t="shared" si="0"/>
        <v>-3.2000000000000001E-2</v>
      </c>
      <c r="N89" s="378" t="s">
        <v>934</v>
      </c>
      <c r="O89" s="378" t="s">
        <v>12</v>
      </c>
    </row>
    <row r="90" spans="1:15">
      <c r="A90" s="384">
        <v>45505</v>
      </c>
      <c r="B90" s="385" t="s">
        <v>79</v>
      </c>
      <c r="C90" s="386">
        <v>89</v>
      </c>
      <c r="D90" s="386">
        <v>905</v>
      </c>
      <c r="E90" s="386" t="s">
        <v>941</v>
      </c>
      <c r="F90" s="386">
        <v>0</v>
      </c>
      <c r="G90" s="388">
        <v>0</v>
      </c>
      <c r="H90" s="387">
        <v>0</v>
      </c>
      <c r="I90" s="388">
        <v>45505.656678240739</v>
      </c>
      <c r="J90" s="386">
        <v>-0.03</v>
      </c>
      <c r="K90" s="386">
        <v>19.489999999999998</v>
      </c>
      <c r="L90" s="386">
        <v>1</v>
      </c>
      <c r="M90" s="389">
        <f t="shared" si="0"/>
        <v>-0.03</v>
      </c>
      <c r="N90" s="378" t="s">
        <v>934</v>
      </c>
      <c r="O90" s="378" t="s">
        <v>12</v>
      </c>
    </row>
    <row r="91" spans="1:15">
      <c r="A91" s="384">
        <v>45505</v>
      </c>
      <c r="B91" s="385" t="s">
        <v>79</v>
      </c>
      <c r="C91" s="386">
        <v>90</v>
      </c>
      <c r="D91" s="386">
        <v>905</v>
      </c>
      <c r="E91" s="386" t="s">
        <v>941</v>
      </c>
      <c r="F91" s="386">
        <v>0</v>
      </c>
      <c r="G91" s="388">
        <v>0</v>
      </c>
      <c r="H91" s="387">
        <v>0</v>
      </c>
      <c r="I91" s="388">
        <v>45505.657604166663</v>
      </c>
      <c r="J91" s="386">
        <v>-2.9000000000000001E-2</v>
      </c>
      <c r="K91" s="386">
        <v>19.54</v>
      </c>
      <c r="L91" s="386">
        <v>1</v>
      </c>
      <c r="M91" s="389">
        <f t="shared" si="0"/>
        <v>-2.9000000000000001E-2</v>
      </c>
      <c r="N91" s="378" t="s">
        <v>934</v>
      </c>
      <c r="O91" s="378" t="s">
        <v>12</v>
      </c>
    </row>
    <row r="92" spans="1:15">
      <c r="A92" s="384">
        <v>45505</v>
      </c>
      <c r="B92" s="385" t="s">
        <v>79</v>
      </c>
      <c r="C92" s="386">
        <v>91</v>
      </c>
      <c r="D92" s="386">
        <v>905</v>
      </c>
      <c r="E92" s="386" t="s">
        <v>941</v>
      </c>
      <c r="F92" s="386">
        <v>0</v>
      </c>
      <c r="G92" s="388">
        <v>0</v>
      </c>
      <c r="H92" s="387">
        <v>0</v>
      </c>
      <c r="I92" s="388">
        <v>45505.658530092594</v>
      </c>
      <c r="J92" s="386">
        <v>-2.1999999999999999E-2</v>
      </c>
      <c r="K92" s="386">
        <v>19.89</v>
      </c>
      <c r="L92" s="386">
        <v>1</v>
      </c>
      <c r="M92" s="389">
        <f t="shared" si="0"/>
        <v>-2.1999999999999999E-2</v>
      </c>
      <c r="N92" s="378" t="s">
        <v>934</v>
      </c>
      <c r="O92" s="378" t="s">
        <v>12</v>
      </c>
    </row>
    <row r="93" spans="1:15">
      <c r="A93" s="384">
        <v>45505</v>
      </c>
      <c r="B93" s="385" t="s">
        <v>79</v>
      </c>
      <c r="C93" s="386">
        <v>92</v>
      </c>
      <c r="D93" s="386">
        <v>905</v>
      </c>
      <c r="E93" s="386" t="s">
        <v>941</v>
      </c>
      <c r="F93" s="386">
        <v>0</v>
      </c>
      <c r="G93" s="388">
        <v>0</v>
      </c>
      <c r="H93" s="387">
        <v>0</v>
      </c>
      <c r="I93" s="388">
        <v>45505.659456018519</v>
      </c>
      <c r="J93" s="386">
        <v>-3.5000000000000003E-2</v>
      </c>
      <c r="K93" s="386">
        <v>19.25</v>
      </c>
      <c r="L93" s="386">
        <v>1</v>
      </c>
      <c r="M93" s="389">
        <f t="shared" si="0"/>
        <v>-3.5000000000000003E-2</v>
      </c>
      <c r="N93" s="378" t="s">
        <v>934</v>
      </c>
      <c r="O93" s="378" t="s">
        <v>12</v>
      </c>
    </row>
    <row r="94" spans="1:15">
      <c r="A94" s="384">
        <v>45505</v>
      </c>
      <c r="B94" s="385" t="s">
        <v>79</v>
      </c>
      <c r="C94" s="386">
        <v>93</v>
      </c>
      <c r="D94" s="386">
        <v>905</v>
      </c>
      <c r="E94" s="386" t="s">
        <v>941</v>
      </c>
      <c r="F94" s="386">
        <v>0</v>
      </c>
      <c r="G94" s="388">
        <v>0</v>
      </c>
      <c r="H94" s="387">
        <v>0</v>
      </c>
      <c r="I94" s="388">
        <v>45505.660381944443</v>
      </c>
      <c r="J94" s="386">
        <v>-2.5999999999999999E-2</v>
      </c>
      <c r="K94" s="386">
        <v>19.66</v>
      </c>
      <c r="L94" s="386">
        <v>1</v>
      </c>
      <c r="M94" s="389">
        <f t="shared" si="0"/>
        <v>-2.5999999999999999E-2</v>
      </c>
      <c r="N94" s="378" t="s">
        <v>934</v>
      </c>
      <c r="O94" s="378" t="s">
        <v>12</v>
      </c>
    </row>
    <row r="95" spans="1:15">
      <c r="A95" s="384">
        <v>45505</v>
      </c>
      <c r="B95" s="385" t="s">
        <v>79</v>
      </c>
      <c r="C95" s="386">
        <v>94</v>
      </c>
      <c r="D95" s="386">
        <v>905</v>
      </c>
      <c r="E95" s="386" t="s">
        <v>941</v>
      </c>
      <c r="F95" s="386">
        <v>0</v>
      </c>
      <c r="G95" s="386">
        <v>0</v>
      </c>
      <c r="H95" s="387">
        <v>0</v>
      </c>
      <c r="I95" s="388">
        <v>45505.661307870374</v>
      </c>
      <c r="J95" s="386">
        <v>-3.1E-2</v>
      </c>
      <c r="K95" s="386">
        <v>19.440000000000001</v>
      </c>
      <c r="L95" s="386">
        <v>1</v>
      </c>
      <c r="M95" s="389">
        <f t="shared" si="0"/>
        <v>-3.1E-2</v>
      </c>
      <c r="N95" s="378" t="s">
        <v>934</v>
      </c>
      <c r="O95" s="378" t="s">
        <v>12</v>
      </c>
    </row>
    <row r="96" spans="1:15">
      <c r="A96" s="384">
        <v>45505</v>
      </c>
      <c r="B96" s="385" t="s">
        <v>79</v>
      </c>
      <c r="C96" s="386">
        <v>95</v>
      </c>
      <c r="D96" s="386">
        <v>905</v>
      </c>
      <c r="E96" s="386" t="s">
        <v>941</v>
      </c>
      <c r="F96" s="386">
        <v>0</v>
      </c>
      <c r="G96" s="386">
        <v>0</v>
      </c>
      <c r="H96" s="387">
        <v>0</v>
      </c>
      <c r="I96" s="388">
        <v>45505.662233796298</v>
      </c>
      <c r="J96" s="386">
        <v>-3.4000000000000002E-2</v>
      </c>
      <c r="K96" s="386">
        <v>19.27</v>
      </c>
      <c r="L96" s="386">
        <v>1</v>
      </c>
      <c r="M96" s="389">
        <f t="shared" si="0"/>
        <v>-3.4000000000000002E-2</v>
      </c>
      <c r="N96" s="378" t="s">
        <v>934</v>
      </c>
      <c r="O96" s="378" t="s">
        <v>12</v>
      </c>
    </row>
    <row r="97" spans="1:15">
      <c r="A97" s="384">
        <v>45505</v>
      </c>
      <c r="B97" s="385" t="s">
        <v>79</v>
      </c>
      <c r="C97" s="386">
        <v>96</v>
      </c>
      <c r="D97" s="386">
        <v>905</v>
      </c>
      <c r="E97" s="386" t="s">
        <v>941</v>
      </c>
      <c r="F97" s="386">
        <v>0</v>
      </c>
      <c r="G97" s="386">
        <v>0</v>
      </c>
      <c r="H97" s="387">
        <v>0</v>
      </c>
      <c r="I97" s="388">
        <v>45505.663159722222</v>
      </c>
      <c r="J97" s="386">
        <v>-3.4000000000000002E-2</v>
      </c>
      <c r="K97" s="386">
        <v>19.309999999999999</v>
      </c>
      <c r="L97" s="386">
        <v>1</v>
      </c>
      <c r="M97" s="389">
        <f t="shared" si="0"/>
        <v>-3.4000000000000002E-2</v>
      </c>
      <c r="N97" s="378" t="s">
        <v>934</v>
      </c>
      <c r="O97" s="378" t="s">
        <v>12</v>
      </c>
    </row>
    <row r="98" spans="1:15">
      <c r="A98" s="384">
        <v>45505</v>
      </c>
      <c r="B98" s="385" t="s">
        <v>958</v>
      </c>
      <c r="C98" s="386">
        <v>97</v>
      </c>
      <c r="D98" s="386">
        <v>906</v>
      </c>
      <c r="E98" s="386" t="s">
        <v>943</v>
      </c>
      <c r="F98" s="386">
        <v>0</v>
      </c>
      <c r="G98" s="386">
        <v>0</v>
      </c>
      <c r="H98" s="387">
        <v>1</v>
      </c>
      <c r="I98" s="388">
        <v>45505.664085648146</v>
      </c>
      <c r="J98" s="386">
        <v>0.93400000000000005</v>
      </c>
      <c r="K98" s="386">
        <v>66.239999999999995</v>
      </c>
      <c r="L98" s="386">
        <v>1</v>
      </c>
      <c r="M98" s="389">
        <f t="shared" si="0"/>
        <v>0.93400000000000005</v>
      </c>
      <c r="N98" s="390">
        <f t="shared" ref="N98:N99" si="14">M98</f>
        <v>0.93400000000000005</v>
      </c>
      <c r="O98" s="378" t="s">
        <v>12</v>
      </c>
    </row>
    <row r="99" spans="1:15">
      <c r="A99" s="384">
        <v>45505</v>
      </c>
      <c r="B99" s="385" t="s">
        <v>944</v>
      </c>
      <c r="C99" s="386">
        <v>98</v>
      </c>
      <c r="D99" s="386">
        <v>907</v>
      </c>
      <c r="E99" s="386" t="s">
        <v>945</v>
      </c>
      <c r="F99" s="386">
        <v>0</v>
      </c>
      <c r="G99" s="386">
        <v>0</v>
      </c>
      <c r="H99" s="387">
        <v>0</v>
      </c>
      <c r="I99" s="388">
        <v>45505.665011574078</v>
      </c>
      <c r="J99" s="386">
        <v>1.466</v>
      </c>
      <c r="K99" s="386">
        <v>92.07</v>
      </c>
      <c r="L99" s="386">
        <v>1</v>
      </c>
      <c r="M99" s="389">
        <f t="shared" si="0"/>
        <v>1.466</v>
      </c>
      <c r="N99" s="390">
        <f t="shared" si="14"/>
        <v>1.466</v>
      </c>
      <c r="O99" s="378" t="s">
        <v>12</v>
      </c>
    </row>
    <row r="100" spans="1:15">
      <c r="A100" s="384">
        <v>45505</v>
      </c>
      <c r="B100" s="385" t="s">
        <v>935</v>
      </c>
      <c r="C100" s="386">
        <v>99</v>
      </c>
      <c r="D100" s="386">
        <v>0</v>
      </c>
      <c r="E100" s="386" t="s">
        <v>936</v>
      </c>
      <c r="F100" s="386">
        <v>0</v>
      </c>
      <c r="G100" s="386">
        <v>0</v>
      </c>
      <c r="H100" s="387">
        <v>0</v>
      </c>
      <c r="I100" s="388">
        <v>45505.665937500002</v>
      </c>
      <c r="J100" s="386">
        <v>-0.432</v>
      </c>
      <c r="K100" s="386">
        <v>0</v>
      </c>
      <c r="L100" s="386">
        <v>1</v>
      </c>
      <c r="M100" s="389">
        <f t="shared" si="0"/>
        <v>-0.432</v>
      </c>
      <c r="N100" s="378" t="s">
        <v>934</v>
      </c>
      <c r="O100" s="378" t="s">
        <v>12</v>
      </c>
    </row>
    <row r="101" spans="1:15">
      <c r="A101" s="384">
        <v>45505</v>
      </c>
      <c r="B101" s="385" t="s">
        <v>930</v>
      </c>
      <c r="C101" s="386">
        <v>100</v>
      </c>
      <c r="D101" s="386">
        <v>921</v>
      </c>
      <c r="E101" s="386" t="s">
        <v>931</v>
      </c>
      <c r="F101" s="386">
        <v>0</v>
      </c>
      <c r="G101" s="386">
        <v>0</v>
      </c>
      <c r="H101" s="387">
        <v>0</v>
      </c>
      <c r="I101" s="388">
        <v>45505.668715277781</v>
      </c>
      <c r="J101" s="386">
        <v>2.2250000000000001</v>
      </c>
      <c r="K101" s="386">
        <v>128.91999999999999</v>
      </c>
      <c r="L101" s="386">
        <v>1</v>
      </c>
      <c r="M101" s="389">
        <f t="shared" si="0"/>
        <v>2.2250000000000001</v>
      </c>
      <c r="N101" s="390">
        <f>M101</f>
        <v>2.2250000000000001</v>
      </c>
      <c r="O101" s="378" t="s">
        <v>12</v>
      </c>
    </row>
    <row r="102" spans="1:15">
      <c r="A102" s="384">
        <v>45505</v>
      </c>
      <c r="B102" s="385" t="s">
        <v>959</v>
      </c>
      <c r="C102" s="386">
        <v>101</v>
      </c>
      <c r="D102" s="386">
        <v>0</v>
      </c>
      <c r="E102" s="386" t="s">
        <v>960</v>
      </c>
      <c r="F102" s="386">
        <v>0</v>
      </c>
      <c r="G102" s="386">
        <v>0</v>
      </c>
      <c r="H102" s="387">
        <v>0</v>
      </c>
      <c r="I102" s="388">
        <v>45505.669641203705</v>
      </c>
      <c r="J102" s="386">
        <v>-0.432</v>
      </c>
      <c r="K102" s="386">
        <v>0</v>
      </c>
      <c r="L102" s="386">
        <v>1</v>
      </c>
      <c r="M102" s="389">
        <f t="shared" si="0"/>
        <v>-0.432</v>
      </c>
      <c r="N102" s="378" t="s">
        <v>934</v>
      </c>
      <c r="O102" s="378" t="s">
        <v>12</v>
      </c>
    </row>
    <row r="103" spans="1:15">
      <c r="A103" s="393"/>
      <c r="B103" s="394"/>
      <c r="C103" s="393"/>
      <c r="D103" s="393"/>
      <c r="E103" s="393"/>
      <c r="F103" s="393"/>
      <c r="G103" s="393"/>
      <c r="H103" s="395"/>
      <c r="I103" s="393"/>
      <c r="J103" s="393"/>
      <c r="K103" s="393"/>
      <c r="L103" s="393"/>
      <c r="M103" s="396"/>
    </row>
    <row r="104" spans="1:15">
      <c r="A104" s="393"/>
      <c r="B104" s="394"/>
      <c r="C104" s="393"/>
      <c r="D104" s="393"/>
      <c r="E104" s="393"/>
      <c r="F104" s="393"/>
      <c r="G104" s="393"/>
      <c r="H104" s="395"/>
      <c r="I104" s="393"/>
      <c r="J104" s="393"/>
      <c r="K104" s="393"/>
      <c r="L104" s="393"/>
      <c r="M104" s="396"/>
    </row>
    <row r="105" spans="1:15">
      <c r="A105" s="393"/>
      <c r="B105" s="394"/>
      <c r="C105" s="393"/>
      <c r="D105" s="393"/>
      <c r="E105" s="393"/>
      <c r="F105" s="393"/>
      <c r="G105" s="393"/>
      <c r="H105" s="395"/>
      <c r="I105" s="393"/>
      <c r="J105" s="393"/>
      <c r="K105" s="393"/>
      <c r="L105" s="393"/>
      <c r="M105" s="396"/>
    </row>
    <row r="106" spans="1:15">
      <c r="A106" s="393"/>
      <c r="B106" s="394"/>
      <c r="C106" s="393"/>
      <c r="D106" s="393"/>
      <c r="E106" s="393"/>
      <c r="F106" s="393"/>
      <c r="G106" s="393"/>
      <c r="H106" s="395"/>
      <c r="I106" s="393"/>
      <c r="J106" s="393"/>
      <c r="K106" s="393"/>
      <c r="L106" s="393"/>
      <c r="M106" s="396"/>
    </row>
    <row r="107" spans="1:15">
      <c r="B107" s="397"/>
      <c r="M107" s="397"/>
    </row>
    <row r="108" spans="1:15">
      <c r="B108" s="397"/>
      <c r="M108" s="397"/>
    </row>
    <row r="109" spans="1:15">
      <c r="B109" s="397"/>
      <c r="M109" s="397"/>
    </row>
    <row r="110" spans="1:15">
      <c r="B110" s="397"/>
      <c r="M110" s="397"/>
    </row>
    <row r="111" spans="1:15">
      <c r="B111" s="397"/>
      <c r="M111" s="397"/>
    </row>
    <row r="112" spans="1:15">
      <c r="B112" s="397"/>
      <c r="M112" s="397"/>
    </row>
    <row r="113" spans="2:13">
      <c r="B113" s="397"/>
      <c r="M113" s="397"/>
    </row>
    <row r="114" spans="2:13">
      <c r="B114" s="397"/>
      <c r="M114" s="397"/>
    </row>
    <row r="115" spans="2:13">
      <c r="B115" s="397"/>
      <c r="M115" s="397"/>
    </row>
    <row r="116" spans="2:13">
      <c r="B116" s="397"/>
      <c r="M116" s="397"/>
    </row>
    <row r="117" spans="2:13">
      <c r="B117" s="397"/>
      <c r="M117" s="397"/>
    </row>
    <row r="118" spans="2:13">
      <c r="B118" s="397"/>
      <c r="M118" s="397"/>
    </row>
    <row r="119" spans="2:13">
      <c r="B119" s="397"/>
      <c r="M119" s="397"/>
    </row>
    <row r="120" spans="2:13">
      <c r="B120" s="397"/>
      <c r="M120" s="397"/>
    </row>
    <row r="121" spans="2:13">
      <c r="B121" s="397"/>
      <c r="M121" s="397"/>
    </row>
    <row r="122" spans="2:13">
      <c r="B122" s="397"/>
      <c r="M122" s="397"/>
    </row>
    <row r="123" spans="2:13">
      <c r="B123" s="397"/>
      <c r="M123" s="397"/>
    </row>
    <row r="124" spans="2:13">
      <c r="B124" s="397"/>
      <c r="M124" s="397"/>
    </row>
    <row r="125" spans="2:13">
      <c r="B125" s="397"/>
      <c r="M125" s="397"/>
    </row>
    <row r="126" spans="2:13">
      <c r="B126" s="397"/>
      <c r="M126" s="397"/>
    </row>
    <row r="127" spans="2:13">
      <c r="B127" s="397"/>
      <c r="M127" s="397"/>
    </row>
    <row r="128" spans="2:13">
      <c r="B128" s="397"/>
      <c r="M128" s="397"/>
    </row>
    <row r="129" spans="2:13">
      <c r="B129" s="397"/>
      <c r="M129" s="397"/>
    </row>
    <row r="130" spans="2:13">
      <c r="B130" s="397"/>
      <c r="M130" s="397"/>
    </row>
    <row r="131" spans="2:13">
      <c r="B131" s="397"/>
      <c r="M131" s="397"/>
    </row>
    <row r="132" spans="2:13">
      <c r="B132" s="397"/>
      <c r="M132" s="397"/>
    </row>
    <row r="133" spans="2:13">
      <c r="B133" s="397"/>
      <c r="M133" s="397"/>
    </row>
    <row r="134" spans="2:13">
      <c r="B134" s="397"/>
      <c r="M134" s="397"/>
    </row>
    <row r="135" spans="2:13">
      <c r="B135" s="397"/>
      <c r="M135" s="397"/>
    </row>
    <row r="136" spans="2:13">
      <c r="B136" s="397"/>
      <c r="M136" s="397"/>
    </row>
    <row r="137" spans="2:13">
      <c r="B137" s="397"/>
      <c r="M137" s="397"/>
    </row>
    <row r="138" spans="2:13">
      <c r="B138" s="397"/>
      <c r="M138" s="397"/>
    </row>
    <row r="139" spans="2:13">
      <c r="B139" s="397"/>
      <c r="M139" s="397"/>
    </row>
    <row r="140" spans="2:13">
      <c r="B140" s="397"/>
      <c r="M140" s="397"/>
    </row>
    <row r="141" spans="2:13">
      <c r="B141" s="397"/>
      <c r="M141" s="397"/>
    </row>
    <row r="142" spans="2:13">
      <c r="B142" s="397"/>
      <c r="M142" s="397"/>
    </row>
    <row r="143" spans="2:13">
      <c r="B143" s="397"/>
      <c r="M143" s="397"/>
    </row>
    <row r="144" spans="2:13">
      <c r="B144" s="397"/>
      <c r="M144" s="397"/>
    </row>
    <row r="145" spans="2:13">
      <c r="B145" s="397"/>
      <c r="M145" s="397"/>
    </row>
    <row r="146" spans="2:13">
      <c r="B146" s="397"/>
      <c r="M146" s="397"/>
    </row>
    <row r="147" spans="2:13">
      <c r="B147" s="397"/>
      <c r="M147" s="397"/>
    </row>
    <row r="148" spans="2:13">
      <c r="B148" s="397"/>
      <c r="M148" s="397"/>
    </row>
    <row r="149" spans="2:13">
      <c r="B149" s="397"/>
      <c r="M149" s="397"/>
    </row>
    <row r="150" spans="2:13">
      <c r="B150" s="397"/>
      <c r="M150" s="397"/>
    </row>
    <row r="151" spans="2:13">
      <c r="B151" s="397"/>
      <c r="M151" s="397"/>
    </row>
    <row r="152" spans="2:13">
      <c r="B152" s="397"/>
      <c r="M152" s="397"/>
    </row>
    <row r="153" spans="2:13">
      <c r="B153" s="397"/>
      <c r="M153" s="397"/>
    </row>
    <row r="154" spans="2:13">
      <c r="B154" s="397"/>
      <c r="M154" s="397"/>
    </row>
    <row r="155" spans="2:13">
      <c r="B155" s="397"/>
      <c r="M155" s="397"/>
    </row>
    <row r="156" spans="2:13">
      <c r="B156" s="397"/>
      <c r="M156" s="397"/>
    </row>
    <row r="157" spans="2:13">
      <c r="B157" s="397"/>
      <c r="M157" s="397"/>
    </row>
    <row r="158" spans="2:13">
      <c r="B158" s="397"/>
      <c r="M158" s="397"/>
    </row>
    <row r="159" spans="2:13">
      <c r="B159" s="397"/>
      <c r="M159" s="397"/>
    </row>
    <row r="160" spans="2:13">
      <c r="B160" s="397"/>
      <c r="M160" s="397"/>
    </row>
    <row r="161" spans="2:13">
      <c r="B161" s="397"/>
      <c r="M161" s="397"/>
    </row>
    <row r="162" spans="2:13">
      <c r="B162" s="397"/>
      <c r="M162" s="397"/>
    </row>
    <row r="163" spans="2:13">
      <c r="B163" s="397"/>
      <c r="M163" s="397"/>
    </row>
    <row r="164" spans="2:13">
      <c r="B164" s="397"/>
      <c r="M164" s="397"/>
    </row>
    <row r="165" spans="2:13">
      <c r="B165" s="397"/>
      <c r="M165" s="397"/>
    </row>
    <row r="166" spans="2:13">
      <c r="B166" s="397"/>
      <c r="M166" s="397"/>
    </row>
    <row r="167" spans="2:13">
      <c r="B167" s="397"/>
      <c r="M167" s="397"/>
    </row>
    <row r="168" spans="2:13">
      <c r="B168" s="397"/>
      <c r="M168" s="397"/>
    </row>
    <row r="169" spans="2:13">
      <c r="B169" s="397"/>
      <c r="M169" s="397"/>
    </row>
    <row r="170" spans="2:13">
      <c r="B170" s="397"/>
      <c r="M170" s="397"/>
    </row>
    <row r="171" spans="2:13">
      <c r="B171" s="397"/>
      <c r="M171" s="397"/>
    </row>
    <row r="172" spans="2:13">
      <c r="B172" s="397"/>
      <c r="M172" s="397"/>
    </row>
    <row r="173" spans="2:13">
      <c r="B173" s="397"/>
      <c r="M173" s="397"/>
    </row>
    <row r="174" spans="2:13">
      <c r="B174" s="397"/>
      <c r="M174" s="397"/>
    </row>
    <row r="175" spans="2:13">
      <c r="B175" s="397"/>
      <c r="M175" s="397"/>
    </row>
    <row r="176" spans="2:13">
      <c r="B176" s="397"/>
      <c r="M176" s="397"/>
    </row>
    <row r="177" spans="2:13">
      <c r="B177" s="397"/>
      <c r="M177" s="397"/>
    </row>
    <row r="178" spans="2:13">
      <c r="B178" s="397"/>
      <c r="M178" s="397"/>
    </row>
    <row r="179" spans="2:13">
      <c r="B179" s="397"/>
      <c r="M179" s="397"/>
    </row>
    <row r="180" spans="2:13">
      <c r="B180" s="397"/>
      <c r="M180" s="397"/>
    </row>
    <row r="181" spans="2:13">
      <c r="B181" s="397"/>
      <c r="M181" s="397"/>
    </row>
    <row r="182" spans="2:13">
      <c r="B182" s="397"/>
      <c r="M182" s="397"/>
    </row>
    <row r="183" spans="2:13">
      <c r="B183" s="397"/>
      <c r="M183" s="397"/>
    </row>
    <row r="184" spans="2:13">
      <c r="B184" s="397"/>
      <c r="M184" s="397"/>
    </row>
    <row r="185" spans="2:13">
      <c r="B185" s="397"/>
      <c r="M185" s="397"/>
    </row>
    <row r="186" spans="2:13">
      <c r="B186" s="397"/>
      <c r="M186" s="397"/>
    </row>
    <row r="187" spans="2:13">
      <c r="B187" s="397"/>
      <c r="M187" s="397"/>
    </row>
    <row r="188" spans="2:13">
      <c r="B188" s="397"/>
      <c r="M188" s="397"/>
    </row>
    <row r="189" spans="2:13">
      <c r="B189" s="397"/>
      <c r="M189" s="397"/>
    </row>
    <row r="190" spans="2:13">
      <c r="B190" s="397"/>
      <c r="M190" s="397"/>
    </row>
    <row r="191" spans="2:13">
      <c r="B191" s="397"/>
      <c r="M191" s="397"/>
    </row>
    <row r="192" spans="2:13">
      <c r="B192" s="397"/>
      <c r="M192" s="397"/>
    </row>
    <row r="193" spans="2:13">
      <c r="B193" s="397"/>
      <c r="M193" s="397"/>
    </row>
    <row r="194" spans="2:13">
      <c r="B194" s="397"/>
      <c r="M194" s="397"/>
    </row>
    <row r="195" spans="2:13">
      <c r="B195" s="397"/>
      <c r="M195" s="397"/>
    </row>
    <row r="196" spans="2:13">
      <c r="B196" s="397"/>
      <c r="M196" s="397"/>
    </row>
    <row r="197" spans="2:13">
      <c r="B197" s="397"/>
      <c r="M197" s="397"/>
    </row>
    <row r="198" spans="2:13">
      <c r="B198" s="397"/>
      <c r="M198" s="397"/>
    </row>
    <row r="199" spans="2:13">
      <c r="B199" s="397"/>
      <c r="M199" s="397"/>
    </row>
    <row r="200" spans="2:13">
      <c r="B200" s="397"/>
      <c r="M200" s="397"/>
    </row>
    <row r="201" spans="2:13">
      <c r="B201" s="397"/>
      <c r="M201" s="397"/>
    </row>
    <row r="202" spans="2:13">
      <c r="B202" s="397"/>
      <c r="M202" s="397"/>
    </row>
    <row r="203" spans="2:13">
      <c r="B203" s="397"/>
      <c r="M203" s="397"/>
    </row>
    <row r="204" spans="2:13">
      <c r="B204" s="397"/>
      <c r="M204" s="397"/>
    </row>
    <row r="205" spans="2:13">
      <c r="B205" s="397"/>
      <c r="M205" s="397"/>
    </row>
    <row r="206" spans="2:13">
      <c r="B206" s="397"/>
      <c r="M206" s="397"/>
    </row>
    <row r="207" spans="2:13">
      <c r="B207" s="397"/>
      <c r="M207" s="397"/>
    </row>
    <row r="208" spans="2:13">
      <c r="B208" s="397"/>
      <c r="M208" s="397"/>
    </row>
    <row r="209" spans="2:13">
      <c r="B209" s="397"/>
      <c r="M209" s="397"/>
    </row>
    <row r="210" spans="2:13">
      <c r="B210" s="397"/>
      <c r="M210" s="397"/>
    </row>
    <row r="211" spans="2:13">
      <c r="B211" s="397"/>
      <c r="M211" s="397"/>
    </row>
    <row r="212" spans="2:13">
      <c r="B212" s="397"/>
      <c r="M212" s="397"/>
    </row>
    <row r="213" spans="2:13">
      <c r="B213" s="397"/>
      <c r="M213" s="397"/>
    </row>
    <row r="214" spans="2:13">
      <c r="B214" s="397"/>
      <c r="M214" s="397"/>
    </row>
    <row r="215" spans="2:13">
      <c r="B215" s="397"/>
      <c r="M215" s="397"/>
    </row>
    <row r="216" spans="2:13">
      <c r="B216" s="397"/>
      <c r="M216" s="397"/>
    </row>
    <row r="217" spans="2:13">
      <c r="B217" s="397"/>
      <c r="M217" s="397"/>
    </row>
    <row r="218" spans="2:13">
      <c r="B218" s="397"/>
      <c r="M218" s="397"/>
    </row>
    <row r="219" spans="2:13">
      <c r="B219" s="397"/>
      <c r="M219" s="397"/>
    </row>
    <row r="220" spans="2:13">
      <c r="B220" s="397"/>
      <c r="M220" s="397"/>
    </row>
    <row r="221" spans="2:13">
      <c r="B221" s="397"/>
      <c r="M221" s="397"/>
    </row>
    <row r="222" spans="2:13">
      <c r="B222" s="397"/>
      <c r="M222" s="397"/>
    </row>
    <row r="223" spans="2:13">
      <c r="B223" s="397"/>
      <c r="M223" s="397"/>
    </row>
    <row r="224" spans="2:13">
      <c r="B224" s="397"/>
      <c r="M224" s="397"/>
    </row>
    <row r="225" spans="2:13">
      <c r="B225" s="397"/>
      <c r="M225" s="397"/>
    </row>
    <row r="226" spans="2:13">
      <c r="B226" s="397"/>
      <c r="M226" s="397"/>
    </row>
    <row r="227" spans="2:13">
      <c r="B227" s="397"/>
      <c r="M227" s="397"/>
    </row>
    <row r="228" spans="2:13">
      <c r="B228" s="397"/>
      <c r="M228" s="397"/>
    </row>
    <row r="229" spans="2:13">
      <c r="B229" s="397"/>
      <c r="M229" s="397"/>
    </row>
    <row r="230" spans="2:13">
      <c r="B230" s="397"/>
      <c r="M230" s="397"/>
    </row>
    <row r="231" spans="2:13">
      <c r="B231" s="397"/>
      <c r="M231" s="397"/>
    </row>
    <row r="232" spans="2:13">
      <c r="B232" s="397"/>
      <c r="M232" s="397"/>
    </row>
    <row r="233" spans="2:13">
      <c r="B233" s="397"/>
      <c r="M233" s="397"/>
    </row>
    <row r="234" spans="2:13">
      <c r="B234" s="397"/>
      <c r="M234" s="397"/>
    </row>
    <row r="235" spans="2:13">
      <c r="B235" s="397"/>
      <c r="M235" s="397"/>
    </row>
    <row r="236" spans="2:13">
      <c r="B236" s="397"/>
      <c r="M236" s="397"/>
    </row>
    <row r="237" spans="2:13">
      <c r="B237" s="397"/>
      <c r="M237" s="397"/>
    </row>
    <row r="238" spans="2:13">
      <c r="B238" s="397"/>
      <c r="M238" s="397"/>
    </row>
    <row r="239" spans="2:13">
      <c r="B239" s="397"/>
      <c r="M239" s="397"/>
    </row>
    <row r="240" spans="2:13">
      <c r="B240" s="397"/>
      <c r="M240" s="397"/>
    </row>
    <row r="241" spans="2:13">
      <c r="B241" s="397"/>
      <c r="M241" s="397"/>
    </row>
    <row r="242" spans="2:13">
      <c r="B242" s="397"/>
      <c r="M242" s="397"/>
    </row>
    <row r="243" spans="2:13">
      <c r="B243" s="397"/>
      <c r="M243" s="397"/>
    </row>
    <row r="244" spans="2:13">
      <c r="B244" s="397"/>
      <c r="M244" s="397"/>
    </row>
    <row r="245" spans="2:13">
      <c r="B245" s="397"/>
      <c r="M245" s="397"/>
    </row>
    <row r="246" spans="2:13">
      <c r="B246" s="397"/>
      <c r="M246" s="397"/>
    </row>
    <row r="247" spans="2:13">
      <c r="B247" s="397"/>
      <c r="M247" s="397"/>
    </row>
    <row r="248" spans="2:13">
      <c r="B248" s="397"/>
      <c r="M248" s="397"/>
    </row>
    <row r="249" spans="2:13">
      <c r="B249" s="397"/>
      <c r="M249" s="397"/>
    </row>
    <row r="250" spans="2:13">
      <c r="B250" s="397"/>
      <c r="M250" s="397"/>
    </row>
    <row r="251" spans="2:13">
      <c r="B251" s="397"/>
      <c r="M251" s="397"/>
    </row>
    <row r="252" spans="2:13">
      <c r="B252" s="397"/>
      <c r="M252" s="397"/>
    </row>
    <row r="253" spans="2:13">
      <c r="B253" s="397"/>
      <c r="M253" s="397"/>
    </row>
    <row r="254" spans="2:13">
      <c r="B254" s="397"/>
      <c r="M254" s="397"/>
    </row>
    <row r="255" spans="2:13">
      <c r="B255" s="397"/>
      <c r="M255" s="397"/>
    </row>
    <row r="256" spans="2:13">
      <c r="B256" s="397"/>
      <c r="M256" s="397"/>
    </row>
    <row r="257" spans="2:13">
      <c r="B257" s="397"/>
      <c r="M257" s="397"/>
    </row>
    <row r="258" spans="2:13">
      <c r="B258" s="397"/>
      <c r="M258" s="397"/>
    </row>
    <row r="259" spans="2:13">
      <c r="B259" s="397"/>
      <c r="M259" s="397"/>
    </row>
    <row r="260" spans="2:13">
      <c r="B260" s="397"/>
      <c r="M260" s="397"/>
    </row>
    <row r="261" spans="2:13">
      <c r="B261" s="397"/>
      <c r="M261" s="397"/>
    </row>
    <row r="262" spans="2:13">
      <c r="B262" s="397"/>
      <c r="M262" s="397"/>
    </row>
    <row r="263" spans="2:13">
      <c r="B263" s="397"/>
      <c r="M263" s="397"/>
    </row>
    <row r="264" spans="2:13">
      <c r="B264" s="397"/>
      <c r="M264" s="397"/>
    </row>
    <row r="265" spans="2:13">
      <c r="B265" s="397"/>
      <c r="M265" s="397"/>
    </row>
    <row r="266" spans="2:13">
      <c r="B266" s="397"/>
      <c r="M266" s="397"/>
    </row>
    <row r="267" spans="2:13">
      <c r="B267" s="397"/>
      <c r="M267" s="397"/>
    </row>
    <row r="268" spans="2:13">
      <c r="B268" s="397"/>
      <c r="M268" s="397"/>
    </row>
    <row r="269" spans="2:13">
      <c r="B269" s="397"/>
      <c r="M269" s="397"/>
    </row>
    <row r="270" spans="2:13">
      <c r="B270" s="397"/>
      <c r="M270" s="397"/>
    </row>
    <row r="271" spans="2:13">
      <c r="B271" s="397"/>
      <c r="M271" s="397"/>
    </row>
    <row r="272" spans="2:13">
      <c r="B272" s="397"/>
      <c r="M272" s="397"/>
    </row>
    <row r="273" spans="2:13">
      <c r="B273" s="397"/>
      <c r="M273" s="397"/>
    </row>
    <row r="274" spans="2:13">
      <c r="B274" s="397"/>
      <c r="M274" s="397"/>
    </row>
    <row r="275" spans="2:13">
      <c r="B275" s="397"/>
      <c r="M275" s="397"/>
    </row>
    <row r="276" spans="2:13">
      <c r="B276" s="397"/>
      <c r="M276" s="397"/>
    </row>
    <row r="277" spans="2:13">
      <c r="B277" s="397"/>
      <c r="M277" s="397"/>
    </row>
    <row r="278" spans="2:13">
      <c r="B278" s="397"/>
      <c r="M278" s="397"/>
    </row>
    <row r="279" spans="2:13">
      <c r="B279" s="397"/>
      <c r="M279" s="397"/>
    </row>
    <row r="280" spans="2:13">
      <c r="B280" s="397"/>
      <c r="M280" s="397"/>
    </row>
    <row r="281" spans="2:13">
      <c r="B281" s="397"/>
      <c r="M281" s="397"/>
    </row>
    <row r="282" spans="2:13">
      <c r="B282" s="397"/>
      <c r="M282" s="397"/>
    </row>
    <row r="283" spans="2:13">
      <c r="B283" s="397"/>
      <c r="M283" s="397"/>
    </row>
    <row r="284" spans="2:13">
      <c r="B284" s="397"/>
      <c r="M284" s="397"/>
    </row>
    <row r="285" spans="2:13">
      <c r="B285" s="397"/>
      <c r="M285" s="397"/>
    </row>
    <row r="286" spans="2:13">
      <c r="B286" s="397"/>
      <c r="M286" s="397"/>
    </row>
    <row r="287" spans="2:13">
      <c r="B287" s="397"/>
      <c r="M287" s="397"/>
    </row>
    <row r="288" spans="2:13">
      <c r="B288" s="397"/>
      <c r="M288" s="397"/>
    </row>
    <row r="289" spans="2:13">
      <c r="B289" s="397"/>
      <c r="M289" s="397"/>
    </row>
    <row r="290" spans="2:13">
      <c r="B290" s="397"/>
      <c r="M290" s="397"/>
    </row>
    <row r="291" spans="2:13">
      <c r="B291" s="397"/>
      <c r="M291" s="397"/>
    </row>
    <row r="292" spans="2:13">
      <c r="B292" s="397"/>
      <c r="M292" s="397"/>
    </row>
    <row r="293" spans="2:13">
      <c r="B293" s="397"/>
      <c r="M293" s="397"/>
    </row>
    <row r="294" spans="2:13">
      <c r="B294" s="397"/>
      <c r="M294" s="397"/>
    </row>
    <row r="295" spans="2:13">
      <c r="B295" s="397"/>
      <c r="M295" s="397"/>
    </row>
    <row r="296" spans="2:13">
      <c r="B296" s="397"/>
      <c r="M296" s="397"/>
    </row>
    <row r="297" spans="2:13">
      <c r="B297" s="397"/>
      <c r="M297" s="397"/>
    </row>
    <row r="298" spans="2:13">
      <c r="B298" s="397"/>
      <c r="M298" s="397"/>
    </row>
    <row r="299" spans="2:13">
      <c r="B299" s="397"/>
      <c r="M299" s="397"/>
    </row>
    <row r="300" spans="2:13">
      <c r="B300" s="397"/>
      <c r="M300" s="397"/>
    </row>
    <row r="301" spans="2:13">
      <c r="B301" s="397"/>
      <c r="M301" s="397"/>
    </row>
    <row r="302" spans="2:13">
      <c r="B302" s="397"/>
      <c r="M302" s="397"/>
    </row>
    <row r="303" spans="2:13">
      <c r="B303" s="397"/>
      <c r="M303" s="397"/>
    </row>
    <row r="304" spans="2:13">
      <c r="B304" s="397"/>
      <c r="M304" s="397"/>
    </row>
    <row r="305" spans="2:13">
      <c r="B305" s="397"/>
      <c r="M305" s="397"/>
    </row>
    <row r="306" spans="2:13">
      <c r="B306" s="397"/>
      <c r="M306" s="397"/>
    </row>
    <row r="307" spans="2:13">
      <c r="B307" s="397"/>
      <c r="M307" s="397"/>
    </row>
    <row r="308" spans="2:13">
      <c r="B308" s="397"/>
      <c r="M308" s="397"/>
    </row>
    <row r="309" spans="2:13">
      <c r="B309" s="397"/>
      <c r="M309" s="397"/>
    </row>
    <row r="310" spans="2:13">
      <c r="B310" s="397"/>
      <c r="M310" s="397"/>
    </row>
    <row r="311" spans="2:13">
      <c r="B311" s="397"/>
      <c r="M311" s="397"/>
    </row>
    <row r="312" spans="2:13">
      <c r="B312" s="397"/>
      <c r="M312" s="397"/>
    </row>
    <row r="313" spans="2:13">
      <c r="B313" s="397"/>
      <c r="M313" s="397"/>
    </row>
    <row r="314" spans="2:13">
      <c r="B314" s="397"/>
      <c r="M314" s="397"/>
    </row>
    <row r="315" spans="2:13">
      <c r="B315" s="397"/>
      <c r="M315" s="397"/>
    </row>
    <row r="316" spans="2:13">
      <c r="B316" s="397"/>
      <c r="M316" s="397"/>
    </row>
    <row r="317" spans="2:13">
      <c r="B317" s="397"/>
      <c r="M317" s="397"/>
    </row>
    <row r="318" spans="2:13">
      <c r="B318" s="397"/>
      <c r="M318" s="397"/>
    </row>
    <row r="319" spans="2:13">
      <c r="B319" s="397"/>
      <c r="M319" s="397"/>
    </row>
    <row r="320" spans="2:13">
      <c r="B320" s="397"/>
      <c r="M320" s="397"/>
    </row>
    <row r="321" spans="2:13">
      <c r="B321" s="397"/>
      <c r="M321" s="397"/>
    </row>
    <row r="322" spans="2:13">
      <c r="B322" s="397"/>
      <c r="M322" s="397"/>
    </row>
    <row r="323" spans="2:13">
      <c r="B323" s="397"/>
      <c r="M323" s="397"/>
    </row>
    <row r="324" spans="2:13">
      <c r="B324" s="397"/>
      <c r="M324" s="397"/>
    </row>
    <row r="325" spans="2:13">
      <c r="B325" s="397"/>
      <c r="M325" s="397"/>
    </row>
    <row r="326" spans="2:13">
      <c r="B326" s="397"/>
      <c r="M326" s="397"/>
    </row>
    <row r="327" spans="2:13">
      <c r="B327" s="397"/>
      <c r="M327" s="397"/>
    </row>
    <row r="328" spans="2:13">
      <c r="B328" s="397"/>
      <c r="M328" s="397"/>
    </row>
    <row r="329" spans="2:13">
      <c r="B329" s="397"/>
      <c r="M329" s="397"/>
    </row>
    <row r="330" spans="2:13">
      <c r="B330" s="397"/>
      <c r="M330" s="397"/>
    </row>
    <row r="331" spans="2:13">
      <c r="B331" s="397"/>
      <c r="M331" s="397"/>
    </row>
    <row r="332" spans="2:13">
      <c r="B332" s="397"/>
      <c r="M332" s="397"/>
    </row>
    <row r="333" spans="2:13">
      <c r="B333" s="397"/>
      <c r="M333" s="397"/>
    </row>
    <row r="334" spans="2:13">
      <c r="B334" s="397"/>
      <c r="M334" s="397"/>
    </row>
    <row r="335" spans="2:13">
      <c r="B335" s="397"/>
      <c r="M335" s="397"/>
    </row>
    <row r="336" spans="2:13">
      <c r="B336" s="397"/>
      <c r="M336" s="397"/>
    </row>
    <row r="337" spans="2:13">
      <c r="B337" s="397"/>
      <c r="M337" s="397"/>
    </row>
    <row r="338" spans="2:13">
      <c r="B338" s="397"/>
      <c r="M338" s="397"/>
    </row>
    <row r="339" spans="2:13">
      <c r="B339" s="397"/>
      <c r="M339" s="397"/>
    </row>
    <row r="340" spans="2:13">
      <c r="B340" s="397"/>
      <c r="M340" s="397"/>
    </row>
    <row r="341" spans="2:13">
      <c r="B341" s="397"/>
      <c r="M341" s="397"/>
    </row>
    <row r="342" spans="2:13">
      <c r="B342" s="397"/>
      <c r="M342" s="397"/>
    </row>
    <row r="343" spans="2:13">
      <c r="B343" s="397"/>
      <c r="M343" s="397"/>
    </row>
    <row r="344" spans="2:13">
      <c r="B344" s="397"/>
      <c r="M344" s="397"/>
    </row>
    <row r="345" spans="2:13">
      <c r="B345" s="397"/>
      <c r="M345" s="397"/>
    </row>
    <row r="346" spans="2:13">
      <c r="B346" s="397"/>
      <c r="M346" s="397"/>
    </row>
    <row r="347" spans="2:13">
      <c r="B347" s="397"/>
      <c r="M347" s="397"/>
    </row>
    <row r="348" spans="2:13">
      <c r="B348" s="397"/>
      <c r="M348" s="397"/>
    </row>
    <row r="349" spans="2:13">
      <c r="B349" s="397"/>
      <c r="M349" s="397"/>
    </row>
    <row r="350" spans="2:13">
      <c r="B350" s="397"/>
      <c r="M350" s="397"/>
    </row>
    <row r="351" spans="2:13">
      <c r="B351" s="397"/>
      <c r="M351" s="397"/>
    </row>
    <row r="352" spans="2:13">
      <c r="B352" s="397"/>
      <c r="M352" s="397"/>
    </row>
    <row r="353" spans="2:13">
      <c r="B353" s="397"/>
      <c r="M353" s="397"/>
    </row>
    <row r="354" spans="2:13">
      <c r="B354" s="397"/>
      <c r="M354" s="397"/>
    </row>
    <row r="355" spans="2:13">
      <c r="B355" s="397"/>
      <c r="M355" s="397"/>
    </row>
    <row r="356" spans="2:13">
      <c r="B356" s="397"/>
      <c r="M356" s="397"/>
    </row>
    <row r="357" spans="2:13">
      <c r="B357" s="397"/>
      <c r="M357" s="397"/>
    </row>
    <row r="358" spans="2:13">
      <c r="B358" s="397"/>
      <c r="M358" s="397"/>
    </row>
    <row r="359" spans="2:13">
      <c r="B359" s="397"/>
      <c r="M359" s="397"/>
    </row>
    <row r="360" spans="2:13">
      <c r="B360" s="397"/>
      <c r="M360" s="397"/>
    </row>
    <row r="361" spans="2:13">
      <c r="B361" s="397"/>
      <c r="M361" s="397"/>
    </row>
    <row r="362" spans="2:13">
      <c r="B362" s="397"/>
      <c r="M362" s="397"/>
    </row>
    <row r="363" spans="2:13">
      <c r="B363" s="397"/>
      <c r="M363" s="397"/>
    </row>
    <row r="364" spans="2:13">
      <c r="B364" s="397"/>
      <c r="M364" s="397"/>
    </row>
    <row r="365" spans="2:13">
      <c r="B365" s="397"/>
      <c r="M365" s="397"/>
    </row>
    <row r="366" spans="2:13">
      <c r="B366" s="397"/>
      <c r="M366" s="397"/>
    </row>
    <row r="367" spans="2:13">
      <c r="B367" s="397"/>
      <c r="M367" s="397"/>
    </row>
    <row r="368" spans="2:13">
      <c r="B368" s="397"/>
      <c r="M368" s="397"/>
    </row>
    <row r="369" spans="2:13">
      <c r="B369" s="397"/>
      <c r="M369" s="397"/>
    </row>
    <row r="370" spans="2:13">
      <c r="B370" s="397"/>
      <c r="M370" s="397"/>
    </row>
    <row r="371" spans="2:13">
      <c r="B371" s="397"/>
      <c r="M371" s="397"/>
    </row>
    <row r="372" spans="2:13">
      <c r="B372" s="397"/>
      <c r="M372" s="397"/>
    </row>
    <row r="373" spans="2:13">
      <c r="B373" s="397"/>
      <c r="M373" s="397"/>
    </row>
    <row r="374" spans="2:13">
      <c r="B374" s="397"/>
      <c r="M374" s="397"/>
    </row>
    <row r="375" spans="2:13">
      <c r="B375" s="397"/>
      <c r="M375" s="397"/>
    </row>
    <row r="376" spans="2:13">
      <c r="B376" s="397"/>
      <c r="M376" s="397"/>
    </row>
    <row r="377" spans="2:13">
      <c r="B377" s="397"/>
      <c r="M377" s="397"/>
    </row>
    <row r="378" spans="2:13">
      <c r="B378" s="397"/>
      <c r="M378" s="397"/>
    </row>
    <row r="379" spans="2:13">
      <c r="B379" s="397"/>
      <c r="M379" s="397"/>
    </row>
    <row r="380" spans="2:13">
      <c r="B380" s="397"/>
      <c r="M380" s="397"/>
    </row>
    <row r="381" spans="2:13">
      <c r="B381" s="397"/>
      <c r="M381" s="397"/>
    </row>
    <row r="382" spans="2:13">
      <c r="B382" s="397"/>
      <c r="M382" s="397"/>
    </row>
    <row r="383" spans="2:13">
      <c r="B383" s="397"/>
      <c r="M383" s="397"/>
    </row>
    <row r="384" spans="2:13">
      <c r="B384" s="397"/>
      <c r="M384" s="397"/>
    </row>
    <row r="385" spans="2:13">
      <c r="B385" s="397"/>
      <c r="M385" s="397"/>
    </row>
    <row r="386" spans="2:13">
      <c r="B386" s="397"/>
      <c r="M386" s="397"/>
    </row>
    <row r="387" spans="2:13">
      <c r="B387" s="397"/>
      <c r="M387" s="397"/>
    </row>
    <row r="388" spans="2:13">
      <c r="B388" s="397"/>
      <c r="M388" s="397"/>
    </row>
    <row r="389" spans="2:13">
      <c r="B389" s="397"/>
      <c r="M389" s="397"/>
    </row>
    <row r="390" spans="2:13">
      <c r="B390" s="397"/>
      <c r="M390" s="397"/>
    </row>
    <row r="391" spans="2:13">
      <c r="B391" s="397"/>
      <c r="M391" s="397"/>
    </row>
    <row r="392" spans="2:13">
      <c r="B392" s="397"/>
      <c r="M392" s="397"/>
    </row>
    <row r="393" spans="2:13">
      <c r="B393" s="397"/>
      <c r="M393" s="397"/>
    </row>
    <row r="394" spans="2:13">
      <c r="B394" s="397"/>
      <c r="M394" s="397"/>
    </row>
    <row r="395" spans="2:13">
      <c r="B395" s="397"/>
      <c r="M395" s="397"/>
    </row>
    <row r="396" spans="2:13">
      <c r="B396" s="397"/>
      <c r="M396" s="397"/>
    </row>
    <row r="397" spans="2:13">
      <c r="B397" s="397"/>
      <c r="M397" s="397"/>
    </row>
    <row r="398" spans="2:13">
      <c r="B398" s="397"/>
      <c r="M398" s="397"/>
    </row>
    <row r="399" spans="2:13">
      <c r="B399" s="397"/>
      <c r="M399" s="397"/>
    </row>
    <row r="400" spans="2:13">
      <c r="B400" s="397"/>
      <c r="M400" s="397"/>
    </row>
    <row r="401" spans="2:13">
      <c r="B401" s="397"/>
      <c r="M401" s="397"/>
    </row>
    <row r="402" spans="2:13">
      <c r="B402" s="397"/>
      <c r="M402" s="397"/>
    </row>
    <row r="403" spans="2:13">
      <c r="B403" s="397"/>
      <c r="M403" s="397"/>
    </row>
    <row r="404" spans="2:13">
      <c r="B404" s="397"/>
      <c r="M404" s="397"/>
    </row>
    <row r="405" spans="2:13">
      <c r="B405" s="397"/>
      <c r="M405" s="397"/>
    </row>
    <row r="406" spans="2:13">
      <c r="B406" s="397"/>
      <c r="M406" s="397"/>
    </row>
    <row r="407" spans="2:13">
      <c r="B407" s="397"/>
      <c r="M407" s="397"/>
    </row>
    <row r="408" spans="2:13">
      <c r="B408" s="397"/>
      <c r="M408" s="397"/>
    </row>
    <row r="409" spans="2:13">
      <c r="B409" s="397"/>
      <c r="M409" s="397"/>
    </row>
    <row r="410" spans="2:13">
      <c r="B410" s="397"/>
      <c r="M410" s="397"/>
    </row>
    <row r="411" spans="2:13">
      <c r="B411" s="397"/>
      <c r="M411" s="397"/>
    </row>
    <row r="412" spans="2:13">
      <c r="B412" s="397"/>
      <c r="M412" s="397"/>
    </row>
    <row r="413" spans="2:13">
      <c r="B413" s="397"/>
      <c r="M413" s="397"/>
    </row>
    <row r="414" spans="2:13">
      <c r="B414" s="397"/>
      <c r="M414" s="397"/>
    </row>
    <row r="415" spans="2:13">
      <c r="B415" s="397"/>
      <c r="M415" s="397"/>
    </row>
    <row r="416" spans="2:13">
      <c r="B416" s="397"/>
      <c r="M416" s="397"/>
    </row>
    <row r="417" spans="2:13">
      <c r="B417" s="397"/>
      <c r="M417" s="397"/>
    </row>
    <row r="418" spans="2:13">
      <c r="B418" s="397"/>
      <c r="M418" s="397"/>
    </row>
    <row r="419" spans="2:13">
      <c r="B419" s="397"/>
      <c r="M419" s="397"/>
    </row>
    <row r="420" spans="2:13">
      <c r="B420" s="397"/>
      <c r="M420" s="397"/>
    </row>
    <row r="421" spans="2:13">
      <c r="B421" s="397"/>
      <c r="M421" s="397"/>
    </row>
    <row r="422" spans="2:13">
      <c r="B422" s="397"/>
      <c r="M422" s="397"/>
    </row>
    <row r="423" spans="2:13">
      <c r="B423" s="397"/>
      <c r="M423" s="397"/>
    </row>
    <row r="424" spans="2:13">
      <c r="B424" s="397"/>
      <c r="M424" s="397"/>
    </row>
    <row r="425" spans="2:13">
      <c r="B425" s="397"/>
      <c r="M425" s="397"/>
    </row>
    <row r="426" spans="2:13">
      <c r="B426" s="397"/>
      <c r="M426" s="397"/>
    </row>
    <row r="427" spans="2:13">
      <c r="B427" s="397"/>
      <c r="M427" s="397"/>
    </row>
    <row r="428" spans="2:13">
      <c r="B428" s="397"/>
      <c r="M428" s="397"/>
    </row>
    <row r="429" spans="2:13">
      <c r="B429" s="397"/>
      <c r="M429" s="397"/>
    </row>
    <row r="430" spans="2:13">
      <c r="B430" s="397"/>
      <c r="M430" s="397"/>
    </row>
    <row r="431" spans="2:13">
      <c r="B431" s="397"/>
      <c r="M431" s="397"/>
    </row>
    <row r="432" spans="2:13">
      <c r="B432" s="397"/>
      <c r="M432" s="397"/>
    </row>
    <row r="433" spans="2:13">
      <c r="B433" s="397"/>
      <c r="M433" s="397"/>
    </row>
    <row r="434" spans="2:13">
      <c r="B434" s="397"/>
      <c r="M434" s="397"/>
    </row>
    <row r="435" spans="2:13">
      <c r="B435" s="397"/>
      <c r="M435" s="397"/>
    </row>
    <row r="436" spans="2:13">
      <c r="B436" s="397"/>
      <c r="M436" s="397"/>
    </row>
    <row r="437" spans="2:13">
      <c r="B437" s="397"/>
      <c r="M437" s="397"/>
    </row>
    <row r="438" spans="2:13">
      <c r="B438" s="397"/>
      <c r="M438" s="397"/>
    </row>
    <row r="439" spans="2:13">
      <c r="B439" s="397"/>
      <c r="M439" s="397"/>
    </row>
    <row r="440" spans="2:13">
      <c r="B440" s="397"/>
      <c r="M440" s="397"/>
    </row>
    <row r="441" spans="2:13">
      <c r="B441" s="397"/>
      <c r="M441" s="397"/>
    </row>
    <row r="442" spans="2:13">
      <c r="B442" s="397"/>
      <c r="M442" s="397"/>
    </row>
    <row r="443" spans="2:13">
      <c r="B443" s="397"/>
      <c r="M443" s="397"/>
    </row>
    <row r="444" spans="2:13">
      <c r="B444" s="397"/>
      <c r="M444" s="397"/>
    </row>
    <row r="445" spans="2:13">
      <c r="B445" s="397"/>
      <c r="M445" s="397"/>
    </row>
    <row r="446" spans="2:13">
      <c r="B446" s="397"/>
      <c r="M446" s="397"/>
    </row>
    <row r="447" spans="2:13">
      <c r="B447" s="397"/>
      <c r="M447" s="397"/>
    </row>
    <row r="448" spans="2:13">
      <c r="B448" s="397"/>
      <c r="M448" s="397"/>
    </row>
    <row r="449" spans="2:13">
      <c r="B449" s="397"/>
      <c r="M449" s="397"/>
    </row>
    <row r="450" spans="2:13">
      <c r="B450" s="397"/>
      <c r="M450" s="397"/>
    </row>
    <row r="451" spans="2:13">
      <c r="B451" s="397"/>
      <c r="M451" s="397"/>
    </row>
    <row r="452" spans="2:13">
      <c r="B452" s="397"/>
      <c r="M452" s="397"/>
    </row>
    <row r="453" spans="2:13">
      <c r="B453" s="397"/>
      <c r="M453" s="397"/>
    </row>
    <row r="454" spans="2:13">
      <c r="B454" s="397"/>
      <c r="M454" s="397"/>
    </row>
    <row r="455" spans="2:13">
      <c r="B455" s="397"/>
      <c r="M455" s="397"/>
    </row>
    <row r="456" spans="2:13">
      <c r="B456" s="397"/>
      <c r="M456" s="397"/>
    </row>
    <row r="457" spans="2:13">
      <c r="B457" s="397"/>
      <c r="M457" s="397"/>
    </row>
    <row r="458" spans="2:13">
      <c r="B458" s="397"/>
      <c r="M458" s="397"/>
    </row>
    <row r="459" spans="2:13">
      <c r="B459" s="397"/>
      <c r="M459" s="397"/>
    </row>
    <row r="460" spans="2:13">
      <c r="B460" s="397"/>
      <c r="M460" s="397"/>
    </row>
    <row r="461" spans="2:13">
      <c r="B461" s="397"/>
      <c r="M461" s="397"/>
    </row>
    <row r="462" spans="2:13">
      <c r="B462" s="397"/>
      <c r="M462" s="397"/>
    </row>
    <row r="463" spans="2:13">
      <c r="B463" s="397"/>
      <c r="M463" s="397"/>
    </row>
    <row r="464" spans="2:13">
      <c r="B464" s="397"/>
      <c r="M464" s="397"/>
    </row>
    <row r="465" spans="2:13">
      <c r="B465" s="397"/>
      <c r="M465" s="397"/>
    </row>
    <row r="466" spans="2:13">
      <c r="B466" s="397"/>
      <c r="M466" s="397"/>
    </row>
    <row r="467" spans="2:13">
      <c r="B467" s="397"/>
      <c r="M467" s="397"/>
    </row>
    <row r="468" spans="2:13">
      <c r="B468" s="397"/>
      <c r="M468" s="397"/>
    </row>
    <row r="469" spans="2:13">
      <c r="B469" s="397"/>
      <c r="M469" s="397"/>
    </row>
    <row r="470" spans="2:13">
      <c r="B470" s="397"/>
      <c r="M470" s="397"/>
    </row>
    <row r="471" spans="2:13">
      <c r="B471" s="397"/>
      <c r="M471" s="397"/>
    </row>
    <row r="472" spans="2:13">
      <c r="B472" s="397"/>
      <c r="M472" s="397"/>
    </row>
    <row r="473" spans="2:13">
      <c r="B473" s="397"/>
      <c r="M473" s="397"/>
    </row>
    <row r="474" spans="2:13">
      <c r="B474" s="397"/>
      <c r="M474" s="397"/>
    </row>
    <row r="475" spans="2:13">
      <c r="B475" s="397"/>
      <c r="M475" s="397"/>
    </row>
    <row r="476" spans="2:13">
      <c r="B476" s="397"/>
      <c r="M476" s="397"/>
    </row>
    <row r="477" spans="2:13">
      <c r="B477" s="397"/>
      <c r="M477" s="397"/>
    </row>
    <row r="478" spans="2:13">
      <c r="B478" s="397"/>
      <c r="M478" s="397"/>
    </row>
    <row r="479" spans="2:13">
      <c r="B479" s="397"/>
      <c r="M479" s="397"/>
    </row>
    <row r="480" spans="2:13">
      <c r="B480" s="397"/>
      <c r="M480" s="397"/>
    </row>
    <row r="481" spans="2:13">
      <c r="B481" s="397"/>
      <c r="M481" s="397"/>
    </row>
    <row r="482" spans="2:13">
      <c r="B482" s="397"/>
      <c r="M482" s="397"/>
    </row>
    <row r="483" spans="2:13">
      <c r="B483" s="397"/>
      <c r="M483" s="397"/>
    </row>
    <row r="484" spans="2:13">
      <c r="B484" s="397"/>
      <c r="M484" s="397"/>
    </row>
    <row r="485" spans="2:13">
      <c r="B485" s="397"/>
      <c r="M485" s="397"/>
    </row>
    <row r="486" spans="2:13">
      <c r="B486" s="397"/>
      <c r="M486" s="397"/>
    </row>
    <row r="487" spans="2:13">
      <c r="B487" s="397"/>
      <c r="M487" s="397"/>
    </row>
    <row r="488" spans="2:13">
      <c r="B488" s="397"/>
      <c r="M488" s="397"/>
    </row>
    <row r="489" spans="2:13">
      <c r="B489" s="397"/>
      <c r="M489" s="397"/>
    </row>
    <row r="490" spans="2:13">
      <c r="B490" s="397"/>
      <c r="M490" s="397"/>
    </row>
    <row r="491" spans="2:13">
      <c r="B491" s="397"/>
      <c r="M491" s="397"/>
    </row>
    <row r="492" spans="2:13">
      <c r="B492" s="397"/>
      <c r="M492" s="397"/>
    </row>
    <row r="493" spans="2:13">
      <c r="B493" s="397"/>
      <c r="M493" s="397"/>
    </row>
    <row r="494" spans="2:13">
      <c r="B494" s="397"/>
      <c r="M494" s="397"/>
    </row>
    <row r="495" spans="2:13">
      <c r="B495" s="397"/>
      <c r="M495" s="397"/>
    </row>
    <row r="496" spans="2:13">
      <c r="B496" s="397"/>
      <c r="M496" s="397"/>
    </row>
    <row r="497" spans="2:13">
      <c r="B497" s="397"/>
      <c r="M497" s="397"/>
    </row>
    <row r="498" spans="2:13">
      <c r="B498" s="397"/>
      <c r="M498" s="397"/>
    </row>
    <row r="499" spans="2:13">
      <c r="B499" s="397"/>
      <c r="M499" s="397"/>
    </row>
    <row r="500" spans="2:13">
      <c r="B500" s="397"/>
      <c r="M500" s="397"/>
    </row>
    <row r="501" spans="2:13">
      <c r="B501" s="397"/>
      <c r="M501" s="397"/>
    </row>
    <row r="502" spans="2:13">
      <c r="B502" s="397"/>
      <c r="M502" s="397"/>
    </row>
    <row r="503" spans="2:13">
      <c r="B503" s="397"/>
      <c r="M503" s="397"/>
    </row>
    <row r="504" spans="2:13">
      <c r="B504" s="397"/>
      <c r="M504" s="397"/>
    </row>
    <row r="505" spans="2:13">
      <c r="B505" s="397"/>
      <c r="M505" s="397"/>
    </row>
    <row r="506" spans="2:13">
      <c r="B506" s="397"/>
      <c r="M506" s="397"/>
    </row>
    <row r="507" spans="2:13">
      <c r="B507" s="397"/>
      <c r="M507" s="397"/>
    </row>
    <row r="508" spans="2:13">
      <c r="B508" s="397"/>
      <c r="M508" s="397"/>
    </row>
    <row r="509" spans="2:13">
      <c r="B509" s="397"/>
      <c r="M509" s="397"/>
    </row>
    <row r="510" spans="2:13">
      <c r="B510" s="397"/>
      <c r="M510" s="397"/>
    </row>
    <row r="511" spans="2:13">
      <c r="B511" s="397"/>
      <c r="M511" s="397"/>
    </row>
    <row r="512" spans="2:13">
      <c r="B512" s="397"/>
      <c r="M512" s="397"/>
    </row>
    <row r="513" spans="2:13">
      <c r="B513" s="397"/>
      <c r="M513" s="397"/>
    </row>
    <row r="514" spans="2:13">
      <c r="B514" s="397"/>
      <c r="M514" s="397"/>
    </row>
    <row r="515" spans="2:13">
      <c r="B515" s="397"/>
      <c r="M515" s="397"/>
    </row>
    <row r="516" spans="2:13">
      <c r="B516" s="397"/>
      <c r="M516" s="397"/>
    </row>
    <row r="517" spans="2:13">
      <c r="B517" s="397"/>
      <c r="M517" s="397"/>
    </row>
    <row r="518" spans="2:13">
      <c r="B518" s="397"/>
      <c r="M518" s="397"/>
    </row>
    <row r="519" spans="2:13">
      <c r="B519" s="397"/>
      <c r="M519" s="397"/>
    </row>
    <row r="520" spans="2:13">
      <c r="B520" s="397"/>
      <c r="M520" s="397"/>
    </row>
    <row r="521" spans="2:13">
      <c r="B521" s="397"/>
      <c r="M521" s="397"/>
    </row>
    <row r="522" spans="2:13">
      <c r="B522" s="397"/>
      <c r="M522" s="397"/>
    </row>
    <row r="523" spans="2:13">
      <c r="B523" s="397"/>
      <c r="M523" s="397"/>
    </row>
    <row r="524" spans="2:13">
      <c r="B524" s="397"/>
      <c r="M524" s="397"/>
    </row>
    <row r="525" spans="2:13">
      <c r="B525" s="397"/>
      <c r="M525" s="397"/>
    </row>
    <row r="526" spans="2:13">
      <c r="B526" s="397"/>
      <c r="M526" s="397"/>
    </row>
    <row r="527" spans="2:13">
      <c r="B527" s="397"/>
      <c r="M527" s="397"/>
    </row>
    <row r="528" spans="2:13">
      <c r="B528" s="397"/>
      <c r="M528" s="397"/>
    </row>
    <row r="529" spans="2:13">
      <c r="B529" s="397"/>
      <c r="M529" s="397"/>
    </row>
    <row r="530" spans="2:13">
      <c r="B530" s="397"/>
      <c r="M530" s="397"/>
    </row>
    <row r="531" spans="2:13">
      <c r="B531" s="397"/>
      <c r="M531" s="397"/>
    </row>
    <row r="532" spans="2:13">
      <c r="B532" s="397"/>
      <c r="M532" s="397"/>
    </row>
    <row r="533" spans="2:13">
      <c r="B533" s="397"/>
      <c r="M533" s="397"/>
    </row>
    <row r="534" spans="2:13">
      <c r="B534" s="397"/>
      <c r="M534" s="397"/>
    </row>
    <row r="535" spans="2:13">
      <c r="B535" s="397"/>
      <c r="M535" s="397"/>
    </row>
    <row r="536" spans="2:13">
      <c r="B536" s="397"/>
      <c r="M536" s="397"/>
    </row>
    <row r="537" spans="2:13">
      <c r="B537" s="397"/>
      <c r="M537" s="397"/>
    </row>
    <row r="538" spans="2:13">
      <c r="B538" s="397"/>
      <c r="M538" s="397"/>
    </row>
    <row r="539" spans="2:13">
      <c r="B539" s="397"/>
      <c r="M539" s="397"/>
    </row>
    <row r="540" spans="2:13">
      <c r="B540" s="397"/>
      <c r="M540" s="397"/>
    </row>
    <row r="541" spans="2:13">
      <c r="B541" s="397"/>
      <c r="M541" s="397"/>
    </row>
    <row r="542" spans="2:13">
      <c r="B542" s="397"/>
      <c r="M542" s="397"/>
    </row>
    <row r="543" spans="2:13">
      <c r="B543" s="397"/>
      <c r="M543" s="397"/>
    </row>
    <row r="544" spans="2:13">
      <c r="B544" s="397"/>
      <c r="M544" s="397"/>
    </row>
    <row r="545" spans="2:13">
      <c r="B545" s="397"/>
      <c r="M545" s="397"/>
    </row>
    <row r="546" spans="2:13">
      <c r="B546" s="397"/>
      <c r="M546" s="397"/>
    </row>
    <row r="547" spans="2:13">
      <c r="B547" s="397"/>
      <c r="M547" s="397"/>
    </row>
    <row r="548" spans="2:13">
      <c r="B548" s="397"/>
      <c r="M548" s="397"/>
    </row>
    <row r="549" spans="2:13">
      <c r="B549" s="397"/>
      <c r="M549" s="397"/>
    </row>
    <row r="550" spans="2:13">
      <c r="B550" s="397"/>
      <c r="M550" s="397"/>
    </row>
    <row r="551" spans="2:13">
      <c r="B551" s="397"/>
      <c r="M551" s="397"/>
    </row>
    <row r="552" spans="2:13">
      <c r="B552" s="397"/>
      <c r="M552" s="397"/>
    </row>
    <row r="553" spans="2:13">
      <c r="B553" s="397"/>
      <c r="M553" s="397"/>
    </row>
    <row r="554" spans="2:13">
      <c r="B554" s="397"/>
      <c r="M554" s="397"/>
    </row>
    <row r="555" spans="2:13">
      <c r="B555" s="397"/>
      <c r="M555" s="397"/>
    </row>
    <row r="556" spans="2:13">
      <c r="B556" s="397"/>
      <c r="M556" s="397"/>
    </row>
    <row r="557" spans="2:13">
      <c r="B557" s="397"/>
      <c r="M557" s="397"/>
    </row>
    <row r="558" spans="2:13">
      <c r="B558" s="397"/>
      <c r="M558" s="397"/>
    </row>
    <row r="559" spans="2:13">
      <c r="B559" s="397"/>
      <c r="M559" s="397"/>
    </row>
    <row r="560" spans="2:13">
      <c r="B560" s="397"/>
      <c r="M560" s="397"/>
    </row>
    <row r="561" spans="2:13">
      <c r="B561" s="397"/>
      <c r="M561" s="397"/>
    </row>
    <row r="562" spans="2:13">
      <c r="B562" s="397"/>
      <c r="M562" s="397"/>
    </row>
    <row r="563" spans="2:13">
      <c r="B563" s="397"/>
      <c r="M563" s="397"/>
    </row>
    <row r="564" spans="2:13">
      <c r="B564" s="397"/>
      <c r="M564" s="397"/>
    </row>
    <row r="565" spans="2:13">
      <c r="B565" s="397"/>
      <c r="M565" s="397"/>
    </row>
    <row r="566" spans="2:13">
      <c r="B566" s="397"/>
      <c r="M566" s="397"/>
    </row>
    <row r="567" spans="2:13">
      <c r="B567" s="397"/>
      <c r="M567" s="397"/>
    </row>
    <row r="568" spans="2:13">
      <c r="B568" s="397"/>
      <c r="M568" s="397"/>
    </row>
    <row r="569" spans="2:13">
      <c r="B569" s="397"/>
      <c r="M569" s="397"/>
    </row>
    <row r="570" spans="2:13">
      <c r="B570" s="397"/>
      <c r="M570" s="397"/>
    </row>
    <row r="571" spans="2:13">
      <c r="B571" s="397"/>
      <c r="M571" s="397"/>
    </row>
    <row r="572" spans="2:13">
      <c r="B572" s="397"/>
      <c r="M572" s="397"/>
    </row>
    <row r="573" spans="2:13">
      <c r="B573" s="397"/>
      <c r="M573" s="397"/>
    </row>
    <row r="574" spans="2:13">
      <c r="B574" s="397"/>
      <c r="M574" s="397"/>
    </row>
    <row r="575" spans="2:13">
      <c r="B575" s="397"/>
      <c r="M575" s="397"/>
    </row>
    <row r="576" spans="2:13">
      <c r="B576" s="397"/>
      <c r="M576" s="397"/>
    </row>
    <row r="577" spans="2:13">
      <c r="B577" s="397"/>
      <c r="M577" s="397"/>
    </row>
    <row r="578" spans="2:13">
      <c r="B578" s="397"/>
      <c r="M578" s="397"/>
    </row>
    <row r="579" spans="2:13">
      <c r="B579" s="397"/>
      <c r="M579" s="397"/>
    </row>
    <row r="580" spans="2:13">
      <c r="B580" s="397"/>
      <c r="M580" s="397"/>
    </row>
    <row r="581" spans="2:13">
      <c r="B581" s="397"/>
      <c r="M581" s="397"/>
    </row>
    <row r="582" spans="2:13">
      <c r="B582" s="397"/>
      <c r="M582" s="397"/>
    </row>
    <row r="583" spans="2:13">
      <c r="B583" s="397"/>
      <c r="M583" s="397"/>
    </row>
    <row r="584" spans="2:13">
      <c r="B584" s="397"/>
      <c r="M584" s="397"/>
    </row>
    <row r="585" spans="2:13">
      <c r="B585" s="397"/>
      <c r="M585" s="397"/>
    </row>
    <row r="586" spans="2:13">
      <c r="B586" s="397"/>
      <c r="M586" s="397"/>
    </row>
    <row r="587" spans="2:13">
      <c r="B587" s="397"/>
      <c r="M587" s="397"/>
    </row>
    <row r="588" spans="2:13">
      <c r="B588" s="397"/>
      <c r="M588" s="397"/>
    </row>
    <row r="589" spans="2:13">
      <c r="B589" s="397"/>
      <c r="M589" s="397"/>
    </row>
    <row r="590" spans="2:13">
      <c r="B590" s="397"/>
      <c r="M590" s="397"/>
    </row>
    <row r="591" spans="2:13">
      <c r="B591" s="397"/>
      <c r="M591" s="397"/>
    </row>
    <row r="592" spans="2:13">
      <c r="B592" s="397"/>
      <c r="M592" s="397"/>
    </row>
    <row r="593" spans="2:13">
      <c r="B593" s="397"/>
      <c r="M593" s="397"/>
    </row>
    <row r="594" spans="2:13">
      <c r="B594" s="397"/>
      <c r="M594" s="397"/>
    </row>
    <row r="595" spans="2:13">
      <c r="B595" s="397"/>
      <c r="M595" s="397"/>
    </row>
    <row r="596" spans="2:13">
      <c r="B596" s="397"/>
      <c r="M596" s="397"/>
    </row>
    <row r="597" spans="2:13">
      <c r="B597" s="397"/>
      <c r="M597" s="397"/>
    </row>
    <row r="598" spans="2:13">
      <c r="B598" s="397"/>
      <c r="M598" s="397"/>
    </row>
    <row r="599" spans="2:13">
      <c r="B599" s="397"/>
      <c r="M599" s="397"/>
    </row>
    <row r="600" spans="2:13">
      <c r="B600" s="397"/>
      <c r="M600" s="397"/>
    </row>
    <row r="601" spans="2:13">
      <c r="B601" s="397"/>
      <c r="M601" s="397"/>
    </row>
    <row r="602" spans="2:13">
      <c r="B602" s="397"/>
      <c r="M602" s="397"/>
    </row>
    <row r="603" spans="2:13">
      <c r="B603" s="397"/>
      <c r="M603" s="397"/>
    </row>
    <row r="604" spans="2:13">
      <c r="B604" s="397"/>
      <c r="M604" s="397"/>
    </row>
    <row r="605" spans="2:13">
      <c r="B605" s="397"/>
      <c r="M605" s="397"/>
    </row>
    <row r="606" spans="2:13">
      <c r="B606" s="397"/>
      <c r="M606" s="397"/>
    </row>
    <row r="607" spans="2:13">
      <c r="B607" s="397"/>
      <c r="M607" s="397"/>
    </row>
    <row r="608" spans="2:13">
      <c r="B608" s="397"/>
      <c r="M608" s="397"/>
    </row>
    <row r="609" spans="2:13">
      <c r="B609" s="397"/>
      <c r="M609" s="397"/>
    </row>
    <row r="610" spans="2:13">
      <c r="B610" s="397"/>
      <c r="M610" s="397"/>
    </row>
    <row r="611" spans="2:13">
      <c r="B611" s="397"/>
      <c r="M611" s="397"/>
    </row>
    <row r="612" spans="2:13">
      <c r="B612" s="397"/>
      <c r="M612" s="397"/>
    </row>
    <row r="613" spans="2:13">
      <c r="B613" s="397"/>
      <c r="M613" s="397"/>
    </row>
    <row r="614" spans="2:13">
      <c r="B614" s="397"/>
      <c r="M614" s="397"/>
    </row>
    <row r="615" spans="2:13">
      <c r="B615" s="397"/>
      <c r="M615" s="397"/>
    </row>
    <row r="616" spans="2:13">
      <c r="B616" s="397"/>
      <c r="M616" s="397"/>
    </row>
    <row r="617" spans="2:13">
      <c r="B617" s="397"/>
      <c r="M617" s="397"/>
    </row>
    <row r="618" spans="2:13">
      <c r="B618" s="397"/>
      <c r="M618" s="397"/>
    </row>
    <row r="619" spans="2:13">
      <c r="B619" s="397"/>
      <c r="M619" s="397"/>
    </row>
    <row r="620" spans="2:13">
      <c r="B620" s="397"/>
      <c r="M620" s="397"/>
    </row>
    <row r="621" spans="2:13">
      <c r="B621" s="397"/>
      <c r="M621" s="397"/>
    </row>
    <row r="622" spans="2:13">
      <c r="B622" s="397"/>
      <c r="M622" s="397"/>
    </row>
    <row r="623" spans="2:13">
      <c r="B623" s="397"/>
      <c r="M623" s="397"/>
    </row>
    <row r="624" spans="2:13">
      <c r="B624" s="397"/>
      <c r="M624" s="397"/>
    </row>
    <row r="625" spans="2:13">
      <c r="B625" s="397"/>
      <c r="M625" s="397"/>
    </row>
    <row r="626" spans="2:13">
      <c r="B626" s="397"/>
      <c r="M626" s="397"/>
    </row>
    <row r="627" spans="2:13">
      <c r="B627" s="397"/>
      <c r="M627" s="397"/>
    </row>
    <row r="628" spans="2:13">
      <c r="B628" s="397"/>
      <c r="M628" s="397"/>
    </row>
    <row r="629" spans="2:13">
      <c r="B629" s="397"/>
      <c r="M629" s="397"/>
    </row>
    <row r="630" spans="2:13">
      <c r="B630" s="397"/>
      <c r="M630" s="397"/>
    </row>
    <row r="631" spans="2:13">
      <c r="B631" s="397"/>
      <c r="M631" s="397"/>
    </row>
    <row r="632" spans="2:13">
      <c r="B632" s="397"/>
      <c r="M632" s="397"/>
    </row>
    <row r="633" spans="2:13">
      <c r="B633" s="397"/>
      <c r="M633" s="397"/>
    </row>
    <row r="634" spans="2:13">
      <c r="B634" s="397"/>
      <c r="M634" s="397"/>
    </row>
    <row r="635" spans="2:13">
      <c r="B635" s="397"/>
      <c r="M635" s="397"/>
    </row>
    <row r="636" spans="2:13">
      <c r="B636" s="397"/>
      <c r="M636" s="397"/>
    </row>
    <row r="637" spans="2:13">
      <c r="B637" s="397"/>
      <c r="M637" s="397"/>
    </row>
    <row r="638" spans="2:13">
      <c r="B638" s="397"/>
      <c r="M638" s="397"/>
    </row>
    <row r="639" spans="2:13">
      <c r="B639" s="397"/>
      <c r="M639" s="397"/>
    </row>
    <row r="640" spans="2:13">
      <c r="B640" s="397"/>
      <c r="M640" s="397"/>
    </row>
    <row r="641" spans="2:13">
      <c r="B641" s="397"/>
      <c r="M641" s="397"/>
    </row>
    <row r="642" spans="2:13">
      <c r="B642" s="397"/>
      <c r="M642" s="397"/>
    </row>
    <row r="643" spans="2:13">
      <c r="B643" s="397"/>
      <c r="M643" s="397"/>
    </row>
    <row r="644" spans="2:13">
      <c r="B644" s="397"/>
      <c r="M644" s="397"/>
    </row>
    <row r="645" spans="2:13">
      <c r="B645" s="397"/>
      <c r="M645" s="397"/>
    </row>
    <row r="646" spans="2:13">
      <c r="B646" s="397"/>
      <c r="M646" s="397"/>
    </row>
    <row r="647" spans="2:13">
      <c r="B647" s="397"/>
      <c r="M647" s="397"/>
    </row>
    <row r="648" spans="2:13">
      <c r="B648" s="397"/>
      <c r="M648" s="397"/>
    </row>
    <row r="649" spans="2:13">
      <c r="B649" s="397"/>
      <c r="M649" s="397"/>
    </row>
    <row r="650" spans="2:13">
      <c r="B650" s="397"/>
      <c r="M650" s="397"/>
    </row>
    <row r="651" spans="2:13">
      <c r="B651" s="397"/>
      <c r="M651" s="397"/>
    </row>
    <row r="652" spans="2:13">
      <c r="B652" s="397"/>
      <c r="M652" s="397"/>
    </row>
    <row r="653" spans="2:13">
      <c r="B653" s="397"/>
      <c r="M653" s="397"/>
    </row>
    <row r="654" spans="2:13">
      <c r="B654" s="397"/>
      <c r="M654" s="397"/>
    </row>
    <row r="655" spans="2:13">
      <c r="B655" s="397"/>
      <c r="M655" s="397"/>
    </row>
    <row r="656" spans="2:13">
      <c r="B656" s="397"/>
      <c r="M656" s="397"/>
    </row>
    <row r="657" spans="2:13">
      <c r="B657" s="397"/>
      <c r="M657" s="397"/>
    </row>
    <row r="658" spans="2:13">
      <c r="B658" s="397"/>
      <c r="M658" s="397"/>
    </row>
    <row r="659" spans="2:13">
      <c r="B659" s="397"/>
      <c r="M659" s="397"/>
    </row>
    <row r="660" spans="2:13">
      <c r="B660" s="397"/>
      <c r="M660" s="397"/>
    </row>
    <row r="661" spans="2:13">
      <c r="B661" s="397"/>
      <c r="M661" s="397"/>
    </row>
    <row r="662" spans="2:13">
      <c r="B662" s="397"/>
      <c r="M662" s="397"/>
    </row>
    <row r="663" spans="2:13">
      <c r="B663" s="397"/>
      <c r="M663" s="397"/>
    </row>
    <row r="664" spans="2:13">
      <c r="B664" s="397"/>
      <c r="M664" s="397"/>
    </row>
    <row r="665" spans="2:13">
      <c r="B665" s="397"/>
      <c r="M665" s="397"/>
    </row>
    <row r="666" spans="2:13">
      <c r="B666" s="397"/>
      <c r="M666" s="397"/>
    </row>
    <row r="667" spans="2:13">
      <c r="B667" s="397"/>
      <c r="M667" s="397"/>
    </row>
    <row r="668" spans="2:13">
      <c r="B668" s="397"/>
      <c r="M668" s="397"/>
    </row>
    <row r="669" spans="2:13">
      <c r="B669" s="397"/>
      <c r="M669" s="397"/>
    </row>
    <row r="670" spans="2:13">
      <c r="B670" s="397"/>
      <c r="M670" s="397"/>
    </row>
    <row r="671" spans="2:13">
      <c r="B671" s="397"/>
      <c r="M671" s="397"/>
    </row>
    <row r="672" spans="2:13">
      <c r="B672" s="397"/>
      <c r="M672" s="397"/>
    </row>
    <row r="673" spans="2:13">
      <c r="B673" s="397"/>
      <c r="M673" s="397"/>
    </row>
    <row r="674" spans="2:13">
      <c r="B674" s="397"/>
      <c r="M674" s="397"/>
    </row>
    <row r="675" spans="2:13">
      <c r="B675" s="397"/>
      <c r="M675" s="397"/>
    </row>
    <row r="676" spans="2:13">
      <c r="B676" s="397"/>
      <c r="M676" s="397"/>
    </row>
    <row r="677" spans="2:13">
      <c r="B677" s="397"/>
      <c r="M677" s="397"/>
    </row>
    <row r="678" spans="2:13">
      <c r="B678" s="397"/>
      <c r="M678" s="397"/>
    </row>
    <row r="679" spans="2:13">
      <c r="B679" s="397"/>
      <c r="M679" s="397"/>
    </row>
    <row r="680" spans="2:13">
      <c r="B680" s="397"/>
      <c r="M680" s="397"/>
    </row>
    <row r="681" spans="2:13">
      <c r="B681" s="397"/>
      <c r="M681" s="397"/>
    </row>
    <row r="682" spans="2:13">
      <c r="B682" s="397"/>
      <c r="M682" s="397"/>
    </row>
    <row r="683" spans="2:13">
      <c r="B683" s="397"/>
      <c r="M683" s="397"/>
    </row>
    <row r="684" spans="2:13">
      <c r="B684" s="397"/>
      <c r="M684" s="397"/>
    </row>
    <row r="685" spans="2:13">
      <c r="B685" s="397"/>
      <c r="M685" s="397"/>
    </row>
    <row r="686" spans="2:13">
      <c r="B686" s="397"/>
      <c r="M686" s="397"/>
    </row>
    <row r="687" spans="2:13">
      <c r="B687" s="397"/>
      <c r="M687" s="397"/>
    </row>
    <row r="688" spans="2:13">
      <c r="B688" s="397"/>
      <c r="M688" s="397"/>
    </row>
    <row r="689" spans="2:13">
      <c r="B689" s="397"/>
      <c r="M689" s="397"/>
    </row>
    <row r="690" spans="2:13">
      <c r="B690" s="397"/>
      <c r="M690" s="397"/>
    </row>
    <row r="691" spans="2:13">
      <c r="B691" s="397"/>
      <c r="M691" s="397"/>
    </row>
    <row r="692" spans="2:13">
      <c r="B692" s="397"/>
      <c r="M692" s="397"/>
    </row>
    <row r="693" spans="2:13">
      <c r="B693" s="397"/>
      <c r="M693" s="397"/>
    </row>
    <row r="694" spans="2:13">
      <c r="B694" s="397"/>
      <c r="M694" s="397"/>
    </row>
    <row r="695" spans="2:13">
      <c r="B695" s="397"/>
      <c r="M695" s="397"/>
    </row>
    <row r="696" spans="2:13">
      <c r="B696" s="397"/>
      <c r="M696" s="397"/>
    </row>
    <row r="697" spans="2:13">
      <c r="B697" s="397"/>
      <c r="M697" s="397"/>
    </row>
    <row r="698" spans="2:13">
      <c r="B698" s="397"/>
      <c r="M698" s="397"/>
    </row>
    <row r="699" spans="2:13">
      <c r="B699" s="397"/>
      <c r="M699" s="397"/>
    </row>
    <row r="700" spans="2:13">
      <c r="B700" s="397"/>
      <c r="M700" s="397"/>
    </row>
    <row r="701" spans="2:13">
      <c r="B701" s="397"/>
      <c r="M701" s="397"/>
    </row>
    <row r="702" spans="2:13">
      <c r="B702" s="397"/>
      <c r="M702" s="397"/>
    </row>
    <row r="703" spans="2:13">
      <c r="B703" s="397"/>
      <c r="M703" s="397"/>
    </row>
    <row r="704" spans="2:13">
      <c r="B704" s="397"/>
      <c r="M704" s="397"/>
    </row>
    <row r="705" spans="2:13">
      <c r="B705" s="397"/>
      <c r="M705" s="397"/>
    </row>
    <row r="706" spans="2:13">
      <c r="B706" s="397"/>
      <c r="M706" s="397"/>
    </row>
    <row r="707" spans="2:13">
      <c r="B707" s="397"/>
      <c r="M707" s="397"/>
    </row>
    <row r="708" spans="2:13">
      <c r="B708" s="397"/>
      <c r="M708" s="397"/>
    </row>
    <row r="709" spans="2:13">
      <c r="B709" s="397"/>
      <c r="M709" s="397"/>
    </row>
    <row r="710" spans="2:13">
      <c r="B710" s="397"/>
      <c r="M710" s="397"/>
    </row>
    <row r="711" spans="2:13">
      <c r="B711" s="397"/>
      <c r="M711" s="397"/>
    </row>
    <row r="712" spans="2:13">
      <c r="B712" s="397"/>
      <c r="M712" s="397"/>
    </row>
    <row r="713" spans="2:13">
      <c r="B713" s="397"/>
      <c r="M713" s="397"/>
    </row>
    <row r="714" spans="2:13">
      <c r="B714" s="397"/>
      <c r="M714" s="397"/>
    </row>
    <row r="715" spans="2:13">
      <c r="B715" s="397"/>
      <c r="M715" s="397"/>
    </row>
    <row r="716" spans="2:13">
      <c r="B716" s="397"/>
      <c r="M716" s="397"/>
    </row>
    <row r="717" spans="2:13">
      <c r="B717" s="397"/>
      <c r="M717" s="397"/>
    </row>
    <row r="718" spans="2:13">
      <c r="B718" s="397"/>
      <c r="M718" s="397"/>
    </row>
    <row r="719" spans="2:13">
      <c r="B719" s="397"/>
      <c r="M719" s="397"/>
    </row>
    <row r="720" spans="2:13">
      <c r="B720" s="397"/>
      <c r="M720" s="397"/>
    </row>
    <row r="721" spans="2:13">
      <c r="B721" s="397"/>
      <c r="M721" s="397"/>
    </row>
    <row r="722" spans="2:13">
      <c r="B722" s="397"/>
      <c r="M722" s="397"/>
    </row>
    <row r="723" spans="2:13">
      <c r="B723" s="397"/>
      <c r="M723" s="397"/>
    </row>
    <row r="724" spans="2:13">
      <c r="B724" s="397"/>
      <c r="M724" s="397"/>
    </row>
    <row r="725" spans="2:13">
      <c r="B725" s="397"/>
      <c r="M725" s="397"/>
    </row>
    <row r="726" spans="2:13">
      <c r="B726" s="397"/>
      <c r="M726" s="397"/>
    </row>
    <row r="727" spans="2:13">
      <c r="B727" s="397"/>
      <c r="M727" s="397"/>
    </row>
    <row r="728" spans="2:13">
      <c r="B728" s="397"/>
      <c r="M728" s="397"/>
    </row>
    <row r="729" spans="2:13">
      <c r="B729" s="397"/>
      <c r="M729" s="397"/>
    </row>
    <row r="730" spans="2:13">
      <c r="B730" s="397"/>
      <c r="M730" s="397"/>
    </row>
    <row r="731" spans="2:13">
      <c r="B731" s="397"/>
      <c r="M731" s="397"/>
    </row>
    <row r="732" spans="2:13">
      <c r="B732" s="397"/>
      <c r="M732" s="397"/>
    </row>
    <row r="733" spans="2:13">
      <c r="B733" s="397"/>
      <c r="M733" s="397"/>
    </row>
    <row r="734" spans="2:13">
      <c r="B734" s="397"/>
      <c r="M734" s="397"/>
    </row>
    <row r="735" spans="2:13">
      <c r="B735" s="397"/>
      <c r="M735" s="397"/>
    </row>
    <row r="736" spans="2:13">
      <c r="B736" s="397"/>
      <c r="M736" s="397"/>
    </row>
    <row r="737" spans="2:13">
      <c r="B737" s="397"/>
      <c r="M737" s="397"/>
    </row>
    <row r="738" spans="2:13">
      <c r="B738" s="397"/>
      <c r="M738" s="397"/>
    </row>
    <row r="739" spans="2:13">
      <c r="B739" s="397"/>
      <c r="M739" s="397"/>
    </row>
    <row r="740" spans="2:13">
      <c r="B740" s="397"/>
      <c r="M740" s="397"/>
    </row>
    <row r="741" spans="2:13">
      <c r="B741" s="397"/>
      <c r="M741" s="397"/>
    </row>
    <row r="742" spans="2:13">
      <c r="B742" s="397"/>
      <c r="M742" s="397"/>
    </row>
    <row r="743" spans="2:13">
      <c r="B743" s="397"/>
      <c r="M743" s="397"/>
    </row>
    <row r="744" spans="2:13">
      <c r="B744" s="397"/>
      <c r="M744" s="397"/>
    </row>
    <row r="745" spans="2:13">
      <c r="B745" s="397"/>
      <c r="M745" s="397"/>
    </row>
    <row r="746" spans="2:13">
      <c r="B746" s="397"/>
      <c r="M746" s="397"/>
    </row>
    <row r="747" spans="2:13">
      <c r="B747" s="397"/>
      <c r="M747" s="397"/>
    </row>
    <row r="748" spans="2:13">
      <c r="B748" s="397"/>
      <c r="M748" s="397"/>
    </row>
    <row r="749" spans="2:13">
      <c r="B749" s="397"/>
      <c r="M749" s="397"/>
    </row>
    <row r="750" spans="2:13">
      <c r="B750" s="397"/>
      <c r="M750" s="397"/>
    </row>
    <row r="751" spans="2:13">
      <c r="B751" s="397"/>
      <c r="M751" s="397"/>
    </row>
    <row r="752" spans="2:13">
      <c r="B752" s="397"/>
      <c r="M752" s="397"/>
    </row>
    <row r="753" spans="2:13">
      <c r="B753" s="397"/>
      <c r="M753" s="397"/>
    </row>
    <row r="754" spans="2:13">
      <c r="B754" s="397"/>
      <c r="M754" s="397"/>
    </row>
    <row r="755" spans="2:13">
      <c r="B755" s="397"/>
      <c r="M755" s="397"/>
    </row>
    <row r="756" spans="2:13">
      <c r="B756" s="397"/>
      <c r="M756" s="397"/>
    </row>
    <row r="757" spans="2:13">
      <c r="B757" s="397"/>
      <c r="M757" s="397"/>
    </row>
    <row r="758" spans="2:13">
      <c r="B758" s="397"/>
      <c r="M758" s="397"/>
    </row>
    <row r="759" spans="2:13">
      <c r="B759" s="397"/>
      <c r="M759" s="397"/>
    </row>
    <row r="760" spans="2:13">
      <c r="B760" s="397"/>
      <c r="M760" s="397"/>
    </row>
    <row r="761" spans="2:13">
      <c r="B761" s="397"/>
      <c r="M761" s="397"/>
    </row>
    <row r="762" spans="2:13">
      <c r="B762" s="397"/>
      <c r="M762" s="397"/>
    </row>
    <row r="763" spans="2:13">
      <c r="B763" s="397"/>
      <c r="M763" s="397"/>
    </row>
    <row r="764" spans="2:13">
      <c r="B764" s="397"/>
      <c r="M764" s="397"/>
    </row>
    <row r="765" spans="2:13">
      <c r="B765" s="397"/>
      <c r="M765" s="397"/>
    </row>
    <row r="766" spans="2:13">
      <c r="B766" s="397"/>
      <c r="M766" s="397"/>
    </row>
    <row r="767" spans="2:13">
      <c r="B767" s="397"/>
      <c r="M767" s="397"/>
    </row>
    <row r="768" spans="2:13">
      <c r="B768" s="397"/>
      <c r="M768" s="397"/>
    </row>
    <row r="769" spans="2:13">
      <c r="B769" s="397"/>
      <c r="M769" s="397"/>
    </row>
    <row r="770" spans="2:13">
      <c r="B770" s="397"/>
      <c r="M770" s="397"/>
    </row>
    <row r="771" spans="2:13">
      <c r="B771" s="397"/>
      <c r="M771" s="397"/>
    </row>
    <row r="772" spans="2:13">
      <c r="B772" s="397"/>
      <c r="M772" s="397"/>
    </row>
    <row r="773" spans="2:13">
      <c r="B773" s="397"/>
      <c r="M773" s="397"/>
    </row>
    <row r="774" spans="2:13">
      <c r="B774" s="397"/>
      <c r="M774" s="397"/>
    </row>
    <row r="775" spans="2:13">
      <c r="B775" s="397"/>
      <c r="M775" s="397"/>
    </row>
    <row r="776" spans="2:13">
      <c r="B776" s="397"/>
      <c r="M776" s="397"/>
    </row>
    <row r="777" spans="2:13">
      <c r="B777" s="397"/>
      <c r="M777" s="397"/>
    </row>
    <row r="778" spans="2:13">
      <c r="B778" s="397"/>
      <c r="M778" s="397"/>
    </row>
    <row r="779" spans="2:13">
      <c r="B779" s="397"/>
      <c r="M779" s="397"/>
    </row>
    <row r="780" spans="2:13">
      <c r="B780" s="397"/>
      <c r="M780" s="397"/>
    </row>
    <row r="781" spans="2:13">
      <c r="B781" s="397"/>
      <c r="M781" s="397"/>
    </row>
    <row r="782" spans="2:13">
      <c r="B782" s="397"/>
      <c r="M782" s="397"/>
    </row>
    <row r="783" spans="2:13">
      <c r="B783" s="397"/>
      <c r="M783" s="397"/>
    </row>
    <row r="784" spans="2:13">
      <c r="B784" s="397"/>
      <c r="M784" s="397"/>
    </row>
    <row r="785" spans="2:13">
      <c r="B785" s="397"/>
      <c r="M785" s="397"/>
    </row>
    <row r="786" spans="2:13">
      <c r="B786" s="397"/>
      <c r="M786" s="397"/>
    </row>
    <row r="787" spans="2:13">
      <c r="B787" s="397"/>
      <c r="M787" s="397"/>
    </row>
    <row r="788" spans="2:13">
      <c r="B788" s="397"/>
      <c r="M788" s="397"/>
    </row>
    <row r="789" spans="2:13">
      <c r="B789" s="397"/>
      <c r="M789" s="397"/>
    </row>
    <row r="790" spans="2:13">
      <c r="B790" s="397"/>
      <c r="M790" s="397"/>
    </row>
    <row r="791" spans="2:13">
      <c r="B791" s="397"/>
      <c r="M791" s="397"/>
    </row>
    <row r="792" spans="2:13">
      <c r="B792" s="397"/>
      <c r="M792" s="397"/>
    </row>
    <row r="793" spans="2:13">
      <c r="B793" s="397"/>
      <c r="M793" s="397"/>
    </row>
    <row r="794" spans="2:13">
      <c r="B794" s="397"/>
      <c r="M794" s="397"/>
    </row>
    <row r="795" spans="2:13">
      <c r="B795" s="397"/>
      <c r="M795" s="397"/>
    </row>
    <row r="796" spans="2:13">
      <c r="B796" s="397"/>
      <c r="M796" s="397"/>
    </row>
    <row r="797" spans="2:13">
      <c r="B797" s="397"/>
      <c r="M797" s="397"/>
    </row>
    <row r="798" spans="2:13">
      <c r="B798" s="397"/>
      <c r="M798" s="397"/>
    </row>
    <row r="799" spans="2:13">
      <c r="B799" s="397"/>
      <c r="M799" s="397"/>
    </row>
    <row r="800" spans="2:13">
      <c r="B800" s="397"/>
      <c r="M800" s="397"/>
    </row>
    <row r="801" spans="2:13">
      <c r="B801" s="397"/>
      <c r="M801" s="397"/>
    </row>
    <row r="802" spans="2:13">
      <c r="B802" s="397"/>
      <c r="M802" s="397"/>
    </row>
    <row r="803" spans="2:13">
      <c r="B803" s="397"/>
      <c r="M803" s="397"/>
    </row>
    <row r="804" spans="2:13">
      <c r="B804" s="397"/>
      <c r="M804" s="397"/>
    </row>
    <row r="805" spans="2:13">
      <c r="B805" s="397"/>
      <c r="M805" s="397"/>
    </row>
    <row r="806" spans="2:13">
      <c r="B806" s="397"/>
      <c r="M806" s="397"/>
    </row>
    <row r="807" spans="2:13">
      <c r="B807" s="397"/>
      <c r="M807" s="397"/>
    </row>
    <row r="808" spans="2:13">
      <c r="B808" s="397"/>
      <c r="M808" s="397"/>
    </row>
    <row r="809" spans="2:13">
      <c r="B809" s="397"/>
      <c r="M809" s="397"/>
    </row>
    <row r="810" spans="2:13">
      <c r="B810" s="397"/>
      <c r="M810" s="397"/>
    </row>
    <row r="811" spans="2:13">
      <c r="B811" s="397"/>
      <c r="M811" s="397"/>
    </row>
    <row r="812" spans="2:13">
      <c r="B812" s="397"/>
      <c r="M812" s="397"/>
    </row>
    <row r="813" spans="2:13">
      <c r="B813" s="397"/>
      <c r="M813" s="397"/>
    </row>
    <row r="814" spans="2:13">
      <c r="B814" s="397"/>
      <c r="M814" s="397"/>
    </row>
    <row r="815" spans="2:13">
      <c r="B815" s="397"/>
      <c r="M815" s="397"/>
    </row>
    <row r="816" spans="2:13">
      <c r="B816" s="397"/>
      <c r="M816" s="397"/>
    </row>
    <row r="817" spans="2:13">
      <c r="B817" s="397"/>
      <c r="M817" s="397"/>
    </row>
    <row r="818" spans="2:13">
      <c r="B818" s="397"/>
      <c r="M818" s="397"/>
    </row>
    <row r="819" spans="2:13">
      <c r="B819" s="397"/>
      <c r="M819" s="397"/>
    </row>
    <row r="820" spans="2:13">
      <c r="B820" s="397"/>
      <c r="M820" s="397"/>
    </row>
    <row r="821" spans="2:13">
      <c r="B821" s="397"/>
      <c r="M821" s="397"/>
    </row>
    <row r="822" spans="2:13">
      <c r="B822" s="397"/>
      <c r="M822" s="397"/>
    </row>
    <row r="823" spans="2:13">
      <c r="B823" s="397"/>
      <c r="M823" s="397"/>
    </row>
    <row r="824" spans="2:13">
      <c r="B824" s="397"/>
      <c r="M824" s="397"/>
    </row>
    <row r="825" spans="2:13">
      <c r="B825" s="397"/>
      <c r="M825" s="397"/>
    </row>
    <row r="826" spans="2:13">
      <c r="B826" s="397"/>
      <c r="M826" s="397"/>
    </row>
    <row r="827" spans="2:13">
      <c r="B827" s="397"/>
      <c r="M827" s="397"/>
    </row>
    <row r="828" spans="2:13">
      <c r="B828" s="397"/>
      <c r="M828" s="397"/>
    </row>
    <row r="829" spans="2:13">
      <c r="B829" s="397"/>
      <c r="M829" s="397"/>
    </row>
    <row r="830" spans="2:13">
      <c r="B830" s="397"/>
      <c r="M830" s="397"/>
    </row>
    <row r="831" spans="2:13">
      <c r="B831" s="397"/>
      <c r="M831" s="397"/>
    </row>
    <row r="832" spans="2:13">
      <c r="B832" s="397"/>
      <c r="M832" s="397"/>
    </row>
    <row r="833" spans="2:13">
      <c r="B833" s="397"/>
      <c r="M833" s="397"/>
    </row>
    <row r="834" spans="2:13">
      <c r="B834" s="397"/>
      <c r="M834" s="397"/>
    </row>
    <row r="835" spans="2:13">
      <c r="B835" s="397"/>
      <c r="M835" s="397"/>
    </row>
    <row r="836" spans="2:13">
      <c r="B836" s="397"/>
      <c r="M836" s="397"/>
    </row>
    <row r="837" spans="2:13">
      <c r="B837" s="397"/>
      <c r="M837" s="397"/>
    </row>
    <row r="838" spans="2:13">
      <c r="B838" s="397"/>
      <c r="M838" s="397"/>
    </row>
    <row r="839" spans="2:13">
      <c r="B839" s="397"/>
      <c r="M839" s="397"/>
    </row>
    <row r="840" spans="2:13">
      <c r="B840" s="397"/>
      <c r="M840" s="397"/>
    </row>
    <row r="841" spans="2:13">
      <c r="B841" s="397"/>
      <c r="M841" s="397"/>
    </row>
    <row r="842" spans="2:13">
      <c r="B842" s="397"/>
      <c r="M842" s="397"/>
    </row>
    <row r="843" spans="2:13">
      <c r="B843" s="397"/>
      <c r="M843" s="397"/>
    </row>
    <row r="844" spans="2:13">
      <c r="B844" s="397"/>
      <c r="M844" s="397"/>
    </row>
    <row r="845" spans="2:13">
      <c r="B845" s="397"/>
      <c r="M845" s="397"/>
    </row>
    <row r="846" spans="2:13">
      <c r="B846" s="397"/>
      <c r="M846" s="397"/>
    </row>
    <row r="847" spans="2:13">
      <c r="B847" s="397"/>
      <c r="M847" s="397"/>
    </row>
    <row r="848" spans="2:13">
      <c r="B848" s="397"/>
      <c r="M848" s="397"/>
    </row>
    <row r="849" spans="2:13">
      <c r="B849" s="397"/>
      <c r="M849" s="397"/>
    </row>
    <row r="850" spans="2:13">
      <c r="B850" s="397"/>
      <c r="M850" s="397"/>
    </row>
    <row r="851" spans="2:13">
      <c r="B851" s="397"/>
      <c r="M851" s="397"/>
    </row>
    <row r="852" spans="2:13">
      <c r="B852" s="397"/>
      <c r="M852" s="397"/>
    </row>
    <row r="853" spans="2:13">
      <c r="B853" s="397"/>
      <c r="M853" s="397"/>
    </row>
    <row r="854" spans="2:13">
      <c r="B854" s="397"/>
      <c r="M854" s="397"/>
    </row>
    <row r="855" spans="2:13">
      <c r="B855" s="397"/>
      <c r="M855" s="397"/>
    </row>
    <row r="856" spans="2:13">
      <c r="B856" s="397"/>
      <c r="M856" s="397"/>
    </row>
    <row r="857" spans="2:13">
      <c r="B857" s="397"/>
      <c r="M857" s="397"/>
    </row>
    <row r="858" spans="2:13">
      <c r="B858" s="397"/>
      <c r="M858" s="397"/>
    </row>
    <row r="859" spans="2:13">
      <c r="B859" s="397"/>
      <c r="M859" s="397"/>
    </row>
    <row r="860" spans="2:13">
      <c r="B860" s="397"/>
      <c r="M860" s="397"/>
    </row>
    <row r="861" spans="2:13">
      <c r="B861" s="397"/>
      <c r="M861" s="397"/>
    </row>
    <row r="862" spans="2:13">
      <c r="B862" s="397"/>
      <c r="M862" s="397"/>
    </row>
    <row r="863" spans="2:13">
      <c r="B863" s="397"/>
      <c r="M863" s="397"/>
    </row>
    <row r="864" spans="2:13">
      <c r="B864" s="397"/>
      <c r="M864" s="397"/>
    </row>
    <row r="865" spans="2:13">
      <c r="B865" s="397"/>
      <c r="M865" s="397"/>
    </row>
    <row r="866" spans="2:13">
      <c r="B866" s="397"/>
      <c r="M866" s="397"/>
    </row>
    <row r="867" spans="2:13">
      <c r="B867" s="397"/>
      <c r="M867" s="397"/>
    </row>
    <row r="868" spans="2:13">
      <c r="B868" s="397"/>
      <c r="M868" s="397"/>
    </row>
    <row r="869" spans="2:13">
      <c r="B869" s="397"/>
      <c r="M869" s="397"/>
    </row>
    <row r="870" spans="2:13">
      <c r="B870" s="397"/>
      <c r="M870" s="397"/>
    </row>
    <row r="871" spans="2:13">
      <c r="B871" s="397"/>
      <c r="M871" s="397"/>
    </row>
    <row r="872" spans="2:13">
      <c r="B872" s="397"/>
      <c r="M872" s="397"/>
    </row>
    <row r="873" spans="2:13">
      <c r="B873" s="397"/>
      <c r="M873" s="397"/>
    </row>
    <row r="874" spans="2:13">
      <c r="B874" s="397"/>
      <c r="M874" s="397"/>
    </row>
    <row r="875" spans="2:13">
      <c r="B875" s="397"/>
      <c r="M875" s="397"/>
    </row>
    <row r="876" spans="2:13">
      <c r="B876" s="397"/>
      <c r="M876" s="397"/>
    </row>
    <row r="877" spans="2:13">
      <c r="B877" s="397"/>
      <c r="M877" s="397"/>
    </row>
    <row r="878" spans="2:13">
      <c r="B878" s="397"/>
      <c r="M878" s="397"/>
    </row>
    <row r="879" spans="2:13">
      <c r="B879" s="397"/>
      <c r="M879" s="397"/>
    </row>
    <row r="880" spans="2:13">
      <c r="B880" s="397"/>
      <c r="M880" s="397"/>
    </row>
    <row r="881" spans="2:13">
      <c r="B881" s="397"/>
      <c r="M881" s="397"/>
    </row>
    <row r="882" spans="2:13">
      <c r="B882" s="397"/>
      <c r="M882" s="397"/>
    </row>
    <row r="883" spans="2:13">
      <c r="B883" s="397"/>
      <c r="M883" s="397"/>
    </row>
    <row r="884" spans="2:13">
      <c r="B884" s="397"/>
      <c r="M884" s="397"/>
    </row>
    <row r="885" spans="2:13">
      <c r="B885" s="397"/>
      <c r="M885" s="397"/>
    </row>
    <row r="886" spans="2:13">
      <c r="B886" s="397"/>
      <c r="M886" s="397"/>
    </row>
    <row r="887" spans="2:13">
      <c r="B887" s="397"/>
      <c r="M887" s="397"/>
    </row>
    <row r="888" spans="2:13">
      <c r="B888" s="397"/>
      <c r="M888" s="397"/>
    </row>
    <row r="889" spans="2:13">
      <c r="B889" s="397"/>
      <c r="M889" s="397"/>
    </row>
    <row r="890" spans="2:13">
      <c r="B890" s="397"/>
      <c r="M890" s="397"/>
    </row>
    <row r="891" spans="2:13">
      <c r="B891" s="397"/>
      <c r="M891" s="397"/>
    </row>
    <row r="892" spans="2:13">
      <c r="B892" s="397"/>
      <c r="M892" s="397"/>
    </row>
    <row r="893" spans="2:13">
      <c r="B893" s="397"/>
      <c r="M893" s="397"/>
    </row>
    <row r="894" spans="2:13">
      <c r="B894" s="397"/>
      <c r="M894" s="397"/>
    </row>
    <row r="895" spans="2:13">
      <c r="B895" s="397"/>
      <c r="M895" s="397"/>
    </row>
    <row r="896" spans="2:13">
      <c r="B896" s="397"/>
      <c r="M896" s="397"/>
    </row>
    <row r="897" spans="2:13">
      <c r="B897" s="397"/>
      <c r="M897" s="397"/>
    </row>
    <row r="898" spans="2:13">
      <c r="B898" s="397"/>
      <c r="M898" s="397"/>
    </row>
    <row r="899" spans="2:13">
      <c r="B899" s="397"/>
      <c r="M899" s="397"/>
    </row>
    <row r="900" spans="2:13">
      <c r="B900" s="397"/>
      <c r="M900" s="397"/>
    </row>
    <row r="901" spans="2:13">
      <c r="B901" s="397"/>
      <c r="M901" s="397"/>
    </row>
    <row r="902" spans="2:13">
      <c r="B902" s="397"/>
      <c r="M902" s="397"/>
    </row>
    <row r="903" spans="2:13">
      <c r="B903" s="397"/>
      <c r="M903" s="397"/>
    </row>
    <row r="904" spans="2:13">
      <c r="B904" s="397"/>
      <c r="M904" s="397"/>
    </row>
    <row r="905" spans="2:13">
      <c r="B905" s="397"/>
      <c r="M905" s="397"/>
    </row>
    <row r="906" spans="2:13">
      <c r="B906" s="397"/>
      <c r="M906" s="397"/>
    </row>
    <row r="907" spans="2:13">
      <c r="B907" s="397"/>
      <c r="M907" s="397"/>
    </row>
    <row r="908" spans="2:13">
      <c r="B908" s="397"/>
      <c r="M908" s="397"/>
    </row>
    <row r="909" spans="2:13">
      <c r="B909" s="397"/>
      <c r="M909" s="397"/>
    </row>
    <row r="910" spans="2:13">
      <c r="B910" s="397"/>
      <c r="M910" s="397"/>
    </row>
    <row r="911" spans="2:13">
      <c r="B911" s="397"/>
      <c r="M911" s="397"/>
    </row>
    <row r="912" spans="2:13">
      <c r="B912" s="397"/>
      <c r="M912" s="397"/>
    </row>
    <row r="913" spans="2:13">
      <c r="B913" s="397"/>
      <c r="M913" s="397"/>
    </row>
    <row r="914" spans="2:13">
      <c r="B914" s="397"/>
      <c r="M914" s="397"/>
    </row>
    <row r="915" spans="2:13">
      <c r="B915" s="397"/>
      <c r="M915" s="397"/>
    </row>
    <row r="916" spans="2:13">
      <c r="B916" s="397"/>
      <c r="M916" s="397"/>
    </row>
    <row r="917" spans="2:13">
      <c r="B917" s="397"/>
      <c r="M917" s="397"/>
    </row>
    <row r="918" spans="2:13">
      <c r="B918" s="397"/>
      <c r="M918" s="397"/>
    </row>
    <row r="919" spans="2:13">
      <c r="B919" s="397"/>
      <c r="M919" s="397"/>
    </row>
    <row r="920" spans="2:13">
      <c r="B920" s="397"/>
      <c r="M920" s="397"/>
    </row>
    <row r="921" spans="2:13">
      <c r="B921" s="397"/>
      <c r="M921" s="397"/>
    </row>
    <row r="922" spans="2:13">
      <c r="B922" s="397"/>
      <c r="M922" s="397"/>
    </row>
    <row r="923" spans="2:13">
      <c r="B923" s="397"/>
      <c r="M923" s="397"/>
    </row>
    <row r="924" spans="2:13">
      <c r="B924" s="397"/>
      <c r="M924" s="397"/>
    </row>
    <row r="925" spans="2:13">
      <c r="B925" s="397"/>
      <c r="M925" s="397"/>
    </row>
    <row r="926" spans="2:13">
      <c r="B926" s="397"/>
      <c r="M926" s="397"/>
    </row>
    <row r="927" spans="2:13">
      <c r="B927" s="397"/>
      <c r="M927" s="397"/>
    </row>
    <row r="928" spans="2:13">
      <c r="B928" s="397"/>
      <c r="M928" s="397"/>
    </row>
    <row r="929" spans="2:13">
      <c r="B929" s="397"/>
      <c r="M929" s="397"/>
    </row>
    <row r="930" spans="2:13">
      <c r="B930" s="397"/>
      <c r="M930" s="397"/>
    </row>
    <row r="931" spans="2:13">
      <c r="B931" s="397"/>
      <c r="M931" s="397"/>
    </row>
    <row r="932" spans="2:13">
      <c r="B932" s="397"/>
      <c r="M932" s="397"/>
    </row>
    <row r="933" spans="2:13">
      <c r="B933" s="397"/>
      <c r="M933" s="397"/>
    </row>
    <row r="934" spans="2:13">
      <c r="B934" s="397"/>
      <c r="M934" s="397"/>
    </row>
    <row r="935" spans="2:13">
      <c r="B935" s="397"/>
      <c r="M935" s="397"/>
    </row>
    <row r="936" spans="2:13">
      <c r="B936" s="397"/>
      <c r="M936" s="397"/>
    </row>
    <row r="937" spans="2:13">
      <c r="B937" s="397"/>
      <c r="M937" s="397"/>
    </row>
    <row r="938" spans="2:13">
      <c r="B938" s="397"/>
      <c r="M938" s="397"/>
    </row>
    <row r="939" spans="2:13">
      <c r="B939" s="397"/>
      <c r="M939" s="397"/>
    </row>
    <row r="940" spans="2:13">
      <c r="B940" s="397"/>
      <c r="M940" s="397"/>
    </row>
    <row r="941" spans="2:13">
      <c r="B941" s="397"/>
      <c r="M941" s="397"/>
    </row>
    <row r="942" spans="2:13">
      <c r="B942" s="397"/>
      <c r="M942" s="397"/>
    </row>
    <row r="943" spans="2:13">
      <c r="B943" s="397"/>
      <c r="M943" s="397"/>
    </row>
    <row r="944" spans="2:13">
      <c r="B944" s="397"/>
      <c r="M944" s="397"/>
    </row>
    <row r="945" spans="2:13">
      <c r="B945" s="397"/>
      <c r="M945" s="397"/>
    </row>
    <row r="946" spans="2:13">
      <c r="B946" s="397"/>
      <c r="M946" s="397"/>
    </row>
    <row r="947" spans="2:13">
      <c r="B947" s="397"/>
      <c r="M947" s="397"/>
    </row>
    <row r="948" spans="2:13">
      <c r="B948" s="397"/>
      <c r="M948" s="397"/>
    </row>
    <row r="949" spans="2:13">
      <c r="B949" s="397"/>
      <c r="M949" s="397"/>
    </row>
    <row r="950" spans="2:13">
      <c r="B950" s="397"/>
      <c r="M950" s="397"/>
    </row>
    <row r="951" spans="2:13">
      <c r="B951" s="397"/>
      <c r="M951" s="397"/>
    </row>
    <row r="952" spans="2:13">
      <c r="B952" s="397"/>
      <c r="M952" s="397"/>
    </row>
    <row r="953" spans="2:13">
      <c r="B953" s="397"/>
      <c r="M953" s="397"/>
    </row>
    <row r="954" spans="2:13">
      <c r="B954" s="397"/>
      <c r="M954" s="397"/>
    </row>
    <row r="955" spans="2:13">
      <c r="B955" s="397"/>
      <c r="M955" s="397"/>
    </row>
    <row r="956" spans="2:13">
      <c r="B956" s="397"/>
      <c r="M956" s="397"/>
    </row>
    <row r="957" spans="2:13">
      <c r="B957" s="397"/>
      <c r="M957" s="397"/>
    </row>
    <row r="958" spans="2:13">
      <c r="B958" s="397"/>
      <c r="M958" s="397"/>
    </row>
    <row r="959" spans="2:13">
      <c r="B959" s="397"/>
      <c r="M959" s="397"/>
    </row>
    <row r="960" spans="2:13">
      <c r="B960" s="397"/>
      <c r="M960" s="397"/>
    </row>
    <row r="961" spans="2:13">
      <c r="B961" s="397"/>
      <c r="M961" s="397"/>
    </row>
    <row r="962" spans="2:13">
      <c r="B962" s="397"/>
      <c r="M962" s="397"/>
    </row>
    <row r="963" spans="2:13">
      <c r="B963" s="397"/>
      <c r="M963" s="397"/>
    </row>
    <row r="964" spans="2:13">
      <c r="B964" s="397"/>
      <c r="M964" s="397"/>
    </row>
    <row r="965" spans="2:13">
      <c r="B965" s="397"/>
      <c r="M965" s="397"/>
    </row>
    <row r="966" spans="2:13">
      <c r="B966" s="397"/>
      <c r="M966" s="397"/>
    </row>
    <row r="967" spans="2:13">
      <c r="B967" s="397"/>
      <c r="M967" s="397"/>
    </row>
    <row r="968" spans="2:13">
      <c r="B968" s="397"/>
      <c r="M968" s="397"/>
    </row>
    <row r="969" spans="2:13">
      <c r="B969" s="397"/>
      <c r="M969" s="397"/>
    </row>
    <row r="970" spans="2:13">
      <c r="B970" s="397"/>
      <c r="M970" s="397"/>
    </row>
    <row r="971" spans="2:13">
      <c r="B971" s="397"/>
      <c r="M971" s="397"/>
    </row>
    <row r="972" spans="2:13">
      <c r="B972" s="397"/>
      <c r="M972" s="397"/>
    </row>
    <row r="973" spans="2:13">
      <c r="B973" s="397"/>
      <c r="M973" s="397"/>
    </row>
    <row r="974" spans="2:13">
      <c r="B974" s="397"/>
      <c r="M974" s="397"/>
    </row>
    <row r="975" spans="2:13">
      <c r="B975" s="397"/>
      <c r="M975" s="397"/>
    </row>
    <row r="976" spans="2:13">
      <c r="B976" s="397"/>
      <c r="M976" s="397"/>
    </row>
    <row r="977" spans="2:13">
      <c r="B977" s="397"/>
      <c r="M977" s="397"/>
    </row>
    <row r="978" spans="2:13">
      <c r="B978" s="397"/>
      <c r="M978" s="397"/>
    </row>
    <row r="979" spans="2:13">
      <c r="B979" s="397"/>
      <c r="M979" s="397"/>
    </row>
    <row r="980" spans="2:13">
      <c r="B980" s="397"/>
      <c r="M980" s="397"/>
    </row>
    <row r="981" spans="2:13">
      <c r="B981" s="397"/>
      <c r="M981" s="397"/>
    </row>
    <row r="982" spans="2:13">
      <c r="B982" s="397"/>
      <c r="M982" s="397"/>
    </row>
    <row r="983" spans="2:13">
      <c r="B983" s="397"/>
      <c r="M983" s="397"/>
    </row>
    <row r="984" spans="2:13">
      <c r="B984" s="397"/>
      <c r="M984" s="397"/>
    </row>
    <row r="985" spans="2:13">
      <c r="B985" s="397"/>
      <c r="M985" s="397"/>
    </row>
    <row r="986" spans="2:13">
      <c r="B986" s="397"/>
      <c r="M986" s="397"/>
    </row>
    <row r="987" spans="2:13">
      <c r="B987" s="397"/>
      <c r="M987" s="397"/>
    </row>
    <row r="988" spans="2:13">
      <c r="B988" s="397"/>
      <c r="M988" s="397"/>
    </row>
    <row r="989" spans="2:13">
      <c r="B989" s="397"/>
      <c r="M989" s="397"/>
    </row>
    <row r="990" spans="2:13">
      <c r="B990" s="397"/>
      <c r="M990" s="397"/>
    </row>
    <row r="991" spans="2:13">
      <c r="B991" s="397"/>
      <c r="M991" s="397"/>
    </row>
    <row r="992" spans="2:13">
      <c r="B992" s="397"/>
      <c r="M992" s="397"/>
    </row>
    <row r="993" spans="2:13">
      <c r="B993" s="397"/>
      <c r="M993" s="397"/>
    </row>
    <row r="994" spans="2:13">
      <c r="B994" s="397"/>
      <c r="M994" s="397"/>
    </row>
    <row r="995" spans="2:13">
      <c r="B995" s="397"/>
      <c r="M995" s="397"/>
    </row>
    <row r="996" spans="2:13">
      <c r="B996" s="397"/>
      <c r="M996" s="397"/>
    </row>
    <row r="997" spans="2:13">
      <c r="B997" s="397"/>
      <c r="M997" s="397"/>
    </row>
  </sheetData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S1000"/>
  <sheetViews>
    <sheetView workbookViewId="0"/>
  </sheetViews>
  <sheetFormatPr defaultColWidth="11.25" defaultRowHeight="15" customHeight="1"/>
  <sheetData>
    <row r="1" spans="1:19">
      <c r="A1" s="378" t="s">
        <v>457</v>
      </c>
      <c r="B1" s="380" t="s">
        <v>0</v>
      </c>
      <c r="C1" s="380" t="s">
        <v>918</v>
      </c>
      <c r="D1" s="380" t="s">
        <v>919</v>
      </c>
      <c r="E1" s="380" t="s">
        <v>920</v>
      </c>
      <c r="F1" s="380" t="s">
        <v>921</v>
      </c>
      <c r="G1" s="381"/>
      <c r="H1" s="381"/>
      <c r="I1" s="380" t="s">
        <v>922</v>
      </c>
      <c r="J1" s="380" t="s">
        <v>923</v>
      </c>
      <c r="K1" s="380" t="s">
        <v>924</v>
      </c>
      <c r="L1" s="380" t="s">
        <v>961</v>
      </c>
      <c r="M1" s="380" t="s">
        <v>924</v>
      </c>
      <c r="N1" s="380" t="s">
        <v>925</v>
      </c>
      <c r="O1" s="398" t="s">
        <v>962</v>
      </c>
      <c r="P1" s="399" t="s">
        <v>963</v>
      </c>
      <c r="Q1" s="399" t="s">
        <v>964</v>
      </c>
      <c r="R1" s="399" t="s">
        <v>965</v>
      </c>
      <c r="S1" s="378" t="s">
        <v>7</v>
      </c>
    </row>
    <row r="2" spans="1:19">
      <c r="A2" s="384">
        <v>45490</v>
      </c>
      <c r="B2" s="386" t="s">
        <v>928</v>
      </c>
      <c r="C2" s="386">
        <v>1</v>
      </c>
      <c r="D2" s="386">
        <v>921</v>
      </c>
      <c r="E2" s="386" t="s">
        <v>929</v>
      </c>
      <c r="F2" s="386">
        <v>0</v>
      </c>
      <c r="G2" s="388">
        <v>0</v>
      </c>
      <c r="H2" s="387">
        <v>0</v>
      </c>
      <c r="I2" s="388">
        <v>45490.552731481483</v>
      </c>
      <c r="J2" s="386">
        <v>0.24299999999999999</v>
      </c>
      <c r="K2" s="386">
        <v>130.84</v>
      </c>
      <c r="L2" s="386">
        <v>0.2</v>
      </c>
      <c r="M2" s="386">
        <v>85.84</v>
      </c>
      <c r="N2" s="386">
        <v>1</v>
      </c>
      <c r="O2" s="386">
        <f t="shared" ref="O2:O138" si="0">J2</f>
        <v>0.24299999999999999</v>
      </c>
      <c r="P2" s="400">
        <f t="shared" ref="P2:P138" si="1">L2</f>
        <v>0.2</v>
      </c>
      <c r="Q2" s="400">
        <f t="shared" ref="Q2:R2" si="2">O2</f>
        <v>0.24299999999999999</v>
      </c>
      <c r="R2" s="400">
        <f t="shared" si="2"/>
        <v>0.2</v>
      </c>
      <c r="S2" s="378" t="s">
        <v>12</v>
      </c>
    </row>
    <row r="3" spans="1:19">
      <c r="A3" s="384">
        <v>45490</v>
      </c>
      <c r="B3" s="386" t="s">
        <v>930</v>
      </c>
      <c r="C3" s="386">
        <v>2</v>
      </c>
      <c r="D3" s="386">
        <v>921</v>
      </c>
      <c r="E3" s="386" t="s">
        <v>931</v>
      </c>
      <c r="F3" s="386">
        <v>0</v>
      </c>
      <c r="G3" s="388">
        <v>0</v>
      </c>
      <c r="H3" s="387">
        <v>0</v>
      </c>
      <c r="I3" s="388">
        <v>45490.553541666668</v>
      </c>
      <c r="J3" s="386">
        <v>0.20799999999999999</v>
      </c>
      <c r="K3" s="386">
        <v>112.77</v>
      </c>
      <c r="L3" s="386">
        <v>0.2</v>
      </c>
      <c r="M3" s="386">
        <v>85.93</v>
      </c>
      <c r="N3" s="386">
        <v>1</v>
      </c>
      <c r="O3" s="386">
        <f t="shared" si="0"/>
        <v>0.20799999999999999</v>
      </c>
      <c r="P3" s="400">
        <f t="shared" si="1"/>
        <v>0.2</v>
      </c>
      <c r="Q3" s="400">
        <f t="shared" ref="Q3:R3" si="3">O3</f>
        <v>0.20799999999999999</v>
      </c>
      <c r="R3" s="400">
        <f t="shared" si="3"/>
        <v>0.2</v>
      </c>
      <c r="S3" s="378" t="s">
        <v>12</v>
      </c>
    </row>
    <row r="4" spans="1:19">
      <c r="A4" s="384">
        <v>45490</v>
      </c>
      <c r="B4" s="386">
        <v>0.2</v>
      </c>
      <c r="C4" s="386">
        <v>3</v>
      </c>
      <c r="D4" s="386">
        <v>921</v>
      </c>
      <c r="E4" s="386" t="s">
        <v>932</v>
      </c>
      <c r="F4" s="386">
        <v>0</v>
      </c>
      <c r="G4" s="388">
        <v>0</v>
      </c>
      <c r="H4" s="387">
        <v>0</v>
      </c>
      <c r="I4" s="388">
        <v>45490.554351851853</v>
      </c>
      <c r="J4" s="386">
        <v>0.19900000000000001</v>
      </c>
      <c r="K4" s="386">
        <v>108.35</v>
      </c>
      <c r="L4" s="386">
        <v>0.2</v>
      </c>
      <c r="M4" s="386">
        <v>85.75</v>
      </c>
      <c r="N4" s="386">
        <v>1</v>
      </c>
      <c r="O4" s="386">
        <f t="shared" si="0"/>
        <v>0.19900000000000001</v>
      </c>
      <c r="P4" s="400">
        <f t="shared" si="1"/>
        <v>0.2</v>
      </c>
      <c r="Q4" s="400">
        <f t="shared" ref="Q4:R4" si="4">O4</f>
        <v>0.19900000000000001</v>
      </c>
      <c r="R4" s="400">
        <f t="shared" si="4"/>
        <v>0.2</v>
      </c>
      <c r="S4" s="378" t="s">
        <v>12</v>
      </c>
    </row>
    <row r="5" spans="1:19">
      <c r="A5" s="384">
        <v>45490</v>
      </c>
      <c r="B5" s="386">
        <v>0.1</v>
      </c>
      <c r="C5" s="386">
        <v>4</v>
      </c>
      <c r="D5" s="386">
        <v>901</v>
      </c>
      <c r="E5" s="386" t="s">
        <v>932</v>
      </c>
      <c r="F5" s="386">
        <v>0</v>
      </c>
      <c r="G5" s="388">
        <v>0</v>
      </c>
      <c r="H5" s="387">
        <v>0</v>
      </c>
      <c r="I5" s="388">
        <v>45490.555162037039</v>
      </c>
      <c r="J5" s="386">
        <v>0.1</v>
      </c>
      <c r="K5" s="386">
        <v>57.36</v>
      </c>
      <c r="L5" s="386">
        <v>0.1</v>
      </c>
      <c r="M5" s="386">
        <v>45.36</v>
      </c>
      <c r="N5" s="386">
        <v>1</v>
      </c>
      <c r="O5" s="386">
        <f t="shared" si="0"/>
        <v>0.1</v>
      </c>
      <c r="P5" s="400">
        <f t="shared" si="1"/>
        <v>0.1</v>
      </c>
      <c r="Q5" s="400">
        <f t="shared" ref="Q5:R5" si="5">O5</f>
        <v>0.1</v>
      </c>
      <c r="R5" s="400">
        <f t="shared" si="5"/>
        <v>0.1</v>
      </c>
      <c r="S5" s="378" t="s">
        <v>12</v>
      </c>
    </row>
    <row r="6" spans="1:19">
      <c r="A6" s="384">
        <v>45490</v>
      </c>
      <c r="B6" s="386">
        <v>0.05</v>
      </c>
      <c r="C6" s="386">
        <v>5</v>
      </c>
      <c r="D6" s="386">
        <v>902</v>
      </c>
      <c r="E6" s="386" t="s">
        <v>932</v>
      </c>
      <c r="F6" s="386">
        <v>0</v>
      </c>
      <c r="G6" s="388">
        <v>0</v>
      </c>
      <c r="H6" s="387">
        <v>0</v>
      </c>
      <c r="I6" s="388">
        <v>45490.555972222224</v>
      </c>
      <c r="J6" s="386">
        <v>5.2999999999999999E-2</v>
      </c>
      <c r="K6" s="386">
        <v>33.54</v>
      </c>
      <c r="L6" s="386">
        <v>0.05</v>
      </c>
      <c r="M6" s="386">
        <v>25.04</v>
      </c>
      <c r="N6" s="386">
        <v>1</v>
      </c>
      <c r="O6" s="386">
        <f t="shared" si="0"/>
        <v>5.2999999999999999E-2</v>
      </c>
      <c r="P6" s="400">
        <f t="shared" si="1"/>
        <v>0.05</v>
      </c>
      <c r="Q6" s="400">
        <f t="shared" ref="Q6:R6" si="6">O6</f>
        <v>5.2999999999999999E-2</v>
      </c>
      <c r="R6" s="400">
        <f t="shared" si="6"/>
        <v>0.05</v>
      </c>
      <c r="S6" s="378" t="s">
        <v>12</v>
      </c>
    </row>
    <row r="7" spans="1:19">
      <c r="A7" s="384">
        <v>45490</v>
      </c>
      <c r="B7" s="386">
        <v>2.5000000000000001E-2</v>
      </c>
      <c r="C7" s="386">
        <v>6</v>
      </c>
      <c r="D7" s="386">
        <v>903</v>
      </c>
      <c r="E7" s="386" t="s">
        <v>932</v>
      </c>
      <c r="F7" s="386">
        <v>0</v>
      </c>
      <c r="G7" s="388">
        <v>0</v>
      </c>
      <c r="H7" s="387">
        <v>0</v>
      </c>
      <c r="I7" s="388">
        <v>45490.55678240741</v>
      </c>
      <c r="J7" s="386">
        <v>2.9000000000000001E-2</v>
      </c>
      <c r="K7" s="386">
        <v>21.14</v>
      </c>
      <c r="L7" s="386">
        <v>2.5000000000000001E-2</v>
      </c>
      <c r="M7" s="386">
        <v>14.86</v>
      </c>
      <c r="N7" s="386">
        <v>1</v>
      </c>
      <c r="O7" s="386">
        <f t="shared" si="0"/>
        <v>2.9000000000000001E-2</v>
      </c>
      <c r="P7" s="400">
        <f t="shared" si="1"/>
        <v>2.5000000000000001E-2</v>
      </c>
      <c r="Q7" s="400">
        <f t="shared" ref="Q7:R7" si="7">O7</f>
        <v>2.9000000000000001E-2</v>
      </c>
      <c r="R7" s="400">
        <f t="shared" si="7"/>
        <v>2.5000000000000001E-2</v>
      </c>
      <c r="S7" s="378" t="s">
        <v>12</v>
      </c>
    </row>
    <row r="8" spans="1:19">
      <c r="A8" s="384">
        <v>45490</v>
      </c>
      <c r="B8" s="386">
        <v>0.01</v>
      </c>
      <c r="C8" s="386">
        <v>7</v>
      </c>
      <c r="D8" s="386">
        <v>904</v>
      </c>
      <c r="E8" s="386" t="s">
        <v>932</v>
      </c>
      <c r="F8" s="386">
        <v>0</v>
      </c>
      <c r="G8" s="388">
        <v>0</v>
      </c>
      <c r="H8" s="387">
        <v>0</v>
      </c>
      <c r="I8" s="388">
        <v>45490.557592592595</v>
      </c>
      <c r="J8" s="386">
        <v>8.9999999999999993E-3</v>
      </c>
      <c r="K8" s="386">
        <v>10.88</v>
      </c>
      <c r="L8" s="386">
        <v>0.01</v>
      </c>
      <c r="M8" s="386">
        <v>8.6</v>
      </c>
      <c r="N8" s="386">
        <v>1</v>
      </c>
      <c r="O8" s="386">
        <f t="shared" si="0"/>
        <v>8.9999999999999993E-3</v>
      </c>
      <c r="P8" s="400">
        <f t="shared" si="1"/>
        <v>0.01</v>
      </c>
      <c r="Q8" s="400">
        <f t="shared" ref="Q8:R8" si="8">O8</f>
        <v>8.9999999999999993E-3</v>
      </c>
      <c r="R8" s="400">
        <f t="shared" si="8"/>
        <v>0.01</v>
      </c>
      <c r="S8" s="378" t="s">
        <v>12</v>
      </c>
    </row>
    <row r="9" spans="1:19">
      <c r="A9" s="384">
        <v>45490</v>
      </c>
      <c r="B9" s="386" t="s">
        <v>966</v>
      </c>
      <c r="C9" s="386">
        <v>8</v>
      </c>
      <c r="D9" s="386">
        <v>0</v>
      </c>
      <c r="E9" s="386" t="s">
        <v>933</v>
      </c>
      <c r="F9" s="386">
        <v>0</v>
      </c>
      <c r="G9" s="388">
        <v>0</v>
      </c>
      <c r="H9" s="387">
        <v>0</v>
      </c>
      <c r="I9" s="388">
        <v>45490.55840277778</v>
      </c>
      <c r="J9" s="386">
        <v>6.0000000000000001E-3</v>
      </c>
      <c r="K9" s="386">
        <v>9.41</v>
      </c>
      <c r="L9" s="386">
        <v>0.01</v>
      </c>
      <c r="M9" s="386">
        <v>8.51</v>
      </c>
      <c r="N9" s="386">
        <v>1</v>
      </c>
      <c r="O9" s="386">
        <f t="shared" si="0"/>
        <v>6.0000000000000001E-3</v>
      </c>
      <c r="P9" s="400">
        <f t="shared" si="1"/>
        <v>0.01</v>
      </c>
      <c r="Q9" s="400">
        <f t="shared" ref="Q9:R9" si="9">O9</f>
        <v>6.0000000000000001E-3</v>
      </c>
      <c r="R9" s="400">
        <f t="shared" si="9"/>
        <v>0.01</v>
      </c>
      <c r="S9" s="378" t="s">
        <v>12</v>
      </c>
    </row>
    <row r="10" spans="1:19">
      <c r="A10" s="384">
        <v>45490</v>
      </c>
      <c r="B10" s="386" t="s">
        <v>79</v>
      </c>
      <c r="C10" s="386">
        <v>9</v>
      </c>
      <c r="D10" s="386">
        <v>906</v>
      </c>
      <c r="E10" s="386" t="s">
        <v>932</v>
      </c>
      <c r="F10" s="386">
        <v>0</v>
      </c>
      <c r="G10" s="388">
        <v>0</v>
      </c>
      <c r="H10" s="387">
        <v>0</v>
      </c>
      <c r="I10" s="388">
        <v>45490.559212962966</v>
      </c>
      <c r="J10" s="386">
        <v>-5.0000000000000001E-3</v>
      </c>
      <c r="K10" s="386">
        <v>3.68</v>
      </c>
      <c r="L10" s="386">
        <v>-1E-3</v>
      </c>
      <c r="M10" s="386">
        <v>4.18</v>
      </c>
      <c r="N10" s="386">
        <v>1</v>
      </c>
      <c r="O10" s="401">
        <f t="shared" si="0"/>
        <v>-5.0000000000000001E-3</v>
      </c>
      <c r="P10" s="402">
        <f t="shared" si="1"/>
        <v>-1E-3</v>
      </c>
      <c r="Q10" s="400" t="s">
        <v>967</v>
      </c>
      <c r="R10" s="378" t="s">
        <v>967</v>
      </c>
      <c r="S10" s="378" t="s">
        <v>12</v>
      </c>
    </row>
    <row r="11" spans="1:19">
      <c r="A11" s="384">
        <v>45490</v>
      </c>
      <c r="B11" s="386" t="s">
        <v>935</v>
      </c>
      <c r="C11" s="386">
        <v>10</v>
      </c>
      <c r="D11" s="386">
        <v>0</v>
      </c>
      <c r="E11" s="386" t="s">
        <v>936</v>
      </c>
      <c r="F11" s="386">
        <v>0</v>
      </c>
      <c r="G11" s="388">
        <v>0</v>
      </c>
      <c r="H11" s="387">
        <v>0</v>
      </c>
      <c r="I11" s="388">
        <v>45490.560023148151</v>
      </c>
      <c r="J11" s="386">
        <v>-1.2E-2</v>
      </c>
      <c r="K11" s="386">
        <v>0</v>
      </c>
      <c r="L11" s="386">
        <v>-1.0999999999999999E-2</v>
      </c>
      <c r="M11" s="386">
        <v>0</v>
      </c>
      <c r="N11" s="386">
        <v>1</v>
      </c>
      <c r="O11" s="401">
        <f t="shared" si="0"/>
        <v>-1.2E-2</v>
      </c>
      <c r="P11" s="402">
        <f t="shared" si="1"/>
        <v>-1.0999999999999999E-2</v>
      </c>
      <c r="Q11" s="400" t="s">
        <v>967</v>
      </c>
      <c r="R11" s="378" t="s">
        <v>967</v>
      </c>
      <c r="S11" s="378" t="s">
        <v>12</v>
      </c>
    </row>
    <row r="12" spans="1:19">
      <c r="A12" s="384">
        <v>45490</v>
      </c>
      <c r="B12" s="386" t="s">
        <v>937</v>
      </c>
      <c r="C12" s="386">
        <v>11</v>
      </c>
      <c r="D12" s="386">
        <v>921</v>
      </c>
      <c r="E12" s="386" t="s">
        <v>938</v>
      </c>
      <c r="F12" s="386">
        <v>0</v>
      </c>
      <c r="G12" s="388">
        <v>1</v>
      </c>
      <c r="H12" s="387">
        <v>1</v>
      </c>
      <c r="I12" s="388">
        <v>45490.5624537037</v>
      </c>
      <c r="J12" s="386">
        <v>0.23100000000000001</v>
      </c>
      <c r="K12" s="386">
        <v>124.92</v>
      </c>
      <c r="L12" s="386">
        <v>0.2</v>
      </c>
      <c r="M12" s="386">
        <v>86</v>
      </c>
      <c r="N12" s="386">
        <v>1</v>
      </c>
      <c r="O12" s="386">
        <f t="shared" si="0"/>
        <v>0.23100000000000001</v>
      </c>
      <c r="P12" s="400">
        <f t="shared" si="1"/>
        <v>0.2</v>
      </c>
      <c r="Q12" s="400">
        <f t="shared" ref="Q12:R12" si="10">O12</f>
        <v>0.23100000000000001</v>
      </c>
      <c r="R12" s="400">
        <f t="shared" si="10"/>
        <v>0.2</v>
      </c>
      <c r="S12" s="378" t="s">
        <v>12</v>
      </c>
    </row>
    <row r="13" spans="1:19">
      <c r="A13" s="384">
        <v>45490</v>
      </c>
      <c r="B13" s="386" t="s">
        <v>939</v>
      </c>
      <c r="C13" s="386">
        <v>12</v>
      </c>
      <c r="D13" s="386">
        <v>905</v>
      </c>
      <c r="E13" s="386" t="s">
        <v>940</v>
      </c>
      <c r="F13" s="386">
        <v>0</v>
      </c>
      <c r="G13" s="388">
        <v>1</v>
      </c>
      <c r="H13" s="387">
        <v>2</v>
      </c>
      <c r="I13" s="388">
        <v>45490.563263888886</v>
      </c>
      <c r="J13" s="386">
        <v>3.0000000000000001E-3</v>
      </c>
      <c r="K13" s="386">
        <v>7.73</v>
      </c>
      <c r="L13" s="386">
        <v>0.01</v>
      </c>
      <c r="M13" s="386">
        <v>8.49</v>
      </c>
      <c r="N13" s="386">
        <v>1</v>
      </c>
      <c r="O13" s="386">
        <f t="shared" si="0"/>
        <v>3.0000000000000001E-3</v>
      </c>
      <c r="P13" s="400">
        <f t="shared" si="1"/>
        <v>0.01</v>
      </c>
      <c r="Q13" s="400">
        <f t="shared" ref="Q13:R13" si="11">O13</f>
        <v>3.0000000000000001E-3</v>
      </c>
      <c r="R13" s="400">
        <f t="shared" si="11"/>
        <v>0.01</v>
      </c>
      <c r="S13" s="378" t="s">
        <v>12</v>
      </c>
    </row>
    <row r="14" spans="1:19">
      <c r="A14" s="384">
        <v>45490</v>
      </c>
      <c r="B14" s="386" t="s">
        <v>939</v>
      </c>
      <c r="C14" s="386">
        <v>13</v>
      </c>
      <c r="D14" s="386">
        <v>905</v>
      </c>
      <c r="E14" s="386" t="s">
        <v>940</v>
      </c>
      <c r="F14" s="386">
        <v>0</v>
      </c>
      <c r="G14" s="388">
        <v>1</v>
      </c>
      <c r="H14" s="387">
        <v>3</v>
      </c>
      <c r="I14" s="388">
        <v>45490.564074074071</v>
      </c>
      <c r="J14" s="386">
        <v>5.0000000000000001E-3</v>
      </c>
      <c r="K14" s="386">
        <v>8.92</v>
      </c>
      <c r="L14" s="386">
        <v>0.01</v>
      </c>
      <c r="M14" s="386">
        <v>8.49</v>
      </c>
      <c r="N14" s="386">
        <v>1</v>
      </c>
      <c r="O14" s="386">
        <f t="shared" si="0"/>
        <v>5.0000000000000001E-3</v>
      </c>
      <c r="P14" s="400">
        <f t="shared" si="1"/>
        <v>0.01</v>
      </c>
      <c r="Q14" s="400">
        <f t="shared" ref="Q14:R14" si="12">O14</f>
        <v>5.0000000000000001E-3</v>
      </c>
      <c r="R14" s="400">
        <f t="shared" si="12"/>
        <v>0.01</v>
      </c>
      <c r="S14" s="378" t="s">
        <v>12</v>
      </c>
    </row>
    <row r="15" spans="1:19">
      <c r="A15" s="384">
        <v>45490</v>
      </c>
      <c r="B15" s="386" t="s">
        <v>79</v>
      </c>
      <c r="C15" s="386">
        <v>14</v>
      </c>
      <c r="D15" s="386">
        <v>906</v>
      </c>
      <c r="E15" s="386" t="s">
        <v>941</v>
      </c>
      <c r="F15" s="386">
        <v>0</v>
      </c>
      <c r="G15" s="388">
        <v>0</v>
      </c>
      <c r="H15" s="387">
        <v>0</v>
      </c>
      <c r="I15" s="388">
        <v>45490.564884259256</v>
      </c>
      <c r="J15" s="386">
        <v>0</v>
      </c>
      <c r="K15" s="386">
        <v>6.31</v>
      </c>
      <c r="L15" s="386">
        <v>-1E-3</v>
      </c>
      <c r="M15" s="386">
        <v>4.2</v>
      </c>
      <c r="N15" s="386">
        <v>1</v>
      </c>
      <c r="O15" s="401">
        <f t="shared" si="0"/>
        <v>0</v>
      </c>
      <c r="P15" s="402">
        <f t="shared" si="1"/>
        <v>-1E-3</v>
      </c>
      <c r="Q15" s="400" t="s">
        <v>967</v>
      </c>
      <c r="R15" s="378" t="s">
        <v>967</v>
      </c>
      <c r="S15" s="378" t="s">
        <v>12</v>
      </c>
    </row>
    <row r="16" spans="1:19">
      <c r="A16" s="384">
        <v>45490</v>
      </c>
      <c r="B16" s="386" t="s">
        <v>958</v>
      </c>
      <c r="C16" s="386">
        <v>15</v>
      </c>
      <c r="D16" s="386">
        <v>907</v>
      </c>
      <c r="E16" s="386" t="s">
        <v>943</v>
      </c>
      <c r="F16" s="386">
        <v>0</v>
      </c>
      <c r="G16" s="388">
        <v>0</v>
      </c>
      <c r="H16" s="387">
        <v>1</v>
      </c>
      <c r="I16" s="388">
        <v>45490.565694444442</v>
      </c>
      <c r="J16" s="386">
        <v>0.16600000000000001</v>
      </c>
      <c r="K16" s="386">
        <v>91.35</v>
      </c>
      <c r="L16" s="386">
        <v>0.14599999999999999</v>
      </c>
      <c r="M16" s="386">
        <v>63.92</v>
      </c>
      <c r="N16" s="386">
        <v>1</v>
      </c>
      <c r="O16" s="386">
        <f t="shared" si="0"/>
        <v>0.16600000000000001</v>
      </c>
      <c r="P16" s="400">
        <f t="shared" si="1"/>
        <v>0.14599999999999999</v>
      </c>
      <c r="Q16" s="400">
        <f t="shared" ref="Q16:R16" si="13">O16</f>
        <v>0.16600000000000001</v>
      </c>
      <c r="R16" s="400">
        <f t="shared" si="13"/>
        <v>0.14599999999999999</v>
      </c>
      <c r="S16" s="378" t="s">
        <v>12</v>
      </c>
    </row>
    <row r="17" spans="1:19">
      <c r="A17" s="384">
        <v>45490</v>
      </c>
      <c r="B17" s="386" t="s">
        <v>968</v>
      </c>
      <c r="C17" s="386">
        <v>16</v>
      </c>
      <c r="D17" s="386">
        <v>908</v>
      </c>
      <c r="E17" s="386" t="s">
        <v>945</v>
      </c>
      <c r="F17" s="386">
        <v>0</v>
      </c>
      <c r="G17" s="388">
        <v>0</v>
      </c>
      <c r="H17" s="387">
        <v>0</v>
      </c>
      <c r="I17" s="388">
        <v>45490.566504629627</v>
      </c>
      <c r="J17" s="386">
        <v>0.159</v>
      </c>
      <c r="K17" s="386">
        <v>87.63</v>
      </c>
      <c r="L17" s="386">
        <v>2.7E-2</v>
      </c>
      <c r="M17" s="386">
        <v>15.59</v>
      </c>
      <c r="N17" s="386">
        <v>1</v>
      </c>
      <c r="O17" s="386">
        <f t="shared" si="0"/>
        <v>0.159</v>
      </c>
      <c r="P17" s="400">
        <f t="shared" si="1"/>
        <v>2.7E-2</v>
      </c>
      <c r="Q17" s="400">
        <f t="shared" ref="Q17:R17" si="14">O17</f>
        <v>0.159</v>
      </c>
      <c r="R17" s="400">
        <f t="shared" si="14"/>
        <v>2.7E-2</v>
      </c>
      <c r="S17" s="378" t="s">
        <v>12</v>
      </c>
    </row>
    <row r="18" spans="1:19">
      <c r="A18" s="384">
        <v>45490</v>
      </c>
      <c r="B18" s="386" t="s">
        <v>969</v>
      </c>
      <c r="C18" s="386">
        <v>17</v>
      </c>
      <c r="D18" s="386">
        <v>909</v>
      </c>
      <c r="E18" s="386" t="s">
        <v>945</v>
      </c>
      <c r="F18" s="386">
        <v>0</v>
      </c>
      <c r="G18" s="388">
        <v>0</v>
      </c>
      <c r="H18" s="387">
        <v>0</v>
      </c>
      <c r="I18" s="388">
        <v>45490.567314814813</v>
      </c>
      <c r="J18" s="386">
        <v>0.17100000000000001</v>
      </c>
      <c r="K18" s="386">
        <v>94.24</v>
      </c>
      <c r="L18" s="386">
        <v>2.7E-2</v>
      </c>
      <c r="M18" s="386">
        <v>15.46</v>
      </c>
      <c r="N18" s="386">
        <v>1</v>
      </c>
      <c r="O18" s="386">
        <f t="shared" si="0"/>
        <v>0.17100000000000001</v>
      </c>
      <c r="P18" s="400">
        <f t="shared" si="1"/>
        <v>2.7E-2</v>
      </c>
      <c r="Q18" s="400">
        <f t="shared" ref="Q18:R18" si="15">O18</f>
        <v>0.17100000000000001</v>
      </c>
      <c r="R18" s="400">
        <f t="shared" si="15"/>
        <v>2.7E-2</v>
      </c>
      <c r="S18" s="378" t="s">
        <v>12</v>
      </c>
    </row>
    <row r="19" spans="1:19">
      <c r="A19" s="384">
        <v>45490</v>
      </c>
      <c r="B19" s="386">
        <v>152</v>
      </c>
      <c r="C19" s="386">
        <v>18</v>
      </c>
      <c r="D19" s="386">
        <v>1</v>
      </c>
      <c r="E19" s="386" t="s">
        <v>941</v>
      </c>
      <c r="F19" s="386">
        <v>0</v>
      </c>
      <c r="G19" s="388">
        <v>0</v>
      </c>
      <c r="H19" s="387">
        <v>0</v>
      </c>
      <c r="I19" s="388">
        <v>45490.568124999998</v>
      </c>
      <c r="J19" s="386">
        <v>2.1000000000000001E-2</v>
      </c>
      <c r="K19" s="386">
        <v>16.920000000000002</v>
      </c>
      <c r="L19" s="386">
        <v>-2E-3</v>
      </c>
      <c r="M19" s="386">
        <v>3.51</v>
      </c>
      <c r="N19" s="386">
        <v>1</v>
      </c>
      <c r="O19" s="386">
        <f t="shared" si="0"/>
        <v>2.1000000000000001E-2</v>
      </c>
      <c r="P19" s="402">
        <f t="shared" si="1"/>
        <v>-2E-3</v>
      </c>
      <c r="Q19" s="400">
        <f t="shared" ref="Q19:Q31" si="16">O19</f>
        <v>2.1000000000000001E-2</v>
      </c>
      <c r="R19" s="378" t="s">
        <v>967</v>
      </c>
      <c r="S19" s="378" t="s">
        <v>12</v>
      </c>
    </row>
    <row r="20" spans="1:19">
      <c r="A20" s="384">
        <v>45490</v>
      </c>
      <c r="B20" s="386">
        <v>347</v>
      </c>
      <c r="C20" s="386">
        <v>19</v>
      </c>
      <c r="D20" s="386">
        <v>2</v>
      </c>
      <c r="E20" s="386" t="s">
        <v>941</v>
      </c>
      <c r="F20" s="386">
        <v>0</v>
      </c>
      <c r="G20" s="388">
        <v>0</v>
      </c>
      <c r="H20" s="387">
        <v>0</v>
      </c>
      <c r="I20" s="388">
        <v>45490.568935185183</v>
      </c>
      <c r="J20" s="386">
        <v>0.03</v>
      </c>
      <c r="K20" s="386">
        <v>21.71</v>
      </c>
      <c r="L20" s="386">
        <v>0.02</v>
      </c>
      <c r="M20" s="386">
        <v>12.75</v>
      </c>
      <c r="N20" s="386">
        <v>1</v>
      </c>
      <c r="O20" s="386">
        <f t="shared" si="0"/>
        <v>0.03</v>
      </c>
      <c r="P20" s="400">
        <f t="shared" si="1"/>
        <v>0.02</v>
      </c>
      <c r="Q20" s="400">
        <f t="shared" si="16"/>
        <v>0.03</v>
      </c>
      <c r="R20" s="400">
        <f>P20</f>
        <v>0.02</v>
      </c>
      <c r="S20" s="378" t="s">
        <v>12</v>
      </c>
    </row>
    <row r="21" spans="1:19">
      <c r="A21" s="384">
        <v>45490</v>
      </c>
      <c r="B21" s="386">
        <v>100</v>
      </c>
      <c r="C21" s="386">
        <v>20</v>
      </c>
      <c r="D21" s="386">
        <v>3</v>
      </c>
      <c r="E21" s="386" t="s">
        <v>941</v>
      </c>
      <c r="F21" s="386">
        <v>0</v>
      </c>
      <c r="G21" s="388">
        <v>0</v>
      </c>
      <c r="H21" s="387">
        <v>0</v>
      </c>
      <c r="I21" s="388">
        <v>45490.569745370369</v>
      </c>
      <c r="J21" s="386">
        <v>2.1000000000000001E-2</v>
      </c>
      <c r="K21" s="386">
        <v>17.25</v>
      </c>
      <c r="L21" s="386">
        <v>0</v>
      </c>
      <c r="M21" s="386">
        <v>4.63</v>
      </c>
      <c r="N21" s="386">
        <v>1</v>
      </c>
      <c r="O21" s="386">
        <f t="shared" si="0"/>
        <v>2.1000000000000001E-2</v>
      </c>
      <c r="P21" s="402">
        <f t="shared" si="1"/>
        <v>0</v>
      </c>
      <c r="Q21" s="400">
        <f t="shared" si="16"/>
        <v>2.1000000000000001E-2</v>
      </c>
      <c r="R21" s="378" t="s">
        <v>967</v>
      </c>
      <c r="S21" s="378" t="s">
        <v>12</v>
      </c>
    </row>
    <row r="22" spans="1:19">
      <c r="A22" s="384">
        <v>45490</v>
      </c>
      <c r="B22" s="386">
        <v>204</v>
      </c>
      <c r="C22" s="386">
        <v>21</v>
      </c>
      <c r="D22" s="386">
        <v>4</v>
      </c>
      <c r="E22" s="386" t="s">
        <v>941</v>
      </c>
      <c r="F22" s="386">
        <v>0</v>
      </c>
      <c r="G22" s="388">
        <v>0</v>
      </c>
      <c r="H22" s="387">
        <v>0</v>
      </c>
      <c r="I22" s="388">
        <v>45490.570555555554</v>
      </c>
      <c r="J22" s="386">
        <v>2.1000000000000001E-2</v>
      </c>
      <c r="K22" s="386">
        <v>16.79</v>
      </c>
      <c r="L22" s="386">
        <v>0</v>
      </c>
      <c r="M22" s="386">
        <v>4.54</v>
      </c>
      <c r="N22" s="386">
        <v>1</v>
      </c>
      <c r="O22" s="386">
        <f t="shared" si="0"/>
        <v>2.1000000000000001E-2</v>
      </c>
      <c r="P22" s="402">
        <f t="shared" si="1"/>
        <v>0</v>
      </c>
      <c r="Q22" s="400">
        <f t="shared" si="16"/>
        <v>2.1000000000000001E-2</v>
      </c>
      <c r="R22" s="378" t="s">
        <v>967</v>
      </c>
      <c r="S22" s="378" t="s">
        <v>12</v>
      </c>
    </row>
    <row r="23" spans="1:19">
      <c r="A23" s="384">
        <v>45490</v>
      </c>
      <c r="B23" s="386">
        <v>87</v>
      </c>
      <c r="C23" s="386">
        <v>22</v>
      </c>
      <c r="D23" s="386">
        <v>5</v>
      </c>
      <c r="E23" s="386" t="s">
        <v>941</v>
      </c>
      <c r="F23" s="386">
        <v>0</v>
      </c>
      <c r="G23" s="388">
        <v>0</v>
      </c>
      <c r="H23" s="387">
        <v>0</v>
      </c>
      <c r="I23" s="388">
        <v>45490.57136574074</v>
      </c>
      <c r="J23" s="386">
        <v>2.1000000000000001E-2</v>
      </c>
      <c r="K23" s="386">
        <v>16.989999999999998</v>
      </c>
      <c r="L23" s="386">
        <v>-1E-3</v>
      </c>
      <c r="M23" s="386">
        <v>4.07</v>
      </c>
      <c r="N23" s="386">
        <v>1</v>
      </c>
      <c r="O23" s="386">
        <f t="shared" si="0"/>
        <v>2.1000000000000001E-2</v>
      </c>
      <c r="P23" s="402">
        <f t="shared" si="1"/>
        <v>-1E-3</v>
      </c>
      <c r="Q23" s="400">
        <f t="shared" si="16"/>
        <v>2.1000000000000001E-2</v>
      </c>
      <c r="R23" s="378" t="s">
        <v>967</v>
      </c>
      <c r="S23" s="378" t="s">
        <v>12</v>
      </c>
    </row>
    <row r="24" spans="1:19">
      <c r="A24" s="384">
        <v>45490</v>
      </c>
      <c r="B24" s="386">
        <v>61</v>
      </c>
      <c r="C24" s="386">
        <v>23</v>
      </c>
      <c r="D24" s="386">
        <v>6</v>
      </c>
      <c r="E24" s="386" t="s">
        <v>941</v>
      </c>
      <c r="F24" s="386">
        <v>0</v>
      </c>
      <c r="G24" s="388">
        <v>0</v>
      </c>
      <c r="H24" s="387">
        <v>0</v>
      </c>
      <c r="I24" s="388">
        <v>45490.572175925925</v>
      </c>
      <c r="J24" s="386">
        <v>1.2E-2</v>
      </c>
      <c r="K24" s="386">
        <v>12.18</v>
      </c>
      <c r="L24" s="386">
        <v>8.9999999999999993E-3</v>
      </c>
      <c r="M24" s="386">
        <v>8.18</v>
      </c>
      <c r="N24" s="386">
        <v>1</v>
      </c>
      <c r="O24" s="386">
        <f t="shared" si="0"/>
        <v>1.2E-2</v>
      </c>
      <c r="P24" s="400">
        <f t="shared" si="1"/>
        <v>8.9999999999999993E-3</v>
      </c>
      <c r="Q24" s="400">
        <f t="shared" si="16"/>
        <v>1.2E-2</v>
      </c>
      <c r="R24" s="400">
        <f>P24</f>
        <v>8.9999999999999993E-3</v>
      </c>
      <c r="S24" s="378" t="s">
        <v>12</v>
      </c>
    </row>
    <row r="25" spans="1:19">
      <c r="A25" s="384">
        <v>45490</v>
      </c>
      <c r="B25" s="386">
        <v>269</v>
      </c>
      <c r="C25" s="386">
        <v>24</v>
      </c>
      <c r="D25" s="386">
        <v>7</v>
      </c>
      <c r="E25" s="386" t="s">
        <v>941</v>
      </c>
      <c r="F25" s="386">
        <v>0</v>
      </c>
      <c r="G25" s="388">
        <v>0</v>
      </c>
      <c r="H25" s="387">
        <v>0</v>
      </c>
      <c r="I25" s="388">
        <v>45490.57298611111</v>
      </c>
      <c r="J25" s="386">
        <v>1.7999999999999999E-2</v>
      </c>
      <c r="K25" s="386">
        <v>15.28</v>
      </c>
      <c r="L25" s="386">
        <v>1E-3</v>
      </c>
      <c r="M25" s="386">
        <v>4.91</v>
      </c>
      <c r="N25" s="386">
        <v>1</v>
      </c>
      <c r="O25" s="386">
        <f t="shared" si="0"/>
        <v>1.7999999999999999E-2</v>
      </c>
      <c r="P25" s="402">
        <f t="shared" si="1"/>
        <v>1E-3</v>
      </c>
      <c r="Q25" s="400">
        <f t="shared" si="16"/>
        <v>1.7999999999999999E-2</v>
      </c>
      <c r="R25" s="378" t="s">
        <v>967</v>
      </c>
      <c r="S25" s="378" t="s">
        <v>12</v>
      </c>
    </row>
    <row r="26" spans="1:19">
      <c r="A26" s="384">
        <v>45490</v>
      </c>
      <c r="B26" s="386">
        <v>9</v>
      </c>
      <c r="C26" s="386">
        <v>25</v>
      </c>
      <c r="D26" s="386">
        <v>8</v>
      </c>
      <c r="E26" s="386" t="s">
        <v>941</v>
      </c>
      <c r="F26" s="386">
        <v>0</v>
      </c>
      <c r="G26" s="388">
        <v>0</v>
      </c>
      <c r="H26" s="387">
        <v>0</v>
      </c>
      <c r="I26" s="388">
        <v>45490.573796296296</v>
      </c>
      <c r="J26" s="386">
        <v>1.4999999999999999E-2</v>
      </c>
      <c r="K26" s="386">
        <v>13.97</v>
      </c>
      <c r="L26" s="386">
        <v>-3.0000000000000001E-3</v>
      </c>
      <c r="M26" s="386">
        <v>3.24</v>
      </c>
      <c r="N26" s="386">
        <v>1</v>
      </c>
      <c r="O26" s="386">
        <f t="shared" si="0"/>
        <v>1.4999999999999999E-2</v>
      </c>
      <c r="P26" s="402">
        <f t="shared" si="1"/>
        <v>-3.0000000000000001E-3</v>
      </c>
      <c r="Q26" s="400">
        <f t="shared" si="16"/>
        <v>1.4999999999999999E-2</v>
      </c>
      <c r="R26" s="378" t="s">
        <v>967</v>
      </c>
      <c r="S26" s="378" t="s">
        <v>12</v>
      </c>
    </row>
    <row r="27" spans="1:19">
      <c r="A27" s="384">
        <v>45490</v>
      </c>
      <c r="B27" s="386">
        <v>243</v>
      </c>
      <c r="C27" s="386">
        <v>26</v>
      </c>
      <c r="D27" s="386">
        <v>9</v>
      </c>
      <c r="E27" s="386" t="s">
        <v>941</v>
      </c>
      <c r="F27" s="386">
        <v>0</v>
      </c>
      <c r="G27" s="388">
        <v>0</v>
      </c>
      <c r="H27" s="387">
        <v>0</v>
      </c>
      <c r="I27" s="388">
        <v>45490.574606481481</v>
      </c>
      <c r="J27" s="386">
        <v>1.2999999999999999E-2</v>
      </c>
      <c r="K27" s="386">
        <v>13.04</v>
      </c>
      <c r="L27" s="386">
        <v>4.0000000000000001E-3</v>
      </c>
      <c r="M27" s="386">
        <v>6.18</v>
      </c>
      <c r="N27" s="386">
        <v>1</v>
      </c>
      <c r="O27" s="386">
        <f t="shared" si="0"/>
        <v>1.2999999999999999E-2</v>
      </c>
      <c r="P27" s="400">
        <f t="shared" si="1"/>
        <v>4.0000000000000001E-3</v>
      </c>
      <c r="Q27" s="400">
        <f t="shared" si="16"/>
        <v>1.2999999999999999E-2</v>
      </c>
      <c r="R27" s="400">
        <f>P27</f>
        <v>4.0000000000000001E-3</v>
      </c>
      <c r="S27" s="378" t="s">
        <v>12</v>
      </c>
    </row>
    <row r="28" spans="1:19">
      <c r="A28" s="384">
        <v>45490</v>
      </c>
      <c r="B28" s="386">
        <v>165</v>
      </c>
      <c r="C28" s="386">
        <v>27</v>
      </c>
      <c r="D28" s="386">
        <v>10</v>
      </c>
      <c r="E28" s="386" t="s">
        <v>941</v>
      </c>
      <c r="F28" s="386">
        <v>0</v>
      </c>
      <c r="G28" s="388">
        <v>0</v>
      </c>
      <c r="H28" s="387">
        <v>0</v>
      </c>
      <c r="I28" s="388">
        <v>45490.575416666667</v>
      </c>
      <c r="J28" s="386">
        <v>2.1999999999999999E-2</v>
      </c>
      <c r="K28" s="386">
        <v>17.68</v>
      </c>
      <c r="L28" s="386">
        <v>-4.0000000000000001E-3</v>
      </c>
      <c r="M28" s="386">
        <v>2.99</v>
      </c>
      <c r="N28" s="386">
        <v>1</v>
      </c>
      <c r="O28" s="386">
        <f t="shared" si="0"/>
        <v>2.1999999999999999E-2</v>
      </c>
      <c r="P28" s="402">
        <f t="shared" si="1"/>
        <v>-4.0000000000000001E-3</v>
      </c>
      <c r="Q28" s="400">
        <f t="shared" si="16"/>
        <v>2.1999999999999999E-2</v>
      </c>
      <c r="R28" s="378" t="s">
        <v>967</v>
      </c>
      <c r="S28" s="378" t="s">
        <v>12</v>
      </c>
    </row>
    <row r="29" spans="1:19">
      <c r="A29" s="384">
        <v>45490</v>
      </c>
      <c r="B29" s="386" t="s">
        <v>970</v>
      </c>
      <c r="C29" s="386">
        <v>28</v>
      </c>
      <c r="D29" s="386">
        <v>11</v>
      </c>
      <c r="E29" s="386" t="s">
        <v>943</v>
      </c>
      <c r="F29" s="386">
        <v>0</v>
      </c>
      <c r="G29" s="388">
        <v>0</v>
      </c>
      <c r="H29" s="387">
        <v>1</v>
      </c>
      <c r="I29" s="388">
        <v>45490.576226851852</v>
      </c>
      <c r="J29" s="386">
        <v>0.186</v>
      </c>
      <c r="K29" s="386">
        <v>101.82</v>
      </c>
      <c r="L29" s="386">
        <v>0.14199999999999999</v>
      </c>
      <c r="M29" s="386">
        <v>62.31</v>
      </c>
      <c r="N29" s="386">
        <v>1</v>
      </c>
      <c r="O29" s="386">
        <f t="shared" si="0"/>
        <v>0.186</v>
      </c>
      <c r="P29" s="400">
        <f t="shared" si="1"/>
        <v>0.14199999999999999</v>
      </c>
      <c r="Q29" s="400">
        <f t="shared" si="16"/>
        <v>0.186</v>
      </c>
      <c r="R29" s="400">
        <f t="shared" ref="R29:R31" si="17">P29</f>
        <v>0.14199999999999999</v>
      </c>
      <c r="S29" s="378" t="s">
        <v>12</v>
      </c>
    </row>
    <row r="30" spans="1:19">
      <c r="A30" s="384">
        <v>45490</v>
      </c>
      <c r="B30" s="386" t="s">
        <v>968</v>
      </c>
      <c r="C30" s="386">
        <v>29</v>
      </c>
      <c r="D30" s="386">
        <v>908</v>
      </c>
      <c r="E30" s="386" t="s">
        <v>945</v>
      </c>
      <c r="F30" s="386">
        <v>0</v>
      </c>
      <c r="G30" s="388">
        <v>0</v>
      </c>
      <c r="H30" s="387">
        <v>0</v>
      </c>
      <c r="I30" s="388">
        <v>45490.577037037037</v>
      </c>
      <c r="J30" s="386">
        <v>0.155</v>
      </c>
      <c r="K30" s="386">
        <v>85.54</v>
      </c>
      <c r="L30" s="386">
        <v>2.7E-2</v>
      </c>
      <c r="M30" s="386">
        <v>15.39</v>
      </c>
      <c r="N30" s="386">
        <v>1</v>
      </c>
      <c r="O30" s="386">
        <f t="shared" si="0"/>
        <v>0.155</v>
      </c>
      <c r="P30" s="400">
        <f t="shared" si="1"/>
        <v>2.7E-2</v>
      </c>
      <c r="Q30" s="400">
        <f t="shared" si="16"/>
        <v>0.155</v>
      </c>
      <c r="R30" s="400">
        <f t="shared" si="17"/>
        <v>2.7E-2</v>
      </c>
      <c r="S30" s="378" t="s">
        <v>12</v>
      </c>
    </row>
    <row r="31" spans="1:19">
      <c r="A31" s="384">
        <v>45490</v>
      </c>
      <c r="B31" s="386" t="s">
        <v>969</v>
      </c>
      <c r="C31" s="386">
        <v>30</v>
      </c>
      <c r="D31" s="386">
        <v>909</v>
      </c>
      <c r="E31" s="386" t="s">
        <v>945</v>
      </c>
      <c r="F31" s="386">
        <v>0</v>
      </c>
      <c r="G31" s="388">
        <v>0</v>
      </c>
      <c r="H31" s="387">
        <v>0</v>
      </c>
      <c r="I31" s="388">
        <v>45490.577847222223</v>
      </c>
      <c r="J31" s="386">
        <v>0.16600000000000001</v>
      </c>
      <c r="K31" s="386">
        <v>91.31</v>
      </c>
      <c r="L31" s="386">
        <v>2.7E-2</v>
      </c>
      <c r="M31" s="386">
        <v>15.71</v>
      </c>
      <c r="N31" s="386">
        <v>1</v>
      </c>
      <c r="O31" s="386">
        <f t="shared" si="0"/>
        <v>0.16600000000000001</v>
      </c>
      <c r="P31" s="400">
        <f t="shared" si="1"/>
        <v>2.7E-2</v>
      </c>
      <c r="Q31" s="400">
        <f t="shared" si="16"/>
        <v>0.16600000000000001</v>
      </c>
      <c r="R31" s="400">
        <f t="shared" si="17"/>
        <v>2.7E-2</v>
      </c>
      <c r="S31" s="378" t="s">
        <v>12</v>
      </c>
    </row>
    <row r="32" spans="1:19">
      <c r="A32" s="384">
        <v>45490</v>
      </c>
      <c r="B32" s="386" t="s">
        <v>935</v>
      </c>
      <c r="C32" s="386">
        <v>31</v>
      </c>
      <c r="D32" s="386">
        <v>0</v>
      </c>
      <c r="E32" s="386" t="s">
        <v>936</v>
      </c>
      <c r="F32" s="386">
        <v>0</v>
      </c>
      <c r="G32" s="388">
        <v>0</v>
      </c>
      <c r="H32" s="387">
        <v>0</v>
      </c>
      <c r="I32" s="388">
        <v>45490.578657407408</v>
      </c>
      <c r="J32" s="386">
        <v>-1.2E-2</v>
      </c>
      <c r="K32" s="386">
        <v>0</v>
      </c>
      <c r="L32" s="386">
        <v>-1.0999999999999999E-2</v>
      </c>
      <c r="M32" s="386">
        <v>0</v>
      </c>
      <c r="N32" s="386">
        <v>1</v>
      </c>
      <c r="O32" s="401">
        <f t="shared" si="0"/>
        <v>-1.2E-2</v>
      </c>
      <c r="P32" s="402">
        <f t="shared" si="1"/>
        <v>-1.0999999999999999E-2</v>
      </c>
      <c r="Q32" s="400" t="s">
        <v>967</v>
      </c>
      <c r="R32" s="378" t="s">
        <v>967</v>
      </c>
      <c r="S32" s="378" t="s">
        <v>12</v>
      </c>
    </row>
    <row r="33" spans="1:19">
      <c r="A33" s="384">
        <v>45490</v>
      </c>
      <c r="B33" s="386">
        <v>139</v>
      </c>
      <c r="C33" s="386">
        <v>32</v>
      </c>
      <c r="D33" s="386">
        <v>12</v>
      </c>
      <c r="E33" s="386" t="s">
        <v>941</v>
      </c>
      <c r="F33" s="386">
        <v>0</v>
      </c>
      <c r="G33" s="388">
        <v>0</v>
      </c>
      <c r="H33" s="387">
        <v>0</v>
      </c>
      <c r="I33" s="388">
        <v>45490.581087962964</v>
      </c>
      <c r="J33" s="386">
        <v>2.5000000000000001E-2</v>
      </c>
      <c r="K33" s="386">
        <v>19.12</v>
      </c>
      <c r="L33" s="386">
        <v>-3.0000000000000001E-3</v>
      </c>
      <c r="M33" s="386">
        <v>3.29</v>
      </c>
      <c r="N33" s="386">
        <v>1</v>
      </c>
      <c r="O33" s="386">
        <f t="shared" si="0"/>
        <v>2.5000000000000001E-2</v>
      </c>
      <c r="P33" s="402">
        <f t="shared" si="1"/>
        <v>-3.0000000000000001E-3</v>
      </c>
      <c r="Q33" s="400">
        <f t="shared" ref="Q33:Q45" si="18">O33</f>
        <v>2.5000000000000001E-2</v>
      </c>
      <c r="R33" s="378" t="s">
        <v>967</v>
      </c>
      <c r="S33" s="378" t="s">
        <v>12</v>
      </c>
    </row>
    <row r="34" spans="1:19">
      <c r="A34" s="384">
        <v>45490</v>
      </c>
      <c r="B34" s="386">
        <v>35</v>
      </c>
      <c r="C34" s="386">
        <v>33</v>
      </c>
      <c r="D34" s="386">
        <v>13</v>
      </c>
      <c r="E34" s="386" t="s">
        <v>941</v>
      </c>
      <c r="F34" s="386">
        <v>0</v>
      </c>
      <c r="G34" s="388">
        <v>0</v>
      </c>
      <c r="H34" s="387">
        <v>0</v>
      </c>
      <c r="I34" s="388">
        <v>45490.58189814815</v>
      </c>
      <c r="J34" s="386">
        <v>1.4E-2</v>
      </c>
      <c r="K34" s="386">
        <v>13.49</v>
      </c>
      <c r="L34" s="386">
        <v>3.0000000000000001E-3</v>
      </c>
      <c r="M34" s="386">
        <v>5.81</v>
      </c>
      <c r="N34" s="386">
        <v>1</v>
      </c>
      <c r="O34" s="386">
        <f t="shared" si="0"/>
        <v>1.4E-2</v>
      </c>
      <c r="P34" s="400">
        <f t="shared" si="1"/>
        <v>3.0000000000000001E-3</v>
      </c>
      <c r="Q34" s="400">
        <f t="shared" si="18"/>
        <v>1.4E-2</v>
      </c>
      <c r="R34" s="400">
        <f>P34</f>
        <v>3.0000000000000001E-3</v>
      </c>
      <c r="S34" s="378" t="s">
        <v>12</v>
      </c>
    </row>
    <row r="35" spans="1:19">
      <c r="A35" s="384">
        <v>45490</v>
      </c>
      <c r="B35" s="386">
        <v>22</v>
      </c>
      <c r="C35" s="386">
        <v>34</v>
      </c>
      <c r="D35" s="386">
        <v>14</v>
      </c>
      <c r="E35" s="386" t="s">
        <v>941</v>
      </c>
      <c r="F35" s="386">
        <v>0</v>
      </c>
      <c r="G35" s="388">
        <v>0</v>
      </c>
      <c r="H35" s="387">
        <v>0</v>
      </c>
      <c r="I35" s="388">
        <v>45490.582708333335</v>
      </c>
      <c r="J35" s="386">
        <v>6.0000000000000001E-3</v>
      </c>
      <c r="K35" s="386">
        <v>9.44</v>
      </c>
      <c r="L35" s="386">
        <v>-4.0000000000000001E-3</v>
      </c>
      <c r="M35" s="386">
        <v>2.8</v>
      </c>
      <c r="N35" s="386">
        <v>1</v>
      </c>
      <c r="O35" s="386">
        <f t="shared" si="0"/>
        <v>6.0000000000000001E-3</v>
      </c>
      <c r="P35" s="402">
        <f t="shared" si="1"/>
        <v>-4.0000000000000001E-3</v>
      </c>
      <c r="Q35" s="400">
        <f t="shared" si="18"/>
        <v>6.0000000000000001E-3</v>
      </c>
      <c r="R35" s="378" t="s">
        <v>967</v>
      </c>
      <c r="S35" s="378" t="s">
        <v>12</v>
      </c>
    </row>
    <row r="36" spans="1:19">
      <c r="A36" s="384">
        <v>45490</v>
      </c>
      <c r="B36" s="386">
        <v>230</v>
      </c>
      <c r="C36" s="386">
        <v>35</v>
      </c>
      <c r="D36" s="386">
        <v>15</v>
      </c>
      <c r="E36" s="386" t="s">
        <v>941</v>
      </c>
      <c r="F36" s="386">
        <v>0</v>
      </c>
      <c r="G36" s="388">
        <v>0</v>
      </c>
      <c r="H36" s="387">
        <v>0</v>
      </c>
      <c r="I36" s="388">
        <v>45490.583518518521</v>
      </c>
      <c r="J36" s="386">
        <v>1.0999999999999999E-2</v>
      </c>
      <c r="K36" s="386">
        <v>11.61</v>
      </c>
      <c r="L36" s="386">
        <v>-4.0000000000000001E-3</v>
      </c>
      <c r="M36" s="386">
        <v>2.95</v>
      </c>
      <c r="N36" s="386">
        <v>1</v>
      </c>
      <c r="O36" s="386">
        <f t="shared" si="0"/>
        <v>1.0999999999999999E-2</v>
      </c>
      <c r="P36" s="402">
        <f t="shared" si="1"/>
        <v>-4.0000000000000001E-3</v>
      </c>
      <c r="Q36" s="400">
        <f t="shared" si="18"/>
        <v>1.0999999999999999E-2</v>
      </c>
      <c r="R36" s="378" t="s">
        <v>967</v>
      </c>
      <c r="S36" s="378" t="s">
        <v>12</v>
      </c>
    </row>
    <row r="37" spans="1:19">
      <c r="A37" s="384">
        <v>45490</v>
      </c>
      <c r="B37" s="386">
        <v>48</v>
      </c>
      <c r="C37" s="386">
        <v>36</v>
      </c>
      <c r="D37" s="386">
        <v>16</v>
      </c>
      <c r="E37" s="386" t="s">
        <v>941</v>
      </c>
      <c r="F37" s="386">
        <v>0</v>
      </c>
      <c r="G37" s="388">
        <v>0</v>
      </c>
      <c r="H37" s="387">
        <v>0</v>
      </c>
      <c r="I37" s="388">
        <v>45490.584328703706</v>
      </c>
      <c r="J37" s="386">
        <v>2.5000000000000001E-2</v>
      </c>
      <c r="K37" s="386">
        <v>18.84</v>
      </c>
      <c r="L37" s="386">
        <v>-4.0000000000000001E-3</v>
      </c>
      <c r="M37" s="386">
        <v>2.75</v>
      </c>
      <c r="N37" s="386">
        <v>1</v>
      </c>
      <c r="O37" s="386">
        <f t="shared" si="0"/>
        <v>2.5000000000000001E-2</v>
      </c>
      <c r="P37" s="402">
        <f t="shared" si="1"/>
        <v>-4.0000000000000001E-3</v>
      </c>
      <c r="Q37" s="400">
        <f t="shared" si="18"/>
        <v>2.5000000000000001E-2</v>
      </c>
      <c r="R37" s="378" t="s">
        <v>967</v>
      </c>
      <c r="S37" s="378" t="s">
        <v>12</v>
      </c>
    </row>
    <row r="38" spans="1:19">
      <c r="A38" s="384">
        <v>45490</v>
      </c>
      <c r="B38" s="386">
        <v>308</v>
      </c>
      <c r="C38" s="386">
        <v>37</v>
      </c>
      <c r="D38" s="386">
        <v>17</v>
      </c>
      <c r="E38" s="386" t="s">
        <v>941</v>
      </c>
      <c r="F38" s="386">
        <v>0</v>
      </c>
      <c r="G38" s="388">
        <v>0</v>
      </c>
      <c r="H38" s="387">
        <v>0</v>
      </c>
      <c r="I38" s="388">
        <v>45490.585138888891</v>
      </c>
      <c r="J38" s="386">
        <v>1.6E-2</v>
      </c>
      <c r="K38" s="386">
        <v>14.18</v>
      </c>
      <c r="L38" s="386">
        <v>-4.0000000000000001E-3</v>
      </c>
      <c r="M38" s="386">
        <v>3</v>
      </c>
      <c r="N38" s="386">
        <v>1</v>
      </c>
      <c r="O38" s="386">
        <f t="shared" si="0"/>
        <v>1.6E-2</v>
      </c>
      <c r="P38" s="402">
        <f t="shared" si="1"/>
        <v>-4.0000000000000001E-3</v>
      </c>
      <c r="Q38" s="400">
        <f t="shared" si="18"/>
        <v>1.6E-2</v>
      </c>
      <c r="R38" s="378" t="s">
        <v>967</v>
      </c>
      <c r="S38" s="378" t="s">
        <v>12</v>
      </c>
    </row>
    <row r="39" spans="1:19">
      <c r="A39" s="384">
        <v>45490</v>
      </c>
      <c r="B39" s="386">
        <v>191</v>
      </c>
      <c r="C39" s="386">
        <v>38</v>
      </c>
      <c r="D39" s="386">
        <v>18</v>
      </c>
      <c r="E39" s="386" t="s">
        <v>941</v>
      </c>
      <c r="F39" s="386">
        <v>0</v>
      </c>
      <c r="G39" s="388">
        <v>0</v>
      </c>
      <c r="H39" s="387">
        <v>0</v>
      </c>
      <c r="I39" s="388">
        <v>45490.585949074077</v>
      </c>
      <c r="J39" s="386">
        <v>1.0999999999999999E-2</v>
      </c>
      <c r="K39" s="386">
        <v>11.87</v>
      </c>
      <c r="L39" s="386">
        <v>-4.0000000000000001E-3</v>
      </c>
      <c r="M39" s="386">
        <v>2.7</v>
      </c>
      <c r="N39" s="386">
        <v>1</v>
      </c>
      <c r="O39" s="386">
        <f t="shared" si="0"/>
        <v>1.0999999999999999E-2</v>
      </c>
      <c r="P39" s="402">
        <f t="shared" si="1"/>
        <v>-4.0000000000000001E-3</v>
      </c>
      <c r="Q39" s="400">
        <f t="shared" si="18"/>
        <v>1.0999999999999999E-2</v>
      </c>
      <c r="R39" s="378" t="s">
        <v>967</v>
      </c>
      <c r="S39" s="378" t="s">
        <v>12</v>
      </c>
    </row>
    <row r="40" spans="1:19">
      <c r="A40" s="384">
        <v>45490</v>
      </c>
      <c r="B40" s="386">
        <v>295</v>
      </c>
      <c r="C40" s="386">
        <v>39</v>
      </c>
      <c r="D40" s="386">
        <v>19</v>
      </c>
      <c r="E40" s="386" t="s">
        <v>941</v>
      </c>
      <c r="F40" s="386">
        <v>0</v>
      </c>
      <c r="G40" s="388">
        <v>0</v>
      </c>
      <c r="H40" s="387">
        <v>0</v>
      </c>
      <c r="I40" s="388">
        <v>45490.586759259262</v>
      </c>
      <c r="J40" s="386">
        <v>1.0999999999999999E-2</v>
      </c>
      <c r="K40" s="386">
        <v>12.11</v>
      </c>
      <c r="L40" s="386">
        <v>-3.0000000000000001E-3</v>
      </c>
      <c r="M40" s="386">
        <v>3.19</v>
      </c>
      <c r="N40" s="386">
        <v>1</v>
      </c>
      <c r="O40" s="386">
        <f t="shared" si="0"/>
        <v>1.0999999999999999E-2</v>
      </c>
      <c r="P40" s="402">
        <f t="shared" si="1"/>
        <v>-3.0000000000000001E-3</v>
      </c>
      <c r="Q40" s="400">
        <f t="shared" si="18"/>
        <v>1.0999999999999999E-2</v>
      </c>
      <c r="R40" s="378" t="s">
        <v>967</v>
      </c>
      <c r="S40" s="378" t="s">
        <v>12</v>
      </c>
    </row>
    <row r="41" spans="1:19">
      <c r="A41" s="384">
        <v>45490</v>
      </c>
      <c r="B41" s="386">
        <v>282</v>
      </c>
      <c r="C41" s="386">
        <v>40</v>
      </c>
      <c r="D41" s="386">
        <v>20</v>
      </c>
      <c r="E41" s="386" t="s">
        <v>941</v>
      </c>
      <c r="F41" s="386">
        <v>0</v>
      </c>
      <c r="G41" s="388">
        <v>0</v>
      </c>
      <c r="H41" s="387">
        <v>0</v>
      </c>
      <c r="I41" s="388">
        <v>45490.587569444448</v>
      </c>
      <c r="J41" s="386">
        <v>1.2E-2</v>
      </c>
      <c r="K41" s="386">
        <v>12.17</v>
      </c>
      <c r="L41" s="386">
        <v>-3.0000000000000001E-3</v>
      </c>
      <c r="M41" s="386">
        <v>3.31</v>
      </c>
      <c r="N41" s="386">
        <v>1</v>
      </c>
      <c r="O41" s="386">
        <f t="shared" si="0"/>
        <v>1.2E-2</v>
      </c>
      <c r="P41" s="402">
        <f t="shared" si="1"/>
        <v>-3.0000000000000001E-3</v>
      </c>
      <c r="Q41" s="400">
        <f t="shared" si="18"/>
        <v>1.2E-2</v>
      </c>
      <c r="R41" s="378" t="s">
        <v>967</v>
      </c>
      <c r="S41" s="378" t="s">
        <v>12</v>
      </c>
    </row>
    <row r="42" spans="1:19">
      <c r="A42" s="384">
        <v>45490</v>
      </c>
      <c r="B42" s="386">
        <v>178</v>
      </c>
      <c r="C42" s="386">
        <v>41</v>
      </c>
      <c r="D42" s="386">
        <v>21</v>
      </c>
      <c r="E42" s="386" t="s">
        <v>941</v>
      </c>
      <c r="F42" s="386">
        <v>0</v>
      </c>
      <c r="G42" s="388">
        <v>0</v>
      </c>
      <c r="H42" s="387">
        <v>0</v>
      </c>
      <c r="I42" s="388">
        <v>45490.588379629633</v>
      </c>
      <c r="J42" s="386">
        <v>0.01</v>
      </c>
      <c r="K42" s="386">
        <v>11.12</v>
      </c>
      <c r="L42" s="386">
        <v>-4.0000000000000001E-3</v>
      </c>
      <c r="M42" s="386">
        <v>2.88</v>
      </c>
      <c r="N42" s="386">
        <v>1</v>
      </c>
      <c r="O42" s="386">
        <f t="shared" si="0"/>
        <v>0.01</v>
      </c>
      <c r="P42" s="402">
        <f t="shared" si="1"/>
        <v>-4.0000000000000001E-3</v>
      </c>
      <c r="Q42" s="400">
        <f t="shared" si="18"/>
        <v>0.01</v>
      </c>
      <c r="R42" s="378" t="s">
        <v>967</v>
      </c>
      <c r="S42" s="378" t="s">
        <v>12</v>
      </c>
    </row>
    <row r="43" spans="1:19">
      <c r="A43" s="384">
        <v>45490</v>
      </c>
      <c r="B43" s="386" t="s">
        <v>971</v>
      </c>
      <c r="C43" s="386">
        <v>42</v>
      </c>
      <c r="D43" s="386">
        <v>22</v>
      </c>
      <c r="E43" s="386" t="s">
        <v>943</v>
      </c>
      <c r="F43" s="386">
        <v>0</v>
      </c>
      <c r="G43" s="388">
        <v>0</v>
      </c>
      <c r="H43" s="387">
        <v>1</v>
      </c>
      <c r="I43" s="388">
        <v>45490.589189814818</v>
      </c>
      <c r="J43" s="386">
        <v>0.152</v>
      </c>
      <c r="K43" s="386">
        <v>84.27</v>
      </c>
      <c r="L43" s="386">
        <v>0.14099999999999999</v>
      </c>
      <c r="M43" s="386">
        <v>62.03</v>
      </c>
      <c r="N43" s="386">
        <v>1</v>
      </c>
      <c r="O43" s="386">
        <f t="shared" si="0"/>
        <v>0.152</v>
      </c>
      <c r="P43" s="400">
        <f t="shared" si="1"/>
        <v>0.14099999999999999</v>
      </c>
      <c r="Q43" s="400">
        <f t="shared" si="18"/>
        <v>0.152</v>
      </c>
      <c r="R43" s="400">
        <f t="shared" ref="R43:R45" si="19">P43</f>
        <v>0.14099999999999999</v>
      </c>
      <c r="S43" s="378" t="s">
        <v>12</v>
      </c>
    </row>
    <row r="44" spans="1:19">
      <c r="A44" s="384">
        <v>45490</v>
      </c>
      <c r="B44" s="386" t="s">
        <v>968</v>
      </c>
      <c r="C44" s="386">
        <v>43</v>
      </c>
      <c r="D44" s="386">
        <v>908</v>
      </c>
      <c r="E44" s="386" t="s">
        <v>945</v>
      </c>
      <c r="F44" s="386">
        <v>0</v>
      </c>
      <c r="G44" s="388">
        <v>0</v>
      </c>
      <c r="H44" s="387">
        <v>0</v>
      </c>
      <c r="I44" s="388">
        <v>45490.59</v>
      </c>
      <c r="J44" s="386">
        <v>0.153</v>
      </c>
      <c r="K44" s="386">
        <v>84.53</v>
      </c>
      <c r="L44" s="386">
        <v>2.7E-2</v>
      </c>
      <c r="M44" s="386">
        <v>15.41</v>
      </c>
      <c r="N44" s="386">
        <v>1</v>
      </c>
      <c r="O44" s="386">
        <f t="shared" si="0"/>
        <v>0.153</v>
      </c>
      <c r="P44" s="400">
        <f t="shared" si="1"/>
        <v>2.7E-2</v>
      </c>
      <c r="Q44" s="400">
        <f t="shared" si="18"/>
        <v>0.153</v>
      </c>
      <c r="R44" s="400">
        <f t="shared" si="19"/>
        <v>2.7E-2</v>
      </c>
      <c r="S44" s="378" t="s">
        <v>12</v>
      </c>
    </row>
    <row r="45" spans="1:19">
      <c r="A45" s="384">
        <v>45490</v>
      </c>
      <c r="B45" s="386" t="s">
        <v>969</v>
      </c>
      <c r="C45" s="386">
        <v>44</v>
      </c>
      <c r="D45" s="386">
        <v>909</v>
      </c>
      <c r="E45" s="386" t="s">
        <v>945</v>
      </c>
      <c r="F45" s="386">
        <v>0</v>
      </c>
      <c r="G45" s="388">
        <v>0</v>
      </c>
      <c r="H45" s="387">
        <v>0</v>
      </c>
      <c r="I45" s="388">
        <v>45490.590810185182</v>
      </c>
      <c r="J45" s="386">
        <v>0.14099999999999999</v>
      </c>
      <c r="K45" s="386">
        <v>78.400000000000006</v>
      </c>
      <c r="L45" s="386">
        <v>2.7E-2</v>
      </c>
      <c r="M45" s="386">
        <v>15.44</v>
      </c>
      <c r="N45" s="386">
        <v>1</v>
      </c>
      <c r="O45" s="386">
        <f t="shared" si="0"/>
        <v>0.14099999999999999</v>
      </c>
      <c r="P45" s="400">
        <f t="shared" si="1"/>
        <v>2.7E-2</v>
      </c>
      <c r="Q45" s="400">
        <f t="shared" si="18"/>
        <v>0.14099999999999999</v>
      </c>
      <c r="R45" s="400">
        <f t="shared" si="19"/>
        <v>2.7E-2</v>
      </c>
      <c r="S45" s="378" t="s">
        <v>12</v>
      </c>
    </row>
    <row r="46" spans="1:19">
      <c r="A46" s="384">
        <v>45490</v>
      </c>
      <c r="B46" s="386" t="s">
        <v>935</v>
      </c>
      <c r="C46" s="386">
        <v>45</v>
      </c>
      <c r="D46" s="386">
        <v>0</v>
      </c>
      <c r="E46" s="386" t="s">
        <v>936</v>
      </c>
      <c r="F46" s="386">
        <v>0</v>
      </c>
      <c r="G46" s="388">
        <v>0</v>
      </c>
      <c r="H46" s="387">
        <v>0</v>
      </c>
      <c r="I46" s="388">
        <v>45490.591620370367</v>
      </c>
      <c r="J46" s="386">
        <v>-1.2E-2</v>
      </c>
      <c r="K46" s="386">
        <v>0</v>
      </c>
      <c r="L46" s="386">
        <v>-1.0999999999999999E-2</v>
      </c>
      <c r="M46" s="386">
        <v>0</v>
      </c>
      <c r="N46" s="386">
        <v>1</v>
      </c>
      <c r="O46" s="401">
        <f t="shared" si="0"/>
        <v>-1.2E-2</v>
      </c>
      <c r="P46" s="402">
        <f t="shared" si="1"/>
        <v>-1.0999999999999999E-2</v>
      </c>
      <c r="Q46" s="400" t="s">
        <v>967</v>
      </c>
      <c r="R46" s="378" t="s">
        <v>967</v>
      </c>
      <c r="S46" s="378" t="s">
        <v>12</v>
      </c>
    </row>
    <row r="47" spans="1:19">
      <c r="A47" s="384">
        <v>45490</v>
      </c>
      <c r="B47" s="386">
        <v>74</v>
      </c>
      <c r="C47" s="386">
        <v>46</v>
      </c>
      <c r="D47" s="386">
        <v>23</v>
      </c>
      <c r="E47" s="386" t="s">
        <v>941</v>
      </c>
      <c r="F47" s="386">
        <v>0</v>
      </c>
      <c r="G47" s="388">
        <v>0</v>
      </c>
      <c r="H47" s="387">
        <v>0</v>
      </c>
      <c r="I47" s="388">
        <v>45490.594050925924</v>
      </c>
      <c r="J47" s="386">
        <v>8.9999999999999993E-3</v>
      </c>
      <c r="K47" s="386">
        <v>10.66</v>
      </c>
      <c r="L47" s="386">
        <v>2E-3</v>
      </c>
      <c r="M47" s="386">
        <v>5.22</v>
      </c>
      <c r="N47" s="386">
        <v>1</v>
      </c>
      <c r="O47" s="386">
        <f t="shared" si="0"/>
        <v>8.9999999999999993E-3</v>
      </c>
      <c r="P47" s="400">
        <f t="shared" si="1"/>
        <v>2E-3</v>
      </c>
      <c r="Q47" s="400">
        <f t="shared" ref="Q47:R47" si="20">O47</f>
        <v>8.9999999999999993E-3</v>
      </c>
      <c r="R47" s="400">
        <f t="shared" si="20"/>
        <v>2E-3</v>
      </c>
      <c r="S47" s="378" t="s">
        <v>12</v>
      </c>
    </row>
    <row r="48" spans="1:19">
      <c r="A48" s="384">
        <v>45490</v>
      </c>
      <c r="B48" s="386">
        <v>113</v>
      </c>
      <c r="C48" s="386">
        <v>47</v>
      </c>
      <c r="D48" s="386">
        <v>24</v>
      </c>
      <c r="E48" s="386" t="s">
        <v>941</v>
      </c>
      <c r="F48" s="386">
        <v>0</v>
      </c>
      <c r="G48" s="388">
        <v>0</v>
      </c>
      <c r="H48" s="387">
        <v>0</v>
      </c>
      <c r="I48" s="388">
        <v>45490.594861111109</v>
      </c>
      <c r="J48" s="386">
        <v>1.2999999999999999E-2</v>
      </c>
      <c r="K48" s="386">
        <v>12.65</v>
      </c>
      <c r="L48" s="386">
        <v>-4.0000000000000001E-3</v>
      </c>
      <c r="M48" s="386">
        <v>2.77</v>
      </c>
      <c r="N48" s="386">
        <v>1</v>
      </c>
      <c r="O48" s="386">
        <f t="shared" si="0"/>
        <v>1.2999999999999999E-2</v>
      </c>
      <c r="P48" s="402">
        <f t="shared" si="1"/>
        <v>-4.0000000000000001E-3</v>
      </c>
      <c r="Q48" s="400">
        <f t="shared" ref="Q48:Q55" si="21">O48</f>
        <v>1.2999999999999999E-2</v>
      </c>
      <c r="R48" s="378" t="s">
        <v>967</v>
      </c>
      <c r="S48" s="378" t="s">
        <v>12</v>
      </c>
    </row>
    <row r="49" spans="1:19">
      <c r="A49" s="384">
        <v>45490</v>
      </c>
      <c r="B49" s="386">
        <v>126</v>
      </c>
      <c r="C49" s="386">
        <v>48</v>
      </c>
      <c r="D49" s="386">
        <v>25</v>
      </c>
      <c r="E49" s="386" t="s">
        <v>941</v>
      </c>
      <c r="F49" s="386">
        <v>0</v>
      </c>
      <c r="G49" s="388">
        <v>0</v>
      </c>
      <c r="H49" s="387">
        <v>0</v>
      </c>
      <c r="I49" s="388">
        <v>45490.595671296294</v>
      </c>
      <c r="J49" s="386">
        <v>1.4999999999999999E-2</v>
      </c>
      <c r="K49" s="386">
        <v>13.94</v>
      </c>
      <c r="L49" s="386">
        <v>-5.0000000000000001E-3</v>
      </c>
      <c r="M49" s="386">
        <v>2.5099999999999998</v>
      </c>
      <c r="N49" s="386">
        <v>1</v>
      </c>
      <c r="O49" s="386">
        <f t="shared" si="0"/>
        <v>1.4999999999999999E-2</v>
      </c>
      <c r="P49" s="402">
        <f t="shared" si="1"/>
        <v>-5.0000000000000001E-3</v>
      </c>
      <c r="Q49" s="400">
        <f t="shared" si="21"/>
        <v>1.4999999999999999E-2</v>
      </c>
      <c r="R49" s="378" t="s">
        <v>967</v>
      </c>
      <c r="S49" s="378" t="s">
        <v>12</v>
      </c>
    </row>
    <row r="50" spans="1:19">
      <c r="A50" s="384">
        <v>45490</v>
      </c>
      <c r="B50" s="386">
        <v>321</v>
      </c>
      <c r="C50" s="386">
        <v>49</v>
      </c>
      <c r="D50" s="386">
        <v>26</v>
      </c>
      <c r="E50" s="386" t="s">
        <v>941</v>
      </c>
      <c r="F50" s="386">
        <v>0</v>
      </c>
      <c r="G50" s="388">
        <v>0</v>
      </c>
      <c r="H50" s="387">
        <v>0</v>
      </c>
      <c r="I50" s="388">
        <v>45490.59648148148</v>
      </c>
      <c r="J50" s="386">
        <v>1.6E-2</v>
      </c>
      <c r="K50" s="386">
        <v>14.63</v>
      </c>
      <c r="L50" s="386">
        <v>-4.0000000000000001E-3</v>
      </c>
      <c r="M50" s="386">
        <v>2.72</v>
      </c>
      <c r="N50" s="386">
        <v>1</v>
      </c>
      <c r="O50" s="386">
        <f t="shared" si="0"/>
        <v>1.6E-2</v>
      </c>
      <c r="P50" s="402">
        <f t="shared" si="1"/>
        <v>-4.0000000000000001E-3</v>
      </c>
      <c r="Q50" s="400">
        <f t="shared" si="21"/>
        <v>1.6E-2</v>
      </c>
      <c r="R50" s="378" t="s">
        <v>967</v>
      </c>
      <c r="S50" s="378" t="s">
        <v>12</v>
      </c>
    </row>
    <row r="51" spans="1:19">
      <c r="A51" s="384">
        <v>45490</v>
      </c>
      <c r="B51" s="386">
        <v>217</v>
      </c>
      <c r="C51" s="386">
        <v>50</v>
      </c>
      <c r="D51" s="386">
        <v>27</v>
      </c>
      <c r="E51" s="386" t="s">
        <v>941</v>
      </c>
      <c r="F51" s="386">
        <v>0</v>
      </c>
      <c r="G51" s="388">
        <v>0</v>
      </c>
      <c r="H51" s="387">
        <v>0</v>
      </c>
      <c r="I51" s="388">
        <v>45490.597291666665</v>
      </c>
      <c r="J51" s="386">
        <v>2.5999999999999999E-2</v>
      </c>
      <c r="K51" s="386">
        <v>19.54</v>
      </c>
      <c r="L51" s="386">
        <v>-5.0000000000000001E-3</v>
      </c>
      <c r="M51" s="386">
        <v>2.61</v>
      </c>
      <c r="N51" s="386">
        <v>1</v>
      </c>
      <c r="O51" s="386">
        <f t="shared" si="0"/>
        <v>2.5999999999999999E-2</v>
      </c>
      <c r="P51" s="402">
        <f t="shared" si="1"/>
        <v>-5.0000000000000001E-3</v>
      </c>
      <c r="Q51" s="400">
        <f t="shared" si="21"/>
        <v>2.5999999999999999E-2</v>
      </c>
      <c r="R51" s="378" t="s">
        <v>967</v>
      </c>
      <c r="S51" s="378" t="s">
        <v>12</v>
      </c>
    </row>
    <row r="52" spans="1:19">
      <c r="A52" s="384">
        <v>45490</v>
      </c>
      <c r="B52" s="386">
        <v>256</v>
      </c>
      <c r="C52" s="386">
        <v>51</v>
      </c>
      <c r="D52" s="386">
        <v>28</v>
      </c>
      <c r="E52" s="386" t="s">
        <v>941</v>
      </c>
      <c r="F52" s="386">
        <v>0</v>
      </c>
      <c r="G52" s="388">
        <v>0</v>
      </c>
      <c r="H52" s="387">
        <v>0</v>
      </c>
      <c r="I52" s="388">
        <v>45490.598101851851</v>
      </c>
      <c r="J52" s="386">
        <v>0.02</v>
      </c>
      <c r="K52" s="386">
        <v>16.48</v>
      </c>
      <c r="L52" s="386">
        <v>-5.0000000000000001E-3</v>
      </c>
      <c r="M52" s="386">
        <v>2.44</v>
      </c>
      <c r="N52" s="386">
        <v>1</v>
      </c>
      <c r="O52" s="386">
        <f t="shared" si="0"/>
        <v>0.02</v>
      </c>
      <c r="P52" s="402">
        <f t="shared" si="1"/>
        <v>-5.0000000000000001E-3</v>
      </c>
      <c r="Q52" s="400">
        <f t="shared" si="21"/>
        <v>0.02</v>
      </c>
      <c r="R52" s="378" t="s">
        <v>967</v>
      </c>
      <c r="S52" s="378" t="s">
        <v>12</v>
      </c>
    </row>
    <row r="53" spans="1:19">
      <c r="A53" s="384">
        <v>45490</v>
      </c>
      <c r="B53" s="386" t="s">
        <v>972</v>
      </c>
      <c r="C53" s="386">
        <v>52</v>
      </c>
      <c r="D53" s="386">
        <v>29</v>
      </c>
      <c r="E53" s="386" t="s">
        <v>943</v>
      </c>
      <c r="F53" s="386">
        <v>0</v>
      </c>
      <c r="G53" s="388">
        <v>0</v>
      </c>
      <c r="H53" s="387">
        <v>1</v>
      </c>
      <c r="I53" s="388">
        <v>45490.598912037036</v>
      </c>
      <c r="J53" s="386">
        <v>0.14799999999999999</v>
      </c>
      <c r="K53" s="386">
        <v>82.28</v>
      </c>
      <c r="L53" s="386">
        <v>0.13800000000000001</v>
      </c>
      <c r="M53" s="386">
        <v>60.86</v>
      </c>
      <c r="N53" s="386">
        <v>1</v>
      </c>
      <c r="O53" s="386">
        <f t="shared" si="0"/>
        <v>0.14799999999999999</v>
      </c>
      <c r="P53" s="400">
        <f t="shared" si="1"/>
        <v>0.13800000000000001</v>
      </c>
      <c r="Q53" s="400">
        <f t="shared" si="21"/>
        <v>0.14799999999999999</v>
      </c>
      <c r="R53" s="400">
        <f t="shared" ref="R53:R55" si="22">P53</f>
        <v>0.13800000000000001</v>
      </c>
      <c r="S53" s="378" t="s">
        <v>12</v>
      </c>
    </row>
    <row r="54" spans="1:19">
      <c r="A54" s="384">
        <v>45490</v>
      </c>
      <c r="B54" s="386" t="s">
        <v>968</v>
      </c>
      <c r="C54" s="386">
        <v>53</v>
      </c>
      <c r="D54" s="386">
        <v>908</v>
      </c>
      <c r="E54" s="386" t="s">
        <v>945</v>
      </c>
      <c r="F54" s="386">
        <v>0</v>
      </c>
      <c r="G54" s="388">
        <v>0</v>
      </c>
      <c r="H54" s="387">
        <v>0</v>
      </c>
      <c r="I54" s="388">
        <v>45490.599722222221</v>
      </c>
      <c r="J54" s="386">
        <v>0.16700000000000001</v>
      </c>
      <c r="K54" s="386">
        <v>92.09</v>
      </c>
      <c r="L54" s="386">
        <v>2.5999999999999999E-2</v>
      </c>
      <c r="M54" s="386">
        <v>15.22</v>
      </c>
      <c r="N54" s="386">
        <v>1</v>
      </c>
      <c r="O54" s="386">
        <f t="shared" si="0"/>
        <v>0.16700000000000001</v>
      </c>
      <c r="P54" s="400">
        <f t="shared" si="1"/>
        <v>2.5999999999999999E-2</v>
      </c>
      <c r="Q54" s="400">
        <f t="shared" si="21"/>
        <v>0.16700000000000001</v>
      </c>
      <c r="R54" s="400">
        <f t="shared" si="22"/>
        <v>2.5999999999999999E-2</v>
      </c>
      <c r="S54" s="378" t="s">
        <v>12</v>
      </c>
    </row>
    <row r="55" spans="1:19">
      <c r="A55" s="384">
        <v>45490</v>
      </c>
      <c r="B55" s="386" t="s">
        <v>969</v>
      </c>
      <c r="C55" s="386">
        <v>54</v>
      </c>
      <c r="D55" s="386">
        <v>909</v>
      </c>
      <c r="E55" s="386" t="s">
        <v>945</v>
      </c>
      <c r="F55" s="386">
        <v>0</v>
      </c>
      <c r="G55" s="388">
        <v>0</v>
      </c>
      <c r="H55" s="387">
        <v>0</v>
      </c>
      <c r="I55" s="388">
        <v>45490.600532407407</v>
      </c>
      <c r="J55" s="386">
        <v>0.16300000000000001</v>
      </c>
      <c r="K55" s="386">
        <v>89.78</v>
      </c>
      <c r="L55" s="386">
        <v>2.5999999999999999E-2</v>
      </c>
      <c r="M55" s="386">
        <v>15.27</v>
      </c>
      <c r="N55" s="386">
        <v>1</v>
      </c>
      <c r="O55" s="386">
        <f t="shared" si="0"/>
        <v>0.16300000000000001</v>
      </c>
      <c r="P55" s="400">
        <f t="shared" si="1"/>
        <v>2.5999999999999999E-2</v>
      </c>
      <c r="Q55" s="400">
        <f t="shared" si="21"/>
        <v>0.16300000000000001</v>
      </c>
      <c r="R55" s="400">
        <f t="shared" si="22"/>
        <v>2.5999999999999999E-2</v>
      </c>
      <c r="S55" s="378" t="s">
        <v>12</v>
      </c>
    </row>
    <row r="56" spans="1:19">
      <c r="A56" s="384">
        <v>45490</v>
      </c>
      <c r="B56" s="386" t="s">
        <v>935</v>
      </c>
      <c r="C56" s="386">
        <v>55</v>
      </c>
      <c r="D56" s="386">
        <v>0</v>
      </c>
      <c r="E56" s="386" t="s">
        <v>936</v>
      </c>
      <c r="F56" s="386">
        <v>0</v>
      </c>
      <c r="G56" s="388">
        <v>0</v>
      </c>
      <c r="H56" s="387">
        <v>0</v>
      </c>
      <c r="I56" s="388">
        <v>45490.601342592592</v>
      </c>
      <c r="J56" s="386">
        <v>-1.2E-2</v>
      </c>
      <c r="K56" s="386">
        <v>0</v>
      </c>
      <c r="L56" s="386">
        <v>-1.0999999999999999E-2</v>
      </c>
      <c r="M56" s="386">
        <v>0</v>
      </c>
      <c r="N56" s="386">
        <v>1</v>
      </c>
      <c r="O56" s="401">
        <f t="shared" si="0"/>
        <v>-1.2E-2</v>
      </c>
      <c r="P56" s="402">
        <f t="shared" si="1"/>
        <v>-1.0999999999999999E-2</v>
      </c>
      <c r="Q56" s="400" t="s">
        <v>967</v>
      </c>
      <c r="R56" s="378" t="s">
        <v>967</v>
      </c>
      <c r="S56" s="378" t="s">
        <v>12</v>
      </c>
    </row>
    <row r="57" spans="1:19">
      <c r="A57" s="384">
        <v>45490</v>
      </c>
      <c r="B57" s="386" t="s">
        <v>79</v>
      </c>
      <c r="C57" s="386">
        <v>56</v>
      </c>
      <c r="D57" s="386">
        <v>906</v>
      </c>
      <c r="E57" s="386" t="s">
        <v>941</v>
      </c>
      <c r="F57" s="386">
        <v>0</v>
      </c>
      <c r="G57" s="388">
        <v>0</v>
      </c>
      <c r="H57" s="387">
        <v>0</v>
      </c>
      <c r="I57" s="388">
        <v>45490.603773148148</v>
      </c>
      <c r="J57" s="386">
        <v>-6.0000000000000001E-3</v>
      </c>
      <c r="K57" s="386">
        <v>3.2</v>
      </c>
      <c r="L57" s="386">
        <v>-1E-3</v>
      </c>
      <c r="M57" s="386">
        <v>4.0199999999999996</v>
      </c>
      <c r="N57" s="386">
        <v>1</v>
      </c>
      <c r="O57" s="401">
        <f t="shared" si="0"/>
        <v>-6.0000000000000001E-3</v>
      </c>
      <c r="P57" s="402">
        <f t="shared" si="1"/>
        <v>-1E-3</v>
      </c>
      <c r="Q57" s="400" t="s">
        <v>967</v>
      </c>
      <c r="R57" s="378" t="s">
        <v>967</v>
      </c>
      <c r="S57" s="378" t="s">
        <v>12</v>
      </c>
    </row>
    <row r="58" spans="1:19">
      <c r="A58" s="384">
        <v>45490</v>
      </c>
      <c r="B58" s="386" t="s">
        <v>79</v>
      </c>
      <c r="C58" s="386">
        <v>57</v>
      </c>
      <c r="D58" s="386">
        <v>906</v>
      </c>
      <c r="E58" s="386" t="s">
        <v>941</v>
      </c>
      <c r="F58" s="386">
        <v>0</v>
      </c>
      <c r="G58" s="388">
        <v>0</v>
      </c>
      <c r="H58" s="387">
        <v>0</v>
      </c>
      <c r="I58" s="388">
        <v>45490.604583333334</v>
      </c>
      <c r="J58" s="386">
        <v>-5.0000000000000001E-3</v>
      </c>
      <c r="K58" s="386">
        <v>3.59</v>
      </c>
      <c r="L58" s="386">
        <v>0</v>
      </c>
      <c r="M58" s="386">
        <v>4.33</v>
      </c>
      <c r="N58" s="386">
        <v>1</v>
      </c>
      <c r="O58" s="401">
        <f t="shared" si="0"/>
        <v>-5.0000000000000001E-3</v>
      </c>
      <c r="P58" s="402">
        <f t="shared" si="1"/>
        <v>0</v>
      </c>
      <c r="Q58" s="400" t="s">
        <v>967</v>
      </c>
      <c r="R58" s="378" t="s">
        <v>967</v>
      </c>
      <c r="S58" s="378" t="s">
        <v>12</v>
      </c>
    </row>
    <row r="59" spans="1:19">
      <c r="A59" s="384">
        <v>45490</v>
      </c>
      <c r="B59" s="386" t="s">
        <v>79</v>
      </c>
      <c r="C59" s="386">
        <v>58</v>
      </c>
      <c r="D59" s="386">
        <v>906</v>
      </c>
      <c r="E59" s="386" t="s">
        <v>941</v>
      </c>
      <c r="F59" s="386">
        <v>0</v>
      </c>
      <c r="G59" s="388">
        <v>0</v>
      </c>
      <c r="H59" s="387">
        <v>0</v>
      </c>
      <c r="I59" s="388">
        <v>45490.605393518519</v>
      </c>
      <c r="J59" s="386">
        <v>-5.0000000000000001E-3</v>
      </c>
      <c r="K59" s="386">
        <v>3.58</v>
      </c>
      <c r="L59" s="386">
        <v>-2E-3</v>
      </c>
      <c r="M59" s="386">
        <v>3.89</v>
      </c>
      <c r="N59" s="386">
        <v>1</v>
      </c>
      <c r="O59" s="401">
        <f t="shared" si="0"/>
        <v>-5.0000000000000001E-3</v>
      </c>
      <c r="P59" s="402">
        <f t="shared" si="1"/>
        <v>-2E-3</v>
      </c>
      <c r="Q59" s="400" t="s">
        <v>967</v>
      </c>
      <c r="R59" s="378" t="s">
        <v>967</v>
      </c>
      <c r="S59" s="378" t="s">
        <v>12</v>
      </c>
    </row>
    <row r="60" spans="1:19">
      <c r="A60" s="384">
        <v>45490</v>
      </c>
      <c r="B60" s="386" t="s">
        <v>79</v>
      </c>
      <c r="C60" s="386">
        <v>59</v>
      </c>
      <c r="D60" s="386">
        <v>906</v>
      </c>
      <c r="E60" s="386" t="s">
        <v>941</v>
      </c>
      <c r="F60" s="386">
        <v>0</v>
      </c>
      <c r="G60" s="388">
        <v>0</v>
      </c>
      <c r="H60" s="387">
        <v>0</v>
      </c>
      <c r="I60" s="388">
        <v>45490.606203703705</v>
      </c>
      <c r="J60" s="386">
        <v>-5.0000000000000001E-3</v>
      </c>
      <c r="K60" s="386">
        <v>3.64</v>
      </c>
      <c r="L60" s="386">
        <v>-1E-3</v>
      </c>
      <c r="M60" s="386">
        <v>4.01</v>
      </c>
      <c r="N60" s="386">
        <v>1</v>
      </c>
      <c r="O60" s="401">
        <f t="shared" si="0"/>
        <v>-5.0000000000000001E-3</v>
      </c>
      <c r="P60" s="402">
        <f t="shared" si="1"/>
        <v>-1E-3</v>
      </c>
      <c r="Q60" s="400" t="s">
        <v>967</v>
      </c>
      <c r="R60" s="378" t="s">
        <v>967</v>
      </c>
      <c r="S60" s="378" t="s">
        <v>12</v>
      </c>
    </row>
    <row r="61" spans="1:19">
      <c r="A61" s="384">
        <v>45490</v>
      </c>
      <c r="B61" s="386" t="s">
        <v>79</v>
      </c>
      <c r="C61" s="386">
        <v>60</v>
      </c>
      <c r="D61" s="386">
        <v>906</v>
      </c>
      <c r="E61" s="386" t="s">
        <v>941</v>
      </c>
      <c r="F61" s="386">
        <v>0</v>
      </c>
      <c r="G61" s="388">
        <v>0</v>
      </c>
      <c r="H61" s="387">
        <v>0</v>
      </c>
      <c r="I61" s="388">
        <v>45490.60701388889</v>
      </c>
      <c r="J61" s="386">
        <v>-5.0000000000000001E-3</v>
      </c>
      <c r="K61" s="386">
        <v>3.7</v>
      </c>
      <c r="L61" s="386">
        <v>-2E-3</v>
      </c>
      <c r="M61" s="386">
        <v>3.91</v>
      </c>
      <c r="N61" s="386">
        <v>1</v>
      </c>
      <c r="O61" s="401">
        <f t="shared" si="0"/>
        <v>-5.0000000000000001E-3</v>
      </c>
      <c r="P61" s="402">
        <f t="shared" si="1"/>
        <v>-2E-3</v>
      </c>
      <c r="Q61" s="400" t="s">
        <v>967</v>
      </c>
      <c r="R61" s="378" t="s">
        <v>967</v>
      </c>
      <c r="S61" s="378" t="s">
        <v>12</v>
      </c>
    </row>
    <row r="62" spans="1:19">
      <c r="A62" s="384">
        <v>45490</v>
      </c>
      <c r="B62" s="386" t="s">
        <v>79</v>
      </c>
      <c r="C62" s="386">
        <v>61</v>
      </c>
      <c r="D62" s="386">
        <v>906</v>
      </c>
      <c r="E62" s="386" t="s">
        <v>941</v>
      </c>
      <c r="F62" s="386">
        <v>0</v>
      </c>
      <c r="G62" s="388">
        <v>0</v>
      </c>
      <c r="H62" s="387">
        <v>0</v>
      </c>
      <c r="I62" s="388">
        <v>45490.607824074075</v>
      </c>
      <c r="J62" s="386">
        <v>-5.0000000000000001E-3</v>
      </c>
      <c r="K62" s="386">
        <v>3.76</v>
      </c>
      <c r="L62" s="386">
        <v>-2E-3</v>
      </c>
      <c r="M62" s="386">
        <v>3.84</v>
      </c>
      <c r="N62" s="386">
        <v>1</v>
      </c>
      <c r="O62" s="401">
        <f t="shared" si="0"/>
        <v>-5.0000000000000001E-3</v>
      </c>
      <c r="P62" s="402">
        <f t="shared" si="1"/>
        <v>-2E-3</v>
      </c>
      <c r="Q62" s="400" t="s">
        <v>967</v>
      </c>
      <c r="R62" s="378" t="s">
        <v>967</v>
      </c>
      <c r="S62" s="378" t="s">
        <v>12</v>
      </c>
    </row>
    <row r="63" spans="1:19">
      <c r="A63" s="384">
        <v>45490</v>
      </c>
      <c r="B63" s="386" t="s">
        <v>79</v>
      </c>
      <c r="C63" s="386">
        <v>62</v>
      </c>
      <c r="D63" s="386">
        <v>906</v>
      </c>
      <c r="E63" s="386" t="s">
        <v>941</v>
      </c>
      <c r="F63" s="386">
        <v>0</v>
      </c>
      <c r="G63" s="388">
        <v>0</v>
      </c>
      <c r="H63" s="387">
        <v>0</v>
      </c>
      <c r="I63" s="388">
        <v>45490.608634259261</v>
      </c>
      <c r="J63" s="386">
        <v>-5.0000000000000001E-3</v>
      </c>
      <c r="K63" s="386">
        <v>3.76</v>
      </c>
      <c r="L63" s="386">
        <v>-2E-3</v>
      </c>
      <c r="M63" s="386">
        <v>3.86</v>
      </c>
      <c r="N63" s="386">
        <v>1</v>
      </c>
      <c r="O63" s="401">
        <f t="shared" si="0"/>
        <v>-5.0000000000000001E-3</v>
      </c>
      <c r="P63" s="402">
        <f t="shared" si="1"/>
        <v>-2E-3</v>
      </c>
      <c r="Q63" s="400" t="s">
        <v>967</v>
      </c>
      <c r="R63" s="378" t="s">
        <v>967</v>
      </c>
      <c r="S63" s="378" t="s">
        <v>12</v>
      </c>
    </row>
    <row r="64" spans="1:19">
      <c r="A64" s="384">
        <v>45490</v>
      </c>
      <c r="B64" s="386" t="s">
        <v>79</v>
      </c>
      <c r="C64" s="386">
        <v>63</v>
      </c>
      <c r="D64" s="386">
        <v>906</v>
      </c>
      <c r="E64" s="386" t="s">
        <v>941</v>
      </c>
      <c r="F64" s="386">
        <v>0</v>
      </c>
      <c r="G64" s="388">
        <v>0</v>
      </c>
      <c r="H64" s="387">
        <v>0</v>
      </c>
      <c r="I64" s="388">
        <v>45490.609444444446</v>
      </c>
      <c r="J64" s="386">
        <v>-4.0000000000000001E-3</v>
      </c>
      <c r="K64" s="386">
        <v>3.96</v>
      </c>
      <c r="L64" s="386">
        <v>0</v>
      </c>
      <c r="M64" s="386">
        <v>4.38</v>
      </c>
      <c r="N64" s="386">
        <v>1</v>
      </c>
      <c r="O64" s="401">
        <f t="shared" si="0"/>
        <v>-4.0000000000000001E-3</v>
      </c>
      <c r="P64" s="402">
        <f t="shared" si="1"/>
        <v>0</v>
      </c>
      <c r="Q64" s="400" t="s">
        <v>967</v>
      </c>
      <c r="R64" s="378" t="s">
        <v>967</v>
      </c>
      <c r="S64" s="378" t="s">
        <v>12</v>
      </c>
    </row>
    <row r="65" spans="1:19">
      <c r="A65" s="384">
        <v>45490</v>
      </c>
      <c r="B65" s="386" t="s">
        <v>79</v>
      </c>
      <c r="C65" s="386">
        <v>64</v>
      </c>
      <c r="D65" s="386">
        <v>906</v>
      </c>
      <c r="E65" s="386" t="s">
        <v>941</v>
      </c>
      <c r="F65" s="386">
        <v>0</v>
      </c>
      <c r="G65" s="388">
        <v>0</v>
      </c>
      <c r="H65" s="387">
        <v>0</v>
      </c>
      <c r="I65" s="388">
        <v>45490.610254629632</v>
      </c>
      <c r="J65" s="386">
        <v>-4.0000000000000001E-3</v>
      </c>
      <c r="K65" s="386">
        <v>4.0599999999999996</v>
      </c>
      <c r="L65" s="386">
        <v>-1E-3</v>
      </c>
      <c r="M65" s="386">
        <v>4.22</v>
      </c>
      <c r="N65" s="386">
        <v>1</v>
      </c>
      <c r="O65" s="401">
        <f t="shared" si="0"/>
        <v>-4.0000000000000001E-3</v>
      </c>
      <c r="P65" s="402">
        <f t="shared" si="1"/>
        <v>-1E-3</v>
      </c>
      <c r="Q65" s="400" t="s">
        <v>967</v>
      </c>
      <c r="R65" s="378" t="s">
        <v>967</v>
      </c>
      <c r="S65" s="378" t="s">
        <v>12</v>
      </c>
    </row>
    <row r="66" spans="1:19">
      <c r="A66" s="384">
        <v>45490</v>
      </c>
      <c r="B66" s="386" t="s">
        <v>79</v>
      </c>
      <c r="C66" s="386">
        <v>65</v>
      </c>
      <c r="D66" s="386">
        <v>906</v>
      </c>
      <c r="E66" s="386" t="s">
        <v>941</v>
      </c>
      <c r="F66" s="386">
        <v>0</v>
      </c>
      <c r="G66" s="388">
        <v>0</v>
      </c>
      <c r="H66" s="387">
        <v>0</v>
      </c>
      <c r="I66" s="388">
        <v>45490.611064814817</v>
      </c>
      <c r="J66" s="386">
        <v>-3.0000000000000001E-3</v>
      </c>
      <c r="K66" s="386">
        <v>4.53</v>
      </c>
      <c r="L66" s="386">
        <v>0</v>
      </c>
      <c r="M66" s="386">
        <v>4.34</v>
      </c>
      <c r="N66" s="386">
        <v>1</v>
      </c>
      <c r="O66" s="401">
        <f t="shared" si="0"/>
        <v>-3.0000000000000001E-3</v>
      </c>
      <c r="P66" s="402">
        <f t="shared" si="1"/>
        <v>0</v>
      </c>
      <c r="Q66" s="400" t="s">
        <v>967</v>
      </c>
      <c r="R66" s="378" t="s">
        <v>967</v>
      </c>
      <c r="S66" s="378" t="s">
        <v>12</v>
      </c>
    </row>
    <row r="67" spans="1:19">
      <c r="A67" s="384">
        <v>45490</v>
      </c>
      <c r="B67" s="386" t="s">
        <v>968</v>
      </c>
      <c r="C67" s="386">
        <v>66</v>
      </c>
      <c r="D67" s="386">
        <v>908</v>
      </c>
      <c r="E67" s="386" t="s">
        <v>945</v>
      </c>
      <c r="F67" s="386">
        <v>0</v>
      </c>
      <c r="G67" s="388">
        <v>0</v>
      </c>
      <c r="H67" s="387">
        <v>0</v>
      </c>
      <c r="I67" s="388">
        <v>45490.611875000002</v>
      </c>
      <c r="J67" s="386">
        <v>0.16700000000000001</v>
      </c>
      <c r="K67" s="386">
        <v>92.04</v>
      </c>
      <c r="L67" s="386">
        <v>2.7E-2</v>
      </c>
      <c r="M67" s="386">
        <v>15.68</v>
      </c>
      <c r="N67" s="386">
        <v>1</v>
      </c>
      <c r="O67" s="386">
        <f t="shared" si="0"/>
        <v>0.16700000000000001</v>
      </c>
      <c r="P67" s="400">
        <f t="shared" si="1"/>
        <v>2.7E-2</v>
      </c>
      <c r="Q67" s="400">
        <f t="shared" ref="Q67:R67" si="23">O67</f>
        <v>0.16700000000000001</v>
      </c>
      <c r="R67" s="400">
        <f t="shared" si="23"/>
        <v>2.7E-2</v>
      </c>
      <c r="S67" s="378" t="s">
        <v>12</v>
      </c>
    </row>
    <row r="68" spans="1:19">
      <c r="A68" s="384">
        <v>45490</v>
      </c>
      <c r="B68" s="386" t="s">
        <v>969</v>
      </c>
      <c r="C68" s="386">
        <v>67</v>
      </c>
      <c r="D68" s="386">
        <v>909</v>
      </c>
      <c r="E68" s="386" t="s">
        <v>945</v>
      </c>
      <c r="F68" s="386">
        <v>0</v>
      </c>
      <c r="G68" s="388">
        <v>0</v>
      </c>
      <c r="H68" s="387">
        <v>0</v>
      </c>
      <c r="I68" s="388">
        <v>45490.612685185188</v>
      </c>
      <c r="J68" s="386">
        <v>0.19</v>
      </c>
      <c r="K68" s="386">
        <v>103.95</v>
      </c>
      <c r="L68" s="386">
        <v>2.7E-2</v>
      </c>
      <c r="M68" s="386">
        <v>15.38</v>
      </c>
      <c r="N68" s="386">
        <v>1</v>
      </c>
      <c r="O68" s="386">
        <f t="shared" si="0"/>
        <v>0.19</v>
      </c>
      <c r="P68" s="400">
        <f t="shared" si="1"/>
        <v>2.7E-2</v>
      </c>
      <c r="Q68" s="400">
        <f t="shared" ref="Q68:R68" si="24">O68</f>
        <v>0.19</v>
      </c>
      <c r="R68" s="400">
        <f t="shared" si="24"/>
        <v>2.7E-2</v>
      </c>
      <c r="S68" s="378" t="s">
        <v>12</v>
      </c>
    </row>
    <row r="69" spans="1:19">
      <c r="A69" s="384">
        <v>45490</v>
      </c>
      <c r="B69" s="386" t="s">
        <v>935</v>
      </c>
      <c r="C69" s="386">
        <v>68</v>
      </c>
      <c r="D69" s="386">
        <v>0</v>
      </c>
      <c r="E69" s="386" t="s">
        <v>936</v>
      </c>
      <c r="F69" s="386">
        <v>0</v>
      </c>
      <c r="G69" s="388">
        <v>0</v>
      </c>
      <c r="H69" s="387">
        <v>0</v>
      </c>
      <c r="I69" s="388">
        <v>45490.613495370373</v>
      </c>
      <c r="J69" s="386">
        <v>-1.2E-2</v>
      </c>
      <c r="K69" s="386">
        <v>0</v>
      </c>
      <c r="L69" s="386">
        <v>-1.0999999999999999E-2</v>
      </c>
      <c r="M69" s="386">
        <v>0</v>
      </c>
      <c r="N69" s="386">
        <v>1</v>
      </c>
      <c r="O69" s="401">
        <f t="shared" si="0"/>
        <v>-1.2E-2</v>
      </c>
      <c r="P69" s="402">
        <f t="shared" si="1"/>
        <v>-1.0999999999999999E-2</v>
      </c>
      <c r="Q69" s="400" t="s">
        <v>967</v>
      </c>
      <c r="R69" s="378" t="s">
        <v>967</v>
      </c>
      <c r="S69" s="378" t="s">
        <v>12</v>
      </c>
    </row>
    <row r="70" spans="1:19">
      <c r="A70" s="384">
        <v>45490</v>
      </c>
      <c r="B70" s="386" t="s">
        <v>930</v>
      </c>
      <c r="C70" s="386">
        <v>69</v>
      </c>
      <c r="D70" s="386">
        <v>921</v>
      </c>
      <c r="E70" s="386" t="s">
        <v>931</v>
      </c>
      <c r="F70" s="386">
        <v>0</v>
      </c>
      <c r="G70" s="388">
        <v>0</v>
      </c>
      <c r="H70" s="387">
        <v>0</v>
      </c>
      <c r="I70" s="388">
        <v>45490.615925925929</v>
      </c>
      <c r="J70" s="386">
        <v>0.20799999999999999</v>
      </c>
      <c r="K70" s="386">
        <v>112.77</v>
      </c>
      <c r="L70" s="386">
        <v>0.2</v>
      </c>
      <c r="M70" s="386">
        <v>85.93</v>
      </c>
      <c r="N70" s="386">
        <v>1</v>
      </c>
      <c r="O70" s="386">
        <f t="shared" si="0"/>
        <v>0.20799999999999999</v>
      </c>
      <c r="P70" s="400">
        <f t="shared" si="1"/>
        <v>0.2</v>
      </c>
      <c r="Q70" s="400">
        <f t="shared" ref="Q70:R70" si="25">O70</f>
        <v>0.20799999999999999</v>
      </c>
      <c r="R70" s="400">
        <f t="shared" si="25"/>
        <v>0.2</v>
      </c>
      <c r="S70" s="378" t="s">
        <v>12</v>
      </c>
    </row>
    <row r="71" spans="1:19">
      <c r="A71" s="384">
        <v>45490</v>
      </c>
      <c r="B71" s="386" t="s">
        <v>959</v>
      </c>
      <c r="C71" s="386">
        <v>70</v>
      </c>
      <c r="D71" s="386">
        <v>0</v>
      </c>
      <c r="E71" s="386" t="s">
        <v>960</v>
      </c>
      <c r="F71" s="386">
        <v>0</v>
      </c>
      <c r="G71" s="388">
        <v>0</v>
      </c>
      <c r="H71" s="387">
        <v>0</v>
      </c>
      <c r="I71" s="388">
        <v>45490.616736111115</v>
      </c>
      <c r="J71" s="386">
        <v>-1.2E-2</v>
      </c>
      <c r="K71" s="386">
        <v>0</v>
      </c>
      <c r="L71" s="386">
        <v>-1.0999999999999999E-2</v>
      </c>
      <c r="M71" s="386">
        <v>0</v>
      </c>
      <c r="N71" s="386">
        <v>1</v>
      </c>
      <c r="O71" s="401">
        <f t="shared" si="0"/>
        <v>-1.2E-2</v>
      </c>
      <c r="P71" s="402">
        <f t="shared" si="1"/>
        <v>-1.0999999999999999E-2</v>
      </c>
      <c r="Q71" s="400" t="s">
        <v>967</v>
      </c>
      <c r="R71" s="378" t="s">
        <v>967</v>
      </c>
      <c r="S71" s="378" t="s">
        <v>12</v>
      </c>
    </row>
    <row r="72" spans="1:19">
      <c r="A72" s="384">
        <v>45509</v>
      </c>
      <c r="B72" s="386" t="s">
        <v>928</v>
      </c>
      <c r="C72" s="386">
        <v>1</v>
      </c>
      <c r="D72" s="386">
        <v>921</v>
      </c>
      <c r="E72" s="386" t="s">
        <v>929</v>
      </c>
      <c r="F72" s="386">
        <v>0</v>
      </c>
      <c r="G72" s="388">
        <v>0</v>
      </c>
      <c r="H72" s="387">
        <v>0</v>
      </c>
      <c r="I72" s="388">
        <v>45509.580868055556</v>
      </c>
      <c r="J72" s="386">
        <v>0.2</v>
      </c>
      <c r="K72" s="386">
        <v>150.77000000000001</v>
      </c>
      <c r="L72" s="386">
        <v>0.19800000000000001</v>
      </c>
      <c r="M72" s="386">
        <v>13.98</v>
      </c>
      <c r="N72" s="386">
        <v>1</v>
      </c>
      <c r="O72" s="378">
        <f t="shared" si="0"/>
        <v>0.2</v>
      </c>
      <c r="P72" s="400">
        <f t="shared" si="1"/>
        <v>0.19800000000000001</v>
      </c>
      <c r="Q72" s="400">
        <f t="shared" ref="Q72:R72" si="26">O72</f>
        <v>0.2</v>
      </c>
      <c r="R72" s="400">
        <f t="shared" si="26"/>
        <v>0.19800000000000001</v>
      </c>
      <c r="S72" s="378" t="s">
        <v>12</v>
      </c>
    </row>
    <row r="73" spans="1:19">
      <c r="A73" s="384">
        <v>45509</v>
      </c>
      <c r="B73" s="386" t="s">
        <v>930</v>
      </c>
      <c r="C73" s="386">
        <v>2</v>
      </c>
      <c r="D73" s="386">
        <v>921</v>
      </c>
      <c r="E73" s="386" t="s">
        <v>931</v>
      </c>
      <c r="F73" s="386">
        <v>0</v>
      </c>
      <c r="G73" s="388">
        <v>0</v>
      </c>
      <c r="H73" s="387">
        <v>0</v>
      </c>
      <c r="I73" s="388">
        <v>45509.581678240742</v>
      </c>
      <c r="J73" s="386">
        <v>0.19900000000000001</v>
      </c>
      <c r="K73" s="386">
        <v>149.88999999999999</v>
      </c>
      <c r="L73" s="386">
        <v>0.19900000000000001</v>
      </c>
      <c r="M73" s="386">
        <v>14.05</v>
      </c>
      <c r="N73" s="386">
        <v>1</v>
      </c>
      <c r="O73" s="378">
        <f t="shared" si="0"/>
        <v>0.19900000000000001</v>
      </c>
      <c r="P73" s="400">
        <f t="shared" si="1"/>
        <v>0.19900000000000001</v>
      </c>
      <c r="Q73" s="400">
        <f t="shared" ref="Q73:R73" si="27">O73</f>
        <v>0.19900000000000001</v>
      </c>
      <c r="R73" s="400">
        <f t="shared" si="27"/>
        <v>0.19900000000000001</v>
      </c>
      <c r="S73" s="378" t="s">
        <v>12</v>
      </c>
    </row>
    <row r="74" spans="1:19">
      <c r="A74" s="384">
        <v>45509</v>
      </c>
      <c r="B74" s="386">
        <v>0.2</v>
      </c>
      <c r="C74" s="386">
        <v>3</v>
      </c>
      <c r="D74" s="386">
        <v>921</v>
      </c>
      <c r="E74" s="386" t="s">
        <v>932</v>
      </c>
      <c r="F74" s="386">
        <v>0</v>
      </c>
      <c r="G74" s="388">
        <v>0</v>
      </c>
      <c r="H74" s="387">
        <v>0</v>
      </c>
      <c r="I74" s="388">
        <v>45509.582488425927</v>
      </c>
      <c r="J74" s="386">
        <v>0.19800000000000001</v>
      </c>
      <c r="K74" s="386">
        <v>149.4</v>
      </c>
      <c r="L74" s="386">
        <v>0.2</v>
      </c>
      <c r="M74" s="386">
        <v>14.09</v>
      </c>
      <c r="N74" s="386">
        <v>1</v>
      </c>
      <c r="O74" s="378">
        <f t="shared" si="0"/>
        <v>0.19800000000000001</v>
      </c>
      <c r="P74" s="400">
        <f t="shared" si="1"/>
        <v>0.2</v>
      </c>
      <c r="Q74" s="400">
        <f t="shared" ref="Q74:R74" si="28">O74</f>
        <v>0.19800000000000001</v>
      </c>
      <c r="R74" s="400">
        <f t="shared" si="28"/>
        <v>0.2</v>
      </c>
      <c r="S74" s="378" t="s">
        <v>12</v>
      </c>
    </row>
    <row r="75" spans="1:19">
      <c r="A75" s="384">
        <v>45509</v>
      </c>
      <c r="B75" s="386">
        <v>0.1</v>
      </c>
      <c r="C75" s="386">
        <v>4</v>
      </c>
      <c r="D75" s="386">
        <v>901</v>
      </c>
      <c r="E75" s="386" t="s">
        <v>932</v>
      </c>
      <c r="F75" s="386">
        <v>0</v>
      </c>
      <c r="G75" s="388">
        <v>0</v>
      </c>
      <c r="H75" s="387">
        <v>0</v>
      </c>
      <c r="I75" s="388">
        <v>45509.583298611113</v>
      </c>
      <c r="J75" s="386">
        <v>0.105</v>
      </c>
      <c r="K75" s="386">
        <v>81.22</v>
      </c>
      <c r="L75" s="386">
        <v>0.1</v>
      </c>
      <c r="M75" s="386">
        <v>7.34</v>
      </c>
      <c r="N75" s="386">
        <v>1</v>
      </c>
      <c r="O75" s="378">
        <f t="shared" si="0"/>
        <v>0.105</v>
      </c>
      <c r="P75" s="400">
        <f t="shared" si="1"/>
        <v>0.1</v>
      </c>
      <c r="Q75" s="400">
        <f t="shared" ref="Q75:R75" si="29">O75</f>
        <v>0.105</v>
      </c>
      <c r="R75" s="400">
        <f t="shared" si="29"/>
        <v>0.1</v>
      </c>
      <c r="S75" s="378" t="s">
        <v>12</v>
      </c>
    </row>
    <row r="76" spans="1:19">
      <c r="A76" s="384">
        <v>45509</v>
      </c>
      <c r="B76" s="386">
        <v>0.05</v>
      </c>
      <c r="C76" s="386">
        <v>5</v>
      </c>
      <c r="D76" s="386">
        <v>902</v>
      </c>
      <c r="E76" s="386" t="s">
        <v>932</v>
      </c>
      <c r="F76" s="386">
        <v>0</v>
      </c>
      <c r="G76" s="388">
        <v>0</v>
      </c>
      <c r="H76" s="387">
        <v>0</v>
      </c>
      <c r="I76" s="388">
        <v>45509.584108796298</v>
      </c>
      <c r="J76" s="386">
        <v>4.5999999999999999E-2</v>
      </c>
      <c r="K76" s="386">
        <v>37.299999999999997</v>
      </c>
      <c r="L76" s="386">
        <v>5.2999999999999999E-2</v>
      </c>
      <c r="M76" s="386">
        <v>4.1399999999999997</v>
      </c>
      <c r="N76" s="386">
        <v>1</v>
      </c>
      <c r="O76" s="378">
        <f t="shared" si="0"/>
        <v>4.5999999999999999E-2</v>
      </c>
      <c r="P76" s="400">
        <f t="shared" si="1"/>
        <v>5.2999999999999999E-2</v>
      </c>
      <c r="Q76" s="400">
        <f t="shared" ref="Q76:R76" si="30">O76</f>
        <v>4.5999999999999999E-2</v>
      </c>
      <c r="R76" s="400">
        <f t="shared" si="30"/>
        <v>5.2999999999999999E-2</v>
      </c>
      <c r="S76" s="378" t="s">
        <v>12</v>
      </c>
    </row>
    <row r="77" spans="1:19">
      <c r="A77" s="384">
        <v>45509</v>
      </c>
      <c r="B77" s="386">
        <v>2.5000000000000001E-2</v>
      </c>
      <c r="C77" s="386">
        <v>6</v>
      </c>
      <c r="D77" s="386">
        <v>903</v>
      </c>
      <c r="E77" s="386" t="s">
        <v>932</v>
      </c>
      <c r="F77" s="386">
        <v>0</v>
      </c>
      <c r="G77" s="388">
        <v>0</v>
      </c>
      <c r="H77" s="387">
        <v>0</v>
      </c>
      <c r="I77" s="388">
        <v>45509.584918981483</v>
      </c>
      <c r="J77" s="386">
        <v>2.4E-2</v>
      </c>
      <c r="K77" s="386">
        <v>21.21</v>
      </c>
      <c r="L77" s="386">
        <v>2.4E-2</v>
      </c>
      <c r="M77" s="386">
        <v>2.2000000000000002</v>
      </c>
      <c r="N77" s="386">
        <v>1</v>
      </c>
      <c r="O77" s="378">
        <f t="shared" si="0"/>
        <v>2.4E-2</v>
      </c>
      <c r="P77" s="400">
        <f t="shared" si="1"/>
        <v>2.4E-2</v>
      </c>
      <c r="Q77" s="400">
        <f t="shared" ref="Q77:R77" si="31">O77</f>
        <v>2.4E-2</v>
      </c>
      <c r="R77" s="400">
        <f t="shared" si="31"/>
        <v>2.4E-2</v>
      </c>
      <c r="S77" s="378" t="s">
        <v>12</v>
      </c>
    </row>
    <row r="78" spans="1:19">
      <c r="A78" s="384">
        <v>45509</v>
      </c>
      <c r="B78" s="386">
        <v>0.01</v>
      </c>
      <c r="C78" s="386">
        <v>7</v>
      </c>
      <c r="D78" s="386">
        <v>904</v>
      </c>
      <c r="E78" s="386" t="s">
        <v>932</v>
      </c>
      <c r="F78" s="386">
        <v>0</v>
      </c>
      <c r="G78" s="388">
        <v>0</v>
      </c>
      <c r="H78" s="387">
        <v>0</v>
      </c>
      <c r="I78" s="388">
        <v>45509.585729166669</v>
      </c>
      <c r="J78" s="386">
        <v>1.2E-2</v>
      </c>
      <c r="K78" s="386">
        <v>12.71</v>
      </c>
      <c r="L78" s="386">
        <v>0.01</v>
      </c>
      <c r="M78" s="386">
        <v>1.27</v>
      </c>
      <c r="N78" s="386">
        <v>1</v>
      </c>
      <c r="O78" s="378">
        <f t="shared" si="0"/>
        <v>1.2E-2</v>
      </c>
      <c r="P78" s="400">
        <f t="shared" si="1"/>
        <v>0.01</v>
      </c>
      <c r="Q78" s="400">
        <f t="shared" ref="Q78:R78" si="32">O78</f>
        <v>1.2E-2</v>
      </c>
      <c r="R78" s="400">
        <f t="shared" si="32"/>
        <v>0.01</v>
      </c>
      <c r="S78" s="378" t="s">
        <v>12</v>
      </c>
    </row>
    <row r="79" spans="1:19">
      <c r="A79" s="384">
        <v>45509</v>
      </c>
      <c r="B79" s="386">
        <v>5.0000000000000001E-3</v>
      </c>
      <c r="C79" s="386">
        <v>8</v>
      </c>
      <c r="D79" s="386">
        <v>905</v>
      </c>
      <c r="E79" s="386" t="s">
        <v>932</v>
      </c>
      <c r="F79" s="386">
        <v>0</v>
      </c>
      <c r="G79" s="388">
        <v>0</v>
      </c>
      <c r="H79" s="387">
        <v>0</v>
      </c>
      <c r="I79" s="388">
        <v>45509.586539351854</v>
      </c>
      <c r="J79" s="386">
        <v>6.0000000000000001E-3</v>
      </c>
      <c r="K79" s="386">
        <v>8.58</v>
      </c>
      <c r="L79" s="386">
        <v>4.0000000000000001E-3</v>
      </c>
      <c r="M79" s="386">
        <v>0.83</v>
      </c>
      <c r="N79" s="386">
        <v>1</v>
      </c>
      <c r="O79" s="378">
        <f t="shared" si="0"/>
        <v>6.0000000000000001E-3</v>
      </c>
      <c r="P79" s="400">
        <f t="shared" si="1"/>
        <v>4.0000000000000001E-3</v>
      </c>
      <c r="Q79" s="400">
        <f t="shared" ref="Q79:R79" si="33">O79</f>
        <v>6.0000000000000001E-3</v>
      </c>
      <c r="R79" s="400">
        <f t="shared" si="33"/>
        <v>4.0000000000000001E-3</v>
      </c>
      <c r="S79" s="378" t="s">
        <v>12</v>
      </c>
    </row>
    <row r="80" spans="1:19">
      <c r="A80" s="384">
        <v>45509</v>
      </c>
      <c r="B80" s="386" t="s">
        <v>79</v>
      </c>
      <c r="C80" s="386">
        <v>9</v>
      </c>
      <c r="D80" s="386">
        <v>906</v>
      </c>
      <c r="E80" s="386" t="s">
        <v>932</v>
      </c>
      <c r="F80" s="386">
        <v>0</v>
      </c>
      <c r="G80" s="388">
        <v>0</v>
      </c>
      <c r="H80" s="387">
        <v>0</v>
      </c>
      <c r="I80" s="388">
        <v>45509.58734953704</v>
      </c>
      <c r="J80" s="386">
        <v>-2E-3</v>
      </c>
      <c r="K80" s="386">
        <v>2.57</v>
      </c>
      <c r="L80" s="386">
        <v>0</v>
      </c>
      <c r="M80" s="386">
        <v>0.55000000000000004</v>
      </c>
      <c r="N80" s="386">
        <v>1</v>
      </c>
      <c r="O80" s="403">
        <f t="shared" si="0"/>
        <v>-2E-3</v>
      </c>
      <c r="P80" s="402">
        <f t="shared" si="1"/>
        <v>0</v>
      </c>
      <c r="Q80" s="400" t="s">
        <v>973</v>
      </c>
      <c r="R80" s="378" t="s">
        <v>973</v>
      </c>
      <c r="S80" s="378" t="s">
        <v>12</v>
      </c>
    </row>
    <row r="81" spans="1:19">
      <c r="A81" s="384">
        <v>45509</v>
      </c>
      <c r="B81" s="386" t="s">
        <v>935</v>
      </c>
      <c r="C81" s="386">
        <v>10</v>
      </c>
      <c r="D81" s="386">
        <v>0</v>
      </c>
      <c r="E81" s="386" t="s">
        <v>936</v>
      </c>
      <c r="F81" s="386">
        <v>0</v>
      </c>
      <c r="G81" s="388">
        <v>0</v>
      </c>
      <c r="H81" s="387">
        <v>0</v>
      </c>
      <c r="I81" s="388">
        <v>45509.588159722225</v>
      </c>
      <c r="J81" s="386">
        <v>-5.0000000000000001E-3</v>
      </c>
      <c r="K81" s="386">
        <v>0</v>
      </c>
      <c r="L81" s="386">
        <v>-8.0000000000000002E-3</v>
      </c>
      <c r="M81" s="386">
        <v>0</v>
      </c>
      <c r="N81" s="386">
        <v>1</v>
      </c>
      <c r="O81" s="403">
        <f t="shared" si="0"/>
        <v>-5.0000000000000001E-3</v>
      </c>
      <c r="P81" s="402">
        <f t="shared" si="1"/>
        <v>-8.0000000000000002E-3</v>
      </c>
      <c r="Q81" s="400" t="s">
        <v>973</v>
      </c>
      <c r="R81" s="378" t="s">
        <v>973</v>
      </c>
      <c r="S81" s="378" t="s">
        <v>12</v>
      </c>
    </row>
    <row r="82" spans="1:19">
      <c r="A82" s="384">
        <v>45509</v>
      </c>
      <c r="B82" s="386" t="s">
        <v>937</v>
      </c>
      <c r="C82" s="386">
        <v>11</v>
      </c>
      <c r="D82" s="386">
        <v>921</v>
      </c>
      <c r="E82" s="386" t="s">
        <v>938</v>
      </c>
      <c r="F82" s="386">
        <v>0</v>
      </c>
      <c r="G82" s="388">
        <v>1</v>
      </c>
      <c r="H82" s="387">
        <v>1</v>
      </c>
      <c r="I82" s="388">
        <v>45509.590590277781</v>
      </c>
      <c r="J82" s="386">
        <v>0.19500000000000001</v>
      </c>
      <c r="K82" s="386">
        <v>147.16</v>
      </c>
      <c r="L82" s="386">
        <v>0.19800000000000001</v>
      </c>
      <c r="M82" s="386">
        <v>13.98</v>
      </c>
      <c r="N82" s="386">
        <v>1</v>
      </c>
      <c r="O82" s="378">
        <f t="shared" si="0"/>
        <v>0.19500000000000001</v>
      </c>
      <c r="P82" s="400">
        <f t="shared" si="1"/>
        <v>0.19800000000000001</v>
      </c>
      <c r="Q82" s="400">
        <f t="shared" ref="Q82:R82" si="34">O82</f>
        <v>0.19500000000000001</v>
      </c>
      <c r="R82" s="400">
        <f t="shared" si="34"/>
        <v>0.19800000000000001</v>
      </c>
      <c r="S82" s="378" t="s">
        <v>12</v>
      </c>
    </row>
    <row r="83" spans="1:19">
      <c r="A83" s="384">
        <v>45509</v>
      </c>
      <c r="B83" s="386" t="s">
        <v>939</v>
      </c>
      <c r="C83" s="386">
        <v>12</v>
      </c>
      <c r="D83" s="386">
        <v>905</v>
      </c>
      <c r="E83" s="386" t="s">
        <v>940</v>
      </c>
      <c r="F83" s="386">
        <v>0</v>
      </c>
      <c r="G83" s="388">
        <v>1</v>
      </c>
      <c r="H83" s="387">
        <v>2</v>
      </c>
      <c r="I83" s="388">
        <v>45509.591400462959</v>
      </c>
      <c r="J83" s="386">
        <v>4.0000000000000001E-3</v>
      </c>
      <c r="K83" s="386">
        <v>7</v>
      </c>
      <c r="L83" s="386">
        <v>2E-3</v>
      </c>
      <c r="M83" s="386">
        <v>0.73</v>
      </c>
      <c r="N83" s="386">
        <v>1</v>
      </c>
      <c r="O83" s="378">
        <f t="shared" si="0"/>
        <v>4.0000000000000001E-3</v>
      </c>
      <c r="P83" s="402">
        <f t="shared" si="1"/>
        <v>2E-3</v>
      </c>
      <c r="Q83" s="400">
        <f t="shared" ref="Q83:Q84" si="35">O83</f>
        <v>4.0000000000000001E-3</v>
      </c>
      <c r="R83" s="378" t="s">
        <v>973</v>
      </c>
      <c r="S83" s="378" t="s">
        <v>12</v>
      </c>
    </row>
    <row r="84" spans="1:19">
      <c r="A84" s="384">
        <v>45509</v>
      </c>
      <c r="B84" s="386" t="s">
        <v>939</v>
      </c>
      <c r="C84" s="386">
        <v>13</v>
      </c>
      <c r="D84" s="386">
        <v>905</v>
      </c>
      <c r="E84" s="386" t="s">
        <v>940</v>
      </c>
      <c r="F84" s="386">
        <v>0</v>
      </c>
      <c r="G84" s="388">
        <v>1</v>
      </c>
      <c r="H84" s="387">
        <v>3</v>
      </c>
      <c r="I84" s="388">
        <v>45509.592210648145</v>
      </c>
      <c r="J84" s="386">
        <v>6.0000000000000001E-3</v>
      </c>
      <c r="K84" s="386">
        <v>7.87</v>
      </c>
      <c r="L84" s="386">
        <v>2E-3</v>
      </c>
      <c r="M84" s="386">
        <v>0.73</v>
      </c>
      <c r="N84" s="386">
        <v>1</v>
      </c>
      <c r="O84" s="378">
        <f t="shared" si="0"/>
        <v>6.0000000000000001E-3</v>
      </c>
      <c r="P84" s="402">
        <f t="shared" si="1"/>
        <v>2E-3</v>
      </c>
      <c r="Q84" s="400">
        <f t="shared" si="35"/>
        <v>6.0000000000000001E-3</v>
      </c>
      <c r="R84" s="378" t="s">
        <v>973</v>
      </c>
      <c r="S84" s="378" t="s">
        <v>12</v>
      </c>
    </row>
    <row r="85" spans="1:19">
      <c r="A85" s="384">
        <v>45509</v>
      </c>
      <c r="B85" s="386" t="s">
        <v>79</v>
      </c>
      <c r="C85" s="386">
        <v>14</v>
      </c>
      <c r="D85" s="386">
        <v>906</v>
      </c>
      <c r="E85" s="386" t="s">
        <v>941</v>
      </c>
      <c r="F85" s="386">
        <v>0</v>
      </c>
      <c r="G85" s="388">
        <v>0</v>
      </c>
      <c r="H85" s="387">
        <v>0</v>
      </c>
      <c r="I85" s="388">
        <v>45509.59302083333</v>
      </c>
      <c r="J85" s="386">
        <v>-1E-3</v>
      </c>
      <c r="K85" s="386">
        <v>3.02</v>
      </c>
      <c r="L85" s="386">
        <v>1E-3</v>
      </c>
      <c r="M85" s="386">
        <v>0.65</v>
      </c>
      <c r="N85" s="386">
        <v>1</v>
      </c>
      <c r="O85" s="403">
        <f t="shared" si="0"/>
        <v>-1E-3</v>
      </c>
      <c r="P85" s="402">
        <f t="shared" si="1"/>
        <v>1E-3</v>
      </c>
      <c r="Q85" s="400" t="s">
        <v>973</v>
      </c>
      <c r="R85" s="378" t="s">
        <v>973</v>
      </c>
      <c r="S85" s="378" t="s">
        <v>12</v>
      </c>
    </row>
    <row r="86" spans="1:19">
      <c r="A86" s="384">
        <v>45509</v>
      </c>
      <c r="B86" s="386" t="s">
        <v>958</v>
      </c>
      <c r="C86" s="386">
        <v>15</v>
      </c>
      <c r="D86" s="386">
        <v>907</v>
      </c>
      <c r="E86" s="386" t="s">
        <v>943</v>
      </c>
      <c r="F86" s="386">
        <v>0</v>
      </c>
      <c r="G86" s="388">
        <v>0</v>
      </c>
      <c r="H86" s="387">
        <v>1</v>
      </c>
      <c r="I86" s="388">
        <v>45509.593831018516</v>
      </c>
      <c r="J86" s="386">
        <v>0.123</v>
      </c>
      <c r="K86" s="386">
        <v>94.34</v>
      </c>
      <c r="L86" s="386">
        <v>0.14199999999999999</v>
      </c>
      <c r="M86" s="386">
        <v>10.17</v>
      </c>
      <c r="N86" s="386">
        <v>1</v>
      </c>
      <c r="O86" s="378">
        <f t="shared" si="0"/>
        <v>0.123</v>
      </c>
      <c r="P86" s="400">
        <f t="shared" si="1"/>
        <v>0.14199999999999999</v>
      </c>
      <c r="Q86" s="400">
        <f t="shared" ref="Q86:R86" si="36">O86</f>
        <v>0.123</v>
      </c>
      <c r="R86" s="400">
        <f t="shared" si="36"/>
        <v>0.14199999999999999</v>
      </c>
      <c r="S86" s="378" t="s">
        <v>12</v>
      </c>
    </row>
    <row r="87" spans="1:19">
      <c r="A87" s="384">
        <v>45509</v>
      </c>
      <c r="B87" s="386" t="s">
        <v>974</v>
      </c>
      <c r="C87" s="386">
        <v>16</v>
      </c>
      <c r="D87" s="386">
        <v>908</v>
      </c>
      <c r="E87" s="386" t="s">
        <v>945</v>
      </c>
      <c r="F87" s="386">
        <v>0</v>
      </c>
      <c r="G87" s="388">
        <v>0</v>
      </c>
      <c r="H87" s="387">
        <v>0</v>
      </c>
      <c r="I87" s="388">
        <v>45509.594641203701</v>
      </c>
      <c r="J87" s="386">
        <v>0.14299999999999999</v>
      </c>
      <c r="K87" s="386">
        <v>108.65</v>
      </c>
      <c r="L87" s="386">
        <v>2.7E-2</v>
      </c>
      <c r="M87" s="386">
        <v>2.4</v>
      </c>
      <c r="N87" s="386">
        <v>1</v>
      </c>
      <c r="O87" s="378">
        <f t="shared" si="0"/>
        <v>0.14299999999999999</v>
      </c>
      <c r="P87" s="400">
        <f t="shared" si="1"/>
        <v>2.7E-2</v>
      </c>
      <c r="Q87" s="400">
        <f t="shared" ref="Q87:R87" si="37">O87</f>
        <v>0.14299999999999999</v>
      </c>
      <c r="R87" s="400">
        <f t="shared" si="37"/>
        <v>2.7E-2</v>
      </c>
      <c r="S87" s="378" t="s">
        <v>12</v>
      </c>
    </row>
    <row r="88" spans="1:19">
      <c r="A88" s="384">
        <v>45509</v>
      </c>
      <c r="B88" s="386" t="s">
        <v>969</v>
      </c>
      <c r="C88" s="386">
        <v>17</v>
      </c>
      <c r="D88" s="386">
        <v>909</v>
      </c>
      <c r="E88" s="386" t="s">
        <v>945</v>
      </c>
      <c r="F88" s="386">
        <v>0</v>
      </c>
      <c r="G88" s="388">
        <v>0</v>
      </c>
      <c r="H88" s="387">
        <v>0</v>
      </c>
      <c r="I88" s="388">
        <v>45509.595451388886</v>
      </c>
      <c r="J88" s="386">
        <v>0.152</v>
      </c>
      <c r="K88" s="386">
        <v>115.69</v>
      </c>
      <c r="L88" s="386">
        <v>2.7E-2</v>
      </c>
      <c r="M88" s="386">
        <v>2.4300000000000002</v>
      </c>
      <c r="N88" s="386">
        <v>1</v>
      </c>
      <c r="O88" s="378">
        <f t="shared" si="0"/>
        <v>0.152</v>
      </c>
      <c r="P88" s="400">
        <f t="shared" si="1"/>
        <v>2.7E-2</v>
      </c>
      <c r="Q88" s="400">
        <f t="shared" ref="Q88:R88" si="38">O88</f>
        <v>0.152</v>
      </c>
      <c r="R88" s="400">
        <f t="shared" si="38"/>
        <v>2.7E-2</v>
      </c>
      <c r="S88" s="378" t="s">
        <v>12</v>
      </c>
    </row>
    <row r="89" spans="1:19">
      <c r="A89" s="384">
        <v>45509</v>
      </c>
      <c r="B89" s="386">
        <v>412</v>
      </c>
      <c r="C89" s="386">
        <v>18</v>
      </c>
      <c r="D89" s="386">
        <v>1</v>
      </c>
      <c r="E89" s="386" t="s">
        <v>941</v>
      </c>
      <c r="F89" s="386">
        <v>0</v>
      </c>
      <c r="G89" s="388">
        <v>0</v>
      </c>
      <c r="H89" s="387">
        <v>0</v>
      </c>
      <c r="I89" s="388">
        <v>45509.596261574072</v>
      </c>
      <c r="J89" s="386">
        <v>0.01</v>
      </c>
      <c r="K89" s="386">
        <v>11.21</v>
      </c>
      <c r="L89" s="386">
        <v>2E-3</v>
      </c>
      <c r="M89" s="386">
        <v>0.74</v>
      </c>
      <c r="N89" s="386">
        <v>1</v>
      </c>
      <c r="O89" s="378">
        <f t="shared" si="0"/>
        <v>0.01</v>
      </c>
      <c r="P89" s="402">
        <f t="shared" si="1"/>
        <v>2E-3</v>
      </c>
      <c r="Q89" s="400">
        <f t="shared" ref="Q89:Q95" si="39">O89</f>
        <v>0.01</v>
      </c>
      <c r="R89" s="378" t="s">
        <v>973</v>
      </c>
      <c r="S89" s="378" t="s">
        <v>12</v>
      </c>
    </row>
    <row r="90" spans="1:19">
      <c r="A90" s="384">
        <v>45509</v>
      </c>
      <c r="B90" s="386">
        <v>451</v>
      </c>
      <c r="C90" s="386">
        <v>19</v>
      </c>
      <c r="D90" s="386">
        <v>2</v>
      </c>
      <c r="E90" s="386" t="s">
        <v>941</v>
      </c>
      <c r="F90" s="386">
        <v>0</v>
      </c>
      <c r="G90" s="388">
        <v>0</v>
      </c>
      <c r="H90" s="387">
        <v>0</v>
      </c>
      <c r="I90" s="388">
        <v>45509.597071759257</v>
      </c>
      <c r="J90" s="386">
        <v>1.0999999999999999E-2</v>
      </c>
      <c r="K90" s="386">
        <v>12.19</v>
      </c>
      <c r="L90" s="386">
        <v>3.0000000000000001E-3</v>
      </c>
      <c r="M90" s="386">
        <v>0.78</v>
      </c>
      <c r="N90" s="386">
        <v>1</v>
      </c>
      <c r="O90" s="378">
        <f t="shared" si="0"/>
        <v>1.0999999999999999E-2</v>
      </c>
      <c r="P90" s="400">
        <f t="shared" si="1"/>
        <v>3.0000000000000001E-3</v>
      </c>
      <c r="Q90" s="400">
        <f t="shared" si="39"/>
        <v>1.0999999999999999E-2</v>
      </c>
      <c r="R90" s="400">
        <f t="shared" ref="R90:R92" si="40">P90</f>
        <v>3.0000000000000001E-3</v>
      </c>
      <c r="S90" s="378" t="s">
        <v>12</v>
      </c>
    </row>
    <row r="91" spans="1:19">
      <c r="A91" s="384">
        <v>45509</v>
      </c>
      <c r="B91" s="386">
        <v>477</v>
      </c>
      <c r="C91" s="386">
        <v>20</v>
      </c>
      <c r="D91" s="386">
        <v>3</v>
      </c>
      <c r="E91" s="386" t="s">
        <v>941</v>
      </c>
      <c r="F91" s="386">
        <v>0</v>
      </c>
      <c r="G91" s="388">
        <v>0</v>
      </c>
      <c r="H91" s="387">
        <v>0</v>
      </c>
      <c r="I91" s="388">
        <v>45509.597881944443</v>
      </c>
      <c r="J91" s="386">
        <v>1.0999999999999999E-2</v>
      </c>
      <c r="K91" s="386">
        <v>12.2</v>
      </c>
      <c r="L91" s="386">
        <v>3.0000000000000001E-3</v>
      </c>
      <c r="M91" s="386">
        <v>0.79</v>
      </c>
      <c r="N91" s="386">
        <v>1</v>
      </c>
      <c r="O91" s="378">
        <f t="shared" si="0"/>
        <v>1.0999999999999999E-2</v>
      </c>
      <c r="P91" s="400">
        <f t="shared" si="1"/>
        <v>3.0000000000000001E-3</v>
      </c>
      <c r="Q91" s="400">
        <f t="shared" si="39"/>
        <v>1.0999999999999999E-2</v>
      </c>
      <c r="R91" s="400">
        <f t="shared" si="40"/>
        <v>3.0000000000000001E-3</v>
      </c>
      <c r="S91" s="378" t="s">
        <v>12</v>
      </c>
    </row>
    <row r="92" spans="1:19">
      <c r="A92" s="384">
        <v>45509</v>
      </c>
      <c r="B92" s="386">
        <v>529</v>
      </c>
      <c r="C92" s="386">
        <v>21</v>
      </c>
      <c r="D92" s="386">
        <v>4</v>
      </c>
      <c r="E92" s="386" t="s">
        <v>941</v>
      </c>
      <c r="F92" s="386">
        <v>0</v>
      </c>
      <c r="G92" s="388">
        <v>0</v>
      </c>
      <c r="H92" s="387">
        <v>0</v>
      </c>
      <c r="I92" s="388">
        <v>45509.598692129628</v>
      </c>
      <c r="J92" s="386">
        <v>0.02</v>
      </c>
      <c r="K92" s="386">
        <v>18.600000000000001</v>
      </c>
      <c r="L92" s="386">
        <v>3.0000000000000001E-3</v>
      </c>
      <c r="M92" s="386">
        <v>0.79</v>
      </c>
      <c r="N92" s="386">
        <v>1</v>
      </c>
      <c r="O92" s="378">
        <f t="shared" si="0"/>
        <v>0.02</v>
      </c>
      <c r="P92" s="400">
        <f t="shared" si="1"/>
        <v>3.0000000000000001E-3</v>
      </c>
      <c r="Q92" s="400">
        <f t="shared" si="39"/>
        <v>0.02</v>
      </c>
      <c r="R92" s="400">
        <f t="shared" si="40"/>
        <v>3.0000000000000001E-3</v>
      </c>
      <c r="S92" s="378" t="s">
        <v>12</v>
      </c>
    </row>
    <row r="93" spans="1:19">
      <c r="A93" s="384">
        <v>45509</v>
      </c>
      <c r="B93" s="386">
        <v>360</v>
      </c>
      <c r="C93" s="386">
        <v>22</v>
      </c>
      <c r="D93" s="386">
        <v>5</v>
      </c>
      <c r="E93" s="386" t="s">
        <v>941</v>
      </c>
      <c r="F93" s="386">
        <v>0</v>
      </c>
      <c r="G93" s="388">
        <v>0</v>
      </c>
      <c r="H93" s="387">
        <v>0</v>
      </c>
      <c r="I93" s="388">
        <v>45509.599502314813</v>
      </c>
      <c r="J93" s="386">
        <v>4.0000000000000001E-3</v>
      </c>
      <c r="K93" s="386">
        <v>6.9</v>
      </c>
      <c r="L93" s="386">
        <v>2E-3</v>
      </c>
      <c r="M93" s="386">
        <v>0.69</v>
      </c>
      <c r="N93" s="386">
        <v>1</v>
      </c>
      <c r="O93" s="378">
        <f t="shared" si="0"/>
        <v>4.0000000000000001E-3</v>
      </c>
      <c r="P93" s="402">
        <f t="shared" si="1"/>
        <v>2E-3</v>
      </c>
      <c r="Q93" s="400">
        <f t="shared" si="39"/>
        <v>4.0000000000000001E-3</v>
      </c>
      <c r="R93" s="378" t="s">
        <v>973</v>
      </c>
      <c r="S93" s="378" t="s">
        <v>12</v>
      </c>
    </row>
    <row r="94" spans="1:19">
      <c r="A94" s="384">
        <v>45509</v>
      </c>
      <c r="B94" s="386">
        <v>490</v>
      </c>
      <c r="C94" s="386">
        <v>23</v>
      </c>
      <c r="D94" s="386">
        <v>6</v>
      </c>
      <c r="E94" s="386" t="s">
        <v>941</v>
      </c>
      <c r="F94" s="386">
        <v>0</v>
      </c>
      <c r="G94" s="388">
        <v>0</v>
      </c>
      <c r="H94" s="387">
        <v>0</v>
      </c>
      <c r="I94" s="388">
        <v>45509.600312499999</v>
      </c>
      <c r="J94" s="386">
        <v>1.0999999999999999E-2</v>
      </c>
      <c r="K94" s="386">
        <v>12.11</v>
      </c>
      <c r="L94" s="386">
        <v>2E-3</v>
      </c>
      <c r="M94" s="386">
        <v>0.74</v>
      </c>
      <c r="N94" s="386">
        <v>1</v>
      </c>
      <c r="O94" s="378">
        <f t="shared" si="0"/>
        <v>1.0999999999999999E-2</v>
      </c>
      <c r="P94" s="402">
        <f t="shared" si="1"/>
        <v>2E-3</v>
      </c>
      <c r="Q94" s="400">
        <f t="shared" si="39"/>
        <v>1.0999999999999999E-2</v>
      </c>
      <c r="R94" s="378" t="s">
        <v>973</v>
      </c>
      <c r="S94" s="378" t="s">
        <v>12</v>
      </c>
    </row>
    <row r="95" spans="1:19">
      <c r="A95" s="384">
        <v>45509</v>
      </c>
      <c r="B95" s="386">
        <v>464</v>
      </c>
      <c r="C95" s="386">
        <v>24</v>
      </c>
      <c r="D95" s="386">
        <v>7</v>
      </c>
      <c r="E95" s="386" t="s">
        <v>941</v>
      </c>
      <c r="F95" s="386">
        <v>0</v>
      </c>
      <c r="G95" s="388">
        <v>0</v>
      </c>
      <c r="H95" s="387">
        <v>0</v>
      </c>
      <c r="I95" s="388">
        <v>45509.601122685184</v>
      </c>
      <c r="J95" s="386">
        <v>1.0999999999999999E-2</v>
      </c>
      <c r="K95" s="386">
        <v>12.09</v>
      </c>
      <c r="L95" s="386">
        <v>4.0000000000000001E-3</v>
      </c>
      <c r="M95" s="386">
        <v>0.85</v>
      </c>
      <c r="N95" s="386">
        <v>1</v>
      </c>
      <c r="O95" s="378">
        <f t="shared" si="0"/>
        <v>1.0999999999999999E-2</v>
      </c>
      <c r="P95" s="400">
        <f t="shared" si="1"/>
        <v>4.0000000000000001E-3</v>
      </c>
      <c r="Q95" s="400">
        <f t="shared" si="39"/>
        <v>1.0999999999999999E-2</v>
      </c>
      <c r="R95" s="400">
        <f>P95</f>
        <v>4.0000000000000001E-3</v>
      </c>
      <c r="S95" s="378" t="s">
        <v>12</v>
      </c>
    </row>
    <row r="96" spans="1:19">
      <c r="A96" s="384">
        <v>45509</v>
      </c>
      <c r="B96" s="386">
        <v>542</v>
      </c>
      <c r="C96" s="386">
        <v>25</v>
      </c>
      <c r="D96" s="386">
        <v>8</v>
      </c>
      <c r="E96" s="386" t="s">
        <v>941</v>
      </c>
      <c r="F96" s="386">
        <v>0</v>
      </c>
      <c r="G96" s="388">
        <v>0</v>
      </c>
      <c r="H96" s="387">
        <v>0</v>
      </c>
      <c r="I96" s="388">
        <v>45509.60193287037</v>
      </c>
      <c r="J96" s="386">
        <v>-3.0000000000000001E-3</v>
      </c>
      <c r="K96" s="386">
        <v>1.62</v>
      </c>
      <c r="L96" s="386">
        <v>1E-3</v>
      </c>
      <c r="M96" s="386">
        <v>0.61</v>
      </c>
      <c r="N96" s="386">
        <v>1</v>
      </c>
      <c r="O96" s="403">
        <f t="shared" si="0"/>
        <v>-3.0000000000000001E-3</v>
      </c>
      <c r="P96" s="402">
        <f t="shared" si="1"/>
        <v>1E-3</v>
      </c>
      <c r="Q96" s="400" t="s">
        <v>973</v>
      </c>
      <c r="R96" s="378" t="s">
        <v>973</v>
      </c>
      <c r="S96" s="378" t="s">
        <v>280</v>
      </c>
    </row>
    <row r="97" spans="1:19">
      <c r="A97" s="384">
        <v>45509</v>
      </c>
      <c r="B97" s="386">
        <v>399</v>
      </c>
      <c r="C97" s="386">
        <v>26</v>
      </c>
      <c r="D97" s="386">
        <v>9</v>
      </c>
      <c r="E97" s="386" t="s">
        <v>941</v>
      </c>
      <c r="F97" s="386">
        <v>0</v>
      </c>
      <c r="G97" s="388">
        <v>0</v>
      </c>
      <c r="H97" s="387">
        <v>0</v>
      </c>
      <c r="I97" s="388">
        <v>45509.602743055555</v>
      </c>
      <c r="J97" s="386">
        <v>1.0999999999999999E-2</v>
      </c>
      <c r="K97" s="386">
        <v>11.92</v>
      </c>
      <c r="L97" s="386">
        <v>3.0000000000000001E-3</v>
      </c>
      <c r="M97" s="386">
        <v>0.75</v>
      </c>
      <c r="N97" s="386">
        <v>1</v>
      </c>
      <c r="O97" s="378">
        <f t="shared" si="0"/>
        <v>1.0999999999999999E-2</v>
      </c>
      <c r="P97" s="400">
        <f t="shared" si="1"/>
        <v>3.0000000000000001E-3</v>
      </c>
      <c r="Q97" s="400">
        <f t="shared" ref="Q97:R97" si="41">O97</f>
        <v>1.0999999999999999E-2</v>
      </c>
      <c r="R97" s="400">
        <f t="shared" si="41"/>
        <v>3.0000000000000001E-3</v>
      </c>
      <c r="S97" s="378" t="s">
        <v>12</v>
      </c>
    </row>
    <row r="98" spans="1:19">
      <c r="A98" s="384">
        <v>45509</v>
      </c>
      <c r="B98" s="386">
        <v>425</v>
      </c>
      <c r="C98" s="386">
        <v>27</v>
      </c>
      <c r="D98" s="386">
        <v>10</v>
      </c>
      <c r="E98" s="386" t="s">
        <v>941</v>
      </c>
      <c r="F98" s="386">
        <v>0</v>
      </c>
      <c r="G98" s="388">
        <v>0</v>
      </c>
      <c r="H98" s="387">
        <v>0</v>
      </c>
      <c r="I98" s="388">
        <v>45509.60355324074</v>
      </c>
      <c r="J98" s="386">
        <v>7.0000000000000001E-3</v>
      </c>
      <c r="K98" s="386">
        <v>9.14</v>
      </c>
      <c r="L98" s="386">
        <v>1E-3</v>
      </c>
      <c r="M98" s="386">
        <v>0.63</v>
      </c>
      <c r="N98" s="386">
        <v>1</v>
      </c>
      <c r="O98" s="378">
        <f t="shared" si="0"/>
        <v>7.0000000000000001E-3</v>
      </c>
      <c r="P98" s="402">
        <f t="shared" si="1"/>
        <v>1E-3</v>
      </c>
      <c r="Q98" s="400">
        <f t="shared" ref="Q98:Q101" si="42">O98</f>
        <v>7.0000000000000001E-3</v>
      </c>
      <c r="R98" s="378" t="s">
        <v>973</v>
      </c>
      <c r="S98" s="378" t="s">
        <v>12</v>
      </c>
    </row>
    <row r="99" spans="1:19">
      <c r="A99" s="384">
        <v>45509</v>
      </c>
      <c r="B99" s="386" t="s">
        <v>975</v>
      </c>
      <c r="C99" s="386">
        <v>28</v>
      </c>
      <c r="D99" s="386">
        <v>11</v>
      </c>
      <c r="E99" s="386" t="s">
        <v>943</v>
      </c>
      <c r="F99" s="386">
        <v>0</v>
      </c>
      <c r="G99" s="388">
        <v>0</v>
      </c>
      <c r="H99" s="387">
        <v>1</v>
      </c>
      <c r="I99" s="388">
        <v>45509.604363425926</v>
      </c>
      <c r="J99" s="386">
        <v>0.151</v>
      </c>
      <c r="K99" s="386">
        <v>114.35</v>
      </c>
      <c r="L99" s="386">
        <v>0.15</v>
      </c>
      <c r="M99" s="386">
        <v>10.75</v>
      </c>
      <c r="N99" s="386">
        <v>1</v>
      </c>
      <c r="O99" s="378">
        <f t="shared" si="0"/>
        <v>0.151</v>
      </c>
      <c r="P99" s="400">
        <f t="shared" si="1"/>
        <v>0.15</v>
      </c>
      <c r="Q99" s="400">
        <f t="shared" si="42"/>
        <v>0.151</v>
      </c>
      <c r="R99" s="400">
        <f t="shared" ref="R99:R101" si="43">P99</f>
        <v>0.15</v>
      </c>
      <c r="S99" s="378" t="s">
        <v>12</v>
      </c>
    </row>
    <row r="100" spans="1:19">
      <c r="A100" s="384">
        <v>45509</v>
      </c>
      <c r="B100" s="386" t="s">
        <v>974</v>
      </c>
      <c r="C100" s="386">
        <v>29</v>
      </c>
      <c r="D100" s="386">
        <v>908</v>
      </c>
      <c r="E100" s="386" t="s">
        <v>945</v>
      </c>
      <c r="F100" s="386">
        <v>0</v>
      </c>
      <c r="G100" s="388">
        <v>0</v>
      </c>
      <c r="H100" s="387">
        <v>0</v>
      </c>
      <c r="I100" s="388">
        <v>45509.605173611111</v>
      </c>
      <c r="J100" s="386">
        <v>0.152</v>
      </c>
      <c r="K100" s="386">
        <v>115.4</v>
      </c>
      <c r="L100" s="386">
        <v>2.9000000000000001E-2</v>
      </c>
      <c r="M100" s="386">
        <v>2.5099999999999998</v>
      </c>
      <c r="N100" s="386">
        <v>1</v>
      </c>
      <c r="O100" s="378">
        <f t="shared" si="0"/>
        <v>0.152</v>
      </c>
      <c r="P100" s="400">
        <f t="shared" si="1"/>
        <v>2.9000000000000001E-2</v>
      </c>
      <c r="Q100" s="400">
        <f t="shared" si="42"/>
        <v>0.152</v>
      </c>
      <c r="R100" s="400">
        <f t="shared" si="43"/>
        <v>2.9000000000000001E-2</v>
      </c>
      <c r="S100" s="378" t="s">
        <v>12</v>
      </c>
    </row>
    <row r="101" spans="1:19">
      <c r="A101" s="384">
        <v>45509</v>
      </c>
      <c r="B101" s="386" t="s">
        <v>969</v>
      </c>
      <c r="C101" s="386">
        <v>30</v>
      </c>
      <c r="D101" s="386">
        <v>909</v>
      </c>
      <c r="E101" s="386" t="s">
        <v>945</v>
      </c>
      <c r="F101" s="386">
        <v>0</v>
      </c>
      <c r="G101" s="386">
        <v>0</v>
      </c>
      <c r="H101" s="387">
        <v>0</v>
      </c>
      <c r="I101" s="388">
        <v>45509.605983796297</v>
      </c>
      <c r="J101" s="386">
        <v>0.14599999999999999</v>
      </c>
      <c r="K101" s="386">
        <v>111.16</v>
      </c>
      <c r="L101" s="386">
        <v>2.9000000000000001E-2</v>
      </c>
      <c r="M101" s="386">
        <v>2.52</v>
      </c>
      <c r="N101" s="386">
        <v>1</v>
      </c>
      <c r="O101" s="378">
        <f t="shared" si="0"/>
        <v>0.14599999999999999</v>
      </c>
      <c r="P101" s="400">
        <f t="shared" si="1"/>
        <v>2.9000000000000001E-2</v>
      </c>
      <c r="Q101" s="400">
        <f t="shared" si="42"/>
        <v>0.14599999999999999</v>
      </c>
      <c r="R101" s="400">
        <f t="shared" si="43"/>
        <v>2.9000000000000001E-2</v>
      </c>
      <c r="S101" s="378" t="s">
        <v>12</v>
      </c>
    </row>
    <row r="102" spans="1:19">
      <c r="A102" s="384">
        <v>45509</v>
      </c>
      <c r="B102" s="386" t="s">
        <v>935</v>
      </c>
      <c r="C102" s="386">
        <v>31</v>
      </c>
      <c r="D102" s="386">
        <v>0</v>
      </c>
      <c r="E102" s="386" t="s">
        <v>936</v>
      </c>
      <c r="F102" s="386">
        <v>0</v>
      </c>
      <c r="G102" s="386">
        <v>0</v>
      </c>
      <c r="H102" s="387">
        <v>0</v>
      </c>
      <c r="I102" s="388">
        <v>45509.606793981482</v>
      </c>
      <c r="J102" s="386">
        <v>-5.0000000000000001E-3</v>
      </c>
      <c r="K102" s="386">
        <v>0</v>
      </c>
      <c r="L102" s="386">
        <v>-8.0000000000000002E-3</v>
      </c>
      <c r="M102" s="386">
        <v>0</v>
      </c>
      <c r="N102" s="386">
        <v>1</v>
      </c>
      <c r="O102" s="403">
        <f t="shared" si="0"/>
        <v>-5.0000000000000001E-3</v>
      </c>
      <c r="P102" s="402">
        <f t="shared" si="1"/>
        <v>-8.0000000000000002E-3</v>
      </c>
      <c r="Q102" s="400" t="s">
        <v>973</v>
      </c>
      <c r="R102" s="378" t="s">
        <v>973</v>
      </c>
      <c r="S102" s="378" t="s">
        <v>12</v>
      </c>
    </row>
    <row r="103" spans="1:19">
      <c r="A103" s="384">
        <v>45509</v>
      </c>
      <c r="B103" s="386">
        <v>386</v>
      </c>
      <c r="C103" s="386">
        <v>32</v>
      </c>
      <c r="D103" s="386">
        <v>12</v>
      </c>
      <c r="E103" s="386" t="s">
        <v>941</v>
      </c>
      <c r="F103" s="386">
        <v>0</v>
      </c>
      <c r="G103" s="386">
        <v>0</v>
      </c>
      <c r="H103" s="387">
        <v>0</v>
      </c>
      <c r="I103" s="388">
        <v>45509.609224537038</v>
      </c>
      <c r="J103" s="386">
        <v>1.0999999999999999E-2</v>
      </c>
      <c r="K103" s="386">
        <v>12.18</v>
      </c>
      <c r="L103" s="386">
        <v>3.0000000000000001E-3</v>
      </c>
      <c r="M103" s="386">
        <v>0.76</v>
      </c>
      <c r="N103" s="386">
        <v>1</v>
      </c>
      <c r="O103" s="378">
        <f t="shared" si="0"/>
        <v>1.0999999999999999E-2</v>
      </c>
      <c r="P103" s="400">
        <f t="shared" si="1"/>
        <v>3.0000000000000001E-3</v>
      </c>
      <c r="Q103" s="400">
        <f t="shared" ref="Q103:R103" si="44">O103</f>
        <v>1.0999999999999999E-2</v>
      </c>
      <c r="R103" s="400">
        <f t="shared" si="44"/>
        <v>3.0000000000000001E-3</v>
      </c>
      <c r="S103" s="378" t="s">
        <v>12</v>
      </c>
    </row>
    <row r="104" spans="1:19">
      <c r="A104" s="384">
        <v>45509</v>
      </c>
      <c r="B104" s="386">
        <v>581</v>
      </c>
      <c r="C104" s="386">
        <v>33</v>
      </c>
      <c r="D104" s="386">
        <v>13</v>
      </c>
      <c r="E104" s="386" t="s">
        <v>941</v>
      </c>
      <c r="F104" s="386">
        <v>0</v>
      </c>
      <c r="G104" s="386">
        <v>0</v>
      </c>
      <c r="H104" s="387">
        <v>0</v>
      </c>
      <c r="I104" s="388">
        <v>45509.610034722224</v>
      </c>
      <c r="J104" s="386">
        <v>1.0999999999999999E-2</v>
      </c>
      <c r="K104" s="386">
        <v>11.94</v>
      </c>
      <c r="L104" s="386">
        <v>6.0000000000000001E-3</v>
      </c>
      <c r="M104" s="386">
        <v>0.98</v>
      </c>
      <c r="N104" s="386">
        <v>1</v>
      </c>
      <c r="O104" s="378">
        <f t="shared" si="0"/>
        <v>1.0999999999999999E-2</v>
      </c>
      <c r="P104" s="400">
        <f t="shared" si="1"/>
        <v>6.0000000000000001E-3</v>
      </c>
      <c r="Q104" s="400">
        <f t="shared" ref="Q104:R104" si="45">O104</f>
        <v>1.0999999999999999E-2</v>
      </c>
      <c r="R104" s="400">
        <f t="shared" si="45"/>
        <v>6.0000000000000001E-3</v>
      </c>
      <c r="S104" s="378" t="s">
        <v>12</v>
      </c>
    </row>
    <row r="105" spans="1:19">
      <c r="A105" s="384">
        <v>45509</v>
      </c>
      <c r="B105" s="386">
        <v>334</v>
      </c>
      <c r="C105" s="386">
        <v>34</v>
      </c>
      <c r="D105" s="386">
        <v>14</v>
      </c>
      <c r="E105" s="386" t="s">
        <v>941</v>
      </c>
      <c r="F105" s="386">
        <v>0</v>
      </c>
      <c r="G105" s="386">
        <v>0</v>
      </c>
      <c r="H105" s="387">
        <v>0</v>
      </c>
      <c r="I105" s="388">
        <v>45509.610844907409</v>
      </c>
      <c r="J105" s="386">
        <v>0.01</v>
      </c>
      <c r="K105" s="386">
        <v>10.88</v>
      </c>
      <c r="L105" s="386">
        <v>3.0000000000000001E-3</v>
      </c>
      <c r="M105" s="386">
        <v>0.74</v>
      </c>
      <c r="N105" s="386">
        <v>1</v>
      </c>
      <c r="O105" s="378">
        <f t="shared" si="0"/>
        <v>0.01</v>
      </c>
      <c r="P105" s="400">
        <f t="shared" si="1"/>
        <v>3.0000000000000001E-3</v>
      </c>
      <c r="Q105" s="400">
        <f t="shared" ref="Q105:R105" si="46">O105</f>
        <v>0.01</v>
      </c>
      <c r="R105" s="400">
        <f t="shared" si="46"/>
        <v>3.0000000000000001E-3</v>
      </c>
      <c r="S105" s="378" t="s">
        <v>12</v>
      </c>
    </row>
    <row r="106" spans="1:19">
      <c r="A106" s="384">
        <v>45509</v>
      </c>
      <c r="B106" s="386">
        <v>373</v>
      </c>
      <c r="C106" s="386">
        <v>35</v>
      </c>
      <c r="D106" s="386">
        <v>15</v>
      </c>
      <c r="E106" s="386" t="s">
        <v>941</v>
      </c>
      <c r="F106" s="386">
        <v>0</v>
      </c>
      <c r="G106" s="386">
        <v>0</v>
      </c>
      <c r="H106" s="387">
        <v>0</v>
      </c>
      <c r="I106" s="388">
        <v>45509.611655092594</v>
      </c>
      <c r="J106" s="386">
        <v>8.0000000000000002E-3</v>
      </c>
      <c r="K106" s="386">
        <v>9.94</v>
      </c>
      <c r="L106" s="386">
        <v>4.0000000000000001E-3</v>
      </c>
      <c r="M106" s="386">
        <v>0.81</v>
      </c>
      <c r="N106" s="386">
        <v>1</v>
      </c>
      <c r="O106" s="378">
        <f t="shared" si="0"/>
        <v>8.0000000000000002E-3</v>
      </c>
      <c r="P106" s="400">
        <f t="shared" si="1"/>
        <v>4.0000000000000001E-3</v>
      </c>
      <c r="Q106" s="400">
        <f t="shared" ref="Q106:R106" si="47">O106</f>
        <v>8.0000000000000002E-3</v>
      </c>
      <c r="R106" s="400">
        <f t="shared" si="47"/>
        <v>4.0000000000000001E-3</v>
      </c>
      <c r="S106" s="378" t="s">
        <v>12</v>
      </c>
    </row>
    <row r="107" spans="1:19">
      <c r="A107" s="384">
        <v>45509</v>
      </c>
      <c r="B107" s="386">
        <v>516</v>
      </c>
      <c r="C107" s="386">
        <v>36</v>
      </c>
      <c r="D107" s="386">
        <v>16</v>
      </c>
      <c r="E107" s="386" t="s">
        <v>941</v>
      </c>
      <c r="F107" s="386">
        <v>0</v>
      </c>
      <c r="G107" s="386">
        <v>0</v>
      </c>
      <c r="H107" s="387">
        <v>0</v>
      </c>
      <c r="I107" s="388">
        <v>45509.61246527778</v>
      </c>
      <c r="J107" s="386">
        <v>5.0000000000000001E-3</v>
      </c>
      <c r="K107" s="386">
        <v>7.86</v>
      </c>
      <c r="L107" s="386">
        <v>2E-3</v>
      </c>
      <c r="M107" s="386">
        <v>0.72</v>
      </c>
      <c r="N107" s="386">
        <v>1</v>
      </c>
      <c r="O107" s="378">
        <f t="shared" si="0"/>
        <v>5.0000000000000001E-3</v>
      </c>
      <c r="P107" s="402">
        <f t="shared" si="1"/>
        <v>2E-3</v>
      </c>
      <c r="Q107" s="400">
        <f t="shared" ref="Q107:Q117" si="48">O107</f>
        <v>5.0000000000000001E-3</v>
      </c>
      <c r="R107" s="378" t="s">
        <v>973</v>
      </c>
      <c r="S107" s="378" t="s">
        <v>12</v>
      </c>
    </row>
    <row r="108" spans="1:19">
      <c r="A108" s="384">
        <v>45509</v>
      </c>
      <c r="B108" s="386">
        <v>568</v>
      </c>
      <c r="C108" s="386">
        <v>37</v>
      </c>
      <c r="D108" s="386">
        <v>17</v>
      </c>
      <c r="E108" s="386" t="s">
        <v>941</v>
      </c>
      <c r="F108" s="386">
        <v>0</v>
      </c>
      <c r="G108" s="386">
        <v>0</v>
      </c>
      <c r="H108" s="387">
        <v>0</v>
      </c>
      <c r="I108" s="388">
        <v>45509.613275462965</v>
      </c>
      <c r="J108" s="386">
        <v>1.7000000000000001E-2</v>
      </c>
      <c r="K108" s="386">
        <v>16.45</v>
      </c>
      <c r="L108" s="386">
        <v>3.0000000000000001E-3</v>
      </c>
      <c r="M108" s="386">
        <v>0.76</v>
      </c>
      <c r="N108" s="386">
        <v>1</v>
      </c>
      <c r="O108" s="378">
        <f t="shared" si="0"/>
        <v>1.7000000000000001E-2</v>
      </c>
      <c r="P108" s="400">
        <f t="shared" si="1"/>
        <v>3.0000000000000001E-3</v>
      </c>
      <c r="Q108" s="400">
        <f t="shared" si="48"/>
        <v>1.7000000000000001E-2</v>
      </c>
      <c r="R108" s="400">
        <f t="shared" ref="R108:R109" si="49">P108</f>
        <v>3.0000000000000001E-3</v>
      </c>
      <c r="S108" s="378" t="s">
        <v>12</v>
      </c>
    </row>
    <row r="109" spans="1:19">
      <c r="A109" s="384">
        <v>45509</v>
      </c>
      <c r="B109" s="386">
        <v>607</v>
      </c>
      <c r="C109" s="386">
        <v>38</v>
      </c>
      <c r="D109" s="386">
        <v>18</v>
      </c>
      <c r="E109" s="386" t="s">
        <v>941</v>
      </c>
      <c r="F109" s="386">
        <v>0</v>
      </c>
      <c r="G109" s="386">
        <v>0</v>
      </c>
      <c r="H109" s="387">
        <v>0</v>
      </c>
      <c r="I109" s="388">
        <v>45509.614085648151</v>
      </c>
      <c r="J109" s="386">
        <v>8.9999999999999993E-3</v>
      </c>
      <c r="K109" s="386">
        <v>10.48</v>
      </c>
      <c r="L109" s="386">
        <v>5.0000000000000001E-3</v>
      </c>
      <c r="M109" s="386">
        <v>0.9</v>
      </c>
      <c r="N109" s="386">
        <v>1</v>
      </c>
      <c r="O109" s="378">
        <f t="shared" si="0"/>
        <v>8.9999999999999993E-3</v>
      </c>
      <c r="P109" s="400">
        <f t="shared" si="1"/>
        <v>5.0000000000000001E-3</v>
      </c>
      <c r="Q109" s="400">
        <f t="shared" si="48"/>
        <v>8.9999999999999993E-3</v>
      </c>
      <c r="R109" s="400">
        <f t="shared" si="49"/>
        <v>5.0000000000000001E-3</v>
      </c>
      <c r="S109" s="378" t="s">
        <v>12</v>
      </c>
    </row>
    <row r="110" spans="1:19">
      <c r="A110" s="384">
        <v>45509</v>
      </c>
      <c r="B110" s="386">
        <v>620</v>
      </c>
      <c r="C110" s="386">
        <v>39</v>
      </c>
      <c r="D110" s="386">
        <v>19</v>
      </c>
      <c r="E110" s="386" t="s">
        <v>941</v>
      </c>
      <c r="F110" s="386">
        <v>0</v>
      </c>
      <c r="G110" s="386">
        <v>0</v>
      </c>
      <c r="H110" s="387">
        <v>0</v>
      </c>
      <c r="I110" s="388">
        <v>45509.614895833336</v>
      </c>
      <c r="J110" s="386">
        <v>0.01</v>
      </c>
      <c r="K110" s="386">
        <v>10.9</v>
      </c>
      <c r="L110" s="386">
        <v>2E-3</v>
      </c>
      <c r="M110" s="386">
        <v>0.71</v>
      </c>
      <c r="N110" s="386">
        <v>1</v>
      </c>
      <c r="O110" s="378">
        <f t="shared" si="0"/>
        <v>0.01</v>
      </c>
      <c r="P110" s="402">
        <f t="shared" si="1"/>
        <v>2E-3</v>
      </c>
      <c r="Q110" s="400">
        <f t="shared" si="48"/>
        <v>0.01</v>
      </c>
      <c r="R110" s="378" t="s">
        <v>973</v>
      </c>
      <c r="S110" s="378" t="s">
        <v>12</v>
      </c>
    </row>
    <row r="111" spans="1:19">
      <c r="A111" s="384">
        <v>45509</v>
      </c>
      <c r="B111" s="386">
        <v>555</v>
      </c>
      <c r="C111" s="386">
        <v>40</v>
      </c>
      <c r="D111" s="386">
        <v>20</v>
      </c>
      <c r="E111" s="386" t="s">
        <v>941</v>
      </c>
      <c r="F111" s="386">
        <v>0</v>
      </c>
      <c r="G111" s="386">
        <v>0</v>
      </c>
      <c r="H111" s="387">
        <v>0</v>
      </c>
      <c r="I111" s="388">
        <v>45509.615706018521</v>
      </c>
      <c r="J111" s="386">
        <v>8.0000000000000002E-3</v>
      </c>
      <c r="K111" s="386">
        <v>9.4499999999999993</v>
      </c>
      <c r="L111" s="386">
        <v>3.0000000000000001E-3</v>
      </c>
      <c r="M111" s="386">
        <v>0.77</v>
      </c>
      <c r="N111" s="386">
        <v>1</v>
      </c>
      <c r="O111" s="378">
        <f t="shared" si="0"/>
        <v>8.0000000000000002E-3</v>
      </c>
      <c r="P111" s="400">
        <f t="shared" si="1"/>
        <v>3.0000000000000001E-3</v>
      </c>
      <c r="Q111" s="400">
        <f t="shared" si="48"/>
        <v>8.0000000000000002E-3</v>
      </c>
      <c r="R111" s="400">
        <f t="shared" ref="R111:R117" si="50">P111</f>
        <v>3.0000000000000001E-3</v>
      </c>
      <c r="S111" s="378" t="s">
        <v>12</v>
      </c>
    </row>
    <row r="112" spans="1:19">
      <c r="A112" s="384">
        <v>45509</v>
      </c>
      <c r="B112" s="386">
        <v>503</v>
      </c>
      <c r="C112" s="386">
        <v>41</v>
      </c>
      <c r="D112" s="386">
        <v>21</v>
      </c>
      <c r="E112" s="386" t="s">
        <v>941</v>
      </c>
      <c r="F112" s="386">
        <v>0</v>
      </c>
      <c r="G112" s="386">
        <v>0</v>
      </c>
      <c r="H112" s="387">
        <v>0</v>
      </c>
      <c r="I112" s="388">
        <v>45509.616516203707</v>
      </c>
      <c r="J112" s="386">
        <v>8.0000000000000002E-3</v>
      </c>
      <c r="K112" s="386">
        <v>9.6</v>
      </c>
      <c r="L112" s="386">
        <v>4.0000000000000001E-3</v>
      </c>
      <c r="M112" s="386">
        <v>0.86</v>
      </c>
      <c r="N112" s="386">
        <v>1</v>
      </c>
      <c r="O112" s="378">
        <f t="shared" si="0"/>
        <v>8.0000000000000002E-3</v>
      </c>
      <c r="P112" s="400">
        <f t="shared" si="1"/>
        <v>4.0000000000000001E-3</v>
      </c>
      <c r="Q112" s="400">
        <f t="shared" si="48"/>
        <v>8.0000000000000002E-3</v>
      </c>
      <c r="R112" s="400">
        <f t="shared" si="50"/>
        <v>4.0000000000000001E-3</v>
      </c>
      <c r="S112" s="378" t="s">
        <v>12</v>
      </c>
    </row>
    <row r="113" spans="1:19">
      <c r="A113" s="384">
        <v>45509</v>
      </c>
      <c r="B113" s="386" t="s">
        <v>976</v>
      </c>
      <c r="C113" s="386">
        <v>42</v>
      </c>
      <c r="D113" s="386">
        <v>22</v>
      </c>
      <c r="E113" s="386" t="s">
        <v>943</v>
      </c>
      <c r="F113" s="386">
        <v>0</v>
      </c>
      <c r="G113" s="386">
        <v>0</v>
      </c>
      <c r="H113" s="387">
        <v>1</v>
      </c>
      <c r="I113" s="388">
        <v>45509.617326388892</v>
      </c>
      <c r="J113" s="386">
        <v>0.129</v>
      </c>
      <c r="K113" s="386">
        <v>98.66</v>
      </c>
      <c r="L113" s="386">
        <v>0.14899999999999999</v>
      </c>
      <c r="M113" s="386">
        <v>10.69</v>
      </c>
      <c r="N113" s="386">
        <v>1</v>
      </c>
      <c r="O113" s="378">
        <f t="shared" si="0"/>
        <v>0.129</v>
      </c>
      <c r="P113" s="400">
        <f t="shared" si="1"/>
        <v>0.14899999999999999</v>
      </c>
      <c r="Q113" s="400">
        <f t="shared" si="48"/>
        <v>0.129</v>
      </c>
      <c r="R113" s="400">
        <f t="shared" si="50"/>
        <v>0.14899999999999999</v>
      </c>
      <c r="S113" s="378" t="s">
        <v>12</v>
      </c>
    </row>
    <row r="114" spans="1:19">
      <c r="A114" s="384">
        <v>45509</v>
      </c>
      <c r="B114" s="386">
        <v>438</v>
      </c>
      <c r="C114" s="386">
        <v>43</v>
      </c>
      <c r="D114" s="386">
        <v>23</v>
      </c>
      <c r="E114" s="386" t="s">
        <v>941</v>
      </c>
      <c r="F114" s="386">
        <v>0</v>
      </c>
      <c r="G114" s="386">
        <v>0</v>
      </c>
      <c r="H114" s="387">
        <v>0</v>
      </c>
      <c r="I114" s="388">
        <v>45509.618136574078</v>
      </c>
      <c r="J114" s="386">
        <v>1.2E-2</v>
      </c>
      <c r="K114" s="386">
        <v>12.4</v>
      </c>
      <c r="L114" s="386">
        <v>5.0000000000000001E-3</v>
      </c>
      <c r="M114" s="386">
        <v>0.94</v>
      </c>
      <c r="N114" s="386">
        <v>1</v>
      </c>
      <c r="O114" s="378">
        <f t="shared" si="0"/>
        <v>1.2E-2</v>
      </c>
      <c r="P114" s="400">
        <f t="shared" si="1"/>
        <v>5.0000000000000001E-3</v>
      </c>
      <c r="Q114" s="400">
        <f t="shared" si="48"/>
        <v>1.2E-2</v>
      </c>
      <c r="R114" s="400">
        <f t="shared" si="50"/>
        <v>5.0000000000000001E-3</v>
      </c>
      <c r="S114" s="378" t="s">
        <v>12</v>
      </c>
    </row>
    <row r="115" spans="1:19">
      <c r="A115" s="384">
        <v>45509</v>
      </c>
      <c r="B115" s="386" t="s">
        <v>977</v>
      </c>
      <c r="C115" s="386">
        <v>44</v>
      </c>
      <c r="D115" s="386">
        <v>24</v>
      </c>
      <c r="E115" s="386" t="s">
        <v>943</v>
      </c>
      <c r="F115" s="386">
        <v>0</v>
      </c>
      <c r="G115" s="386">
        <v>0</v>
      </c>
      <c r="H115" s="387">
        <v>1</v>
      </c>
      <c r="I115" s="388">
        <v>45509.618946759256</v>
      </c>
      <c r="J115" s="386">
        <v>0.221</v>
      </c>
      <c r="K115" s="386">
        <v>166.03</v>
      </c>
      <c r="L115" s="386">
        <v>0.15</v>
      </c>
      <c r="M115" s="386">
        <v>10.72</v>
      </c>
      <c r="N115" s="386">
        <v>1</v>
      </c>
      <c r="O115" s="378">
        <f t="shared" si="0"/>
        <v>0.221</v>
      </c>
      <c r="P115" s="400">
        <f t="shared" si="1"/>
        <v>0.15</v>
      </c>
      <c r="Q115" s="400">
        <f t="shared" si="48"/>
        <v>0.221</v>
      </c>
      <c r="R115" s="400">
        <f t="shared" si="50"/>
        <v>0.15</v>
      </c>
      <c r="S115" s="378" t="s">
        <v>12</v>
      </c>
    </row>
    <row r="116" spans="1:19">
      <c r="A116" s="384">
        <v>45509</v>
      </c>
      <c r="B116" s="386" t="s">
        <v>974</v>
      </c>
      <c r="C116" s="386">
        <v>45</v>
      </c>
      <c r="D116" s="386">
        <v>908</v>
      </c>
      <c r="E116" s="386" t="s">
        <v>945</v>
      </c>
      <c r="F116" s="386">
        <v>0</v>
      </c>
      <c r="G116" s="386">
        <v>0</v>
      </c>
      <c r="H116" s="387">
        <v>0</v>
      </c>
      <c r="I116" s="388">
        <v>45509.619756944441</v>
      </c>
      <c r="J116" s="386">
        <v>0.17299999999999999</v>
      </c>
      <c r="K116" s="386">
        <v>130.81</v>
      </c>
      <c r="L116" s="386">
        <v>0.03</v>
      </c>
      <c r="M116" s="386">
        <v>2.58</v>
      </c>
      <c r="N116" s="386">
        <v>1</v>
      </c>
      <c r="O116" s="378">
        <f t="shared" si="0"/>
        <v>0.17299999999999999</v>
      </c>
      <c r="P116" s="400">
        <f t="shared" si="1"/>
        <v>0.03</v>
      </c>
      <c r="Q116" s="400">
        <f t="shared" si="48"/>
        <v>0.17299999999999999</v>
      </c>
      <c r="R116" s="400">
        <f t="shared" si="50"/>
        <v>0.03</v>
      </c>
      <c r="S116" s="378" t="s">
        <v>12</v>
      </c>
    </row>
    <row r="117" spans="1:19">
      <c r="A117" s="384">
        <v>45509</v>
      </c>
      <c r="B117" s="386" t="s">
        <v>969</v>
      </c>
      <c r="C117" s="386">
        <v>46</v>
      </c>
      <c r="D117" s="386">
        <v>909</v>
      </c>
      <c r="E117" s="386" t="s">
        <v>945</v>
      </c>
      <c r="F117" s="386">
        <v>0</v>
      </c>
      <c r="G117" s="386">
        <v>0</v>
      </c>
      <c r="H117" s="387">
        <v>0</v>
      </c>
      <c r="I117" s="388">
        <v>45509.620567129627</v>
      </c>
      <c r="J117" s="386">
        <v>0.161</v>
      </c>
      <c r="K117" s="386">
        <v>121.87</v>
      </c>
      <c r="L117" s="386">
        <v>2.9000000000000001E-2</v>
      </c>
      <c r="M117" s="386">
        <v>2.52</v>
      </c>
      <c r="N117" s="386">
        <v>1</v>
      </c>
      <c r="O117" s="378">
        <f t="shared" si="0"/>
        <v>0.161</v>
      </c>
      <c r="P117" s="400">
        <f t="shared" si="1"/>
        <v>2.9000000000000001E-2</v>
      </c>
      <c r="Q117" s="400">
        <f t="shared" si="48"/>
        <v>0.161</v>
      </c>
      <c r="R117" s="400">
        <f t="shared" si="50"/>
        <v>2.9000000000000001E-2</v>
      </c>
      <c r="S117" s="378" t="s">
        <v>12</v>
      </c>
    </row>
    <row r="118" spans="1:19">
      <c r="A118" s="384">
        <v>45509</v>
      </c>
      <c r="B118" s="386" t="s">
        <v>935</v>
      </c>
      <c r="C118" s="386">
        <v>47</v>
      </c>
      <c r="D118" s="386">
        <v>0</v>
      </c>
      <c r="E118" s="386" t="s">
        <v>936</v>
      </c>
      <c r="F118" s="386">
        <v>0</v>
      </c>
      <c r="G118" s="386">
        <v>0</v>
      </c>
      <c r="H118" s="387">
        <v>0</v>
      </c>
      <c r="I118" s="388">
        <v>45509.621377314812</v>
      </c>
      <c r="J118" s="386">
        <v>-5.0000000000000001E-3</v>
      </c>
      <c r="K118" s="386">
        <v>0</v>
      </c>
      <c r="L118" s="386">
        <v>-8.0000000000000002E-3</v>
      </c>
      <c r="M118" s="386">
        <v>0</v>
      </c>
      <c r="N118" s="386">
        <v>1</v>
      </c>
      <c r="O118" s="403">
        <f t="shared" si="0"/>
        <v>-5.0000000000000001E-3</v>
      </c>
      <c r="P118" s="402">
        <f t="shared" si="1"/>
        <v>-8.0000000000000002E-3</v>
      </c>
      <c r="Q118" s="400" t="s">
        <v>973</v>
      </c>
      <c r="R118" s="378" t="s">
        <v>973</v>
      </c>
      <c r="S118" s="378" t="s">
        <v>12</v>
      </c>
    </row>
    <row r="119" spans="1:19">
      <c r="A119" s="384">
        <v>45509</v>
      </c>
      <c r="B119" s="386" t="s">
        <v>79</v>
      </c>
      <c r="C119" s="386">
        <v>48</v>
      </c>
      <c r="D119" s="386">
        <v>906</v>
      </c>
      <c r="E119" s="386" t="s">
        <v>941</v>
      </c>
      <c r="F119" s="386">
        <v>0</v>
      </c>
      <c r="G119" s="386">
        <v>0</v>
      </c>
      <c r="H119" s="387">
        <v>0</v>
      </c>
      <c r="I119" s="388">
        <v>45509.623807870368</v>
      </c>
      <c r="J119" s="386">
        <v>-2E-3</v>
      </c>
      <c r="K119" s="386">
        <v>2.12</v>
      </c>
      <c r="L119" s="386">
        <v>-2E-3</v>
      </c>
      <c r="M119" s="386">
        <v>0.47</v>
      </c>
      <c r="N119" s="386">
        <v>1</v>
      </c>
      <c r="O119" s="403">
        <f t="shared" si="0"/>
        <v>-2E-3</v>
      </c>
      <c r="P119" s="402">
        <f t="shared" si="1"/>
        <v>-2E-3</v>
      </c>
      <c r="Q119" s="400" t="s">
        <v>973</v>
      </c>
      <c r="R119" s="378" t="s">
        <v>973</v>
      </c>
      <c r="S119" s="378" t="s">
        <v>12</v>
      </c>
    </row>
    <row r="120" spans="1:19">
      <c r="A120" s="384">
        <v>45509</v>
      </c>
      <c r="B120" s="386" t="s">
        <v>79</v>
      </c>
      <c r="C120" s="386">
        <v>49</v>
      </c>
      <c r="D120" s="386">
        <v>906</v>
      </c>
      <c r="E120" s="386" t="s">
        <v>941</v>
      </c>
      <c r="F120" s="386">
        <v>0</v>
      </c>
      <c r="G120" s="386">
        <v>0</v>
      </c>
      <c r="H120" s="387">
        <v>0</v>
      </c>
      <c r="I120" s="388">
        <v>45509.624618055554</v>
      </c>
      <c r="J120" s="386">
        <v>-3.0000000000000001E-3</v>
      </c>
      <c r="K120" s="386">
        <v>1.98</v>
      </c>
      <c r="L120" s="386">
        <v>0</v>
      </c>
      <c r="M120" s="386">
        <v>0.54</v>
      </c>
      <c r="N120" s="386">
        <v>1</v>
      </c>
      <c r="O120" s="403">
        <f t="shared" si="0"/>
        <v>-3.0000000000000001E-3</v>
      </c>
      <c r="P120" s="402">
        <f t="shared" si="1"/>
        <v>0</v>
      </c>
      <c r="Q120" s="400" t="s">
        <v>973</v>
      </c>
      <c r="R120" s="378" t="s">
        <v>973</v>
      </c>
      <c r="S120" s="378" t="s">
        <v>12</v>
      </c>
    </row>
    <row r="121" spans="1:19">
      <c r="A121" s="384">
        <v>45509</v>
      </c>
      <c r="B121" s="386" t="s">
        <v>79</v>
      </c>
      <c r="C121" s="386">
        <v>50</v>
      </c>
      <c r="D121" s="386">
        <v>906</v>
      </c>
      <c r="E121" s="386" t="s">
        <v>941</v>
      </c>
      <c r="F121" s="386">
        <v>0</v>
      </c>
      <c r="G121" s="386">
        <v>0</v>
      </c>
      <c r="H121" s="387">
        <v>0</v>
      </c>
      <c r="I121" s="388">
        <v>45509.625428240739</v>
      </c>
      <c r="J121" s="386">
        <v>-3.0000000000000001E-3</v>
      </c>
      <c r="K121" s="386">
        <v>1.87</v>
      </c>
      <c r="L121" s="386">
        <v>-1E-3</v>
      </c>
      <c r="M121" s="386">
        <v>0.49</v>
      </c>
      <c r="N121" s="386">
        <v>1</v>
      </c>
      <c r="O121" s="403">
        <f t="shared" si="0"/>
        <v>-3.0000000000000001E-3</v>
      </c>
      <c r="P121" s="402">
        <f t="shared" si="1"/>
        <v>-1E-3</v>
      </c>
      <c r="Q121" s="400" t="s">
        <v>973</v>
      </c>
      <c r="R121" s="378" t="s">
        <v>973</v>
      </c>
      <c r="S121" s="378" t="s">
        <v>12</v>
      </c>
    </row>
    <row r="122" spans="1:19">
      <c r="A122" s="384">
        <v>45509</v>
      </c>
      <c r="B122" s="386" t="s">
        <v>79</v>
      </c>
      <c r="C122" s="386">
        <v>51</v>
      </c>
      <c r="D122" s="386">
        <v>906</v>
      </c>
      <c r="E122" s="386" t="s">
        <v>941</v>
      </c>
      <c r="F122" s="386">
        <v>0</v>
      </c>
      <c r="G122" s="386">
        <v>0</v>
      </c>
      <c r="H122" s="387">
        <v>0</v>
      </c>
      <c r="I122" s="388">
        <v>45509.626238425924</v>
      </c>
      <c r="J122" s="386">
        <v>-3.0000000000000001E-3</v>
      </c>
      <c r="K122" s="386">
        <v>1.69</v>
      </c>
      <c r="L122" s="386">
        <v>0</v>
      </c>
      <c r="M122" s="386">
        <v>0.55000000000000004</v>
      </c>
      <c r="N122" s="386">
        <v>1</v>
      </c>
      <c r="O122" s="403">
        <f t="shared" si="0"/>
        <v>-3.0000000000000001E-3</v>
      </c>
      <c r="P122" s="402">
        <f t="shared" si="1"/>
        <v>0</v>
      </c>
      <c r="Q122" s="400" t="s">
        <v>973</v>
      </c>
      <c r="R122" s="378" t="s">
        <v>973</v>
      </c>
      <c r="S122" s="378" t="s">
        <v>12</v>
      </c>
    </row>
    <row r="123" spans="1:19">
      <c r="A123" s="384">
        <v>45509</v>
      </c>
      <c r="B123" s="386" t="s">
        <v>79</v>
      </c>
      <c r="C123" s="386">
        <v>52</v>
      </c>
      <c r="D123" s="386">
        <v>906</v>
      </c>
      <c r="E123" s="386" t="s">
        <v>941</v>
      </c>
      <c r="F123" s="386">
        <v>0</v>
      </c>
      <c r="G123" s="386">
        <v>0</v>
      </c>
      <c r="H123" s="387">
        <v>0</v>
      </c>
      <c r="I123" s="388">
        <v>45509.62704861111</v>
      </c>
      <c r="J123" s="386">
        <v>-4.0000000000000001E-3</v>
      </c>
      <c r="K123" s="386">
        <v>1.1599999999999999</v>
      </c>
      <c r="L123" s="386">
        <v>-2E-3</v>
      </c>
      <c r="M123" s="386">
        <v>0.43</v>
      </c>
      <c r="N123" s="386">
        <v>1</v>
      </c>
      <c r="O123" s="403">
        <f t="shared" si="0"/>
        <v>-4.0000000000000001E-3</v>
      </c>
      <c r="P123" s="402">
        <f t="shared" si="1"/>
        <v>-2E-3</v>
      </c>
      <c r="Q123" s="400" t="s">
        <v>973</v>
      </c>
      <c r="R123" s="378" t="s">
        <v>973</v>
      </c>
      <c r="S123" s="378" t="s">
        <v>12</v>
      </c>
    </row>
    <row r="124" spans="1:19">
      <c r="A124" s="384">
        <v>45509</v>
      </c>
      <c r="B124" s="386" t="s">
        <v>79</v>
      </c>
      <c r="C124" s="386">
        <v>53</v>
      </c>
      <c r="D124" s="386">
        <v>906</v>
      </c>
      <c r="E124" s="386" t="s">
        <v>941</v>
      </c>
      <c r="F124" s="386">
        <v>0</v>
      </c>
      <c r="G124" s="386">
        <v>0</v>
      </c>
      <c r="H124" s="387">
        <v>0</v>
      </c>
      <c r="I124" s="388">
        <v>45509.627858796295</v>
      </c>
      <c r="J124" s="386">
        <v>-4.0000000000000001E-3</v>
      </c>
      <c r="K124" s="386">
        <v>0.91</v>
      </c>
      <c r="L124" s="386">
        <v>-2E-3</v>
      </c>
      <c r="M124" s="386">
        <v>0.42</v>
      </c>
      <c r="N124" s="386">
        <v>1</v>
      </c>
      <c r="O124" s="403">
        <f t="shared" si="0"/>
        <v>-4.0000000000000001E-3</v>
      </c>
      <c r="P124" s="402">
        <f t="shared" si="1"/>
        <v>-2E-3</v>
      </c>
      <c r="Q124" s="400" t="s">
        <v>973</v>
      </c>
      <c r="R124" s="378" t="s">
        <v>973</v>
      </c>
      <c r="S124" s="378" t="s">
        <v>12</v>
      </c>
    </row>
    <row r="125" spans="1:19">
      <c r="A125" s="384">
        <v>45509</v>
      </c>
      <c r="B125" s="386" t="s">
        <v>79</v>
      </c>
      <c r="C125" s="386">
        <v>54</v>
      </c>
      <c r="D125" s="386">
        <v>906</v>
      </c>
      <c r="E125" s="386" t="s">
        <v>941</v>
      </c>
      <c r="F125" s="386">
        <v>0</v>
      </c>
      <c r="G125" s="386">
        <v>0</v>
      </c>
      <c r="H125" s="387">
        <v>0</v>
      </c>
      <c r="I125" s="388">
        <v>45509.628668981481</v>
      </c>
      <c r="J125" s="386">
        <v>-4.0000000000000001E-3</v>
      </c>
      <c r="K125" s="386">
        <v>0.76</v>
      </c>
      <c r="L125" s="386">
        <v>-2E-3</v>
      </c>
      <c r="M125" s="386">
        <v>0.43</v>
      </c>
      <c r="N125" s="386">
        <v>1</v>
      </c>
      <c r="O125" s="403">
        <f t="shared" si="0"/>
        <v>-4.0000000000000001E-3</v>
      </c>
      <c r="P125" s="402">
        <f t="shared" si="1"/>
        <v>-2E-3</v>
      </c>
      <c r="Q125" s="400" t="s">
        <v>973</v>
      </c>
      <c r="R125" s="378" t="s">
        <v>973</v>
      </c>
      <c r="S125" s="378" t="s">
        <v>12</v>
      </c>
    </row>
    <row r="126" spans="1:19">
      <c r="A126" s="384">
        <v>45509</v>
      </c>
      <c r="B126" s="386" t="s">
        <v>79</v>
      </c>
      <c r="C126" s="386">
        <v>55</v>
      </c>
      <c r="D126" s="386">
        <v>906</v>
      </c>
      <c r="E126" s="386" t="s">
        <v>941</v>
      </c>
      <c r="F126" s="386">
        <v>0</v>
      </c>
      <c r="G126" s="386">
        <v>0</v>
      </c>
      <c r="H126" s="387">
        <v>0</v>
      </c>
      <c r="I126" s="388">
        <v>45509.629479166666</v>
      </c>
      <c r="J126" s="386">
        <v>-4.0000000000000001E-3</v>
      </c>
      <c r="K126" s="386">
        <v>0.56999999999999995</v>
      </c>
      <c r="L126" s="386">
        <v>0</v>
      </c>
      <c r="M126" s="386">
        <v>0.56000000000000005</v>
      </c>
      <c r="N126" s="386">
        <v>1</v>
      </c>
      <c r="O126" s="403">
        <f t="shared" si="0"/>
        <v>-4.0000000000000001E-3</v>
      </c>
      <c r="P126" s="402">
        <f t="shared" si="1"/>
        <v>0</v>
      </c>
      <c r="Q126" s="400" t="s">
        <v>973</v>
      </c>
      <c r="R126" s="378" t="s">
        <v>973</v>
      </c>
      <c r="S126" s="378" t="s">
        <v>12</v>
      </c>
    </row>
    <row r="127" spans="1:19">
      <c r="A127" s="384">
        <v>45509</v>
      </c>
      <c r="B127" s="386" t="s">
        <v>79</v>
      </c>
      <c r="C127" s="386">
        <v>56</v>
      </c>
      <c r="D127" s="386">
        <v>906</v>
      </c>
      <c r="E127" s="386" t="s">
        <v>941</v>
      </c>
      <c r="F127" s="386">
        <v>0</v>
      </c>
      <c r="G127" s="386">
        <v>0</v>
      </c>
      <c r="H127" s="387">
        <v>0</v>
      </c>
      <c r="I127" s="388">
        <v>45509.630289351851</v>
      </c>
      <c r="J127" s="386">
        <v>-5.0000000000000001E-3</v>
      </c>
      <c r="K127" s="386">
        <v>0.31</v>
      </c>
      <c r="L127" s="386">
        <v>-2E-3</v>
      </c>
      <c r="M127" s="386">
        <v>0.45</v>
      </c>
      <c r="N127" s="386">
        <v>1</v>
      </c>
      <c r="O127" s="403">
        <f t="shared" si="0"/>
        <v>-5.0000000000000001E-3</v>
      </c>
      <c r="P127" s="402">
        <f t="shared" si="1"/>
        <v>-2E-3</v>
      </c>
      <c r="Q127" s="400" t="s">
        <v>973</v>
      </c>
      <c r="R127" s="378" t="s">
        <v>973</v>
      </c>
      <c r="S127" s="378" t="s">
        <v>12</v>
      </c>
    </row>
    <row r="128" spans="1:19">
      <c r="A128" s="384">
        <v>45509</v>
      </c>
      <c r="B128" s="386" t="s">
        <v>79</v>
      </c>
      <c r="C128" s="386">
        <v>57</v>
      </c>
      <c r="D128" s="386">
        <v>906</v>
      </c>
      <c r="E128" s="386" t="s">
        <v>941</v>
      </c>
      <c r="F128" s="386">
        <v>0</v>
      </c>
      <c r="G128" s="386">
        <v>0</v>
      </c>
      <c r="H128" s="387">
        <v>0</v>
      </c>
      <c r="I128" s="388">
        <v>45509.631099537037</v>
      </c>
      <c r="J128" s="386">
        <v>-2E-3</v>
      </c>
      <c r="K128" s="386">
        <v>2.37</v>
      </c>
      <c r="L128" s="386">
        <v>-2E-3</v>
      </c>
      <c r="M128" s="386">
        <v>0.47</v>
      </c>
      <c r="N128" s="386">
        <v>1</v>
      </c>
      <c r="O128" s="403">
        <f t="shared" si="0"/>
        <v>-2E-3</v>
      </c>
      <c r="P128" s="402">
        <f t="shared" si="1"/>
        <v>-2E-3</v>
      </c>
      <c r="Q128" s="400" t="s">
        <v>973</v>
      </c>
      <c r="R128" s="378" t="s">
        <v>973</v>
      </c>
      <c r="S128" s="378" t="s">
        <v>12</v>
      </c>
    </row>
    <row r="129" spans="1:19">
      <c r="A129" s="384">
        <v>45509</v>
      </c>
      <c r="B129" s="386" t="s">
        <v>958</v>
      </c>
      <c r="C129" s="386">
        <v>58</v>
      </c>
      <c r="D129" s="386">
        <v>907</v>
      </c>
      <c r="E129" s="386" t="s">
        <v>943</v>
      </c>
      <c r="F129" s="386">
        <v>0</v>
      </c>
      <c r="G129" s="386">
        <v>0</v>
      </c>
      <c r="H129" s="387">
        <v>1</v>
      </c>
      <c r="I129" s="388">
        <v>45509.631909722222</v>
      </c>
      <c r="J129" s="386">
        <v>0.156</v>
      </c>
      <c r="K129" s="386">
        <v>118.42</v>
      </c>
      <c r="L129" s="386">
        <v>0.14299999999999999</v>
      </c>
      <c r="M129" s="386">
        <v>10.25</v>
      </c>
      <c r="N129" s="386">
        <v>1</v>
      </c>
      <c r="O129" s="378">
        <f t="shared" si="0"/>
        <v>0.156</v>
      </c>
      <c r="P129" s="400">
        <f t="shared" si="1"/>
        <v>0.14299999999999999</v>
      </c>
      <c r="Q129" s="400">
        <f t="shared" ref="Q129:R129" si="51">O129</f>
        <v>0.156</v>
      </c>
      <c r="R129" s="400">
        <f t="shared" si="51"/>
        <v>0.14299999999999999</v>
      </c>
      <c r="S129" s="378" t="s">
        <v>12</v>
      </c>
    </row>
    <row r="130" spans="1:19">
      <c r="A130" s="384">
        <v>45509</v>
      </c>
      <c r="B130" s="386" t="s">
        <v>974</v>
      </c>
      <c r="C130" s="386">
        <v>59</v>
      </c>
      <c r="D130" s="386">
        <v>908</v>
      </c>
      <c r="E130" s="386" t="s">
        <v>945</v>
      </c>
      <c r="F130" s="386">
        <v>0</v>
      </c>
      <c r="G130" s="386">
        <v>0</v>
      </c>
      <c r="H130" s="387">
        <v>0</v>
      </c>
      <c r="I130" s="388">
        <v>45509.632719907408</v>
      </c>
      <c r="J130" s="386">
        <v>0.17399999999999999</v>
      </c>
      <c r="K130" s="386">
        <v>131.69999999999999</v>
      </c>
      <c r="L130" s="386">
        <v>2.9000000000000001E-2</v>
      </c>
      <c r="M130" s="386">
        <v>2.5499999999999998</v>
      </c>
      <c r="N130" s="386">
        <v>1</v>
      </c>
      <c r="O130" s="378">
        <f t="shared" si="0"/>
        <v>0.17399999999999999</v>
      </c>
      <c r="P130" s="400">
        <f t="shared" si="1"/>
        <v>2.9000000000000001E-2</v>
      </c>
      <c r="Q130" s="400">
        <f t="shared" ref="Q130:R130" si="52">O130</f>
        <v>0.17399999999999999</v>
      </c>
      <c r="R130" s="400">
        <f t="shared" si="52"/>
        <v>2.9000000000000001E-2</v>
      </c>
      <c r="S130" s="378" t="s">
        <v>12</v>
      </c>
    </row>
    <row r="131" spans="1:19">
      <c r="A131" s="384">
        <v>45509</v>
      </c>
      <c r="B131" s="386" t="s">
        <v>969</v>
      </c>
      <c r="C131" s="386">
        <v>60</v>
      </c>
      <c r="D131" s="386">
        <v>909</v>
      </c>
      <c r="E131" s="386" t="s">
        <v>945</v>
      </c>
      <c r="F131" s="386">
        <v>0</v>
      </c>
      <c r="G131" s="386">
        <v>0</v>
      </c>
      <c r="H131" s="386">
        <v>0</v>
      </c>
      <c r="I131" s="388">
        <v>45509.633530092593</v>
      </c>
      <c r="J131" s="386">
        <v>0.17599999999999999</v>
      </c>
      <c r="K131" s="386">
        <v>132.86000000000001</v>
      </c>
      <c r="L131" s="386">
        <v>2.9000000000000001E-2</v>
      </c>
      <c r="M131" s="386">
        <v>2.56</v>
      </c>
      <c r="N131" s="386">
        <v>1</v>
      </c>
      <c r="O131" s="378">
        <f t="shared" si="0"/>
        <v>0.17599999999999999</v>
      </c>
      <c r="P131" s="378">
        <f t="shared" si="1"/>
        <v>2.9000000000000001E-2</v>
      </c>
      <c r="Q131" s="378">
        <f t="shared" ref="Q131:R131" si="53">O131</f>
        <v>0.17599999999999999</v>
      </c>
      <c r="R131" s="378">
        <f t="shared" si="53"/>
        <v>2.9000000000000001E-2</v>
      </c>
      <c r="S131" s="378" t="s">
        <v>12</v>
      </c>
    </row>
    <row r="132" spans="1:19">
      <c r="A132" s="384">
        <v>45509</v>
      </c>
      <c r="B132" s="386" t="s">
        <v>935</v>
      </c>
      <c r="C132" s="386">
        <v>61</v>
      </c>
      <c r="D132" s="386">
        <v>0</v>
      </c>
      <c r="E132" s="386" t="s">
        <v>936</v>
      </c>
      <c r="F132" s="386">
        <v>0</v>
      </c>
      <c r="G132" s="386">
        <v>0</v>
      </c>
      <c r="H132" s="386">
        <v>0</v>
      </c>
      <c r="I132" s="388">
        <v>45509.634340277778</v>
      </c>
      <c r="J132" s="386">
        <v>-5.0000000000000001E-3</v>
      </c>
      <c r="K132" s="386">
        <v>0</v>
      </c>
      <c r="L132" s="386">
        <v>-8.0000000000000002E-3</v>
      </c>
      <c r="M132" s="386">
        <v>0</v>
      </c>
      <c r="N132" s="386">
        <v>1</v>
      </c>
      <c r="O132" s="403">
        <f t="shared" si="0"/>
        <v>-5.0000000000000001E-3</v>
      </c>
      <c r="P132" s="403">
        <f t="shared" si="1"/>
        <v>-8.0000000000000002E-3</v>
      </c>
      <c r="Q132" s="378" t="s">
        <v>973</v>
      </c>
      <c r="R132" s="378" t="s">
        <v>973</v>
      </c>
      <c r="S132" s="378" t="s">
        <v>12</v>
      </c>
    </row>
    <row r="133" spans="1:19">
      <c r="A133" s="384">
        <v>45509</v>
      </c>
      <c r="B133" s="386" t="s">
        <v>978</v>
      </c>
      <c r="C133" s="386">
        <v>62</v>
      </c>
      <c r="D133" s="386">
        <v>25</v>
      </c>
      <c r="E133" s="386" t="s">
        <v>941</v>
      </c>
      <c r="F133" s="386">
        <v>0</v>
      </c>
      <c r="G133" s="386">
        <v>0</v>
      </c>
      <c r="H133" s="386">
        <v>0</v>
      </c>
      <c r="I133" s="388">
        <v>45509.636770833335</v>
      </c>
      <c r="J133" s="386">
        <v>0.182</v>
      </c>
      <c r="K133" s="386">
        <v>137.47</v>
      </c>
      <c r="L133" s="386">
        <v>0.14799999999999999</v>
      </c>
      <c r="M133" s="386">
        <v>10.63</v>
      </c>
      <c r="N133" s="386">
        <v>1</v>
      </c>
      <c r="O133" s="378">
        <f t="shared" si="0"/>
        <v>0.182</v>
      </c>
      <c r="P133" s="378">
        <f t="shared" si="1"/>
        <v>0.14799999999999999</v>
      </c>
      <c r="Q133" s="378">
        <f t="shared" ref="Q133:R133" si="54">O133</f>
        <v>0.182</v>
      </c>
      <c r="R133" s="378">
        <f t="shared" si="54"/>
        <v>0.14799999999999999</v>
      </c>
      <c r="S133" s="378" t="s">
        <v>12</v>
      </c>
    </row>
    <row r="134" spans="1:19">
      <c r="A134" s="384">
        <v>45509</v>
      </c>
      <c r="B134" s="386" t="s">
        <v>979</v>
      </c>
      <c r="C134" s="386">
        <v>63</v>
      </c>
      <c r="D134" s="386">
        <v>26</v>
      </c>
      <c r="E134" s="386" t="s">
        <v>941</v>
      </c>
      <c r="F134" s="386">
        <v>0</v>
      </c>
      <c r="G134" s="386">
        <v>0</v>
      </c>
      <c r="H134" s="386">
        <v>0</v>
      </c>
      <c r="I134" s="388">
        <v>45509.63758101852</v>
      </c>
      <c r="J134" s="386">
        <v>0.17399999999999999</v>
      </c>
      <c r="K134" s="386">
        <v>131.63999999999999</v>
      </c>
      <c r="L134" s="386">
        <v>0.152</v>
      </c>
      <c r="M134" s="386">
        <v>10.87</v>
      </c>
      <c r="N134" s="386">
        <v>1</v>
      </c>
      <c r="O134" s="378">
        <f t="shared" si="0"/>
        <v>0.17399999999999999</v>
      </c>
      <c r="P134" s="378">
        <f t="shared" si="1"/>
        <v>0.152</v>
      </c>
      <c r="Q134" s="378">
        <f t="shared" ref="Q134:R134" si="55">O134</f>
        <v>0.17399999999999999</v>
      </c>
      <c r="R134" s="378">
        <f t="shared" si="55"/>
        <v>0.152</v>
      </c>
      <c r="S134" s="378" t="s">
        <v>12</v>
      </c>
    </row>
    <row r="135" spans="1:19">
      <c r="A135" s="384">
        <v>45509</v>
      </c>
      <c r="B135" s="386">
        <v>542</v>
      </c>
      <c r="C135" s="386">
        <v>64</v>
      </c>
      <c r="D135" s="386">
        <v>27</v>
      </c>
      <c r="E135" s="386" t="s">
        <v>941</v>
      </c>
      <c r="F135" s="386">
        <v>0</v>
      </c>
      <c r="G135" s="386">
        <v>0</v>
      </c>
      <c r="H135" s="386">
        <v>0</v>
      </c>
      <c r="I135" s="388">
        <v>45509.638391203705</v>
      </c>
      <c r="J135" s="386">
        <v>2.9000000000000001E-2</v>
      </c>
      <c r="K135" s="386">
        <v>24.81</v>
      </c>
      <c r="L135" s="386">
        <v>0.04</v>
      </c>
      <c r="M135" s="386">
        <v>3.31</v>
      </c>
      <c r="N135" s="386">
        <v>1</v>
      </c>
      <c r="O135" s="378">
        <f t="shared" si="0"/>
        <v>2.9000000000000001E-2</v>
      </c>
      <c r="P135" s="378">
        <f t="shared" si="1"/>
        <v>0.04</v>
      </c>
      <c r="Q135" s="378">
        <f t="shared" ref="Q135:R135" si="56">O135</f>
        <v>2.9000000000000001E-2</v>
      </c>
      <c r="R135" s="378">
        <f t="shared" si="56"/>
        <v>0.04</v>
      </c>
      <c r="S135" s="378" t="s">
        <v>12</v>
      </c>
    </row>
    <row r="136" spans="1:19">
      <c r="A136" s="384">
        <v>45509</v>
      </c>
      <c r="B136" s="386" t="s">
        <v>935</v>
      </c>
      <c r="C136" s="386">
        <v>65</v>
      </c>
      <c r="D136" s="386">
        <v>0</v>
      </c>
      <c r="E136" s="386" t="s">
        <v>936</v>
      </c>
      <c r="F136" s="386">
        <v>0</v>
      </c>
      <c r="G136" s="386">
        <v>0</v>
      </c>
      <c r="H136" s="386">
        <v>0</v>
      </c>
      <c r="I136" s="388">
        <v>45509.639201388891</v>
      </c>
      <c r="J136" s="386">
        <v>-5.0000000000000001E-3</v>
      </c>
      <c r="K136" s="386">
        <v>0</v>
      </c>
      <c r="L136" s="386">
        <v>-8.0000000000000002E-3</v>
      </c>
      <c r="M136" s="386">
        <v>0</v>
      </c>
      <c r="N136" s="386">
        <v>1</v>
      </c>
      <c r="O136" s="403">
        <f t="shared" si="0"/>
        <v>-5.0000000000000001E-3</v>
      </c>
      <c r="P136" s="403">
        <f t="shared" si="1"/>
        <v>-8.0000000000000002E-3</v>
      </c>
      <c r="Q136" s="378" t="s">
        <v>973</v>
      </c>
      <c r="R136" s="378" t="s">
        <v>973</v>
      </c>
      <c r="S136" s="378" t="s">
        <v>12</v>
      </c>
    </row>
    <row r="137" spans="1:19">
      <c r="A137" s="384">
        <v>45509</v>
      </c>
      <c r="B137" s="386" t="s">
        <v>930</v>
      </c>
      <c r="C137" s="386">
        <v>66</v>
      </c>
      <c r="D137" s="386">
        <v>921</v>
      </c>
      <c r="E137" s="386" t="s">
        <v>931</v>
      </c>
      <c r="F137" s="386">
        <v>0</v>
      </c>
      <c r="G137" s="386">
        <v>0</v>
      </c>
      <c r="H137" s="386">
        <v>0</v>
      </c>
      <c r="I137" s="388">
        <v>45509.641631944447</v>
      </c>
      <c r="J137" s="386">
        <v>0.19900000000000001</v>
      </c>
      <c r="K137" s="386">
        <v>149.88999999999999</v>
      </c>
      <c r="L137" s="386">
        <v>0.19900000000000001</v>
      </c>
      <c r="M137" s="386">
        <v>14.05</v>
      </c>
      <c r="N137" s="386">
        <v>1</v>
      </c>
      <c r="O137" s="378">
        <f t="shared" si="0"/>
        <v>0.19900000000000001</v>
      </c>
      <c r="P137" s="378">
        <f t="shared" si="1"/>
        <v>0.19900000000000001</v>
      </c>
      <c r="Q137" s="378">
        <f t="shared" ref="Q137:R137" si="57">O137</f>
        <v>0.19900000000000001</v>
      </c>
      <c r="R137" s="378">
        <f t="shared" si="57"/>
        <v>0.19900000000000001</v>
      </c>
      <c r="S137" s="378" t="s">
        <v>12</v>
      </c>
    </row>
    <row r="138" spans="1:19">
      <c r="A138" s="384">
        <v>45509</v>
      </c>
      <c r="B138" s="386" t="s">
        <v>959</v>
      </c>
      <c r="C138" s="386">
        <v>67</v>
      </c>
      <c r="D138" s="386">
        <v>0</v>
      </c>
      <c r="E138" s="386" t="s">
        <v>960</v>
      </c>
      <c r="F138" s="386">
        <v>0</v>
      </c>
      <c r="G138" s="386">
        <v>0</v>
      </c>
      <c r="H138" s="386">
        <v>0</v>
      </c>
      <c r="I138" s="388">
        <v>45509.642442129632</v>
      </c>
      <c r="J138" s="386">
        <v>-5.0000000000000001E-3</v>
      </c>
      <c r="K138" s="386">
        <v>0</v>
      </c>
      <c r="L138" s="386">
        <v>-8.0000000000000002E-3</v>
      </c>
      <c r="M138" s="386">
        <v>0</v>
      </c>
      <c r="N138" s="386">
        <v>1</v>
      </c>
      <c r="O138" s="403">
        <f t="shared" si="0"/>
        <v>-5.0000000000000001E-3</v>
      </c>
      <c r="P138" s="403">
        <f t="shared" si="1"/>
        <v>-8.0000000000000002E-3</v>
      </c>
      <c r="Q138" s="378" t="s">
        <v>973</v>
      </c>
      <c r="R138" s="378" t="s">
        <v>973</v>
      </c>
      <c r="S138" s="378" t="s">
        <v>12</v>
      </c>
    </row>
    <row r="139" spans="1:19">
      <c r="A139" s="293"/>
      <c r="B139" s="293"/>
      <c r="C139" s="293"/>
    </row>
    <row r="140" spans="1:19">
      <c r="A140" s="293"/>
      <c r="B140" s="293"/>
      <c r="C140" s="293"/>
    </row>
    <row r="141" spans="1:19">
      <c r="A141" s="293"/>
      <c r="B141" s="293"/>
      <c r="C141" s="293"/>
    </row>
    <row r="142" spans="1:19">
      <c r="A142" s="293"/>
      <c r="B142" s="293"/>
      <c r="C142" s="293"/>
    </row>
    <row r="143" spans="1:19">
      <c r="A143" s="293"/>
      <c r="B143" s="293"/>
      <c r="C143" s="293"/>
    </row>
    <row r="144" spans="1:19">
      <c r="A144" s="293"/>
      <c r="B144" s="293"/>
      <c r="C144" s="293"/>
    </row>
    <row r="145" spans="1:3">
      <c r="A145" s="293"/>
      <c r="B145" s="293"/>
      <c r="C145" s="293"/>
    </row>
    <row r="146" spans="1:3">
      <c r="A146" s="293"/>
      <c r="B146" s="293"/>
      <c r="C146" s="293"/>
    </row>
    <row r="147" spans="1:3">
      <c r="A147" s="293"/>
      <c r="B147" s="293"/>
      <c r="C147" s="293"/>
    </row>
    <row r="148" spans="1:3">
      <c r="A148" s="293"/>
      <c r="B148" s="293"/>
      <c r="C148" s="293"/>
    </row>
    <row r="149" spans="1:3">
      <c r="A149" s="293"/>
      <c r="B149" s="293"/>
      <c r="C149" s="293"/>
    </row>
    <row r="150" spans="1:3">
      <c r="A150" s="293"/>
      <c r="B150" s="293"/>
      <c r="C150" s="293"/>
    </row>
    <row r="151" spans="1:3">
      <c r="A151" s="293"/>
      <c r="B151" s="293"/>
      <c r="C151" s="293"/>
    </row>
    <row r="152" spans="1:3">
      <c r="A152" s="293"/>
      <c r="B152" s="293"/>
      <c r="C152" s="293"/>
    </row>
    <row r="153" spans="1:3">
      <c r="A153" s="293"/>
      <c r="B153" s="293"/>
      <c r="C153" s="293"/>
    </row>
    <row r="154" spans="1:3">
      <c r="A154" s="293"/>
      <c r="B154" s="293"/>
      <c r="C154" s="293"/>
    </row>
    <row r="155" spans="1:3">
      <c r="A155" s="293"/>
      <c r="B155" s="293"/>
      <c r="C155" s="293"/>
    </row>
    <row r="156" spans="1:3">
      <c r="A156" s="293"/>
      <c r="B156" s="293"/>
      <c r="C156" s="293"/>
    </row>
    <row r="157" spans="1:3">
      <c r="A157" s="293"/>
      <c r="B157" s="293"/>
      <c r="C157" s="293"/>
    </row>
    <row r="158" spans="1:3">
      <c r="A158" s="293"/>
      <c r="B158" s="293"/>
      <c r="C158" s="293"/>
    </row>
    <row r="159" spans="1:3">
      <c r="A159" s="293"/>
      <c r="B159" s="293"/>
      <c r="C159" s="293"/>
    </row>
    <row r="160" spans="1:3">
      <c r="A160" s="293"/>
      <c r="B160" s="293"/>
      <c r="C160" s="293"/>
    </row>
    <row r="161" spans="1:3">
      <c r="A161" s="293"/>
      <c r="B161" s="293"/>
      <c r="C161" s="293"/>
    </row>
    <row r="162" spans="1:3">
      <c r="A162" s="293"/>
      <c r="B162" s="293"/>
      <c r="C162" s="293"/>
    </row>
    <row r="163" spans="1:3">
      <c r="A163" s="293"/>
      <c r="B163" s="293"/>
      <c r="C163" s="293"/>
    </row>
    <row r="164" spans="1:3">
      <c r="A164" s="293"/>
      <c r="B164" s="293"/>
      <c r="C164" s="293"/>
    </row>
    <row r="165" spans="1:3">
      <c r="A165" s="293"/>
      <c r="B165" s="293"/>
      <c r="C165" s="293"/>
    </row>
    <row r="166" spans="1:3">
      <c r="A166" s="293"/>
      <c r="B166" s="293"/>
      <c r="C166" s="293"/>
    </row>
    <row r="167" spans="1:3">
      <c r="A167" s="293"/>
      <c r="B167" s="293"/>
      <c r="C167" s="293"/>
    </row>
    <row r="168" spans="1:3">
      <c r="A168" s="293"/>
      <c r="B168" s="293"/>
      <c r="C168" s="293"/>
    </row>
    <row r="169" spans="1:3">
      <c r="A169" s="293"/>
      <c r="B169" s="293"/>
      <c r="C169" s="293"/>
    </row>
    <row r="170" spans="1:3">
      <c r="A170" s="293"/>
      <c r="B170" s="293"/>
      <c r="C170" s="293"/>
    </row>
    <row r="171" spans="1:3">
      <c r="A171" s="293"/>
      <c r="B171" s="293"/>
      <c r="C171" s="293"/>
    </row>
    <row r="172" spans="1:3">
      <c r="A172" s="293"/>
      <c r="B172" s="293"/>
      <c r="C172" s="293"/>
    </row>
    <row r="173" spans="1:3">
      <c r="A173" s="293"/>
      <c r="B173" s="293"/>
      <c r="C173" s="293"/>
    </row>
    <row r="174" spans="1:3">
      <c r="A174" s="293"/>
      <c r="B174" s="293"/>
      <c r="C174" s="293"/>
    </row>
    <row r="175" spans="1:3">
      <c r="A175" s="293"/>
      <c r="B175" s="293"/>
      <c r="C175" s="293"/>
    </row>
    <row r="176" spans="1:3">
      <c r="A176" s="293"/>
      <c r="B176" s="293"/>
      <c r="C176" s="293"/>
    </row>
    <row r="177" spans="1:3">
      <c r="A177" s="293"/>
      <c r="B177" s="293"/>
      <c r="C177" s="293"/>
    </row>
    <row r="178" spans="1:3">
      <c r="A178" s="293"/>
      <c r="B178" s="293"/>
      <c r="C178" s="293"/>
    </row>
    <row r="179" spans="1:3">
      <c r="A179" s="293"/>
      <c r="B179" s="293"/>
      <c r="C179" s="293"/>
    </row>
    <row r="180" spans="1:3">
      <c r="A180" s="293"/>
      <c r="B180" s="293"/>
      <c r="C180" s="293"/>
    </row>
    <row r="181" spans="1:3">
      <c r="A181" s="293"/>
      <c r="B181" s="293"/>
      <c r="C181" s="293"/>
    </row>
    <row r="182" spans="1:3">
      <c r="A182" s="293"/>
      <c r="B182" s="293"/>
      <c r="C182" s="293"/>
    </row>
    <row r="183" spans="1:3">
      <c r="A183" s="293"/>
      <c r="B183" s="293"/>
      <c r="C183" s="293"/>
    </row>
    <row r="184" spans="1:3">
      <c r="A184" s="293"/>
      <c r="B184" s="293"/>
      <c r="C184" s="293"/>
    </row>
    <row r="185" spans="1:3">
      <c r="A185" s="293"/>
      <c r="B185" s="293"/>
      <c r="C185" s="293"/>
    </row>
    <row r="186" spans="1:3">
      <c r="A186" s="293"/>
      <c r="B186" s="293"/>
      <c r="C186" s="293"/>
    </row>
    <row r="187" spans="1:3">
      <c r="A187" s="293"/>
      <c r="B187" s="293"/>
      <c r="C187" s="293"/>
    </row>
    <row r="188" spans="1:3">
      <c r="A188" s="293"/>
      <c r="B188" s="293"/>
      <c r="C188" s="293"/>
    </row>
    <row r="189" spans="1:3">
      <c r="A189" s="293"/>
      <c r="B189" s="293"/>
      <c r="C189" s="293"/>
    </row>
    <row r="190" spans="1:3">
      <c r="A190" s="293"/>
      <c r="B190" s="293"/>
      <c r="C190" s="293"/>
    </row>
    <row r="191" spans="1:3">
      <c r="A191" s="293"/>
      <c r="B191" s="293"/>
      <c r="C191" s="293"/>
    </row>
    <row r="192" spans="1:3">
      <c r="A192" s="293"/>
      <c r="B192" s="293"/>
      <c r="C192" s="293"/>
    </row>
    <row r="193" spans="1:3">
      <c r="A193" s="293"/>
      <c r="B193" s="293"/>
      <c r="C193" s="293"/>
    </row>
    <row r="194" spans="1:3">
      <c r="A194" s="293"/>
      <c r="B194" s="293"/>
      <c r="C194" s="293"/>
    </row>
    <row r="195" spans="1:3">
      <c r="A195" s="293"/>
      <c r="B195" s="293"/>
      <c r="C195" s="293"/>
    </row>
    <row r="196" spans="1:3">
      <c r="A196" s="293"/>
      <c r="B196" s="293"/>
      <c r="C196" s="293"/>
    </row>
    <row r="197" spans="1:3">
      <c r="A197" s="293"/>
      <c r="B197" s="293"/>
      <c r="C197" s="293"/>
    </row>
    <row r="198" spans="1:3">
      <c r="A198" s="293"/>
      <c r="B198" s="293"/>
      <c r="C198" s="293"/>
    </row>
    <row r="199" spans="1:3">
      <c r="A199" s="293"/>
      <c r="B199" s="293"/>
      <c r="C199" s="293"/>
    </row>
    <row r="200" spans="1:3">
      <c r="A200" s="293"/>
      <c r="B200" s="293"/>
      <c r="C200" s="293"/>
    </row>
    <row r="201" spans="1:3">
      <c r="A201" s="293"/>
      <c r="B201" s="293"/>
      <c r="C201" s="293"/>
    </row>
    <row r="202" spans="1:3">
      <c r="A202" s="293"/>
      <c r="B202" s="293"/>
      <c r="C202" s="293"/>
    </row>
    <row r="203" spans="1:3">
      <c r="A203" s="293"/>
      <c r="B203" s="293"/>
      <c r="C203" s="293"/>
    </row>
    <row r="204" spans="1:3">
      <c r="A204" s="293"/>
      <c r="B204" s="293"/>
      <c r="C204" s="293"/>
    </row>
    <row r="205" spans="1:3">
      <c r="A205" s="293"/>
      <c r="B205" s="293"/>
      <c r="C205" s="293"/>
    </row>
    <row r="206" spans="1:3">
      <c r="A206" s="293"/>
      <c r="B206" s="293"/>
      <c r="C206" s="293"/>
    </row>
    <row r="207" spans="1:3">
      <c r="A207" s="293"/>
      <c r="B207" s="293"/>
      <c r="C207" s="293"/>
    </row>
    <row r="208" spans="1:3">
      <c r="A208" s="293"/>
      <c r="B208" s="293"/>
      <c r="C208" s="293"/>
    </row>
    <row r="209" spans="1:3">
      <c r="A209" s="293"/>
      <c r="B209" s="293"/>
      <c r="C209" s="293"/>
    </row>
    <row r="210" spans="1:3">
      <c r="A210" s="293"/>
      <c r="B210" s="293"/>
      <c r="C210" s="293"/>
    </row>
    <row r="211" spans="1:3">
      <c r="A211" s="293"/>
      <c r="B211" s="293"/>
      <c r="C211" s="293"/>
    </row>
    <row r="212" spans="1:3">
      <c r="A212" s="293"/>
      <c r="B212" s="293"/>
      <c r="C212" s="293"/>
    </row>
    <row r="213" spans="1:3">
      <c r="A213" s="293"/>
      <c r="B213" s="293"/>
      <c r="C213" s="293"/>
    </row>
    <row r="214" spans="1:3">
      <c r="A214" s="293"/>
      <c r="B214" s="293"/>
      <c r="C214" s="293"/>
    </row>
    <row r="215" spans="1:3">
      <c r="A215" s="293"/>
      <c r="B215" s="293"/>
      <c r="C215" s="293"/>
    </row>
    <row r="216" spans="1:3">
      <c r="A216" s="293"/>
      <c r="B216" s="293"/>
      <c r="C216" s="293"/>
    </row>
    <row r="217" spans="1:3">
      <c r="A217" s="293"/>
      <c r="B217" s="293"/>
      <c r="C217" s="293"/>
    </row>
    <row r="218" spans="1:3">
      <c r="A218" s="293"/>
      <c r="B218" s="293"/>
      <c r="C218" s="293"/>
    </row>
    <row r="219" spans="1:3">
      <c r="A219" s="293"/>
      <c r="B219" s="293"/>
      <c r="C219" s="293"/>
    </row>
    <row r="220" spans="1:3">
      <c r="A220" s="293"/>
      <c r="B220" s="293"/>
      <c r="C220" s="293"/>
    </row>
    <row r="221" spans="1:3">
      <c r="A221" s="293"/>
      <c r="B221" s="293"/>
      <c r="C221" s="293"/>
    </row>
    <row r="222" spans="1:3">
      <c r="A222" s="293"/>
      <c r="B222" s="293"/>
      <c r="C222" s="293"/>
    </row>
    <row r="223" spans="1:3">
      <c r="A223" s="293"/>
      <c r="B223" s="293"/>
      <c r="C223" s="293"/>
    </row>
    <row r="224" spans="1:3">
      <c r="A224" s="293"/>
      <c r="B224" s="293"/>
      <c r="C224" s="293"/>
    </row>
    <row r="225" spans="1:3">
      <c r="A225" s="293"/>
      <c r="B225" s="293"/>
      <c r="C225" s="293"/>
    </row>
    <row r="226" spans="1:3">
      <c r="A226" s="293"/>
      <c r="B226" s="293"/>
      <c r="C226" s="293"/>
    </row>
    <row r="227" spans="1:3">
      <c r="A227" s="293"/>
      <c r="B227" s="293"/>
      <c r="C227" s="293"/>
    </row>
    <row r="228" spans="1:3">
      <c r="A228" s="293"/>
      <c r="B228" s="293"/>
      <c r="C228" s="293"/>
    </row>
    <row r="229" spans="1:3">
      <c r="A229" s="293"/>
      <c r="B229" s="293"/>
      <c r="C229" s="293"/>
    </row>
    <row r="230" spans="1:3">
      <c r="A230" s="293"/>
      <c r="B230" s="293"/>
      <c r="C230" s="293"/>
    </row>
    <row r="231" spans="1:3">
      <c r="A231" s="293"/>
      <c r="B231" s="293"/>
      <c r="C231" s="293"/>
    </row>
    <row r="232" spans="1:3">
      <c r="A232" s="293"/>
      <c r="B232" s="293"/>
      <c r="C232" s="293"/>
    </row>
    <row r="233" spans="1:3">
      <c r="A233" s="293"/>
      <c r="B233" s="293"/>
      <c r="C233" s="293"/>
    </row>
    <row r="234" spans="1:3">
      <c r="A234" s="293"/>
      <c r="B234" s="293"/>
      <c r="C234" s="293"/>
    </row>
    <row r="235" spans="1:3">
      <c r="A235" s="293"/>
      <c r="B235" s="293"/>
      <c r="C235" s="293"/>
    </row>
    <row r="236" spans="1:3">
      <c r="A236" s="293"/>
      <c r="B236" s="293"/>
      <c r="C236" s="293"/>
    </row>
    <row r="237" spans="1:3">
      <c r="A237" s="293"/>
      <c r="B237" s="293"/>
      <c r="C237" s="293"/>
    </row>
    <row r="238" spans="1:3">
      <c r="A238" s="293"/>
      <c r="B238" s="293"/>
      <c r="C238" s="293"/>
    </row>
    <row r="239" spans="1:3">
      <c r="A239" s="293"/>
      <c r="B239" s="293"/>
      <c r="C239" s="293"/>
    </row>
    <row r="240" spans="1:3">
      <c r="A240" s="293"/>
      <c r="B240" s="293"/>
      <c r="C240" s="293"/>
    </row>
    <row r="241" spans="1:3">
      <c r="A241" s="293"/>
      <c r="B241" s="293"/>
      <c r="C241" s="293"/>
    </row>
    <row r="242" spans="1:3">
      <c r="A242" s="293"/>
      <c r="B242" s="293"/>
      <c r="C242" s="293"/>
    </row>
    <row r="243" spans="1:3">
      <c r="A243" s="293"/>
      <c r="B243" s="293"/>
      <c r="C243" s="293"/>
    </row>
    <row r="244" spans="1:3">
      <c r="A244" s="293"/>
      <c r="B244" s="293"/>
      <c r="C244" s="293"/>
    </row>
    <row r="245" spans="1:3">
      <c r="A245" s="293"/>
      <c r="B245" s="293"/>
      <c r="C245" s="293"/>
    </row>
    <row r="246" spans="1:3">
      <c r="A246" s="293"/>
      <c r="B246" s="293"/>
      <c r="C246" s="293"/>
    </row>
    <row r="247" spans="1:3">
      <c r="A247" s="293"/>
      <c r="B247" s="293"/>
      <c r="C247" s="293"/>
    </row>
    <row r="248" spans="1:3">
      <c r="A248" s="293"/>
      <c r="B248" s="293"/>
      <c r="C248" s="293"/>
    </row>
    <row r="249" spans="1:3">
      <c r="A249" s="293"/>
      <c r="B249" s="293"/>
      <c r="C249" s="293"/>
    </row>
    <row r="250" spans="1:3">
      <c r="A250" s="293"/>
      <c r="B250" s="293"/>
      <c r="C250" s="293"/>
    </row>
    <row r="251" spans="1:3">
      <c r="A251" s="293"/>
      <c r="B251" s="293"/>
      <c r="C251" s="293"/>
    </row>
    <row r="252" spans="1:3">
      <c r="A252" s="293"/>
      <c r="B252" s="293"/>
      <c r="C252" s="293"/>
    </row>
    <row r="253" spans="1:3">
      <c r="A253" s="293"/>
      <c r="B253" s="293"/>
      <c r="C253" s="293"/>
    </row>
    <row r="254" spans="1:3">
      <c r="A254" s="293"/>
      <c r="B254" s="293"/>
      <c r="C254" s="293"/>
    </row>
    <row r="255" spans="1:3">
      <c r="A255" s="293"/>
      <c r="B255" s="293"/>
      <c r="C255" s="293"/>
    </row>
    <row r="256" spans="1:3">
      <c r="A256" s="293"/>
      <c r="B256" s="293"/>
      <c r="C256" s="293"/>
    </row>
    <row r="257" spans="1:3">
      <c r="A257" s="293"/>
      <c r="B257" s="293"/>
      <c r="C257" s="293"/>
    </row>
    <row r="258" spans="1:3">
      <c r="A258" s="293"/>
      <c r="B258" s="293"/>
      <c r="C258" s="293"/>
    </row>
    <row r="259" spans="1:3">
      <c r="A259" s="293"/>
      <c r="B259" s="293"/>
      <c r="C259" s="293"/>
    </row>
    <row r="260" spans="1:3">
      <c r="A260" s="293"/>
      <c r="B260" s="293"/>
      <c r="C260" s="293"/>
    </row>
    <row r="261" spans="1:3">
      <c r="A261" s="293"/>
      <c r="B261" s="293"/>
      <c r="C261" s="293"/>
    </row>
    <row r="262" spans="1:3">
      <c r="A262" s="293"/>
      <c r="B262" s="293"/>
      <c r="C262" s="293"/>
    </row>
    <row r="263" spans="1:3">
      <c r="A263" s="293"/>
      <c r="B263" s="293"/>
      <c r="C263" s="293"/>
    </row>
    <row r="264" spans="1:3">
      <c r="A264" s="293"/>
      <c r="B264" s="293"/>
      <c r="C264" s="293"/>
    </row>
    <row r="265" spans="1:3">
      <c r="A265" s="293"/>
      <c r="B265" s="293"/>
      <c r="C265" s="293"/>
    </row>
    <row r="266" spans="1:3">
      <c r="A266" s="293"/>
      <c r="B266" s="293"/>
      <c r="C266" s="293"/>
    </row>
    <row r="267" spans="1:3">
      <c r="A267" s="293"/>
      <c r="B267" s="293"/>
      <c r="C267" s="293"/>
    </row>
    <row r="268" spans="1:3">
      <c r="A268" s="293"/>
      <c r="B268" s="293"/>
      <c r="C268" s="293"/>
    </row>
    <row r="269" spans="1:3">
      <c r="A269" s="293"/>
      <c r="B269" s="293"/>
      <c r="C269" s="293"/>
    </row>
    <row r="270" spans="1:3">
      <c r="A270" s="293"/>
      <c r="B270" s="293"/>
      <c r="C270" s="293"/>
    </row>
    <row r="271" spans="1:3">
      <c r="A271" s="293"/>
      <c r="B271" s="293"/>
      <c r="C271" s="293"/>
    </row>
    <row r="272" spans="1:3">
      <c r="A272" s="293"/>
      <c r="B272" s="293"/>
      <c r="C272" s="293"/>
    </row>
    <row r="273" spans="1:3">
      <c r="A273" s="293"/>
      <c r="B273" s="293"/>
      <c r="C273" s="293"/>
    </row>
    <row r="274" spans="1:3">
      <c r="A274" s="293"/>
      <c r="B274" s="293"/>
      <c r="C274" s="293"/>
    </row>
    <row r="275" spans="1:3">
      <c r="A275" s="293"/>
      <c r="B275" s="293"/>
      <c r="C275" s="293"/>
    </row>
    <row r="276" spans="1:3">
      <c r="A276" s="293"/>
      <c r="B276" s="293"/>
      <c r="C276" s="293"/>
    </row>
    <row r="277" spans="1:3">
      <c r="A277" s="293"/>
      <c r="B277" s="293"/>
      <c r="C277" s="293"/>
    </row>
    <row r="278" spans="1:3">
      <c r="A278" s="293"/>
      <c r="B278" s="293"/>
      <c r="C278" s="293"/>
    </row>
    <row r="279" spans="1:3">
      <c r="A279" s="293"/>
      <c r="B279" s="293"/>
      <c r="C279" s="293"/>
    </row>
    <row r="280" spans="1:3">
      <c r="A280" s="293"/>
      <c r="B280" s="293"/>
      <c r="C280" s="293"/>
    </row>
    <row r="281" spans="1:3">
      <c r="A281" s="293"/>
      <c r="B281" s="293"/>
      <c r="C281" s="293"/>
    </row>
    <row r="282" spans="1:3">
      <c r="A282" s="293"/>
      <c r="B282" s="293"/>
      <c r="C282" s="293"/>
    </row>
    <row r="283" spans="1:3">
      <c r="A283" s="293"/>
      <c r="B283" s="293"/>
      <c r="C283" s="293"/>
    </row>
    <row r="284" spans="1:3">
      <c r="A284" s="293"/>
      <c r="B284" s="293"/>
      <c r="C284" s="293"/>
    </row>
    <row r="285" spans="1:3">
      <c r="A285" s="293"/>
      <c r="B285" s="293"/>
      <c r="C285" s="293"/>
    </row>
    <row r="286" spans="1:3">
      <c r="A286" s="293"/>
      <c r="B286" s="293"/>
      <c r="C286" s="293"/>
    </row>
    <row r="287" spans="1:3">
      <c r="A287" s="293"/>
      <c r="B287" s="293"/>
      <c r="C287" s="293"/>
    </row>
    <row r="288" spans="1:3">
      <c r="A288" s="293"/>
      <c r="B288" s="293"/>
      <c r="C288" s="293"/>
    </row>
    <row r="289" spans="1:3">
      <c r="A289" s="293"/>
      <c r="B289" s="293"/>
      <c r="C289" s="293"/>
    </row>
    <row r="290" spans="1:3">
      <c r="A290" s="293"/>
      <c r="B290" s="293"/>
      <c r="C290" s="293"/>
    </row>
    <row r="291" spans="1:3">
      <c r="A291" s="293"/>
      <c r="B291" s="293"/>
      <c r="C291" s="293"/>
    </row>
    <row r="292" spans="1:3">
      <c r="A292" s="293"/>
      <c r="B292" s="293"/>
      <c r="C292" s="293"/>
    </row>
    <row r="293" spans="1:3">
      <c r="A293" s="293"/>
      <c r="B293" s="293"/>
      <c r="C293" s="293"/>
    </row>
    <row r="294" spans="1:3">
      <c r="A294" s="293"/>
      <c r="B294" s="293"/>
      <c r="C294" s="293"/>
    </row>
    <row r="295" spans="1:3">
      <c r="A295" s="293"/>
      <c r="B295" s="293"/>
      <c r="C295" s="293"/>
    </row>
    <row r="296" spans="1:3">
      <c r="A296" s="293"/>
      <c r="B296" s="293"/>
      <c r="C296" s="293"/>
    </row>
    <row r="297" spans="1:3">
      <c r="A297" s="293"/>
      <c r="B297" s="293"/>
      <c r="C297" s="293"/>
    </row>
    <row r="298" spans="1:3">
      <c r="A298" s="293"/>
      <c r="B298" s="293"/>
      <c r="C298" s="293"/>
    </row>
    <row r="299" spans="1:3">
      <c r="A299" s="293"/>
      <c r="B299" s="293"/>
      <c r="C299" s="293"/>
    </row>
    <row r="300" spans="1:3">
      <c r="A300" s="293"/>
      <c r="B300" s="293"/>
      <c r="C300" s="293"/>
    </row>
    <row r="301" spans="1:3">
      <c r="A301" s="293"/>
      <c r="B301" s="293"/>
      <c r="C301" s="293"/>
    </row>
    <row r="302" spans="1:3">
      <c r="A302" s="293"/>
      <c r="B302" s="293"/>
      <c r="C302" s="293"/>
    </row>
    <row r="303" spans="1:3">
      <c r="A303" s="293"/>
      <c r="B303" s="293"/>
      <c r="C303" s="293"/>
    </row>
    <row r="304" spans="1:3">
      <c r="A304" s="293"/>
      <c r="B304" s="293"/>
      <c r="C304" s="293"/>
    </row>
    <row r="305" spans="1:3">
      <c r="A305" s="293"/>
      <c r="B305" s="293"/>
      <c r="C305" s="293"/>
    </row>
    <row r="306" spans="1:3">
      <c r="A306" s="293"/>
      <c r="B306" s="293"/>
      <c r="C306" s="293"/>
    </row>
    <row r="307" spans="1:3">
      <c r="A307" s="293"/>
      <c r="B307" s="293"/>
      <c r="C307" s="293"/>
    </row>
    <row r="308" spans="1:3">
      <c r="A308" s="293"/>
      <c r="B308" s="293"/>
      <c r="C308" s="293"/>
    </row>
    <row r="309" spans="1:3">
      <c r="A309" s="293"/>
      <c r="B309" s="293"/>
      <c r="C309" s="293"/>
    </row>
    <row r="310" spans="1:3">
      <c r="A310" s="293"/>
      <c r="B310" s="293"/>
      <c r="C310" s="293"/>
    </row>
    <row r="311" spans="1:3">
      <c r="A311" s="293"/>
      <c r="B311" s="293"/>
      <c r="C311" s="293"/>
    </row>
    <row r="312" spans="1:3">
      <c r="A312" s="293"/>
      <c r="B312" s="293"/>
      <c r="C312" s="293"/>
    </row>
    <row r="313" spans="1:3">
      <c r="A313" s="293"/>
      <c r="B313" s="293"/>
      <c r="C313" s="293"/>
    </row>
    <row r="314" spans="1:3">
      <c r="A314" s="293"/>
      <c r="B314" s="293"/>
      <c r="C314" s="293"/>
    </row>
    <row r="315" spans="1:3">
      <c r="A315" s="293"/>
      <c r="B315" s="293"/>
      <c r="C315" s="293"/>
    </row>
    <row r="316" spans="1:3">
      <c r="A316" s="293"/>
      <c r="B316" s="293"/>
      <c r="C316" s="293"/>
    </row>
    <row r="317" spans="1:3">
      <c r="A317" s="293"/>
      <c r="B317" s="293"/>
      <c r="C317" s="293"/>
    </row>
    <row r="318" spans="1:3">
      <c r="A318" s="293"/>
      <c r="B318" s="293"/>
      <c r="C318" s="293"/>
    </row>
    <row r="319" spans="1:3">
      <c r="A319" s="293"/>
      <c r="B319" s="293"/>
      <c r="C319" s="293"/>
    </row>
    <row r="320" spans="1:3">
      <c r="A320" s="293"/>
      <c r="B320" s="293"/>
      <c r="C320" s="293"/>
    </row>
    <row r="321" spans="1:3">
      <c r="A321" s="293"/>
      <c r="B321" s="293"/>
      <c r="C321" s="293"/>
    </row>
    <row r="322" spans="1:3">
      <c r="A322" s="293"/>
      <c r="B322" s="293"/>
      <c r="C322" s="293"/>
    </row>
    <row r="323" spans="1:3">
      <c r="A323" s="293"/>
      <c r="B323" s="293"/>
      <c r="C323" s="293"/>
    </row>
    <row r="324" spans="1:3">
      <c r="A324" s="293"/>
      <c r="B324" s="293"/>
      <c r="C324" s="293"/>
    </row>
    <row r="325" spans="1:3">
      <c r="A325" s="293"/>
      <c r="B325" s="293"/>
      <c r="C325" s="293"/>
    </row>
    <row r="326" spans="1:3">
      <c r="A326" s="293"/>
      <c r="B326" s="293"/>
      <c r="C326" s="293"/>
    </row>
    <row r="327" spans="1:3">
      <c r="A327" s="293"/>
      <c r="B327" s="293"/>
      <c r="C327" s="293"/>
    </row>
    <row r="328" spans="1:3">
      <c r="A328" s="293"/>
      <c r="B328" s="293"/>
      <c r="C328" s="293"/>
    </row>
    <row r="329" spans="1:3">
      <c r="A329" s="293"/>
      <c r="B329" s="293"/>
      <c r="C329" s="293"/>
    </row>
    <row r="330" spans="1:3">
      <c r="A330" s="293"/>
      <c r="B330" s="293"/>
      <c r="C330" s="293"/>
    </row>
    <row r="331" spans="1:3">
      <c r="A331" s="293"/>
      <c r="B331" s="293"/>
      <c r="C331" s="293"/>
    </row>
    <row r="332" spans="1:3">
      <c r="A332" s="293"/>
      <c r="B332" s="293"/>
      <c r="C332" s="293"/>
    </row>
    <row r="333" spans="1:3">
      <c r="A333" s="293"/>
      <c r="B333" s="293"/>
      <c r="C333" s="293"/>
    </row>
    <row r="334" spans="1:3">
      <c r="A334" s="293"/>
      <c r="B334" s="293"/>
      <c r="C334" s="293"/>
    </row>
    <row r="335" spans="1:3">
      <c r="A335" s="293"/>
      <c r="B335" s="293"/>
      <c r="C335" s="293"/>
    </row>
    <row r="336" spans="1:3">
      <c r="A336" s="293"/>
      <c r="B336" s="293"/>
      <c r="C336" s="293"/>
    </row>
    <row r="337" spans="1:3">
      <c r="A337" s="293"/>
      <c r="B337" s="293"/>
      <c r="C337" s="293"/>
    </row>
    <row r="338" spans="1:3">
      <c r="A338" s="293"/>
      <c r="B338" s="293"/>
      <c r="C338" s="293"/>
    </row>
    <row r="339" spans="1:3">
      <c r="A339" s="293"/>
      <c r="B339" s="293"/>
      <c r="C339" s="293"/>
    </row>
    <row r="340" spans="1:3">
      <c r="A340" s="293"/>
      <c r="B340" s="293"/>
      <c r="C340" s="293"/>
    </row>
    <row r="341" spans="1:3">
      <c r="A341" s="293"/>
      <c r="B341" s="293"/>
      <c r="C341" s="293"/>
    </row>
    <row r="342" spans="1:3">
      <c r="A342" s="293"/>
      <c r="B342" s="293"/>
      <c r="C342" s="293"/>
    </row>
    <row r="343" spans="1:3">
      <c r="A343" s="293"/>
      <c r="B343" s="293"/>
      <c r="C343" s="293"/>
    </row>
    <row r="344" spans="1:3">
      <c r="A344" s="293"/>
      <c r="B344" s="293"/>
      <c r="C344" s="293"/>
    </row>
    <row r="345" spans="1:3">
      <c r="A345" s="293"/>
      <c r="B345" s="293"/>
      <c r="C345" s="293"/>
    </row>
    <row r="346" spans="1:3">
      <c r="A346" s="293"/>
      <c r="B346" s="293"/>
      <c r="C346" s="293"/>
    </row>
    <row r="347" spans="1:3">
      <c r="A347" s="293"/>
      <c r="B347" s="293"/>
      <c r="C347" s="293"/>
    </row>
    <row r="348" spans="1:3">
      <c r="A348" s="293"/>
      <c r="B348" s="293"/>
      <c r="C348" s="293"/>
    </row>
    <row r="349" spans="1:3">
      <c r="A349" s="293"/>
      <c r="B349" s="293"/>
      <c r="C349" s="293"/>
    </row>
    <row r="350" spans="1:3">
      <c r="A350" s="293"/>
      <c r="B350" s="293"/>
      <c r="C350" s="293"/>
    </row>
    <row r="351" spans="1:3">
      <c r="A351" s="293"/>
      <c r="B351" s="293"/>
      <c r="C351" s="293"/>
    </row>
    <row r="352" spans="1:3">
      <c r="A352" s="293"/>
      <c r="B352" s="293"/>
      <c r="C352" s="293"/>
    </row>
    <row r="353" spans="1:3">
      <c r="A353" s="293"/>
      <c r="B353" s="293"/>
      <c r="C353" s="293"/>
    </row>
    <row r="354" spans="1:3">
      <c r="A354" s="293"/>
      <c r="B354" s="293"/>
      <c r="C354" s="293"/>
    </row>
    <row r="355" spans="1:3">
      <c r="A355" s="293"/>
      <c r="B355" s="293"/>
      <c r="C355" s="293"/>
    </row>
    <row r="356" spans="1:3">
      <c r="A356" s="293"/>
      <c r="B356" s="293"/>
      <c r="C356" s="293"/>
    </row>
    <row r="357" spans="1:3">
      <c r="A357" s="293"/>
      <c r="B357" s="293"/>
      <c r="C357" s="293"/>
    </row>
    <row r="358" spans="1:3">
      <c r="A358" s="293"/>
      <c r="B358" s="293"/>
      <c r="C358" s="293"/>
    </row>
    <row r="359" spans="1:3">
      <c r="A359" s="293"/>
      <c r="B359" s="293"/>
      <c r="C359" s="293"/>
    </row>
    <row r="360" spans="1:3">
      <c r="A360" s="293"/>
      <c r="B360" s="293"/>
      <c r="C360" s="293"/>
    </row>
    <row r="361" spans="1:3">
      <c r="A361" s="293"/>
      <c r="B361" s="293"/>
      <c r="C361" s="293"/>
    </row>
    <row r="362" spans="1:3">
      <c r="A362" s="293"/>
      <c r="B362" s="293"/>
      <c r="C362" s="293"/>
    </row>
    <row r="363" spans="1:3">
      <c r="A363" s="293"/>
      <c r="B363" s="293"/>
      <c r="C363" s="293"/>
    </row>
    <row r="364" spans="1:3">
      <c r="A364" s="293"/>
      <c r="B364" s="293"/>
      <c r="C364" s="293"/>
    </row>
    <row r="365" spans="1:3">
      <c r="A365" s="293"/>
      <c r="B365" s="293"/>
      <c r="C365" s="293"/>
    </row>
    <row r="366" spans="1:3">
      <c r="A366" s="293"/>
      <c r="B366" s="293"/>
      <c r="C366" s="293"/>
    </row>
    <row r="367" spans="1:3">
      <c r="A367" s="293"/>
      <c r="B367" s="293"/>
      <c r="C367" s="293"/>
    </row>
    <row r="368" spans="1:3">
      <c r="A368" s="293"/>
      <c r="B368" s="293"/>
      <c r="C368" s="293"/>
    </row>
    <row r="369" spans="1:3">
      <c r="A369" s="293"/>
      <c r="B369" s="293"/>
      <c r="C369" s="293"/>
    </row>
    <row r="370" spans="1:3">
      <c r="A370" s="293"/>
      <c r="B370" s="293"/>
      <c r="C370" s="293"/>
    </row>
    <row r="371" spans="1:3">
      <c r="A371" s="293"/>
      <c r="B371" s="293"/>
      <c r="C371" s="293"/>
    </row>
    <row r="372" spans="1:3">
      <c r="A372" s="293"/>
      <c r="B372" s="293"/>
      <c r="C372" s="293"/>
    </row>
    <row r="373" spans="1:3">
      <c r="A373" s="293"/>
      <c r="B373" s="293"/>
      <c r="C373" s="293"/>
    </row>
    <row r="374" spans="1:3">
      <c r="A374" s="293"/>
      <c r="B374" s="293"/>
      <c r="C374" s="293"/>
    </row>
    <row r="375" spans="1:3">
      <c r="A375" s="293"/>
      <c r="B375" s="293"/>
      <c r="C375" s="293"/>
    </row>
    <row r="376" spans="1:3">
      <c r="A376" s="293"/>
      <c r="B376" s="293"/>
      <c r="C376" s="293"/>
    </row>
    <row r="377" spans="1:3">
      <c r="A377" s="293"/>
      <c r="B377" s="293"/>
      <c r="C377" s="293"/>
    </row>
    <row r="378" spans="1:3">
      <c r="A378" s="293"/>
      <c r="B378" s="293"/>
      <c r="C378" s="293"/>
    </row>
    <row r="379" spans="1:3">
      <c r="A379" s="293"/>
      <c r="B379" s="293"/>
      <c r="C379" s="293"/>
    </row>
    <row r="380" spans="1:3">
      <c r="A380" s="293"/>
      <c r="B380" s="293"/>
      <c r="C380" s="293"/>
    </row>
    <row r="381" spans="1:3">
      <c r="A381" s="293"/>
      <c r="B381" s="293"/>
      <c r="C381" s="293"/>
    </row>
    <row r="382" spans="1:3">
      <c r="A382" s="293"/>
      <c r="B382" s="293"/>
      <c r="C382" s="293"/>
    </row>
    <row r="383" spans="1:3">
      <c r="A383" s="293"/>
      <c r="B383" s="293"/>
      <c r="C383" s="293"/>
    </row>
    <row r="384" spans="1:3">
      <c r="A384" s="293"/>
      <c r="B384" s="293"/>
      <c r="C384" s="293"/>
    </row>
    <row r="385" spans="1:3">
      <c r="A385" s="293"/>
      <c r="B385" s="293"/>
      <c r="C385" s="293"/>
    </row>
    <row r="386" spans="1:3">
      <c r="A386" s="293"/>
      <c r="B386" s="293"/>
      <c r="C386" s="293"/>
    </row>
    <row r="387" spans="1:3">
      <c r="A387" s="293"/>
      <c r="B387" s="293"/>
      <c r="C387" s="293"/>
    </row>
    <row r="388" spans="1:3">
      <c r="A388" s="293"/>
      <c r="B388" s="293"/>
      <c r="C388" s="293"/>
    </row>
    <row r="389" spans="1:3">
      <c r="A389" s="293"/>
      <c r="B389" s="293"/>
      <c r="C389" s="293"/>
    </row>
    <row r="390" spans="1:3">
      <c r="A390" s="293"/>
      <c r="B390" s="293"/>
      <c r="C390" s="293"/>
    </row>
    <row r="391" spans="1:3">
      <c r="A391" s="293"/>
      <c r="B391" s="293"/>
      <c r="C391" s="293"/>
    </row>
    <row r="392" spans="1:3">
      <c r="A392" s="293"/>
      <c r="B392" s="293"/>
      <c r="C392" s="293"/>
    </row>
    <row r="393" spans="1:3">
      <c r="A393" s="293"/>
      <c r="B393" s="293"/>
      <c r="C393" s="293"/>
    </row>
    <row r="394" spans="1:3">
      <c r="A394" s="293"/>
      <c r="B394" s="293"/>
      <c r="C394" s="293"/>
    </row>
    <row r="395" spans="1:3">
      <c r="A395" s="293"/>
      <c r="B395" s="293"/>
      <c r="C395" s="293"/>
    </row>
    <row r="396" spans="1:3">
      <c r="A396" s="293"/>
      <c r="B396" s="293"/>
      <c r="C396" s="293"/>
    </row>
    <row r="397" spans="1:3">
      <c r="A397" s="293"/>
      <c r="B397" s="293"/>
      <c r="C397" s="293"/>
    </row>
    <row r="398" spans="1:3">
      <c r="A398" s="293"/>
      <c r="B398" s="293"/>
      <c r="C398" s="293"/>
    </row>
    <row r="399" spans="1:3">
      <c r="A399" s="293"/>
      <c r="B399" s="293"/>
      <c r="C399" s="293"/>
    </row>
    <row r="400" spans="1:3">
      <c r="A400" s="293"/>
      <c r="B400" s="293"/>
      <c r="C400" s="293"/>
    </row>
    <row r="401" spans="1:3">
      <c r="A401" s="293"/>
      <c r="B401" s="293"/>
      <c r="C401" s="293"/>
    </row>
    <row r="402" spans="1:3">
      <c r="A402" s="293"/>
      <c r="B402" s="293"/>
      <c r="C402" s="293"/>
    </row>
    <row r="403" spans="1:3">
      <c r="A403" s="293"/>
      <c r="B403" s="293"/>
      <c r="C403" s="293"/>
    </row>
    <row r="404" spans="1:3">
      <c r="A404" s="293"/>
      <c r="B404" s="293"/>
      <c r="C404" s="293"/>
    </row>
    <row r="405" spans="1:3">
      <c r="A405" s="293"/>
      <c r="B405" s="293"/>
      <c r="C405" s="293"/>
    </row>
    <row r="406" spans="1:3">
      <c r="A406" s="293"/>
      <c r="B406" s="293"/>
      <c r="C406" s="293"/>
    </row>
    <row r="407" spans="1:3">
      <c r="A407" s="293"/>
      <c r="B407" s="293"/>
      <c r="C407" s="293"/>
    </row>
    <row r="408" spans="1:3">
      <c r="A408" s="293"/>
      <c r="B408" s="293"/>
      <c r="C408" s="293"/>
    </row>
    <row r="409" spans="1:3">
      <c r="A409" s="293"/>
      <c r="B409" s="293"/>
      <c r="C409" s="293"/>
    </row>
    <row r="410" spans="1:3">
      <c r="A410" s="293"/>
      <c r="B410" s="293"/>
      <c r="C410" s="293"/>
    </row>
    <row r="411" spans="1:3">
      <c r="A411" s="293"/>
      <c r="B411" s="293"/>
      <c r="C411" s="293"/>
    </row>
    <row r="412" spans="1:3">
      <c r="A412" s="293"/>
      <c r="B412" s="293"/>
      <c r="C412" s="293"/>
    </row>
    <row r="413" spans="1:3">
      <c r="A413" s="293"/>
      <c r="B413" s="293"/>
      <c r="C413" s="293"/>
    </row>
    <row r="414" spans="1:3">
      <c r="A414" s="293"/>
      <c r="B414" s="293"/>
      <c r="C414" s="293"/>
    </row>
    <row r="415" spans="1:3">
      <c r="A415" s="293"/>
      <c r="B415" s="293"/>
      <c r="C415" s="293"/>
    </row>
    <row r="416" spans="1:3">
      <c r="A416" s="293"/>
      <c r="B416" s="293"/>
      <c r="C416" s="293"/>
    </row>
    <row r="417" spans="1:3">
      <c r="A417" s="293"/>
      <c r="B417" s="293"/>
      <c r="C417" s="293"/>
    </row>
    <row r="418" spans="1:3">
      <c r="A418" s="293"/>
      <c r="B418" s="293"/>
      <c r="C418" s="293"/>
    </row>
    <row r="419" spans="1:3">
      <c r="A419" s="293"/>
      <c r="B419" s="293"/>
      <c r="C419" s="293"/>
    </row>
    <row r="420" spans="1:3">
      <c r="A420" s="293"/>
      <c r="B420" s="293"/>
      <c r="C420" s="293"/>
    </row>
    <row r="421" spans="1:3">
      <c r="A421" s="293"/>
      <c r="B421" s="293"/>
      <c r="C421" s="293"/>
    </row>
    <row r="422" spans="1:3">
      <c r="A422" s="293"/>
      <c r="B422" s="293"/>
      <c r="C422" s="293"/>
    </row>
    <row r="423" spans="1:3">
      <c r="A423" s="293"/>
      <c r="B423" s="293"/>
      <c r="C423" s="293"/>
    </row>
    <row r="424" spans="1:3">
      <c r="A424" s="293"/>
      <c r="B424" s="293"/>
      <c r="C424" s="293"/>
    </row>
    <row r="425" spans="1:3">
      <c r="A425" s="293"/>
      <c r="B425" s="293"/>
      <c r="C425" s="293"/>
    </row>
    <row r="426" spans="1:3">
      <c r="A426" s="293"/>
      <c r="B426" s="293"/>
      <c r="C426" s="293"/>
    </row>
    <row r="427" spans="1:3">
      <c r="A427" s="293"/>
      <c r="B427" s="293"/>
      <c r="C427" s="293"/>
    </row>
    <row r="428" spans="1:3">
      <c r="A428" s="293"/>
      <c r="B428" s="293"/>
      <c r="C428" s="293"/>
    </row>
    <row r="429" spans="1:3">
      <c r="A429" s="293"/>
      <c r="B429" s="293"/>
      <c r="C429" s="293"/>
    </row>
    <row r="430" spans="1:3">
      <c r="A430" s="293"/>
      <c r="B430" s="293"/>
      <c r="C430" s="293"/>
    </row>
    <row r="431" spans="1:3">
      <c r="A431" s="293"/>
      <c r="B431" s="293"/>
      <c r="C431" s="293"/>
    </row>
    <row r="432" spans="1:3">
      <c r="A432" s="293"/>
      <c r="B432" s="293"/>
      <c r="C432" s="293"/>
    </row>
    <row r="433" spans="1:3">
      <c r="A433" s="293"/>
      <c r="B433" s="293"/>
      <c r="C433" s="293"/>
    </row>
    <row r="434" spans="1:3">
      <c r="A434" s="293"/>
      <c r="B434" s="293"/>
      <c r="C434" s="293"/>
    </row>
    <row r="435" spans="1:3">
      <c r="A435" s="293"/>
      <c r="B435" s="293"/>
      <c r="C435" s="293"/>
    </row>
    <row r="436" spans="1:3">
      <c r="A436" s="293"/>
      <c r="B436" s="293"/>
      <c r="C436" s="293"/>
    </row>
    <row r="437" spans="1:3">
      <c r="A437" s="293"/>
      <c r="B437" s="293"/>
      <c r="C437" s="293"/>
    </row>
    <row r="438" spans="1:3">
      <c r="A438" s="293"/>
      <c r="B438" s="293"/>
      <c r="C438" s="293"/>
    </row>
    <row r="439" spans="1:3">
      <c r="A439" s="293"/>
      <c r="B439" s="293"/>
      <c r="C439" s="293"/>
    </row>
    <row r="440" spans="1:3">
      <c r="A440" s="293"/>
      <c r="B440" s="293"/>
      <c r="C440" s="293"/>
    </row>
    <row r="441" spans="1:3">
      <c r="A441" s="293"/>
      <c r="B441" s="293"/>
      <c r="C441" s="293"/>
    </row>
    <row r="442" spans="1:3">
      <c r="A442" s="293"/>
      <c r="B442" s="293"/>
      <c r="C442" s="293"/>
    </row>
    <row r="443" spans="1:3">
      <c r="A443" s="293"/>
      <c r="B443" s="293"/>
      <c r="C443" s="293"/>
    </row>
    <row r="444" spans="1:3">
      <c r="A444" s="293"/>
      <c r="B444" s="293"/>
      <c r="C444" s="293"/>
    </row>
    <row r="445" spans="1:3">
      <c r="A445" s="293"/>
      <c r="B445" s="293"/>
      <c r="C445" s="293"/>
    </row>
    <row r="446" spans="1:3">
      <c r="A446" s="293"/>
      <c r="B446" s="293"/>
      <c r="C446" s="293"/>
    </row>
    <row r="447" spans="1:3">
      <c r="A447" s="293"/>
      <c r="B447" s="293"/>
      <c r="C447" s="293"/>
    </row>
    <row r="448" spans="1:3">
      <c r="A448" s="293"/>
      <c r="B448" s="293"/>
      <c r="C448" s="293"/>
    </row>
    <row r="449" spans="1:3">
      <c r="A449" s="293"/>
      <c r="B449" s="293"/>
      <c r="C449" s="293"/>
    </row>
    <row r="450" spans="1:3">
      <c r="A450" s="293"/>
      <c r="B450" s="293"/>
      <c r="C450" s="293"/>
    </row>
    <row r="451" spans="1:3">
      <c r="A451" s="293"/>
      <c r="B451" s="293"/>
      <c r="C451" s="293"/>
    </row>
    <row r="452" spans="1:3">
      <c r="A452" s="293"/>
      <c r="B452" s="293"/>
      <c r="C452" s="293"/>
    </row>
    <row r="453" spans="1:3">
      <c r="A453" s="293"/>
      <c r="B453" s="293"/>
      <c r="C453" s="293"/>
    </row>
    <row r="454" spans="1:3">
      <c r="A454" s="293"/>
      <c r="B454" s="293"/>
      <c r="C454" s="293"/>
    </row>
    <row r="455" spans="1:3">
      <c r="A455" s="293"/>
      <c r="B455" s="293"/>
      <c r="C455" s="293"/>
    </row>
    <row r="456" spans="1:3">
      <c r="A456" s="293"/>
      <c r="B456" s="293"/>
      <c r="C456" s="293"/>
    </row>
    <row r="457" spans="1:3">
      <c r="A457" s="293"/>
      <c r="B457" s="293"/>
      <c r="C457" s="293"/>
    </row>
    <row r="458" spans="1:3">
      <c r="A458" s="293"/>
      <c r="B458" s="293"/>
      <c r="C458" s="293"/>
    </row>
    <row r="459" spans="1:3">
      <c r="A459" s="293"/>
      <c r="B459" s="293"/>
      <c r="C459" s="293"/>
    </row>
    <row r="460" spans="1:3">
      <c r="A460" s="293"/>
      <c r="B460" s="293"/>
      <c r="C460" s="293"/>
    </row>
    <row r="461" spans="1:3">
      <c r="A461" s="293"/>
      <c r="B461" s="293"/>
      <c r="C461" s="293"/>
    </row>
    <row r="462" spans="1:3">
      <c r="A462" s="293"/>
      <c r="B462" s="293"/>
      <c r="C462" s="293"/>
    </row>
    <row r="463" spans="1:3">
      <c r="A463" s="293"/>
      <c r="B463" s="293"/>
      <c r="C463" s="293"/>
    </row>
    <row r="464" spans="1:3">
      <c r="A464" s="293"/>
      <c r="B464" s="293"/>
      <c r="C464" s="293"/>
    </row>
    <row r="465" spans="1:3">
      <c r="A465" s="293"/>
      <c r="B465" s="293"/>
      <c r="C465" s="293"/>
    </row>
    <row r="466" spans="1:3">
      <c r="A466" s="293"/>
      <c r="B466" s="293"/>
      <c r="C466" s="293"/>
    </row>
    <row r="467" spans="1:3">
      <c r="A467" s="293"/>
      <c r="B467" s="293"/>
      <c r="C467" s="293"/>
    </row>
    <row r="468" spans="1:3">
      <c r="A468" s="293"/>
      <c r="B468" s="293"/>
      <c r="C468" s="293"/>
    </row>
    <row r="469" spans="1:3">
      <c r="A469" s="293"/>
      <c r="B469" s="293"/>
      <c r="C469" s="293"/>
    </row>
    <row r="470" spans="1:3">
      <c r="A470" s="293"/>
      <c r="B470" s="293"/>
      <c r="C470" s="293"/>
    </row>
    <row r="471" spans="1:3">
      <c r="A471" s="293"/>
      <c r="B471" s="293"/>
      <c r="C471" s="293"/>
    </row>
    <row r="472" spans="1:3">
      <c r="A472" s="293"/>
      <c r="B472" s="293"/>
      <c r="C472" s="293"/>
    </row>
    <row r="473" spans="1:3">
      <c r="A473" s="293"/>
      <c r="B473" s="293"/>
      <c r="C473" s="293"/>
    </row>
    <row r="474" spans="1:3">
      <c r="A474" s="293"/>
      <c r="B474" s="293"/>
      <c r="C474" s="293"/>
    </row>
    <row r="475" spans="1:3">
      <c r="A475" s="293"/>
      <c r="B475" s="293"/>
      <c r="C475" s="293"/>
    </row>
    <row r="476" spans="1:3">
      <c r="A476" s="293"/>
      <c r="B476" s="293"/>
      <c r="C476" s="293"/>
    </row>
    <row r="477" spans="1:3">
      <c r="A477" s="293"/>
      <c r="B477" s="293"/>
      <c r="C477" s="293"/>
    </row>
    <row r="478" spans="1:3">
      <c r="A478" s="293"/>
      <c r="B478" s="293"/>
      <c r="C478" s="293"/>
    </row>
    <row r="479" spans="1:3">
      <c r="A479" s="293"/>
      <c r="B479" s="293"/>
      <c r="C479" s="293"/>
    </row>
    <row r="480" spans="1:3">
      <c r="A480" s="293"/>
      <c r="B480" s="293"/>
      <c r="C480" s="293"/>
    </row>
    <row r="481" spans="1:3">
      <c r="A481" s="293"/>
      <c r="B481" s="293"/>
      <c r="C481" s="293"/>
    </row>
    <row r="482" spans="1:3">
      <c r="A482" s="293"/>
      <c r="B482" s="293"/>
      <c r="C482" s="293"/>
    </row>
    <row r="483" spans="1:3">
      <c r="A483" s="293"/>
      <c r="B483" s="293"/>
      <c r="C483" s="293"/>
    </row>
    <row r="484" spans="1:3">
      <c r="A484" s="293"/>
      <c r="B484" s="293"/>
      <c r="C484" s="293"/>
    </row>
    <row r="485" spans="1:3">
      <c r="A485" s="293"/>
      <c r="B485" s="293"/>
      <c r="C485" s="293"/>
    </row>
    <row r="486" spans="1:3">
      <c r="A486" s="293"/>
      <c r="B486" s="293"/>
      <c r="C486" s="293"/>
    </row>
    <row r="487" spans="1:3">
      <c r="A487" s="293"/>
      <c r="B487" s="293"/>
      <c r="C487" s="293"/>
    </row>
    <row r="488" spans="1:3">
      <c r="A488" s="293"/>
      <c r="B488" s="293"/>
      <c r="C488" s="293"/>
    </row>
    <row r="489" spans="1:3">
      <c r="A489" s="293"/>
      <c r="B489" s="293"/>
      <c r="C489" s="293"/>
    </row>
    <row r="490" spans="1:3">
      <c r="A490" s="293"/>
      <c r="B490" s="293"/>
      <c r="C490" s="293"/>
    </row>
    <row r="491" spans="1:3">
      <c r="A491" s="293"/>
      <c r="B491" s="293"/>
      <c r="C491" s="293"/>
    </row>
    <row r="492" spans="1:3">
      <c r="A492" s="293"/>
      <c r="B492" s="293"/>
      <c r="C492" s="293"/>
    </row>
    <row r="493" spans="1:3">
      <c r="A493" s="293"/>
      <c r="B493" s="293"/>
      <c r="C493" s="293"/>
    </row>
    <row r="494" spans="1:3">
      <c r="A494" s="293"/>
      <c r="B494" s="293"/>
      <c r="C494" s="293"/>
    </row>
    <row r="495" spans="1:3">
      <c r="A495" s="293"/>
      <c r="B495" s="293"/>
      <c r="C495" s="293"/>
    </row>
    <row r="496" spans="1:3">
      <c r="A496" s="293"/>
      <c r="B496" s="293"/>
      <c r="C496" s="293"/>
    </row>
    <row r="497" spans="1:3">
      <c r="A497" s="293"/>
      <c r="B497" s="293"/>
      <c r="C497" s="293"/>
    </row>
    <row r="498" spans="1:3">
      <c r="A498" s="293"/>
      <c r="B498" s="293"/>
      <c r="C498" s="293"/>
    </row>
    <row r="499" spans="1:3">
      <c r="A499" s="293"/>
      <c r="B499" s="293"/>
      <c r="C499" s="293"/>
    </row>
    <row r="500" spans="1:3">
      <c r="A500" s="293"/>
      <c r="B500" s="293"/>
      <c r="C500" s="293"/>
    </row>
    <row r="501" spans="1:3">
      <c r="A501" s="293"/>
      <c r="B501" s="293"/>
      <c r="C501" s="293"/>
    </row>
    <row r="502" spans="1:3">
      <c r="A502" s="293"/>
      <c r="B502" s="293"/>
      <c r="C502" s="293"/>
    </row>
    <row r="503" spans="1:3">
      <c r="A503" s="293"/>
      <c r="B503" s="293"/>
      <c r="C503" s="293"/>
    </row>
    <row r="504" spans="1:3">
      <c r="A504" s="293"/>
      <c r="B504" s="293"/>
      <c r="C504" s="293"/>
    </row>
    <row r="505" spans="1:3">
      <c r="A505" s="293"/>
      <c r="B505" s="293"/>
      <c r="C505" s="293"/>
    </row>
    <row r="506" spans="1:3">
      <c r="A506" s="293"/>
      <c r="B506" s="293"/>
      <c r="C506" s="293"/>
    </row>
    <row r="507" spans="1:3">
      <c r="A507" s="293"/>
      <c r="B507" s="293"/>
      <c r="C507" s="293"/>
    </row>
    <row r="508" spans="1:3">
      <c r="A508" s="293"/>
      <c r="B508" s="293"/>
      <c r="C508" s="293"/>
    </row>
    <row r="509" spans="1:3">
      <c r="A509" s="293"/>
      <c r="B509" s="293"/>
      <c r="C509" s="293"/>
    </row>
    <row r="510" spans="1:3">
      <c r="A510" s="293"/>
      <c r="B510" s="293"/>
      <c r="C510" s="293"/>
    </row>
    <row r="511" spans="1:3">
      <c r="A511" s="293"/>
      <c r="B511" s="293"/>
      <c r="C511" s="293"/>
    </row>
    <row r="512" spans="1:3">
      <c r="A512" s="293"/>
      <c r="B512" s="293"/>
      <c r="C512" s="293"/>
    </row>
    <row r="513" spans="1:3">
      <c r="A513" s="293"/>
      <c r="B513" s="293"/>
      <c r="C513" s="293"/>
    </row>
    <row r="514" spans="1:3">
      <c r="A514" s="293"/>
      <c r="B514" s="293"/>
      <c r="C514" s="293"/>
    </row>
    <row r="515" spans="1:3">
      <c r="A515" s="293"/>
      <c r="B515" s="293"/>
      <c r="C515" s="293"/>
    </row>
    <row r="516" spans="1:3">
      <c r="A516" s="293"/>
      <c r="B516" s="293"/>
      <c r="C516" s="293"/>
    </row>
    <row r="517" spans="1:3">
      <c r="A517" s="293"/>
      <c r="B517" s="293"/>
      <c r="C517" s="293"/>
    </row>
    <row r="518" spans="1:3">
      <c r="A518" s="293"/>
      <c r="B518" s="293"/>
      <c r="C518" s="293"/>
    </row>
    <row r="519" spans="1:3">
      <c r="A519" s="293"/>
      <c r="B519" s="293"/>
      <c r="C519" s="293"/>
    </row>
    <row r="520" spans="1:3">
      <c r="A520" s="293"/>
      <c r="B520" s="293"/>
      <c r="C520" s="293"/>
    </row>
    <row r="521" spans="1:3">
      <c r="A521" s="293"/>
      <c r="B521" s="293"/>
      <c r="C521" s="293"/>
    </row>
    <row r="522" spans="1:3">
      <c r="A522" s="293"/>
      <c r="B522" s="293"/>
      <c r="C522" s="293"/>
    </row>
    <row r="523" spans="1:3">
      <c r="A523" s="293"/>
      <c r="B523" s="293"/>
      <c r="C523" s="293"/>
    </row>
    <row r="524" spans="1:3">
      <c r="A524" s="293"/>
      <c r="B524" s="293"/>
      <c r="C524" s="293"/>
    </row>
    <row r="525" spans="1:3">
      <c r="A525" s="293"/>
      <c r="B525" s="293"/>
      <c r="C525" s="293"/>
    </row>
    <row r="526" spans="1:3">
      <c r="A526" s="293"/>
      <c r="B526" s="293"/>
      <c r="C526" s="293"/>
    </row>
    <row r="527" spans="1:3">
      <c r="A527" s="293"/>
      <c r="B527" s="293"/>
      <c r="C527" s="293"/>
    </row>
    <row r="528" spans="1:3">
      <c r="A528" s="293"/>
      <c r="B528" s="293"/>
      <c r="C528" s="293"/>
    </row>
    <row r="529" spans="1:3">
      <c r="A529" s="293"/>
      <c r="B529" s="293"/>
      <c r="C529" s="293"/>
    </row>
    <row r="530" spans="1:3">
      <c r="A530" s="293"/>
      <c r="B530" s="293"/>
      <c r="C530" s="293"/>
    </row>
    <row r="531" spans="1:3">
      <c r="A531" s="293"/>
      <c r="B531" s="293"/>
      <c r="C531" s="293"/>
    </row>
    <row r="532" spans="1:3">
      <c r="A532" s="293"/>
      <c r="B532" s="293"/>
      <c r="C532" s="293"/>
    </row>
    <row r="533" spans="1:3">
      <c r="A533" s="293"/>
      <c r="B533" s="293"/>
      <c r="C533" s="293"/>
    </row>
    <row r="534" spans="1:3">
      <c r="A534" s="293"/>
      <c r="B534" s="293"/>
      <c r="C534" s="293"/>
    </row>
    <row r="535" spans="1:3">
      <c r="A535" s="293"/>
      <c r="B535" s="293"/>
      <c r="C535" s="293"/>
    </row>
    <row r="536" spans="1:3">
      <c r="A536" s="293"/>
      <c r="B536" s="293"/>
      <c r="C536" s="293"/>
    </row>
    <row r="537" spans="1:3">
      <c r="A537" s="293"/>
      <c r="B537" s="293"/>
      <c r="C537" s="293"/>
    </row>
    <row r="538" spans="1:3">
      <c r="A538" s="293"/>
      <c r="B538" s="293"/>
      <c r="C538" s="293"/>
    </row>
    <row r="539" spans="1:3">
      <c r="A539" s="293"/>
      <c r="B539" s="293"/>
      <c r="C539" s="293"/>
    </row>
    <row r="540" spans="1:3">
      <c r="A540" s="293"/>
      <c r="B540" s="293"/>
      <c r="C540" s="293"/>
    </row>
    <row r="541" spans="1:3">
      <c r="A541" s="293"/>
      <c r="B541" s="293"/>
      <c r="C541" s="293"/>
    </row>
    <row r="542" spans="1:3">
      <c r="A542" s="293"/>
      <c r="B542" s="293"/>
      <c r="C542" s="293"/>
    </row>
    <row r="543" spans="1:3">
      <c r="A543" s="293"/>
      <c r="B543" s="293"/>
      <c r="C543" s="293"/>
    </row>
    <row r="544" spans="1:3">
      <c r="A544" s="293"/>
      <c r="B544" s="293"/>
      <c r="C544" s="293"/>
    </row>
    <row r="545" spans="1:3">
      <c r="A545" s="293"/>
      <c r="B545" s="293"/>
      <c r="C545" s="293"/>
    </row>
    <row r="546" spans="1:3">
      <c r="A546" s="293"/>
      <c r="B546" s="293"/>
      <c r="C546" s="293"/>
    </row>
    <row r="547" spans="1:3">
      <c r="A547" s="293"/>
      <c r="B547" s="293"/>
      <c r="C547" s="293"/>
    </row>
    <row r="548" spans="1:3">
      <c r="A548" s="293"/>
      <c r="B548" s="293"/>
      <c r="C548" s="293"/>
    </row>
    <row r="549" spans="1:3">
      <c r="A549" s="293"/>
      <c r="B549" s="293"/>
      <c r="C549" s="293"/>
    </row>
    <row r="550" spans="1:3">
      <c r="A550" s="293"/>
      <c r="B550" s="293"/>
      <c r="C550" s="293"/>
    </row>
    <row r="551" spans="1:3">
      <c r="A551" s="293"/>
      <c r="B551" s="293"/>
      <c r="C551" s="293"/>
    </row>
    <row r="552" spans="1:3">
      <c r="A552" s="293"/>
      <c r="B552" s="293"/>
      <c r="C552" s="293"/>
    </row>
    <row r="553" spans="1:3">
      <c r="A553" s="293"/>
      <c r="B553" s="293"/>
      <c r="C553" s="293"/>
    </row>
    <row r="554" spans="1:3">
      <c r="A554" s="293"/>
      <c r="B554" s="293"/>
      <c r="C554" s="293"/>
    </row>
    <row r="555" spans="1:3">
      <c r="A555" s="293"/>
      <c r="B555" s="293"/>
      <c r="C555" s="293"/>
    </row>
    <row r="556" spans="1:3">
      <c r="A556" s="293"/>
      <c r="B556" s="293"/>
      <c r="C556" s="293"/>
    </row>
    <row r="557" spans="1:3">
      <c r="A557" s="293"/>
      <c r="B557" s="293"/>
      <c r="C557" s="293"/>
    </row>
    <row r="558" spans="1:3">
      <c r="A558" s="293"/>
      <c r="B558" s="293"/>
      <c r="C558" s="293"/>
    </row>
    <row r="559" spans="1:3">
      <c r="A559" s="293"/>
      <c r="B559" s="293"/>
      <c r="C559" s="293"/>
    </row>
    <row r="560" spans="1:3">
      <c r="A560" s="293"/>
      <c r="B560" s="293"/>
      <c r="C560" s="293"/>
    </row>
    <row r="561" spans="1:3">
      <c r="A561" s="293"/>
      <c r="B561" s="293"/>
      <c r="C561" s="293"/>
    </row>
    <row r="562" spans="1:3">
      <c r="A562" s="293"/>
      <c r="B562" s="293"/>
      <c r="C562" s="293"/>
    </row>
    <row r="563" spans="1:3">
      <c r="A563" s="293"/>
      <c r="B563" s="293"/>
      <c r="C563" s="293"/>
    </row>
    <row r="564" spans="1:3">
      <c r="A564" s="293"/>
      <c r="B564" s="293"/>
      <c r="C564" s="293"/>
    </row>
    <row r="565" spans="1:3">
      <c r="A565" s="293"/>
      <c r="B565" s="293"/>
      <c r="C565" s="293"/>
    </row>
    <row r="566" spans="1:3">
      <c r="A566" s="293"/>
      <c r="B566" s="293"/>
      <c r="C566" s="293"/>
    </row>
    <row r="567" spans="1:3">
      <c r="A567" s="293"/>
      <c r="B567" s="293"/>
      <c r="C567" s="293"/>
    </row>
    <row r="568" spans="1:3">
      <c r="A568" s="293"/>
      <c r="B568" s="293"/>
      <c r="C568" s="293"/>
    </row>
    <row r="569" spans="1:3">
      <c r="A569" s="293"/>
      <c r="B569" s="293"/>
      <c r="C569" s="293"/>
    </row>
    <row r="570" spans="1:3">
      <c r="A570" s="293"/>
      <c r="B570" s="293"/>
      <c r="C570" s="293"/>
    </row>
    <row r="571" spans="1:3">
      <c r="A571" s="293"/>
      <c r="B571" s="293"/>
      <c r="C571" s="293"/>
    </row>
    <row r="572" spans="1:3">
      <c r="A572" s="293"/>
      <c r="B572" s="293"/>
      <c r="C572" s="293"/>
    </row>
    <row r="573" spans="1:3">
      <c r="A573" s="293"/>
      <c r="B573" s="293"/>
      <c r="C573" s="293"/>
    </row>
    <row r="574" spans="1:3">
      <c r="A574" s="293"/>
      <c r="B574" s="293"/>
      <c r="C574" s="293"/>
    </row>
    <row r="575" spans="1:3">
      <c r="A575" s="293"/>
      <c r="B575" s="293"/>
      <c r="C575" s="293"/>
    </row>
    <row r="576" spans="1:3">
      <c r="A576" s="293"/>
      <c r="B576" s="293"/>
      <c r="C576" s="293"/>
    </row>
    <row r="577" spans="1:3">
      <c r="A577" s="293"/>
      <c r="B577" s="293"/>
      <c r="C577" s="293"/>
    </row>
    <row r="578" spans="1:3">
      <c r="A578" s="293"/>
      <c r="B578" s="293"/>
      <c r="C578" s="293"/>
    </row>
    <row r="579" spans="1:3">
      <c r="A579" s="293"/>
      <c r="B579" s="293"/>
      <c r="C579" s="293"/>
    </row>
    <row r="580" spans="1:3">
      <c r="A580" s="293"/>
      <c r="B580" s="293"/>
      <c r="C580" s="293"/>
    </row>
    <row r="581" spans="1:3">
      <c r="A581" s="293"/>
      <c r="B581" s="293"/>
      <c r="C581" s="293"/>
    </row>
    <row r="582" spans="1:3">
      <c r="A582" s="293"/>
      <c r="B582" s="293"/>
      <c r="C582" s="293"/>
    </row>
    <row r="583" spans="1:3">
      <c r="A583" s="293"/>
      <c r="B583" s="293"/>
      <c r="C583" s="293"/>
    </row>
    <row r="584" spans="1:3">
      <c r="A584" s="293"/>
      <c r="B584" s="293"/>
      <c r="C584" s="293"/>
    </row>
    <row r="585" spans="1:3">
      <c r="A585" s="293"/>
      <c r="B585" s="293"/>
      <c r="C585" s="293"/>
    </row>
    <row r="586" spans="1:3">
      <c r="A586" s="293"/>
      <c r="B586" s="293"/>
      <c r="C586" s="293"/>
    </row>
    <row r="587" spans="1:3">
      <c r="A587" s="293"/>
      <c r="B587" s="293"/>
      <c r="C587" s="293"/>
    </row>
    <row r="588" spans="1:3">
      <c r="A588" s="293"/>
      <c r="B588" s="293"/>
      <c r="C588" s="293"/>
    </row>
    <row r="589" spans="1:3">
      <c r="A589" s="293"/>
      <c r="B589" s="293"/>
      <c r="C589" s="293"/>
    </row>
    <row r="590" spans="1:3">
      <c r="A590" s="293"/>
      <c r="B590" s="293"/>
      <c r="C590" s="293"/>
    </row>
    <row r="591" spans="1:3">
      <c r="A591" s="293"/>
      <c r="B591" s="293"/>
      <c r="C591" s="293"/>
    </row>
    <row r="592" spans="1:3">
      <c r="A592" s="293"/>
      <c r="B592" s="293"/>
      <c r="C592" s="293"/>
    </row>
    <row r="593" spans="1:3">
      <c r="A593" s="293"/>
      <c r="B593" s="293"/>
      <c r="C593" s="293"/>
    </row>
    <row r="594" spans="1:3">
      <c r="A594" s="293"/>
      <c r="B594" s="293"/>
      <c r="C594" s="293"/>
    </row>
    <row r="595" spans="1:3">
      <c r="A595" s="293"/>
      <c r="B595" s="293"/>
      <c r="C595" s="293"/>
    </row>
    <row r="596" spans="1:3">
      <c r="A596" s="293"/>
      <c r="B596" s="293"/>
      <c r="C596" s="293"/>
    </row>
    <row r="597" spans="1:3">
      <c r="A597" s="293"/>
      <c r="B597" s="293"/>
      <c r="C597" s="293"/>
    </row>
    <row r="598" spans="1:3">
      <c r="A598" s="293"/>
      <c r="B598" s="293"/>
      <c r="C598" s="293"/>
    </row>
    <row r="599" spans="1:3">
      <c r="A599" s="293"/>
      <c r="B599" s="293"/>
      <c r="C599" s="293"/>
    </row>
    <row r="600" spans="1:3">
      <c r="A600" s="293"/>
      <c r="B600" s="293"/>
      <c r="C600" s="293"/>
    </row>
    <row r="601" spans="1:3">
      <c r="A601" s="293"/>
      <c r="B601" s="293"/>
      <c r="C601" s="293"/>
    </row>
    <row r="602" spans="1:3">
      <c r="A602" s="293"/>
      <c r="B602" s="293"/>
      <c r="C602" s="293"/>
    </row>
    <row r="603" spans="1:3">
      <c r="A603" s="293"/>
      <c r="B603" s="293"/>
      <c r="C603" s="293"/>
    </row>
    <row r="604" spans="1:3">
      <c r="A604" s="293"/>
      <c r="B604" s="293"/>
      <c r="C604" s="293"/>
    </row>
    <row r="605" spans="1:3">
      <c r="A605" s="293"/>
      <c r="B605" s="293"/>
      <c r="C605" s="293"/>
    </row>
    <row r="606" spans="1:3">
      <c r="A606" s="293"/>
      <c r="B606" s="293"/>
      <c r="C606" s="293"/>
    </row>
    <row r="607" spans="1:3">
      <c r="A607" s="293"/>
      <c r="B607" s="293"/>
      <c r="C607" s="293"/>
    </row>
    <row r="608" spans="1:3">
      <c r="A608" s="293"/>
      <c r="B608" s="293"/>
      <c r="C608" s="293"/>
    </row>
    <row r="609" spans="1:3">
      <c r="A609" s="293"/>
      <c r="B609" s="293"/>
      <c r="C609" s="293"/>
    </row>
    <row r="610" spans="1:3">
      <c r="A610" s="293"/>
      <c r="B610" s="293"/>
      <c r="C610" s="293"/>
    </row>
    <row r="611" spans="1:3">
      <c r="A611" s="293"/>
      <c r="B611" s="293"/>
      <c r="C611" s="293"/>
    </row>
    <row r="612" spans="1:3">
      <c r="A612" s="293"/>
      <c r="B612" s="293"/>
      <c r="C612" s="293"/>
    </row>
    <row r="613" spans="1:3">
      <c r="A613" s="293"/>
      <c r="B613" s="293"/>
      <c r="C613" s="293"/>
    </row>
    <row r="614" spans="1:3">
      <c r="A614" s="293"/>
      <c r="B614" s="293"/>
      <c r="C614" s="293"/>
    </row>
    <row r="615" spans="1:3">
      <c r="A615" s="293"/>
      <c r="B615" s="293"/>
      <c r="C615" s="293"/>
    </row>
    <row r="616" spans="1:3">
      <c r="A616" s="293"/>
      <c r="B616" s="293"/>
      <c r="C616" s="293"/>
    </row>
    <row r="617" spans="1:3">
      <c r="A617" s="293"/>
      <c r="B617" s="293"/>
      <c r="C617" s="293"/>
    </row>
    <row r="618" spans="1:3">
      <c r="A618" s="293"/>
      <c r="B618" s="293"/>
      <c r="C618" s="293"/>
    </row>
    <row r="619" spans="1:3">
      <c r="A619" s="293"/>
      <c r="B619" s="293"/>
      <c r="C619" s="293"/>
    </row>
    <row r="620" spans="1:3">
      <c r="A620" s="293"/>
      <c r="B620" s="293"/>
      <c r="C620" s="293"/>
    </row>
    <row r="621" spans="1:3">
      <c r="A621" s="293"/>
      <c r="B621" s="293"/>
      <c r="C621" s="293"/>
    </row>
    <row r="622" spans="1:3">
      <c r="A622" s="293"/>
      <c r="B622" s="293"/>
      <c r="C622" s="293"/>
    </row>
    <row r="623" spans="1:3">
      <c r="A623" s="293"/>
      <c r="B623" s="293"/>
      <c r="C623" s="293"/>
    </row>
    <row r="624" spans="1:3">
      <c r="A624" s="293"/>
      <c r="B624" s="293"/>
      <c r="C624" s="293"/>
    </row>
    <row r="625" spans="1:3">
      <c r="A625" s="293"/>
      <c r="B625" s="293"/>
      <c r="C625" s="293"/>
    </row>
    <row r="626" spans="1:3">
      <c r="A626" s="293"/>
      <c r="B626" s="293"/>
      <c r="C626" s="293"/>
    </row>
    <row r="627" spans="1:3">
      <c r="A627" s="293"/>
      <c r="B627" s="293"/>
      <c r="C627" s="293"/>
    </row>
    <row r="628" spans="1:3">
      <c r="A628" s="293"/>
      <c r="B628" s="293"/>
      <c r="C628" s="293"/>
    </row>
    <row r="629" spans="1:3">
      <c r="A629" s="293"/>
      <c r="B629" s="293"/>
      <c r="C629" s="293"/>
    </row>
    <row r="630" spans="1:3">
      <c r="A630" s="293"/>
      <c r="B630" s="293"/>
      <c r="C630" s="293"/>
    </row>
    <row r="631" spans="1:3">
      <c r="A631" s="293"/>
      <c r="B631" s="293"/>
      <c r="C631" s="293"/>
    </row>
    <row r="632" spans="1:3">
      <c r="A632" s="293"/>
      <c r="B632" s="293"/>
      <c r="C632" s="293"/>
    </row>
    <row r="633" spans="1:3">
      <c r="A633" s="293"/>
      <c r="B633" s="293"/>
      <c r="C633" s="293"/>
    </row>
    <row r="634" spans="1:3">
      <c r="A634" s="293"/>
      <c r="B634" s="293"/>
      <c r="C634" s="293"/>
    </row>
    <row r="635" spans="1:3">
      <c r="A635" s="293"/>
      <c r="B635" s="293"/>
      <c r="C635" s="293"/>
    </row>
    <row r="636" spans="1:3">
      <c r="A636" s="293"/>
      <c r="B636" s="293"/>
      <c r="C636" s="293"/>
    </row>
    <row r="637" spans="1:3">
      <c r="A637" s="293"/>
      <c r="B637" s="293"/>
      <c r="C637" s="293"/>
    </row>
    <row r="638" spans="1:3">
      <c r="A638" s="293"/>
      <c r="B638" s="293"/>
      <c r="C638" s="293"/>
    </row>
    <row r="639" spans="1:3">
      <c r="A639" s="293"/>
      <c r="B639" s="293"/>
      <c r="C639" s="293"/>
    </row>
    <row r="640" spans="1:3">
      <c r="A640" s="293"/>
      <c r="B640" s="293"/>
      <c r="C640" s="293"/>
    </row>
    <row r="641" spans="1:3">
      <c r="A641" s="293"/>
      <c r="B641" s="293"/>
      <c r="C641" s="293"/>
    </row>
    <row r="642" spans="1:3">
      <c r="A642" s="293"/>
      <c r="B642" s="293"/>
      <c r="C642" s="293"/>
    </row>
    <row r="643" spans="1:3">
      <c r="A643" s="293"/>
      <c r="B643" s="293"/>
      <c r="C643" s="293"/>
    </row>
    <row r="644" spans="1:3">
      <c r="A644" s="293"/>
      <c r="B644" s="293"/>
      <c r="C644" s="293"/>
    </row>
    <row r="645" spans="1:3">
      <c r="A645" s="293"/>
      <c r="B645" s="293"/>
      <c r="C645" s="293"/>
    </row>
    <row r="646" spans="1:3">
      <c r="A646" s="293"/>
      <c r="B646" s="293"/>
      <c r="C646" s="293"/>
    </row>
    <row r="647" spans="1:3">
      <c r="A647" s="293"/>
      <c r="B647" s="293"/>
      <c r="C647" s="293"/>
    </row>
    <row r="648" spans="1:3">
      <c r="A648" s="293"/>
      <c r="B648" s="293"/>
      <c r="C648" s="293"/>
    </row>
    <row r="649" spans="1:3">
      <c r="A649" s="293"/>
      <c r="B649" s="293"/>
      <c r="C649" s="293"/>
    </row>
    <row r="650" spans="1:3">
      <c r="A650" s="293"/>
      <c r="B650" s="293"/>
      <c r="C650" s="293"/>
    </row>
    <row r="651" spans="1:3">
      <c r="A651" s="293"/>
      <c r="B651" s="293"/>
      <c r="C651" s="293"/>
    </row>
    <row r="652" spans="1:3">
      <c r="A652" s="293"/>
      <c r="B652" s="293"/>
      <c r="C652" s="293"/>
    </row>
    <row r="653" spans="1:3">
      <c r="A653" s="293"/>
      <c r="B653" s="293"/>
      <c r="C653" s="293"/>
    </row>
    <row r="654" spans="1:3">
      <c r="A654" s="293"/>
      <c r="B654" s="293"/>
      <c r="C654" s="293"/>
    </row>
    <row r="655" spans="1:3">
      <c r="A655" s="293"/>
      <c r="B655" s="293"/>
      <c r="C655" s="293"/>
    </row>
    <row r="656" spans="1:3">
      <c r="A656" s="293"/>
      <c r="B656" s="293"/>
      <c r="C656" s="293"/>
    </row>
    <row r="657" spans="1:3">
      <c r="A657" s="293"/>
      <c r="B657" s="293"/>
      <c r="C657" s="293"/>
    </row>
    <row r="658" spans="1:3">
      <c r="A658" s="293"/>
      <c r="B658" s="293"/>
      <c r="C658" s="293"/>
    </row>
    <row r="659" spans="1:3">
      <c r="A659" s="293"/>
      <c r="B659" s="293"/>
      <c r="C659" s="293"/>
    </row>
    <row r="660" spans="1:3">
      <c r="A660" s="293"/>
      <c r="B660" s="293"/>
      <c r="C660" s="293"/>
    </row>
    <row r="661" spans="1:3">
      <c r="A661" s="293"/>
      <c r="B661" s="293"/>
      <c r="C661" s="293"/>
    </row>
    <row r="662" spans="1:3">
      <c r="A662" s="293"/>
      <c r="B662" s="293"/>
      <c r="C662" s="293"/>
    </row>
    <row r="663" spans="1:3">
      <c r="A663" s="293"/>
      <c r="B663" s="293"/>
      <c r="C663" s="293"/>
    </row>
    <row r="664" spans="1:3">
      <c r="A664" s="293"/>
      <c r="B664" s="293"/>
      <c r="C664" s="293"/>
    </row>
    <row r="665" spans="1:3">
      <c r="A665" s="293"/>
      <c r="B665" s="293"/>
      <c r="C665" s="293"/>
    </row>
    <row r="666" spans="1:3">
      <c r="A666" s="293"/>
      <c r="B666" s="293"/>
      <c r="C666" s="293"/>
    </row>
    <row r="667" spans="1:3">
      <c r="A667" s="293"/>
      <c r="B667" s="293"/>
      <c r="C667" s="293"/>
    </row>
    <row r="668" spans="1:3">
      <c r="A668" s="293"/>
      <c r="B668" s="293"/>
      <c r="C668" s="293"/>
    </row>
    <row r="669" spans="1:3">
      <c r="A669" s="293"/>
      <c r="B669" s="293"/>
      <c r="C669" s="293"/>
    </row>
    <row r="670" spans="1:3">
      <c r="A670" s="293"/>
      <c r="B670" s="293"/>
      <c r="C670" s="293"/>
    </row>
    <row r="671" spans="1:3">
      <c r="A671" s="293"/>
      <c r="B671" s="293"/>
      <c r="C671" s="293"/>
    </row>
    <row r="672" spans="1:3">
      <c r="A672" s="293"/>
      <c r="B672" s="293"/>
      <c r="C672" s="293"/>
    </row>
    <row r="673" spans="1:3">
      <c r="A673" s="293"/>
      <c r="B673" s="293"/>
      <c r="C673" s="293"/>
    </row>
    <row r="674" spans="1:3">
      <c r="A674" s="293"/>
      <c r="B674" s="293"/>
      <c r="C674" s="293"/>
    </row>
    <row r="675" spans="1:3">
      <c r="A675" s="293"/>
      <c r="B675" s="293"/>
      <c r="C675" s="293"/>
    </row>
    <row r="676" spans="1:3">
      <c r="A676" s="293"/>
      <c r="B676" s="293"/>
      <c r="C676" s="293"/>
    </row>
    <row r="677" spans="1:3">
      <c r="A677" s="293"/>
      <c r="B677" s="293"/>
      <c r="C677" s="293"/>
    </row>
    <row r="678" spans="1:3">
      <c r="A678" s="293"/>
      <c r="B678" s="293"/>
      <c r="C678" s="293"/>
    </row>
    <row r="679" spans="1:3">
      <c r="A679" s="293"/>
      <c r="B679" s="293"/>
      <c r="C679" s="293"/>
    </row>
    <row r="680" spans="1:3">
      <c r="A680" s="293"/>
      <c r="B680" s="293"/>
      <c r="C680" s="293"/>
    </row>
    <row r="681" spans="1:3">
      <c r="A681" s="293"/>
      <c r="B681" s="293"/>
      <c r="C681" s="293"/>
    </row>
    <row r="682" spans="1:3">
      <c r="A682" s="293"/>
      <c r="B682" s="293"/>
      <c r="C682" s="293"/>
    </row>
    <row r="683" spans="1:3">
      <c r="A683" s="293"/>
      <c r="B683" s="293"/>
      <c r="C683" s="293"/>
    </row>
    <row r="684" spans="1:3">
      <c r="A684" s="293"/>
      <c r="B684" s="293"/>
      <c r="C684" s="293"/>
    </row>
    <row r="685" spans="1:3">
      <c r="A685" s="293"/>
      <c r="B685" s="293"/>
      <c r="C685" s="293"/>
    </row>
    <row r="686" spans="1:3">
      <c r="A686" s="293"/>
      <c r="B686" s="293"/>
      <c r="C686" s="293"/>
    </row>
    <row r="687" spans="1:3">
      <c r="A687" s="293"/>
      <c r="B687" s="293"/>
      <c r="C687" s="293"/>
    </row>
    <row r="688" spans="1:3">
      <c r="A688" s="293"/>
      <c r="B688" s="293"/>
      <c r="C688" s="293"/>
    </row>
    <row r="689" spans="1:3">
      <c r="A689" s="293"/>
      <c r="B689" s="293"/>
      <c r="C689" s="293"/>
    </row>
    <row r="690" spans="1:3">
      <c r="A690" s="293"/>
      <c r="B690" s="293"/>
      <c r="C690" s="293"/>
    </row>
    <row r="691" spans="1:3">
      <c r="A691" s="293"/>
      <c r="B691" s="293"/>
      <c r="C691" s="293"/>
    </row>
    <row r="692" spans="1:3">
      <c r="A692" s="293"/>
      <c r="B692" s="293"/>
      <c r="C692" s="293"/>
    </row>
    <row r="693" spans="1:3">
      <c r="A693" s="293"/>
      <c r="B693" s="293"/>
      <c r="C693" s="293"/>
    </row>
    <row r="694" spans="1:3">
      <c r="A694" s="293"/>
      <c r="B694" s="293"/>
      <c r="C694" s="293"/>
    </row>
    <row r="695" spans="1:3">
      <c r="A695" s="293"/>
      <c r="B695" s="293"/>
      <c r="C695" s="293"/>
    </row>
    <row r="696" spans="1:3">
      <c r="A696" s="293"/>
      <c r="B696" s="293"/>
      <c r="C696" s="293"/>
    </row>
    <row r="697" spans="1:3">
      <c r="A697" s="293"/>
      <c r="B697" s="293"/>
      <c r="C697" s="293"/>
    </row>
    <row r="698" spans="1:3">
      <c r="A698" s="293"/>
      <c r="B698" s="293"/>
      <c r="C698" s="293"/>
    </row>
    <row r="699" spans="1:3">
      <c r="A699" s="293"/>
      <c r="B699" s="293"/>
      <c r="C699" s="293"/>
    </row>
    <row r="700" spans="1:3">
      <c r="A700" s="293"/>
      <c r="B700" s="293"/>
      <c r="C700" s="293"/>
    </row>
    <row r="701" spans="1:3">
      <c r="A701" s="293"/>
      <c r="B701" s="293"/>
      <c r="C701" s="293"/>
    </row>
    <row r="702" spans="1:3">
      <c r="A702" s="293"/>
      <c r="B702" s="293"/>
      <c r="C702" s="293"/>
    </row>
    <row r="703" spans="1:3">
      <c r="A703" s="293"/>
      <c r="B703" s="293"/>
      <c r="C703" s="293"/>
    </row>
    <row r="704" spans="1:3">
      <c r="A704" s="293"/>
      <c r="B704" s="293"/>
      <c r="C704" s="293"/>
    </row>
    <row r="705" spans="1:3">
      <c r="A705" s="293"/>
      <c r="B705" s="293"/>
      <c r="C705" s="293"/>
    </row>
    <row r="706" spans="1:3">
      <c r="A706" s="293"/>
      <c r="B706" s="293"/>
      <c r="C706" s="293"/>
    </row>
    <row r="707" spans="1:3">
      <c r="A707" s="293"/>
      <c r="B707" s="293"/>
      <c r="C707" s="293"/>
    </row>
    <row r="708" spans="1:3">
      <c r="A708" s="293"/>
      <c r="B708" s="293"/>
      <c r="C708" s="293"/>
    </row>
    <row r="709" spans="1:3">
      <c r="A709" s="293"/>
      <c r="B709" s="293"/>
      <c r="C709" s="293"/>
    </row>
    <row r="710" spans="1:3">
      <c r="A710" s="293"/>
      <c r="B710" s="293"/>
      <c r="C710" s="293"/>
    </row>
    <row r="711" spans="1:3">
      <c r="A711" s="293"/>
      <c r="B711" s="293"/>
      <c r="C711" s="293"/>
    </row>
    <row r="712" spans="1:3">
      <c r="A712" s="293"/>
      <c r="B712" s="293"/>
      <c r="C712" s="293"/>
    </row>
    <row r="713" spans="1:3">
      <c r="A713" s="293"/>
      <c r="B713" s="293"/>
      <c r="C713" s="293"/>
    </row>
    <row r="714" spans="1:3">
      <c r="A714" s="293"/>
      <c r="B714" s="293"/>
      <c r="C714" s="293"/>
    </row>
    <row r="715" spans="1:3">
      <c r="A715" s="293"/>
      <c r="B715" s="293"/>
      <c r="C715" s="293"/>
    </row>
    <row r="716" spans="1:3">
      <c r="A716" s="293"/>
      <c r="B716" s="293"/>
      <c r="C716" s="293"/>
    </row>
    <row r="717" spans="1:3">
      <c r="A717" s="293"/>
      <c r="B717" s="293"/>
      <c r="C717" s="293"/>
    </row>
    <row r="718" spans="1:3">
      <c r="A718" s="293"/>
      <c r="B718" s="293"/>
      <c r="C718" s="293"/>
    </row>
    <row r="719" spans="1:3">
      <c r="A719" s="293"/>
      <c r="B719" s="293"/>
      <c r="C719" s="293"/>
    </row>
    <row r="720" spans="1:3">
      <c r="A720" s="293"/>
      <c r="B720" s="293"/>
      <c r="C720" s="293"/>
    </row>
    <row r="721" spans="1:3">
      <c r="A721" s="293"/>
      <c r="B721" s="293"/>
      <c r="C721" s="293"/>
    </row>
    <row r="722" spans="1:3">
      <c r="A722" s="293"/>
      <c r="B722" s="293"/>
      <c r="C722" s="293"/>
    </row>
    <row r="723" spans="1:3">
      <c r="A723" s="293"/>
      <c r="B723" s="293"/>
      <c r="C723" s="293"/>
    </row>
    <row r="724" spans="1:3">
      <c r="A724" s="293"/>
      <c r="B724" s="293"/>
      <c r="C724" s="293"/>
    </row>
    <row r="725" spans="1:3">
      <c r="A725" s="293"/>
      <c r="B725" s="293"/>
      <c r="C725" s="293"/>
    </row>
    <row r="726" spans="1:3">
      <c r="A726" s="293"/>
      <c r="B726" s="293"/>
      <c r="C726" s="293"/>
    </row>
    <row r="727" spans="1:3">
      <c r="A727" s="293"/>
      <c r="B727" s="293"/>
      <c r="C727" s="293"/>
    </row>
    <row r="728" spans="1:3">
      <c r="A728" s="293"/>
      <c r="B728" s="293"/>
      <c r="C728" s="293"/>
    </row>
    <row r="729" spans="1:3">
      <c r="A729" s="293"/>
      <c r="B729" s="293"/>
      <c r="C729" s="293"/>
    </row>
    <row r="730" spans="1:3">
      <c r="A730" s="293"/>
      <c r="B730" s="293"/>
      <c r="C730" s="293"/>
    </row>
    <row r="731" spans="1:3">
      <c r="A731" s="293"/>
      <c r="B731" s="293"/>
      <c r="C731" s="293"/>
    </row>
    <row r="732" spans="1:3">
      <c r="A732" s="293"/>
      <c r="B732" s="293"/>
      <c r="C732" s="293"/>
    </row>
    <row r="733" spans="1:3">
      <c r="A733" s="293"/>
      <c r="B733" s="293"/>
      <c r="C733" s="293"/>
    </row>
    <row r="734" spans="1:3">
      <c r="A734" s="293"/>
      <c r="B734" s="293"/>
      <c r="C734" s="293"/>
    </row>
    <row r="735" spans="1:3">
      <c r="A735" s="293"/>
      <c r="B735" s="293"/>
      <c r="C735" s="293"/>
    </row>
    <row r="736" spans="1:3">
      <c r="A736" s="293"/>
      <c r="B736" s="293"/>
      <c r="C736" s="293"/>
    </row>
    <row r="737" spans="1:3">
      <c r="A737" s="293"/>
      <c r="B737" s="293"/>
      <c r="C737" s="293"/>
    </row>
    <row r="738" spans="1:3">
      <c r="A738" s="293"/>
      <c r="B738" s="293"/>
      <c r="C738" s="293"/>
    </row>
    <row r="739" spans="1:3">
      <c r="A739" s="293"/>
      <c r="B739" s="293"/>
      <c r="C739" s="293"/>
    </row>
    <row r="740" spans="1:3">
      <c r="A740" s="293"/>
      <c r="B740" s="293"/>
      <c r="C740" s="293"/>
    </row>
    <row r="741" spans="1:3">
      <c r="A741" s="293"/>
      <c r="B741" s="293"/>
      <c r="C741" s="293"/>
    </row>
    <row r="742" spans="1:3">
      <c r="A742" s="293"/>
      <c r="B742" s="293"/>
      <c r="C742" s="293"/>
    </row>
    <row r="743" spans="1:3">
      <c r="A743" s="293"/>
      <c r="B743" s="293"/>
      <c r="C743" s="293"/>
    </row>
    <row r="744" spans="1:3">
      <c r="A744" s="293"/>
      <c r="B744" s="293"/>
      <c r="C744" s="293"/>
    </row>
    <row r="745" spans="1:3">
      <c r="A745" s="293"/>
      <c r="B745" s="293"/>
      <c r="C745" s="293"/>
    </row>
    <row r="746" spans="1:3">
      <c r="A746" s="293"/>
      <c r="B746" s="293"/>
      <c r="C746" s="293"/>
    </row>
    <row r="747" spans="1:3">
      <c r="A747" s="293"/>
      <c r="B747" s="293"/>
      <c r="C747" s="293"/>
    </row>
    <row r="748" spans="1:3">
      <c r="A748" s="293"/>
      <c r="B748" s="293"/>
      <c r="C748" s="293"/>
    </row>
    <row r="749" spans="1:3">
      <c r="A749" s="293"/>
      <c r="B749" s="293"/>
      <c r="C749" s="293"/>
    </row>
    <row r="750" spans="1:3">
      <c r="A750" s="293"/>
      <c r="B750" s="293"/>
      <c r="C750" s="293"/>
    </row>
    <row r="751" spans="1:3">
      <c r="A751" s="293"/>
      <c r="B751" s="293"/>
      <c r="C751" s="293"/>
    </row>
    <row r="752" spans="1:3">
      <c r="A752" s="293"/>
      <c r="B752" s="293"/>
      <c r="C752" s="293"/>
    </row>
    <row r="753" spans="1:3">
      <c r="A753" s="293"/>
      <c r="B753" s="293"/>
      <c r="C753" s="293"/>
    </row>
    <row r="754" spans="1:3">
      <c r="A754" s="293"/>
      <c r="B754" s="293"/>
      <c r="C754" s="293"/>
    </row>
    <row r="755" spans="1:3">
      <c r="A755" s="293"/>
      <c r="B755" s="293"/>
      <c r="C755" s="293"/>
    </row>
    <row r="756" spans="1:3">
      <c r="A756" s="293"/>
      <c r="B756" s="293"/>
      <c r="C756" s="293"/>
    </row>
    <row r="757" spans="1:3">
      <c r="A757" s="293"/>
      <c r="B757" s="293"/>
      <c r="C757" s="293"/>
    </row>
    <row r="758" spans="1:3">
      <c r="A758" s="293"/>
      <c r="B758" s="293"/>
      <c r="C758" s="293"/>
    </row>
    <row r="759" spans="1:3">
      <c r="A759" s="293"/>
      <c r="B759" s="293"/>
      <c r="C759" s="293"/>
    </row>
    <row r="760" spans="1:3">
      <c r="A760" s="293"/>
      <c r="B760" s="293"/>
      <c r="C760" s="293"/>
    </row>
    <row r="761" spans="1:3">
      <c r="A761" s="293"/>
      <c r="B761" s="293"/>
      <c r="C761" s="293"/>
    </row>
    <row r="762" spans="1:3">
      <c r="A762" s="293"/>
      <c r="B762" s="293"/>
      <c r="C762" s="293"/>
    </row>
    <row r="763" spans="1:3">
      <c r="A763" s="293"/>
      <c r="B763" s="293"/>
      <c r="C763" s="293"/>
    </row>
    <row r="764" spans="1:3">
      <c r="A764" s="293"/>
      <c r="B764" s="293"/>
      <c r="C764" s="293"/>
    </row>
    <row r="765" spans="1:3">
      <c r="A765" s="293"/>
      <c r="B765" s="293"/>
      <c r="C765" s="293"/>
    </row>
    <row r="766" spans="1:3">
      <c r="A766" s="293"/>
      <c r="B766" s="293"/>
      <c r="C766" s="293"/>
    </row>
    <row r="767" spans="1:3">
      <c r="A767" s="293"/>
      <c r="B767" s="293"/>
      <c r="C767" s="293"/>
    </row>
    <row r="768" spans="1:3">
      <c r="A768" s="293"/>
      <c r="B768" s="293"/>
      <c r="C768" s="293"/>
    </row>
    <row r="769" spans="1:3">
      <c r="A769" s="293"/>
      <c r="B769" s="293"/>
      <c r="C769" s="293"/>
    </row>
    <row r="770" spans="1:3">
      <c r="A770" s="293"/>
      <c r="B770" s="293"/>
      <c r="C770" s="293"/>
    </row>
    <row r="771" spans="1:3">
      <c r="A771" s="293"/>
      <c r="B771" s="293"/>
      <c r="C771" s="293"/>
    </row>
    <row r="772" spans="1:3">
      <c r="A772" s="293"/>
      <c r="B772" s="293"/>
      <c r="C772" s="293"/>
    </row>
    <row r="773" spans="1:3">
      <c r="A773" s="293"/>
      <c r="B773" s="293"/>
      <c r="C773" s="293"/>
    </row>
    <row r="774" spans="1:3">
      <c r="A774" s="293"/>
      <c r="B774" s="293"/>
      <c r="C774" s="293"/>
    </row>
    <row r="775" spans="1:3">
      <c r="A775" s="293"/>
      <c r="B775" s="293"/>
      <c r="C775" s="293"/>
    </row>
    <row r="776" spans="1:3">
      <c r="A776" s="293"/>
      <c r="B776" s="293"/>
      <c r="C776" s="293"/>
    </row>
    <row r="777" spans="1:3">
      <c r="A777" s="293"/>
      <c r="B777" s="293"/>
      <c r="C777" s="293"/>
    </row>
    <row r="778" spans="1:3">
      <c r="A778" s="293"/>
      <c r="B778" s="293"/>
      <c r="C778" s="293"/>
    </row>
    <row r="779" spans="1:3">
      <c r="A779" s="293"/>
      <c r="B779" s="293"/>
      <c r="C779" s="293"/>
    </row>
    <row r="780" spans="1:3">
      <c r="A780" s="293"/>
      <c r="B780" s="293"/>
      <c r="C780" s="293"/>
    </row>
    <row r="781" spans="1:3">
      <c r="A781" s="293"/>
      <c r="B781" s="293"/>
      <c r="C781" s="293"/>
    </row>
    <row r="782" spans="1:3">
      <c r="A782" s="293"/>
      <c r="B782" s="293"/>
      <c r="C782" s="293"/>
    </row>
    <row r="783" spans="1:3">
      <c r="A783" s="293"/>
      <c r="B783" s="293"/>
      <c r="C783" s="293"/>
    </row>
    <row r="784" spans="1:3">
      <c r="A784" s="293"/>
      <c r="B784" s="293"/>
      <c r="C784" s="293"/>
    </row>
    <row r="785" spans="1:3">
      <c r="A785" s="293"/>
      <c r="B785" s="293"/>
      <c r="C785" s="293"/>
    </row>
    <row r="786" spans="1:3">
      <c r="A786" s="293"/>
      <c r="B786" s="293"/>
      <c r="C786" s="293"/>
    </row>
    <row r="787" spans="1:3">
      <c r="A787" s="293"/>
      <c r="B787" s="293"/>
      <c r="C787" s="293"/>
    </row>
    <row r="788" spans="1:3">
      <c r="A788" s="293"/>
      <c r="B788" s="293"/>
      <c r="C788" s="293"/>
    </row>
    <row r="789" spans="1:3">
      <c r="A789" s="293"/>
      <c r="B789" s="293"/>
      <c r="C789" s="293"/>
    </row>
    <row r="790" spans="1:3">
      <c r="A790" s="293"/>
      <c r="B790" s="293"/>
      <c r="C790" s="293"/>
    </row>
    <row r="791" spans="1:3">
      <c r="A791" s="293"/>
      <c r="B791" s="293"/>
      <c r="C791" s="293"/>
    </row>
    <row r="792" spans="1:3">
      <c r="A792" s="293"/>
      <c r="B792" s="293"/>
      <c r="C792" s="293"/>
    </row>
    <row r="793" spans="1:3">
      <c r="A793" s="293"/>
      <c r="B793" s="293"/>
      <c r="C793" s="293"/>
    </row>
    <row r="794" spans="1:3">
      <c r="A794" s="293"/>
      <c r="B794" s="293"/>
      <c r="C794" s="293"/>
    </row>
    <row r="795" spans="1:3">
      <c r="A795" s="293"/>
      <c r="B795" s="293"/>
      <c r="C795" s="293"/>
    </row>
    <row r="796" spans="1:3">
      <c r="A796" s="293"/>
      <c r="B796" s="293"/>
      <c r="C796" s="293"/>
    </row>
    <row r="797" spans="1:3">
      <c r="A797" s="293"/>
      <c r="B797" s="293"/>
      <c r="C797" s="293"/>
    </row>
    <row r="798" spans="1:3">
      <c r="A798" s="293"/>
      <c r="B798" s="293"/>
      <c r="C798" s="293"/>
    </row>
    <row r="799" spans="1:3">
      <c r="A799" s="293"/>
      <c r="B799" s="293"/>
      <c r="C799" s="293"/>
    </row>
    <row r="800" spans="1:3">
      <c r="A800" s="293"/>
      <c r="B800" s="293"/>
      <c r="C800" s="293"/>
    </row>
    <row r="801" spans="1:3">
      <c r="A801" s="293"/>
      <c r="B801" s="293"/>
      <c r="C801" s="293"/>
    </row>
    <row r="802" spans="1:3">
      <c r="A802" s="293"/>
      <c r="B802" s="293"/>
      <c r="C802" s="293"/>
    </row>
    <row r="803" spans="1:3">
      <c r="A803" s="293"/>
      <c r="B803" s="293"/>
      <c r="C803" s="293"/>
    </row>
    <row r="804" spans="1:3">
      <c r="A804" s="293"/>
      <c r="B804" s="293"/>
      <c r="C804" s="293"/>
    </row>
    <row r="805" spans="1:3">
      <c r="A805" s="293"/>
      <c r="B805" s="293"/>
      <c r="C805" s="293"/>
    </row>
    <row r="806" spans="1:3">
      <c r="A806" s="293"/>
      <c r="B806" s="293"/>
      <c r="C806" s="293"/>
    </row>
    <row r="807" spans="1:3">
      <c r="A807" s="293"/>
      <c r="B807" s="293"/>
      <c r="C807" s="293"/>
    </row>
    <row r="808" spans="1:3">
      <c r="A808" s="293"/>
      <c r="B808" s="293"/>
      <c r="C808" s="293"/>
    </row>
    <row r="809" spans="1:3">
      <c r="A809" s="293"/>
      <c r="B809" s="293"/>
      <c r="C809" s="293"/>
    </row>
    <row r="810" spans="1:3">
      <c r="A810" s="293"/>
      <c r="B810" s="293"/>
      <c r="C810" s="293"/>
    </row>
    <row r="811" spans="1:3">
      <c r="A811" s="293"/>
      <c r="B811" s="293"/>
      <c r="C811" s="293"/>
    </row>
    <row r="812" spans="1:3">
      <c r="A812" s="293"/>
      <c r="B812" s="293"/>
      <c r="C812" s="293"/>
    </row>
    <row r="813" spans="1:3">
      <c r="A813" s="293"/>
      <c r="B813" s="293"/>
      <c r="C813" s="293"/>
    </row>
    <row r="814" spans="1:3">
      <c r="A814" s="293"/>
      <c r="B814" s="293"/>
      <c r="C814" s="293"/>
    </row>
    <row r="815" spans="1:3">
      <c r="A815" s="293"/>
      <c r="B815" s="293"/>
      <c r="C815" s="293"/>
    </row>
    <row r="816" spans="1:3">
      <c r="A816" s="293"/>
      <c r="B816" s="293"/>
      <c r="C816" s="293"/>
    </row>
    <row r="817" spans="1:3">
      <c r="A817" s="293"/>
      <c r="B817" s="293"/>
      <c r="C817" s="293"/>
    </row>
    <row r="818" spans="1:3">
      <c r="A818" s="293"/>
      <c r="B818" s="293"/>
      <c r="C818" s="293"/>
    </row>
    <row r="819" spans="1:3">
      <c r="A819" s="293"/>
      <c r="B819" s="293"/>
      <c r="C819" s="293"/>
    </row>
    <row r="820" spans="1:3">
      <c r="A820" s="293"/>
      <c r="B820" s="293"/>
      <c r="C820" s="293"/>
    </row>
    <row r="821" spans="1:3">
      <c r="A821" s="293"/>
      <c r="B821" s="293"/>
      <c r="C821" s="293"/>
    </row>
    <row r="822" spans="1:3">
      <c r="A822" s="293"/>
      <c r="B822" s="293"/>
      <c r="C822" s="293"/>
    </row>
    <row r="823" spans="1:3">
      <c r="A823" s="293"/>
      <c r="B823" s="293"/>
      <c r="C823" s="293"/>
    </row>
    <row r="824" spans="1:3">
      <c r="A824" s="293"/>
      <c r="B824" s="293"/>
      <c r="C824" s="293"/>
    </row>
    <row r="825" spans="1:3">
      <c r="A825" s="293"/>
      <c r="B825" s="293"/>
      <c r="C825" s="293"/>
    </row>
    <row r="826" spans="1:3">
      <c r="A826" s="293"/>
      <c r="B826" s="293"/>
      <c r="C826" s="293"/>
    </row>
    <row r="827" spans="1:3">
      <c r="A827" s="293"/>
      <c r="B827" s="293"/>
      <c r="C827" s="293"/>
    </row>
    <row r="828" spans="1:3">
      <c r="A828" s="293"/>
      <c r="B828" s="293"/>
      <c r="C828" s="293"/>
    </row>
    <row r="829" spans="1:3">
      <c r="A829" s="293"/>
      <c r="B829" s="293"/>
      <c r="C829" s="293"/>
    </row>
    <row r="830" spans="1:3">
      <c r="A830" s="293"/>
      <c r="B830" s="293"/>
      <c r="C830" s="293"/>
    </row>
    <row r="831" spans="1:3">
      <c r="A831" s="293"/>
      <c r="B831" s="293"/>
      <c r="C831" s="293"/>
    </row>
    <row r="832" spans="1:3">
      <c r="A832" s="293"/>
      <c r="B832" s="293"/>
      <c r="C832" s="293"/>
    </row>
    <row r="833" spans="1:3">
      <c r="A833" s="293"/>
      <c r="B833" s="293"/>
      <c r="C833" s="293"/>
    </row>
    <row r="834" spans="1:3">
      <c r="A834" s="293"/>
      <c r="B834" s="293"/>
      <c r="C834" s="293"/>
    </row>
    <row r="835" spans="1:3">
      <c r="A835" s="293"/>
      <c r="B835" s="293"/>
      <c r="C835" s="293"/>
    </row>
    <row r="836" spans="1:3">
      <c r="A836" s="293"/>
      <c r="B836" s="293"/>
      <c r="C836" s="293"/>
    </row>
    <row r="837" spans="1:3">
      <c r="A837" s="293"/>
      <c r="B837" s="293"/>
      <c r="C837" s="293"/>
    </row>
    <row r="838" spans="1:3">
      <c r="A838" s="293"/>
      <c r="B838" s="293"/>
      <c r="C838" s="293"/>
    </row>
    <row r="839" spans="1:3">
      <c r="A839" s="293"/>
      <c r="B839" s="293"/>
      <c r="C839" s="293"/>
    </row>
    <row r="840" spans="1:3">
      <c r="A840" s="293"/>
      <c r="B840" s="293"/>
      <c r="C840" s="293"/>
    </row>
    <row r="841" spans="1:3">
      <c r="A841" s="293"/>
      <c r="B841" s="293"/>
      <c r="C841" s="293"/>
    </row>
    <row r="842" spans="1:3">
      <c r="A842" s="293"/>
      <c r="B842" s="293"/>
      <c r="C842" s="293"/>
    </row>
    <row r="843" spans="1:3">
      <c r="A843" s="293"/>
      <c r="B843" s="293"/>
      <c r="C843" s="293"/>
    </row>
    <row r="844" spans="1:3">
      <c r="A844" s="293"/>
      <c r="B844" s="293"/>
      <c r="C844" s="293"/>
    </row>
    <row r="845" spans="1:3">
      <c r="A845" s="293"/>
      <c r="B845" s="293"/>
      <c r="C845" s="293"/>
    </row>
    <row r="846" spans="1:3">
      <c r="A846" s="293"/>
      <c r="B846" s="293"/>
      <c r="C846" s="293"/>
    </row>
    <row r="847" spans="1:3">
      <c r="A847" s="293"/>
      <c r="B847" s="293"/>
      <c r="C847" s="293"/>
    </row>
    <row r="848" spans="1:3">
      <c r="A848" s="293"/>
      <c r="B848" s="293"/>
      <c r="C848" s="293"/>
    </row>
    <row r="849" spans="1:3">
      <c r="A849" s="293"/>
      <c r="B849" s="293"/>
      <c r="C849" s="293"/>
    </row>
    <row r="850" spans="1:3">
      <c r="A850" s="293"/>
      <c r="B850" s="293"/>
      <c r="C850" s="293"/>
    </row>
    <row r="851" spans="1:3">
      <c r="A851" s="293"/>
      <c r="B851" s="293"/>
      <c r="C851" s="293"/>
    </row>
    <row r="852" spans="1:3">
      <c r="A852" s="293"/>
      <c r="B852" s="293"/>
      <c r="C852" s="293"/>
    </row>
    <row r="853" spans="1:3">
      <c r="A853" s="293"/>
      <c r="B853" s="293"/>
      <c r="C853" s="293"/>
    </row>
    <row r="854" spans="1:3">
      <c r="A854" s="293"/>
      <c r="B854" s="293"/>
      <c r="C854" s="293"/>
    </row>
    <row r="855" spans="1:3">
      <c r="A855" s="293"/>
      <c r="B855" s="293"/>
      <c r="C855" s="293"/>
    </row>
    <row r="856" spans="1:3">
      <c r="A856" s="293"/>
      <c r="B856" s="293"/>
      <c r="C856" s="293"/>
    </row>
    <row r="857" spans="1:3">
      <c r="A857" s="293"/>
      <c r="B857" s="293"/>
      <c r="C857" s="293"/>
    </row>
    <row r="858" spans="1:3">
      <c r="A858" s="293"/>
      <c r="B858" s="293"/>
      <c r="C858" s="293"/>
    </row>
    <row r="859" spans="1:3">
      <c r="A859" s="293"/>
      <c r="B859" s="293"/>
      <c r="C859" s="293"/>
    </row>
    <row r="860" spans="1:3">
      <c r="A860" s="293"/>
      <c r="B860" s="293"/>
      <c r="C860" s="293"/>
    </row>
    <row r="861" spans="1:3">
      <c r="A861" s="293"/>
      <c r="B861" s="293"/>
      <c r="C861" s="293"/>
    </row>
    <row r="862" spans="1:3">
      <c r="A862" s="293"/>
      <c r="B862" s="293"/>
      <c r="C862" s="293"/>
    </row>
    <row r="863" spans="1:3">
      <c r="A863" s="293"/>
      <c r="B863" s="293"/>
      <c r="C863" s="293"/>
    </row>
    <row r="864" spans="1:3">
      <c r="A864" s="293"/>
      <c r="B864" s="293"/>
      <c r="C864" s="293"/>
    </row>
    <row r="865" spans="1:3">
      <c r="A865" s="293"/>
      <c r="B865" s="293"/>
      <c r="C865" s="293"/>
    </row>
    <row r="866" spans="1:3">
      <c r="A866" s="293"/>
      <c r="B866" s="293"/>
      <c r="C866" s="293"/>
    </row>
    <row r="867" spans="1:3">
      <c r="A867" s="293"/>
      <c r="B867" s="293"/>
      <c r="C867" s="293"/>
    </row>
    <row r="868" spans="1:3">
      <c r="A868" s="293"/>
      <c r="B868" s="293"/>
      <c r="C868" s="293"/>
    </row>
    <row r="869" spans="1:3">
      <c r="A869" s="293"/>
      <c r="B869" s="293"/>
      <c r="C869" s="293"/>
    </row>
    <row r="870" spans="1:3">
      <c r="A870" s="293"/>
      <c r="B870" s="293"/>
      <c r="C870" s="293"/>
    </row>
    <row r="871" spans="1:3">
      <c r="A871" s="293"/>
      <c r="B871" s="293"/>
      <c r="C871" s="293"/>
    </row>
    <row r="872" spans="1:3">
      <c r="A872" s="293"/>
      <c r="B872" s="293"/>
      <c r="C872" s="293"/>
    </row>
    <row r="873" spans="1:3">
      <c r="A873" s="293"/>
      <c r="B873" s="293"/>
      <c r="C873" s="293"/>
    </row>
    <row r="874" spans="1:3">
      <c r="A874" s="293"/>
      <c r="B874" s="293"/>
      <c r="C874" s="293"/>
    </row>
    <row r="875" spans="1:3">
      <c r="A875" s="293"/>
      <c r="B875" s="293"/>
      <c r="C875" s="293"/>
    </row>
    <row r="876" spans="1:3">
      <c r="A876" s="293"/>
      <c r="B876" s="293"/>
      <c r="C876" s="293"/>
    </row>
    <row r="877" spans="1:3">
      <c r="A877" s="293"/>
      <c r="B877" s="293"/>
      <c r="C877" s="293"/>
    </row>
    <row r="878" spans="1:3">
      <c r="A878" s="293"/>
      <c r="B878" s="293"/>
      <c r="C878" s="293"/>
    </row>
    <row r="879" spans="1:3">
      <c r="A879" s="293"/>
      <c r="B879" s="293"/>
      <c r="C879" s="293"/>
    </row>
    <row r="880" spans="1:3">
      <c r="A880" s="293"/>
      <c r="B880" s="293"/>
      <c r="C880" s="293"/>
    </row>
    <row r="881" spans="1:3">
      <c r="A881" s="293"/>
      <c r="B881" s="293"/>
      <c r="C881" s="293"/>
    </row>
    <row r="882" spans="1:3">
      <c r="A882" s="293"/>
      <c r="B882" s="293"/>
      <c r="C882" s="293"/>
    </row>
    <row r="883" spans="1:3">
      <c r="A883" s="293"/>
      <c r="B883" s="293"/>
      <c r="C883" s="293"/>
    </row>
    <row r="884" spans="1:3">
      <c r="A884" s="293"/>
      <c r="B884" s="293"/>
      <c r="C884" s="293"/>
    </row>
    <row r="885" spans="1:3">
      <c r="A885" s="293"/>
      <c r="B885" s="293"/>
      <c r="C885" s="293"/>
    </row>
    <row r="886" spans="1:3">
      <c r="A886" s="293"/>
      <c r="B886" s="293"/>
      <c r="C886" s="293"/>
    </row>
    <row r="887" spans="1:3">
      <c r="A887" s="293"/>
      <c r="B887" s="293"/>
      <c r="C887" s="293"/>
    </row>
    <row r="888" spans="1:3">
      <c r="A888" s="293"/>
      <c r="B888" s="293"/>
      <c r="C888" s="293"/>
    </row>
    <row r="889" spans="1:3">
      <c r="A889" s="293"/>
      <c r="B889" s="293"/>
      <c r="C889" s="293"/>
    </row>
    <row r="890" spans="1:3">
      <c r="A890" s="293"/>
      <c r="B890" s="293"/>
      <c r="C890" s="293"/>
    </row>
    <row r="891" spans="1:3">
      <c r="A891" s="293"/>
      <c r="B891" s="293"/>
      <c r="C891" s="293"/>
    </row>
    <row r="892" spans="1:3">
      <c r="A892" s="293"/>
      <c r="B892" s="293"/>
      <c r="C892" s="293"/>
    </row>
    <row r="893" spans="1:3">
      <c r="A893" s="293"/>
      <c r="B893" s="293"/>
      <c r="C893" s="293"/>
    </row>
    <row r="894" spans="1:3">
      <c r="A894" s="293"/>
      <c r="B894" s="293"/>
      <c r="C894" s="293"/>
    </row>
    <row r="895" spans="1:3">
      <c r="A895" s="293"/>
      <c r="B895" s="293"/>
      <c r="C895" s="293"/>
    </row>
    <row r="896" spans="1:3">
      <c r="A896" s="293"/>
      <c r="B896" s="293"/>
      <c r="C896" s="293"/>
    </row>
    <row r="897" spans="1:3">
      <c r="A897" s="293"/>
      <c r="B897" s="293"/>
      <c r="C897" s="293"/>
    </row>
    <row r="898" spans="1:3">
      <c r="A898" s="293"/>
      <c r="B898" s="293"/>
      <c r="C898" s="293"/>
    </row>
    <row r="899" spans="1:3">
      <c r="A899" s="293"/>
      <c r="B899" s="293"/>
      <c r="C899" s="293"/>
    </row>
    <row r="900" spans="1:3">
      <c r="A900" s="293"/>
      <c r="B900" s="293"/>
      <c r="C900" s="293"/>
    </row>
    <row r="901" spans="1:3">
      <c r="A901" s="293"/>
      <c r="B901" s="293"/>
      <c r="C901" s="293"/>
    </row>
    <row r="902" spans="1:3">
      <c r="A902" s="293"/>
      <c r="B902" s="293"/>
      <c r="C902" s="293"/>
    </row>
    <row r="903" spans="1:3">
      <c r="A903" s="293"/>
      <c r="B903" s="293"/>
      <c r="C903" s="293"/>
    </row>
    <row r="904" spans="1:3">
      <c r="A904" s="293"/>
      <c r="B904" s="293"/>
      <c r="C904" s="293"/>
    </row>
    <row r="905" spans="1:3">
      <c r="A905" s="293"/>
      <c r="B905" s="293"/>
      <c r="C905" s="293"/>
    </row>
    <row r="906" spans="1:3">
      <c r="A906" s="293"/>
      <c r="B906" s="293"/>
      <c r="C906" s="293"/>
    </row>
    <row r="907" spans="1:3">
      <c r="A907" s="293"/>
      <c r="B907" s="293"/>
      <c r="C907" s="293"/>
    </row>
    <row r="908" spans="1:3">
      <c r="A908" s="293"/>
      <c r="B908" s="293"/>
      <c r="C908" s="293"/>
    </row>
    <row r="909" spans="1:3">
      <c r="A909" s="293"/>
      <c r="B909" s="293"/>
      <c r="C909" s="293"/>
    </row>
    <row r="910" spans="1:3">
      <c r="A910" s="293"/>
      <c r="B910" s="293"/>
      <c r="C910" s="293"/>
    </row>
    <row r="911" spans="1:3">
      <c r="A911" s="293"/>
      <c r="B911" s="293"/>
      <c r="C911" s="293"/>
    </row>
    <row r="912" spans="1:3">
      <c r="A912" s="293"/>
      <c r="B912" s="293"/>
      <c r="C912" s="293"/>
    </row>
    <row r="913" spans="1:3">
      <c r="A913" s="293"/>
      <c r="B913" s="293"/>
      <c r="C913" s="293"/>
    </row>
    <row r="914" spans="1:3">
      <c r="A914" s="293"/>
      <c r="B914" s="293"/>
      <c r="C914" s="293"/>
    </row>
    <row r="915" spans="1:3">
      <c r="A915" s="293"/>
      <c r="B915" s="293"/>
      <c r="C915" s="293"/>
    </row>
    <row r="916" spans="1:3">
      <c r="A916" s="293"/>
      <c r="B916" s="293"/>
      <c r="C916" s="293"/>
    </row>
    <row r="917" spans="1:3">
      <c r="A917" s="293"/>
      <c r="B917" s="293"/>
      <c r="C917" s="293"/>
    </row>
    <row r="918" spans="1:3">
      <c r="A918" s="293"/>
      <c r="B918" s="293"/>
      <c r="C918" s="293"/>
    </row>
    <row r="919" spans="1:3">
      <c r="A919" s="293"/>
      <c r="B919" s="293"/>
      <c r="C919" s="293"/>
    </row>
    <row r="920" spans="1:3">
      <c r="A920" s="293"/>
      <c r="B920" s="293"/>
      <c r="C920" s="293"/>
    </row>
    <row r="921" spans="1:3">
      <c r="A921" s="293"/>
      <c r="B921" s="293"/>
      <c r="C921" s="293"/>
    </row>
    <row r="922" spans="1:3">
      <c r="A922" s="293"/>
      <c r="B922" s="293"/>
      <c r="C922" s="293"/>
    </row>
    <row r="923" spans="1:3">
      <c r="A923" s="293"/>
      <c r="B923" s="293"/>
      <c r="C923" s="293"/>
    </row>
    <row r="924" spans="1:3">
      <c r="A924" s="293"/>
      <c r="B924" s="293"/>
      <c r="C924" s="293"/>
    </row>
    <row r="925" spans="1:3">
      <c r="A925" s="293"/>
      <c r="B925" s="293"/>
      <c r="C925" s="293"/>
    </row>
    <row r="926" spans="1:3">
      <c r="A926" s="293"/>
      <c r="B926" s="293"/>
      <c r="C926" s="293"/>
    </row>
    <row r="927" spans="1:3">
      <c r="A927" s="293"/>
      <c r="B927" s="293"/>
      <c r="C927" s="293"/>
    </row>
    <row r="928" spans="1:3">
      <c r="A928" s="293"/>
      <c r="B928" s="293"/>
      <c r="C928" s="293"/>
    </row>
    <row r="929" spans="1:3">
      <c r="A929" s="293"/>
      <c r="B929" s="293"/>
      <c r="C929" s="293"/>
    </row>
    <row r="930" spans="1:3">
      <c r="A930" s="293"/>
      <c r="B930" s="293"/>
      <c r="C930" s="293"/>
    </row>
    <row r="931" spans="1:3">
      <c r="A931" s="293"/>
      <c r="B931" s="293"/>
      <c r="C931" s="293"/>
    </row>
    <row r="932" spans="1:3">
      <c r="A932" s="293"/>
      <c r="B932" s="293"/>
      <c r="C932" s="293"/>
    </row>
    <row r="933" spans="1:3">
      <c r="A933" s="293"/>
      <c r="B933" s="293"/>
      <c r="C933" s="293"/>
    </row>
    <row r="934" spans="1:3">
      <c r="A934" s="293"/>
      <c r="B934" s="293"/>
      <c r="C934" s="293"/>
    </row>
    <row r="935" spans="1:3">
      <c r="A935" s="293"/>
      <c r="B935" s="293"/>
      <c r="C935" s="293"/>
    </row>
    <row r="936" spans="1:3">
      <c r="A936" s="293"/>
      <c r="B936" s="293"/>
      <c r="C936" s="293"/>
    </row>
    <row r="937" spans="1:3">
      <c r="A937" s="293"/>
      <c r="B937" s="293"/>
      <c r="C937" s="293"/>
    </row>
    <row r="938" spans="1:3">
      <c r="A938" s="293"/>
      <c r="B938" s="293"/>
      <c r="C938" s="293"/>
    </row>
    <row r="939" spans="1:3">
      <c r="A939" s="293"/>
      <c r="B939" s="293"/>
      <c r="C939" s="293"/>
    </row>
    <row r="940" spans="1:3">
      <c r="A940" s="293"/>
      <c r="B940" s="293"/>
      <c r="C940" s="293"/>
    </row>
    <row r="941" spans="1:3">
      <c r="A941" s="293"/>
      <c r="B941" s="293"/>
      <c r="C941" s="293"/>
    </row>
    <row r="942" spans="1:3">
      <c r="A942" s="293"/>
      <c r="B942" s="293"/>
      <c r="C942" s="293"/>
    </row>
    <row r="943" spans="1:3">
      <c r="A943" s="293"/>
      <c r="B943" s="293"/>
      <c r="C943" s="293"/>
    </row>
    <row r="944" spans="1:3">
      <c r="A944" s="293"/>
      <c r="B944" s="293"/>
      <c r="C944" s="293"/>
    </row>
    <row r="945" spans="1:3">
      <c r="A945" s="293"/>
      <c r="B945" s="293"/>
      <c r="C945" s="293"/>
    </row>
    <row r="946" spans="1:3">
      <c r="A946" s="293"/>
      <c r="B946" s="293"/>
      <c r="C946" s="293"/>
    </row>
    <row r="947" spans="1:3">
      <c r="A947" s="293"/>
      <c r="B947" s="293"/>
      <c r="C947" s="293"/>
    </row>
    <row r="948" spans="1:3">
      <c r="A948" s="293"/>
      <c r="B948" s="293"/>
      <c r="C948" s="293"/>
    </row>
    <row r="949" spans="1:3">
      <c r="A949" s="293"/>
      <c r="B949" s="293"/>
      <c r="C949" s="293"/>
    </row>
    <row r="950" spans="1:3">
      <c r="A950" s="293"/>
      <c r="B950" s="293"/>
      <c r="C950" s="293"/>
    </row>
    <row r="951" spans="1:3">
      <c r="A951" s="293"/>
      <c r="B951" s="293"/>
      <c r="C951" s="293"/>
    </row>
    <row r="952" spans="1:3">
      <c r="A952" s="293"/>
      <c r="B952" s="293"/>
      <c r="C952" s="293"/>
    </row>
    <row r="953" spans="1:3">
      <c r="A953" s="293"/>
      <c r="B953" s="293"/>
      <c r="C953" s="293"/>
    </row>
    <row r="954" spans="1:3">
      <c r="A954" s="293"/>
      <c r="B954" s="293"/>
      <c r="C954" s="293"/>
    </row>
    <row r="955" spans="1:3">
      <c r="A955" s="293"/>
      <c r="B955" s="293"/>
      <c r="C955" s="293"/>
    </row>
    <row r="956" spans="1:3">
      <c r="A956" s="293"/>
      <c r="B956" s="293"/>
      <c r="C956" s="293"/>
    </row>
    <row r="957" spans="1:3">
      <c r="A957" s="293"/>
      <c r="B957" s="293"/>
      <c r="C957" s="293"/>
    </row>
    <row r="958" spans="1:3">
      <c r="A958" s="293"/>
      <c r="B958" s="293"/>
      <c r="C958" s="293"/>
    </row>
    <row r="959" spans="1:3">
      <c r="A959" s="293"/>
      <c r="B959" s="293"/>
      <c r="C959" s="293"/>
    </row>
    <row r="960" spans="1:3">
      <c r="A960" s="293"/>
      <c r="B960" s="293"/>
      <c r="C960" s="293"/>
    </row>
    <row r="961" spans="1:3">
      <c r="A961" s="293"/>
      <c r="B961" s="293"/>
      <c r="C961" s="293"/>
    </row>
    <row r="962" spans="1:3">
      <c r="A962" s="293"/>
      <c r="B962" s="293"/>
      <c r="C962" s="293"/>
    </row>
    <row r="963" spans="1:3">
      <c r="A963" s="293"/>
      <c r="B963" s="293"/>
      <c r="C963" s="293"/>
    </row>
    <row r="964" spans="1:3">
      <c r="A964" s="293"/>
      <c r="B964" s="293"/>
      <c r="C964" s="293"/>
    </row>
    <row r="965" spans="1:3">
      <c r="A965" s="293"/>
      <c r="B965" s="293"/>
      <c r="C965" s="293"/>
    </row>
    <row r="966" spans="1:3">
      <c r="A966" s="293"/>
      <c r="B966" s="293"/>
      <c r="C966" s="293"/>
    </row>
    <row r="967" spans="1:3">
      <c r="A967" s="293"/>
      <c r="B967" s="293"/>
      <c r="C967" s="293"/>
    </row>
    <row r="968" spans="1:3">
      <c r="A968" s="293"/>
      <c r="B968" s="293"/>
      <c r="C968" s="293"/>
    </row>
    <row r="969" spans="1:3">
      <c r="A969" s="293"/>
      <c r="B969" s="293"/>
      <c r="C969" s="293"/>
    </row>
    <row r="970" spans="1:3">
      <c r="A970" s="293"/>
      <c r="B970" s="293"/>
      <c r="C970" s="293"/>
    </row>
    <row r="971" spans="1:3">
      <c r="A971" s="293"/>
      <c r="B971" s="293"/>
      <c r="C971" s="293"/>
    </row>
    <row r="972" spans="1:3">
      <c r="A972" s="293"/>
      <c r="B972" s="293"/>
      <c r="C972" s="293"/>
    </row>
    <row r="973" spans="1:3">
      <c r="A973" s="293"/>
      <c r="B973" s="293"/>
      <c r="C973" s="293"/>
    </row>
    <row r="974" spans="1:3">
      <c r="A974" s="293"/>
      <c r="B974" s="293"/>
      <c r="C974" s="293"/>
    </row>
    <row r="975" spans="1:3">
      <c r="A975" s="293"/>
      <c r="B975" s="293"/>
      <c r="C975" s="293"/>
    </row>
    <row r="976" spans="1:3">
      <c r="A976" s="293"/>
      <c r="B976" s="293"/>
      <c r="C976" s="293"/>
    </row>
    <row r="977" spans="1:3">
      <c r="A977" s="293"/>
      <c r="B977" s="293"/>
      <c r="C977" s="293"/>
    </row>
    <row r="978" spans="1:3">
      <c r="A978" s="293"/>
      <c r="B978" s="293"/>
      <c r="C978" s="293"/>
    </row>
    <row r="979" spans="1:3">
      <c r="A979" s="293"/>
      <c r="B979" s="293"/>
      <c r="C979" s="293"/>
    </row>
    <row r="980" spans="1:3">
      <c r="A980" s="293"/>
      <c r="B980" s="293"/>
      <c r="C980" s="293"/>
    </row>
    <row r="981" spans="1:3">
      <c r="A981" s="293"/>
      <c r="B981" s="293"/>
      <c r="C981" s="293"/>
    </row>
    <row r="982" spans="1:3">
      <c r="A982" s="293"/>
      <c r="B982" s="293"/>
      <c r="C982" s="293"/>
    </row>
    <row r="983" spans="1:3">
      <c r="A983" s="293"/>
      <c r="B983" s="293"/>
      <c r="C983" s="293"/>
    </row>
    <row r="984" spans="1:3">
      <c r="A984" s="293"/>
      <c r="B984" s="293"/>
      <c r="C984" s="293"/>
    </row>
    <row r="985" spans="1:3">
      <c r="A985" s="293"/>
      <c r="B985" s="293"/>
      <c r="C985" s="293"/>
    </row>
    <row r="986" spans="1:3">
      <c r="A986" s="293"/>
      <c r="B986" s="293"/>
      <c r="C986" s="293"/>
    </row>
    <row r="987" spans="1:3">
      <c r="A987" s="293"/>
      <c r="B987" s="293"/>
      <c r="C987" s="293"/>
    </row>
    <row r="988" spans="1:3">
      <c r="A988" s="293"/>
      <c r="B988" s="293"/>
      <c r="C988" s="293"/>
    </row>
    <row r="989" spans="1:3">
      <c r="A989" s="293"/>
      <c r="B989" s="293"/>
      <c r="C989" s="293"/>
    </row>
    <row r="990" spans="1:3">
      <c r="A990" s="293"/>
      <c r="B990" s="293"/>
      <c r="C990" s="293"/>
    </row>
    <row r="991" spans="1:3">
      <c r="A991" s="293"/>
      <c r="B991" s="293"/>
      <c r="C991" s="293"/>
    </row>
    <row r="992" spans="1:3">
      <c r="A992" s="293"/>
      <c r="B992" s="293"/>
      <c r="C992" s="293"/>
    </row>
    <row r="993" spans="1:3">
      <c r="A993" s="293"/>
      <c r="B993" s="293"/>
      <c r="C993" s="293"/>
    </row>
    <row r="994" spans="1:3">
      <c r="A994" s="293"/>
      <c r="B994" s="293"/>
      <c r="C994" s="293"/>
    </row>
    <row r="995" spans="1:3">
      <c r="A995" s="293"/>
      <c r="B995" s="293"/>
      <c r="C995" s="293"/>
    </row>
    <row r="996" spans="1:3">
      <c r="A996" s="293"/>
      <c r="B996" s="293"/>
      <c r="C996" s="293"/>
    </row>
    <row r="997" spans="1:3">
      <c r="A997" s="293"/>
      <c r="B997" s="293"/>
      <c r="C997" s="293"/>
    </row>
    <row r="998" spans="1:3">
      <c r="A998" s="293"/>
      <c r="B998" s="293"/>
      <c r="C998" s="293"/>
    </row>
    <row r="999" spans="1:3">
      <c r="A999" s="293"/>
      <c r="B999" s="293"/>
      <c r="C999" s="293"/>
    </row>
    <row r="1000" spans="1:3">
      <c r="A1000" s="293"/>
      <c r="B1000" s="293"/>
      <c r="C1000" s="293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SS</vt:lpstr>
      <vt:lpstr>Ent</vt:lpstr>
      <vt:lpstr>BOD</vt:lpstr>
      <vt:lpstr>TSS</vt:lpstr>
      <vt:lpstr>Chlor.a</vt:lpstr>
      <vt:lpstr>Turbidity</vt:lpstr>
      <vt:lpstr>All DIC raw data</vt:lpstr>
      <vt:lpstr>DIC Temperatures</vt:lpstr>
      <vt:lpstr>All TA raw data</vt:lpstr>
      <vt:lpstr>TKN</vt:lpstr>
      <vt:lpstr>NOx_PO4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Travis A Courtney</cp:lastModifiedBy>
  <dcterms:created xsi:type="dcterms:W3CDTF">2023-02-22T17:24:44Z</dcterms:created>
  <dcterms:modified xsi:type="dcterms:W3CDTF">2025-05-27T17:09:36Z</dcterms:modified>
</cp:coreProperties>
</file>