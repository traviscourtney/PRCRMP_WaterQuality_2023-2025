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Q5/"/>
    </mc:Choice>
  </mc:AlternateContent>
  <xr:revisionPtr revIDLastSave="26" documentId="8_{9AC752ED-D2B2-43CB-9F2E-A089ECF9AFBD}" xr6:coauthVersionLast="47" xr6:coauthVersionMax="47" xr10:uidLastSave="{98EF7095-98B6-4260-B8C0-E6F0E64E608B}"/>
  <bookViews>
    <workbookView xWindow="-110" yWindow="-110" windowWidth="19420" windowHeight="12300" xr2:uid="{8ABD287F-6178-4DC7-8513-7ED4A0B2611C}"/>
  </bookViews>
  <sheets>
    <sheet name="Quarter_5_Replicat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B18" i="1"/>
  <c r="B17" i="1"/>
  <c r="W25" i="1"/>
  <c r="Q25" i="1"/>
  <c r="O25" i="1"/>
  <c r="I25" i="1"/>
  <c r="G25" i="1"/>
  <c r="X26" i="1"/>
  <c r="V26" i="1"/>
  <c r="P25" i="1"/>
  <c r="N26" i="1"/>
  <c r="J26" i="1"/>
  <c r="H25" i="1"/>
  <c r="F26" i="1"/>
  <c r="W23" i="1"/>
  <c r="U24" i="1"/>
  <c r="O23" i="1"/>
  <c r="M23" i="1"/>
  <c r="I24" i="1"/>
  <c r="G23" i="1"/>
  <c r="E23" i="1"/>
  <c r="T23" i="1"/>
  <c r="N23" i="1"/>
  <c r="L24" i="1"/>
  <c r="H23" i="1"/>
  <c r="F23" i="1"/>
  <c r="D24" i="1"/>
  <c r="U22" i="1"/>
  <c r="S22" i="1"/>
  <c r="O22" i="1"/>
  <c r="M21" i="1"/>
  <c r="K22" i="1"/>
  <c r="E21" i="1"/>
  <c r="C21" i="1"/>
  <c r="R21" i="1"/>
  <c r="N21" i="1"/>
  <c r="L21" i="1"/>
  <c r="J21" i="1"/>
  <c r="B21" i="1"/>
  <c r="Q20" i="1"/>
  <c r="M20" i="1"/>
  <c r="L19" i="1"/>
  <c r="K19" i="1"/>
  <c r="D19" i="1"/>
  <c r="X20" i="1"/>
  <c r="T19" i="1"/>
  <c r="S20" i="1"/>
  <c r="R19" i="1"/>
  <c r="Q19" i="1"/>
  <c r="P20" i="1"/>
  <c r="L20" i="1"/>
  <c r="K20" i="1"/>
  <c r="J19" i="1"/>
  <c r="I20" i="1"/>
  <c r="H19" i="1"/>
  <c r="C20" i="1"/>
  <c r="Q26" i="1"/>
  <c r="U25" i="1"/>
  <c r="R26" i="1"/>
  <c r="M25" i="1"/>
  <c r="E25" i="1"/>
  <c r="B26" i="1"/>
  <c r="T24" i="1"/>
  <c r="Q24" i="1"/>
  <c r="O24" i="1"/>
  <c r="X23" i="1"/>
  <c r="V23" i="1"/>
  <c r="S23" i="1"/>
  <c r="P23" i="1"/>
  <c r="K23" i="1"/>
  <c r="C23" i="1"/>
  <c r="W22" i="1"/>
  <c r="R22" i="1"/>
  <c r="G22" i="1"/>
  <c r="B22" i="1"/>
  <c r="V21" i="1"/>
  <c r="T21" i="1"/>
  <c r="Q21" i="1"/>
  <c r="I21" i="1"/>
  <c r="F21" i="1"/>
  <c r="D21" i="1"/>
  <c r="U20" i="1"/>
  <c r="E20" i="1"/>
  <c r="W19" i="1"/>
  <c r="O19" i="1"/>
  <c r="G19" i="1"/>
  <c r="B19" i="1"/>
  <c r="U26" i="1"/>
  <c r="T26" i="1"/>
  <c r="S26" i="1"/>
  <c r="O26" i="1"/>
  <c r="M26" i="1"/>
  <c r="L26" i="1"/>
  <c r="K26" i="1"/>
  <c r="E26" i="1"/>
  <c r="D26" i="1"/>
  <c r="C26" i="1"/>
  <c r="T25" i="1"/>
  <c r="S25" i="1"/>
  <c r="N25" i="1"/>
  <c r="L25" i="1"/>
  <c r="K25" i="1"/>
  <c r="D25" i="1"/>
  <c r="C25" i="1"/>
  <c r="X24" i="1"/>
  <c r="R24" i="1"/>
  <c r="P24" i="1"/>
  <c r="J24" i="1"/>
  <c r="H24" i="1"/>
  <c r="B24" i="1"/>
  <c r="U23" i="1"/>
  <c r="R23" i="1"/>
  <c r="Q23" i="1"/>
  <c r="L23" i="1"/>
  <c r="J23" i="1"/>
  <c r="I23" i="1"/>
  <c r="B23" i="1"/>
  <c r="X22" i="1"/>
  <c r="V22" i="1"/>
  <c r="P22" i="1"/>
  <c r="N22" i="1"/>
  <c r="H22" i="1"/>
  <c r="F22" i="1"/>
  <c r="X21" i="1"/>
  <c r="W21" i="1"/>
  <c r="U21" i="1"/>
  <c r="P21" i="1"/>
  <c r="O21" i="1"/>
  <c r="K21" i="1"/>
  <c r="H21" i="1"/>
  <c r="G21" i="1"/>
  <c r="V20" i="1"/>
  <c r="T20" i="1"/>
  <c r="N20" i="1"/>
  <c r="F20" i="1"/>
  <c r="V19" i="1"/>
  <c r="U19" i="1"/>
  <c r="S19" i="1"/>
  <c r="N19" i="1"/>
  <c r="M19" i="1"/>
  <c r="I19" i="1"/>
  <c r="F19" i="1"/>
  <c r="E19" i="1"/>
  <c r="E24" i="1" l="1"/>
  <c r="G26" i="1"/>
  <c r="H20" i="1"/>
  <c r="E22" i="1"/>
  <c r="X25" i="1"/>
  <c r="X19" i="1"/>
  <c r="C22" i="1"/>
  <c r="W24" i="1"/>
  <c r="H26" i="1"/>
  <c r="D23" i="1"/>
  <c r="F25" i="1"/>
  <c r="W26" i="1"/>
  <c r="J22" i="1"/>
  <c r="G24" i="1"/>
  <c r="D20" i="1"/>
  <c r="C19" i="1"/>
  <c r="P19" i="1"/>
  <c r="M24" i="1"/>
  <c r="M22" i="1"/>
  <c r="I26" i="1"/>
  <c r="S21" i="1"/>
  <c r="V25" i="1"/>
  <c r="P26" i="1"/>
  <c r="B25" i="1"/>
  <c r="J25" i="1"/>
  <c r="R25" i="1"/>
  <c r="G20" i="1"/>
  <c r="O20" i="1"/>
  <c r="W20" i="1"/>
  <c r="I22" i="1"/>
  <c r="Q22" i="1"/>
  <c r="C24" i="1"/>
  <c r="K24" i="1"/>
  <c r="S24" i="1"/>
  <c r="B20" i="1"/>
  <c r="J20" i="1"/>
  <c r="R20" i="1"/>
  <c r="D22" i="1"/>
  <c r="L22" i="1"/>
  <c r="T22" i="1"/>
  <c r="F24" i="1"/>
  <c r="N24" i="1"/>
  <c r="V24" i="1"/>
</calcChain>
</file>

<file path=xl/sharedStrings.xml><?xml version="1.0" encoding="utf-8"?>
<sst xmlns="http://schemas.openxmlformats.org/spreadsheetml/2006/main" count="105" uniqueCount="46">
  <si>
    <t>Site_Code</t>
  </si>
  <si>
    <t>Surface_Temp_C</t>
  </si>
  <si>
    <t>Surface_Sal_psu</t>
  </si>
  <si>
    <t>Surface_DO_mg_L</t>
  </si>
  <si>
    <t>Surface_pH</t>
  </si>
  <si>
    <t>Bottom_Temp_C</t>
  </si>
  <si>
    <t>Bottom_Sal_psu</t>
  </si>
  <si>
    <t>Bottom_DO_mg_L</t>
  </si>
  <si>
    <t>Bottom_pH</t>
  </si>
  <si>
    <t>Secchi_Avg_Depth</t>
  </si>
  <si>
    <t>TSS (mg/L)</t>
  </si>
  <si>
    <t>Enterococcus (MPN)</t>
  </si>
  <si>
    <t>SS (ml/L)</t>
  </si>
  <si>
    <t>Surface BOD (mg/L)</t>
  </si>
  <si>
    <t>Bottom BOD (mg/L)</t>
  </si>
  <si>
    <t>Chl-a (Âµg/L)</t>
  </si>
  <si>
    <t>Turbidity (NTU)</t>
  </si>
  <si>
    <t>Surface DIC (Âµmol/kg)</t>
  </si>
  <si>
    <t>Bottom DIC (Âµmol/kg)</t>
  </si>
  <si>
    <t>Surface TA (Âµmol/kg)</t>
  </si>
  <si>
    <t>Bottom TA (Âµmol/kg)</t>
  </si>
  <si>
    <t>NOx LOD (mg/L)</t>
  </si>
  <si>
    <t>PO4 LOD (mg/L)</t>
  </si>
  <si>
    <t>TKN LOD (mg/L)</t>
  </si>
  <si>
    <t>DOMI05</t>
  </si>
  <si>
    <t>&gt;3</t>
  </si>
  <si>
    <t>&lt; 0.1</t>
  </si>
  <si>
    <t>&lt;0.011</t>
  </si>
  <si>
    <t>DOMI05-R</t>
  </si>
  <si>
    <t>&lt;0.003</t>
  </si>
  <si>
    <t>MLUN05</t>
  </si>
  <si>
    <t>&lt; 10</t>
  </si>
  <si>
    <t>&lt;0.002</t>
  </si>
  <si>
    <t>MLUN05-R</t>
  </si>
  <si>
    <t>NEGR05</t>
  </si>
  <si>
    <t>&gt;5</t>
  </si>
  <si>
    <t>NEGR05-R</t>
  </si>
  <si>
    <t>RESU10</t>
  </si>
  <si>
    <t>&gt;9</t>
  </si>
  <si>
    <t>RESU10-R</t>
  </si>
  <si>
    <t>Agrees within 20% RPD</t>
  </si>
  <si>
    <t>Agrees within Accuracy</t>
  </si>
  <si>
    <t>Outside 20% RPD &amp; Accuracy</t>
  </si>
  <si>
    <t>CIBU10</t>
  </si>
  <si>
    <t>&gt;10</t>
  </si>
  <si>
    <t>CIBU10-R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</si>
</sst>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6100"/>
      <name val="Aptos Narrow"/>
      <family val="2"/>
      <scheme val="minor"/>
    </font>
    <font>
      <sz val="10"/>
      <color rgb="FF9C5700"/>
      <name val="Aptos Narrow"/>
      <family val="2"/>
      <scheme val="minor"/>
    </font>
    <font>
      <sz val="10"/>
      <color rgb="FF9C0006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/>
    <xf numFmtId="0" fontId="19" fillId="2" borderId="0" xfId="6" applyFont="1"/>
    <xf numFmtId="0" fontId="21" fillId="3" borderId="0" xfId="7" applyFont="1"/>
    <xf numFmtId="1" fontId="18" fillId="0" borderId="0" xfId="0" applyNumberFormat="1" applyFont="1"/>
    <xf numFmtId="1" fontId="19" fillId="2" borderId="0" xfId="6" applyNumberFormat="1" applyFont="1"/>
    <xf numFmtId="1" fontId="21" fillId="3" borderId="0" xfId="7" applyNumberFormat="1" applyFont="1"/>
    <xf numFmtId="0" fontId="8" fillId="4" borderId="0" xfId="8"/>
    <xf numFmtId="1" fontId="6" fillId="2" borderId="0" xfId="6" applyNumberFormat="1"/>
    <xf numFmtId="0" fontId="20" fillId="4" borderId="0" xfId="8" applyFont="1" applyAlignment="1">
      <alignment horizontal="center"/>
    </xf>
    <xf numFmtId="0" fontId="19" fillId="2" borderId="0" xfId="6" applyFont="1" applyAlignment="1">
      <alignment horizontal="center"/>
    </xf>
    <xf numFmtId="0" fontId="21" fillId="3" borderId="0" xfId="7" applyFont="1" applyAlignment="1">
      <alignment horizontal="center"/>
    </xf>
    <xf numFmtId="0" fontId="6" fillId="2" borderId="0" xfId="6"/>
    <xf numFmtId="0" fontId="7" fillId="3" borderId="0" xfId="7"/>
    <xf numFmtId="164" fontId="8" fillId="4" borderId="0" xfId="8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0583-C098-4C31-8448-269F00C19E7E}">
  <dimension ref="A2:X26"/>
  <sheetViews>
    <sheetView tabSelected="1" zoomScale="80" zoomScaleNormal="80" workbookViewId="0">
      <selection activeCell="X6" sqref="W5:X6"/>
    </sheetView>
  </sheetViews>
  <sheetFormatPr defaultRowHeight="14.5" x14ac:dyDescent="0.35"/>
  <cols>
    <col min="1" max="1" width="9.81640625" style="1" bestFit="1" customWidth="1"/>
    <col min="2" max="2" width="14.81640625" style="1" bestFit="1" customWidth="1"/>
    <col min="3" max="3" width="14.54296875" style="1" bestFit="1" customWidth="1"/>
    <col min="4" max="4" width="15.81640625" style="1" bestFit="1" customWidth="1"/>
    <col min="5" max="5" width="10.26953125" style="1" bestFit="1" customWidth="1"/>
    <col min="6" max="6" width="14.81640625" style="1" bestFit="1" customWidth="1"/>
    <col min="7" max="7" width="14.54296875" style="1" bestFit="1" customWidth="1"/>
    <col min="8" max="8" width="15.81640625" style="1" bestFit="1" customWidth="1"/>
    <col min="9" max="9" width="10.26953125" style="1" bestFit="1" customWidth="1"/>
    <col min="10" max="10" width="16" style="1" bestFit="1" customWidth="1"/>
    <col min="11" max="11" width="9.54296875" style="1" bestFit="1" customWidth="1"/>
    <col min="12" max="12" width="17.453125" style="1" bestFit="1" customWidth="1"/>
    <col min="13" max="13" width="8.453125" style="1" bestFit="1" customWidth="1"/>
    <col min="14" max="15" width="16.54296875" style="1" bestFit="1" customWidth="1"/>
    <col min="16" max="16" width="11.453125" style="1" bestFit="1" customWidth="1"/>
    <col min="17" max="17" width="12.81640625" style="1" bestFit="1" customWidth="1"/>
    <col min="18" max="19" width="20" style="1" bestFit="1" customWidth="1"/>
    <col min="20" max="21" width="18.81640625" style="1" bestFit="1" customWidth="1"/>
    <col min="22" max="22" width="13.54296875" style="1" bestFit="1" customWidth="1"/>
    <col min="23" max="23" width="13.7265625" style="1" bestFit="1" customWidth="1"/>
    <col min="24" max="24" width="13.54296875" style="1" bestFit="1" customWidth="1"/>
  </cols>
  <sheetData>
    <row r="2" spans="1:24" x14ac:dyDescent="0.35">
      <c r="J2" s="10" t="s">
        <v>40</v>
      </c>
      <c r="K2" s="10"/>
      <c r="L2" s="10"/>
      <c r="M2" s="9" t="s">
        <v>41</v>
      </c>
      <c r="N2" s="9"/>
      <c r="O2" s="9"/>
      <c r="P2" s="11" t="s">
        <v>42</v>
      </c>
      <c r="Q2" s="11"/>
      <c r="R2" s="11"/>
    </row>
    <row r="4" spans="1:24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</row>
    <row r="5" spans="1:24" x14ac:dyDescent="0.35">
      <c r="A5" s="1" t="s">
        <v>43</v>
      </c>
      <c r="B5" s="12">
        <v>29.29</v>
      </c>
      <c r="C5" s="12">
        <v>37.01</v>
      </c>
      <c r="D5" s="12">
        <v>6.37</v>
      </c>
      <c r="E5" s="12">
        <v>8.1</v>
      </c>
      <c r="F5" s="12">
        <v>29.1</v>
      </c>
      <c r="G5" s="12">
        <v>37.24</v>
      </c>
      <c r="H5" s="12">
        <v>6.12</v>
      </c>
      <c r="I5" s="12">
        <v>8.17</v>
      </c>
      <c r="J5" s="12" t="s">
        <v>44</v>
      </c>
      <c r="K5" s="7">
        <v>4.9000000000000004</v>
      </c>
      <c r="L5" s="12">
        <v>10</v>
      </c>
      <c r="M5" s="12" t="s">
        <v>26</v>
      </c>
      <c r="N5" s="12">
        <v>1.79</v>
      </c>
      <c r="O5" s="13">
        <v>1.62</v>
      </c>
      <c r="P5" s="12">
        <v>0.17</v>
      </c>
      <c r="Q5" s="12">
        <v>0.15</v>
      </c>
      <c r="R5" s="12">
        <v>2027</v>
      </c>
      <c r="S5" s="12">
        <v>2031</v>
      </c>
      <c r="T5" s="12">
        <v>2373</v>
      </c>
      <c r="U5" s="12">
        <v>2369</v>
      </c>
      <c r="V5" s="12">
        <v>8.9999999999999993E-3</v>
      </c>
      <c r="W5" s="14">
        <v>5.0000000000000001E-3</v>
      </c>
      <c r="X5" s="7" t="s">
        <v>27</v>
      </c>
    </row>
    <row r="6" spans="1:24" x14ac:dyDescent="0.35">
      <c r="A6" s="1" t="s">
        <v>45</v>
      </c>
      <c r="B6" s="12">
        <v>29.29</v>
      </c>
      <c r="C6" s="12">
        <v>37.15</v>
      </c>
      <c r="D6" s="12">
        <v>6.31</v>
      </c>
      <c r="E6" s="12">
        <v>8.18</v>
      </c>
      <c r="F6" s="12">
        <v>29.08</v>
      </c>
      <c r="G6" s="12">
        <v>37.25</v>
      </c>
      <c r="H6" s="12">
        <v>6.07</v>
      </c>
      <c r="I6" s="12">
        <v>8.19</v>
      </c>
      <c r="J6" s="12" t="s">
        <v>44</v>
      </c>
      <c r="K6" s="7">
        <v>7</v>
      </c>
      <c r="L6" s="12" t="s">
        <v>31</v>
      </c>
      <c r="M6" s="12" t="s">
        <v>26</v>
      </c>
      <c r="N6" s="12">
        <v>1.66</v>
      </c>
      <c r="O6" s="13">
        <v>1.25</v>
      </c>
      <c r="P6" s="12">
        <v>0.16</v>
      </c>
      <c r="Q6" s="12">
        <v>0.1</v>
      </c>
      <c r="R6" s="12">
        <v>2030</v>
      </c>
      <c r="S6" s="12">
        <v>2032</v>
      </c>
      <c r="T6" s="12">
        <v>2369</v>
      </c>
      <c r="U6" s="12">
        <v>2367</v>
      </c>
      <c r="V6" s="12">
        <v>8.0000000000000002E-3</v>
      </c>
      <c r="W6" s="14">
        <v>3.0000000000000001E-3</v>
      </c>
      <c r="X6" s="7">
        <v>0.04</v>
      </c>
    </row>
    <row r="7" spans="1:24" x14ac:dyDescent="0.35">
      <c r="A7" s="1" t="s">
        <v>24</v>
      </c>
      <c r="B7" s="2">
        <v>29.69</v>
      </c>
      <c r="C7" s="2">
        <v>36.840000000000003</v>
      </c>
      <c r="D7" s="2">
        <v>6.21</v>
      </c>
      <c r="E7" s="2">
        <v>8.09</v>
      </c>
      <c r="F7" s="2">
        <v>29.57</v>
      </c>
      <c r="G7" s="2">
        <v>36.869999999999997</v>
      </c>
      <c r="H7" s="2">
        <v>5.83</v>
      </c>
      <c r="I7" s="2">
        <v>8.1199999999999992</v>
      </c>
      <c r="J7" s="2" t="s">
        <v>25</v>
      </c>
      <c r="K7" s="2">
        <v>8.6999999999999993</v>
      </c>
      <c r="L7" s="2">
        <v>134</v>
      </c>
      <c r="M7" s="2" t="s">
        <v>26</v>
      </c>
      <c r="N7" s="3">
        <v>1.1399999999999999</v>
      </c>
      <c r="O7" s="3">
        <v>1.63</v>
      </c>
      <c r="P7" s="7">
        <v>0.36</v>
      </c>
      <c r="Q7" s="2">
        <v>0.3</v>
      </c>
      <c r="R7" s="2">
        <v>2065</v>
      </c>
      <c r="S7" s="2">
        <v>2051</v>
      </c>
      <c r="T7" s="2">
        <v>2347</v>
      </c>
      <c r="U7" s="2">
        <v>2341</v>
      </c>
      <c r="V7" s="2">
        <v>1.0999999999999999E-2</v>
      </c>
      <c r="W7" s="7">
        <v>6.0000000000000001E-3</v>
      </c>
      <c r="X7" s="7" t="s">
        <v>27</v>
      </c>
    </row>
    <row r="8" spans="1:24" x14ac:dyDescent="0.35">
      <c r="A8" s="1" t="s">
        <v>28</v>
      </c>
      <c r="B8" s="2">
        <v>29.7</v>
      </c>
      <c r="C8" s="2">
        <v>36.950000000000003</v>
      </c>
      <c r="D8" s="2">
        <v>5.96</v>
      </c>
      <c r="E8" s="2">
        <v>8.1199999999999992</v>
      </c>
      <c r="F8" s="2">
        <v>29.49</v>
      </c>
      <c r="G8" s="2">
        <v>37.04</v>
      </c>
      <c r="H8" s="2">
        <v>5.83</v>
      </c>
      <c r="I8" s="2">
        <v>8.1300000000000008</v>
      </c>
      <c r="J8" s="2" t="s">
        <v>25</v>
      </c>
      <c r="K8" s="2">
        <v>8.5</v>
      </c>
      <c r="L8" s="2">
        <v>121</v>
      </c>
      <c r="M8" s="2" t="s">
        <v>26</v>
      </c>
      <c r="N8" s="3">
        <v>2.2799999999999998</v>
      </c>
      <c r="O8" s="3">
        <v>0.71</v>
      </c>
      <c r="P8" s="7">
        <v>0.2</v>
      </c>
      <c r="Q8" s="2">
        <v>0.3</v>
      </c>
      <c r="R8" s="2">
        <v>2050</v>
      </c>
      <c r="S8" s="2">
        <v>2061</v>
      </c>
      <c r="T8" s="2">
        <v>2345</v>
      </c>
      <c r="U8" s="2">
        <v>2351</v>
      </c>
      <c r="V8" s="2">
        <v>0.01</v>
      </c>
      <c r="W8" s="7" t="s">
        <v>29</v>
      </c>
      <c r="X8" s="7">
        <v>0.02</v>
      </c>
    </row>
    <row r="9" spans="1:24" x14ac:dyDescent="0.35">
      <c r="A9" s="1" t="s">
        <v>30</v>
      </c>
      <c r="B9" s="2">
        <v>30.61</v>
      </c>
      <c r="C9" s="2">
        <v>37.340000000000003</v>
      </c>
      <c r="D9" s="2">
        <v>6.47</v>
      </c>
      <c r="E9" s="2">
        <v>8.18</v>
      </c>
      <c r="F9" s="2">
        <v>30.62</v>
      </c>
      <c r="G9" s="2">
        <v>37.47</v>
      </c>
      <c r="H9" s="2">
        <v>6.7</v>
      </c>
      <c r="I9" s="2">
        <v>8.18</v>
      </c>
      <c r="J9" s="2" t="s">
        <v>25</v>
      </c>
      <c r="K9" s="7">
        <v>5</v>
      </c>
      <c r="L9" s="2" t="s">
        <v>31</v>
      </c>
      <c r="M9" s="2" t="s">
        <v>26</v>
      </c>
      <c r="N9" s="3">
        <v>0.92</v>
      </c>
      <c r="O9" s="7">
        <v>0.4</v>
      </c>
      <c r="P9" s="2">
        <v>0.37</v>
      </c>
      <c r="Q9" s="2">
        <v>0.25</v>
      </c>
      <c r="R9" s="2">
        <v>2009</v>
      </c>
      <c r="S9" s="2">
        <v>2003</v>
      </c>
      <c r="T9" s="2">
        <v>2346</v>
      </c>
      <c r="U9" s="2">
        <v>2346</v>
      </c>
      <c r="V9" s="7">
        <v>2.5000000000000001E-2</v>
      </c>
      <c r="W9" s="2" t="s">
        <v>32</v>
      </c>
      <c r="X9" s="2">
        <v>0.41</v>
      </c>
    </row>
    <row r="10" spans="1:24" x14ac:dyDescent="0.35">
      <c r="A10" s="1" t="s">
        <v>33</v>
      </c>
      <c r="B10" s="2">
        <v>30.67</v>
      </c>
      <c r="C10" s="2">
        <v>37.33</v>
      </c>
      <c r="D10" s="2">
        <v>6.58</v>
      </c>
      <c r="E10" s="2">
        <v>8.18</v>
      </c>
      <c r="F10" s="2">
        <v>30.68</v>
      </c>
      <c r="G10" s="2">
        <v>37.42</v>
      </c>
      <c r="H10" s="2">
        <v>6.81</v>
      </c>
      <c r="I10" s="2">
        <v>8.18</v>
      </c>
      <c r="J10" s="2" t="s">
        <v>25</v>
      </c>
      <c r="K10" s="7">
        <v>3.8</v>
      </c>
      <c r="L10" s="2" t="s">
        <v>31</v>
      </c>
      <c r="M10" s="2" t="s">
        <v>26</v>
      </c>
      <c r="N10" s="3">
        <v>0.27</v>
      </c>
      <c r="O10" s="7">
        <v>7.0000000000000007E-2</v>
      </c>
      <c r="P10" s="2">
        <v>0.33</v>
      </c>
      <c r="Q10" s="2">
        <v>0.25</v>
      </c>
      <c r="R10" s="2">
        <v>1998</v>
      </c>
      <c r="S10" s="2">
        <v>1996</v>
      </c>
      <c r="T10" s="2">
        <v>2338</v>
      </c>
      <c r="U10" s="2">
        <v>2345</v>
      </c>
      <c r="V10" s="7">
        <v>1.4E-2</v>
      </c>
      <c r="W10" s="2">
        <v>3.0000000000000001E-3</v>
      </c>
      <c r="X10" s="2">
        <v>0.37</v>
      </c>
    </row>
    <row r="11" spans="1:24" x14ac:dyDescent="0.35">
      <c r="A11" s="1" t="s">
        <v>34</v>
      </c>
      <c r="B11" s="2">
        <v>30.14</v>
      </c>
      <c r="C11" s="2">
        <v>36.840000000000003</v>
      </c>
      <c r="D11" s="2">
        <v>6.42</v>
      </c>
      <c r="E11" s="2">
        <v>8.17</v>
      </c>
      <c r="F11" s="2">
        <v>30.13</v>
      </c>
      <c r="G11" s="2">
        <v>36.83</v>
      </c>
      <c r="H11" s="2">
        <v>6.43</v>
      </c>
      <c r="I11" s="2">
        <v>8.17</v>
      </c>
      <c r="J11" s="2" t="s">
        <v>35</v>
      </c>
      <c r="K11" s="7">
        <v>15.6</v>
      </c>
      <c r="L11" s="2" t="s">
        <v>31</v>
      </c>
      <c r="M11" s="2" t="s">
        <v>26</v>
      </c>
      <c r="N11" s="2">
        <v>0.44</v>
      </c>
      <c r="O11" s="7">
        <v>0.56999999999999995</v>
      </c>
      <c r="P11" s="7">
        <v>0</v>
      </c>
      <c r="Q11" s="2">
        <v>0.25</v>
      </c>
      <c r="R11" s="2">
        <v>2010</v>
      </c>
      <c r="S11" s="2">
        <v>2013</v>
      </c>
      <c r="T11" s="2">
        <v>2347</v>
      </c>
      <c r="U11" s="2">
        <v>2345</v>
      </c>
      <c r="V11" s="2">
        <v>1.2999999999999999E-2</v>
      </c>
      <c r="W11" s="7">
        <v>4.0000000000000001E-3</v>
      </c>
      <c r="X11" s="7">
        <v>0.31</v>
      </c>
    </row>
    <row r="12" spans="1:24" x14ac:dyDescent="0.35">
      <c r="A12" s="1" t="s">
        <v>36</v>
      </c>
      <c r="B12" s="2">
        <v>30.17</v>
      </c>
      <c r="C12" s="2">
        <v>36.82</v>
      </c>
      <c r="D12" s="2">
        <v>6.44</v>
      </c>
      <c r="E12" s="2">
        <v>8.17</v>
      </c>
      <c r="F12" s="2">
        <v>30.06</v>
      </c>
      <c r="G12" s="2">
        <v>36.86</v>
      </c>
      <c r="H12" s="2">
        <v>6.4</v>
      </c>
      <c r="I12" s="2">
        <v>8.16</v>
      </c>
      <c r="J12" s="2" t="s">
        <v>35</v>
      </c>
      <c r="K12" s="7">
        <v>5.7</v>
      </c>
      <c r="L12" s="2" t="s">
        <v>31</v>
      </c>
      <c r="M12" s="2" t="s">
        <v>26</v>
      </c>
      <c r="N12" s="2">
        <v>0.54</v>
      </c>
      <c r="O12" s="7">
        <v>0.44</v>
      </c>
      <c r="P12" s="7">
        <v>0.25</v>
      </c>
      <c r="Q12" s="2">
        <v>0.25</v>
      </c>
      <c r="R12" s="2">
        <v>2012</v>
      </c>
      <c r="S12" s="2">
        <v>2012</v>
      </c>
      <c r="T12" s="2">
        <v>2344</v>
      </c>
      <c r="U12" s="2">
        <v>2349</v>
      </c>
      <c r="V12" s="2">
        <v>1.0999999999999999E-2</v>
      </c>
      <c r="W12" s="7" t="s">
        <v>32</v>
      </c>
      <c r="X12" s="7">
        <v>0.4</v>
      </c>
    </row>
    <row r="13" spans="1:24" x14ac:dyDescent="0.35">
      <c r="A13" s="1" t="s">
        <v>37</v>
      </c>
      <c r="B13" s="2">
        <v>30.7</v>
      </c>
      <c r="C13" s="2">
        <v>37.46</v>
      </c>
      <c r="D13" s="2">
        <v>5.78</v>
      </c>
      <c r="E13" s="2">
        <v>8.07</v>
      </c>
      <c r="F13" s="2">
        <v>30.73</v>
      </c>
      <c r="G13" s="2">
        <v>37.520000000000003</v>
      </c>
      <c r="H13" s="2">
        <v>5.51</v>
      </c>
      <c r="I13" s="2">
        <v>8.07</v>
      </c>
      <c r="J13" s="2" t="s">
        <v>38</v>
      </c>
      <c r="K13" s="7">
        <v>8</v>
      </c>
      <c r="L13" s="2" t="s">
        <v>31</v>
      </c>
      <c r="M13" s="2" t="s">
        <v>26</v>
      </c>
      <c r="N13" s="2">
        <v>0.63</v>
      </c>
      <c r="O13" s="7">
        <v>0.5</v>
      </c>
      <c r="P13" s="2">
        <v>0.41</v>
      </c>
      <c r="Q13" s="2">
        <v>0.1</v>
      </c>
      <c r="R13" s="2">
        <v>2005</v>
      </c>
      <c r="S13" s="2">
        <v>2010</v>
      </c>
      <c r="T13" s="2">
        <v>2292</v>
      </c>
      <c r="U13" s="2">
        <v>2304</v>
      </c>
      <c r="V13" s="2">
        <v>2.1000000000000001E-2</v>
      </c>
      <c r="W13" s="2" t="s">
        <v>32</v>
      </c>
      <c r="X13" s="7">
        <v>0.13</v>
      </c>
    </row>
    <row r="14" spans="1:24" x14ac:dyDescent="0.35">
      <c r="A14" s="1" t="s">
        <v>39</v>
      </c>
      <c r="B14" s="2">
        <v>30.67</v>
      </c>
      <c r="C14" s="2">
        <v>37.380000000000003</v>
      </c>
      <c r="D14" s="2">
        <v>5.71</v>
      </c>
      <c r="E14" s="2">
        <v>8.08</v>
      </c>
      <c r="F14" s="2">
        <v>30.7</v>
      </c>
      <c r="G14" s="2">
        <v>37.47</v>
      </c>
      <c r="H14" s="2">
        <v>5.57</v>
      </c>
      <c r="I14" s="2">
        <v>8.07</v>
      </c>
      <c r="J14" s="2" t="s">
        <v>38</v>
      </c>
      <c r="K14" s="7">
        <v>4.5999999999999996</v>
      </c>
      <c r="L14" s="2" t="s">
        <v>31</v>
      </c>
      <c r="M14" s="2" t="s">
        <v>26</v>
      </c>
      <c r="N14" s="2">
        <v>0.56999999999999995</v>
      </c>
      <c r="O14" s="7">
        <v>0.74</v>
      </c>
      <c r="P14" s="2">
        <v>0.36</v>
      </c>
      <c r="Q14" s="2">
        <v>0.1</v>
      </c>
      <c r="R14" s="2">
        <v>2006</v>
      </c>
      <c r="S14" s="2">
        <v>2004</v>
      </c>
      <c r="T14" s="2">
        <v>2297</v>
      </c>
      <c r="U14" s="2">
        <v>2293</v>
      </c>
      <c r="V14" s="2">
        <v>2.1999999999999999E-2</v>
      </c>
      <c r="W14" s="2" t="s">
        <v>32</v>
      </c>
      <c r="X14" s="7">
        <v>0.28999999999999998</v>
      </c>
    </row>
    <row r="16" spans="1:24" x14ac:dyDescent="0.3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  <c r="J16" s="1" t="s">
        <v>9</v>
      </c>
      <c r="K16" s="1" t="s">
        <v>10</v>
      </c>
      <c r="L16" s="1" t="s">
        <v>11</v>
      </c>
      <c r="M16" s="1" t="s">
        <v>12</v>
      </c>
      <c r="N16" s="1" t="s">
        <v>13</v>
      </c>
      <c r="O16" s="1" t="s">
        <v>14</v>
      </c>
      <c r="P16" s="1" t="s">
        <v>15</v>
      </c>
      <c r="Q16" s="1" t="s">
        <v>16</v>
      </c>
      <c r="R16" s="1" t="s">
        <v>17</v>
      </c>
      <c r="S16" s="1" t="s">
        <v>18</v>
      </c>
      <c r="T16" s="1" t="s">
        <v>19</v>
      </c>
      <c r="U16" s="1" t="s">
        <v>20</v>
      </c>
      <c r="V16" s="1" t="s">
        <v>21</v>
      </c>
      <c r="W16" s="1" t="s">
        <v>22</v>
      </c>
      <c r="X16" s="1" t="s">
        <v>23</v>
      </c>
    </row>
    <row r="17" spans="1:24" x14ac:dyDescent="0.35">
      <c r="A17" s="1" t="s">
        <v>43</v>
      </c>
      <c r="B17" s="4">
        <f>ABS(B5-B6)/(AVERAGE(B5:B6))*100</f>
        <v>0</v>
      </c>
      <c r="C17" s="4">
        <f t="shared" ref="C17:X17" si="0">ABS(C5-C6)/(AVERAGE(C5:C6))*100</f>
        <v>0.37756202804746652</v>
      </c>
      <c r="D17" s="4">
        <f t="shared" si="0"/>
        <v>0.94637223974764184</v>
      </c>
      <c r="E17" s="4">
        <f t="shared" si="0"/>
        <v>0.9828009828009836</v>
      </c>
      <c r="F17" s="4">
        <f t="shared" si="0"/>
        <v>6.8752148504651514E-2</v>
      </c>
      <c r="G17" s="4">
        <f t="shared" si="0"/>
        <v>2.6849241508922025E-2</v>
      </c>
      <c r="H17" s="4">
        <f t="shared" si="0"/>
        <v>0.82034454470877471</v>
      </c>
      <c r="I17" s="4">
        <f t="shared" si="0"/>
        <v>0.24449877750610727</v>
      </c>
      <c r="J17" s="8" t="e">
        <f t="shared" si="0"/>
        <v>#VALUE!</v>
      </c>
      <c r="K17" s="4">
        <f t="shared" si="0"/>
        <v>35.294117647058812</v>
      </c>
      <c r="L17" s="8" t="e">
        <f t="shared" si="0"/>
        <v>#VALUE!</v>
      </c>
      <c r="M17" s="8" t="e">
        <f t="shared" si="0"/>
        <v>#VALUE!</v>
      </c>
      <c r="N17" s="4">
        <f t="shared" si="0"/>
        <v>7.5362318840579769</v>
      </c>
      <c r="O17" s="4">
        <f t="shared" si="0"/>
        <v>25.783972125435543</v>
      </c>
      <c r="P17" s="4">
        <f t="shared" si="0"/>
        <v>6.0606060606060659</v>
      </c>
      <c r="Q17" s="4">
        <f t="shared" si="0"/>
        <v>39.999999999999993</v>
      </c>
      <c r="R17" s="4">
        <f t="shared" si="0"/>
        <v>0.14789253142716291</v>
      </c>
      <c r="S17" s="4">
        <f t="shared" si="0"/>
        <v>4.9224710804824018E-2</v>
      </c>
      <c r="T17" s="4">
        <f t="shared" si="0"/>
        <v>0.16870518768452131</v>
      </c>
      <c r="U17" s="4">
        <f t="shared" si="0"/>
        <v>8.4459459459459457E-2</v>
      </c>
      <c r="V17" s="4">
        <f t="shared" si="0"/>
        <v>11.76470588235293</v>
      </c>
      <c r="W17" s="4">
        <f t="shared" si="0"/>
        <v>50</v>
      </c>
      <c r="X17" s="4" t="e">
        <f t="shared" si="0"/>
        <v>#VALUE!</v>
      </c>
    </row>
    <row r="18" spans="1:24" x14ac:dyDescent="0.35">
      <c r="A18" s="1" t="s">
        <v>45</v>
      </c>
      <c r="B18" s="4">
        <f>ABS(B5-B6)/(AVERAGE(B5:B6))*100</f>
        <v>0</v>
      </c>
      <c r="C18" s="4">
        <f t="shared" ref="C18:X18" si="1">ABS(C5-C6)/(AVERAGE(C5:C6))*100</f>
        <v>0.37756202804746652</v>
      </c>
      <c r="D18" s="4">
        <f t="shared" si="1"/>
        <v>0.94637223974764184</v>
      </c>
      <c r="E18" s="4">
        <f t="shared" si="1"/>
        <v>0.9828009828009836</v>
      </c>
      <c r="F18" s="4">
        <f t="shared" si="1"/>
        <v>6.8752148504651514E-2</v>
      </c>
      <c r="G18" s="4">
        <f t="shared" si="1"/>
        <v>2.6849241508922025E-2</v>
      </c>
      <c r="H18" s="4">
        <f t="shared" si="1"/>
        <v>0.82034454470877471</v>
      </c>
      <c r="I18" s="4">
        <f t="shared" si="1"/>
        <v>0.24449877750610727</v>
      </c>
      <c r="J18" s="8" t="e">
        <f t="shared" si="1"/>
        <v>#VALUE!</v>
      </c>
      <c r="K18" s="4">
        <f t="shared" si="1"/>
        <v>35.294117647058812</v>
      </c>
      <c r="L18" s="8" t="e">
        <f t="shared" si="1"/>
        <v>#VALUE!</v>
      </c>
      <c r="M18" s="8" t="e">
        <f t="shared" si="1"/>
        <v>#VALUE!</v>
      </c>
      <c r="N18" s="4">
        <f t="shared" si="1"/>
        <v>7.5362318840579769</v>
      </c>
      <c r="O18" s="4">
        <f t="shared" si="1"/>
        <v>25.783972125435543</v>
      </c>
      <c r="P18" s="4">
        <f t="shared" si="1"/>
        <v>6.0606060606060659</v>
      </c>
      <c r="Q18" s="4">
        <f t="shared" si="1"/>
        <v>39.999999999999993</v>
      </c>
      <c r="R18" s="4">
        <f t="shared" si="1"/>
        <v>0.14789253142716291</v>
      </c>
      <c r="S18" s="4">
        <f t="shared" si="1"/>
        <v>4.9224710804824018E-2</v>
      </c>
      <c r="T18" s="4">
        <f t="shared" si="1"/>
        <v>0.16870518768452131</v>
      </c>
      <c r="U18" s="4">
        <f t="shared" si="1"/>
        <v>8.4459459459459457E-2</v>
      </c>
      <c r="V18" s="4">
        <f t="shared" si="1"/>
        <v>11.76470588235293</v>
      </c>
      <c r="W18" s="4">
        <f t="shared" si="1"/>
        <v>50</v>
      </c>
      <c r="X18" s="4" t="e">
        <f t="shared" si="1"/>
        <v>#VALUE!</v>
      </c>
    </row>
    <row r="19" spans="1:24" x14ac:dyDescent="0.35">
      <c r="A19" s="1" t="s">
        <v>24</v>
      </c>
      <c r="B19" s="4">
        <f>ABS(B7-B8)/(AVERAGE(B7:B8))*100</f>
        <v>3.3675702980293015E-2</v>
      </c>
      <c r="C19" s="4">
        <f t="shared" ref="C19:X19" si="2">ABS(C7-C8)/(AVERAGE(C7:C8))*100</f>
        <v>0.29814337986176831</v>
      </c>
      <c r="D19" s="4">
        <f t="shared" si="2"/>
        <v>4.1084634346754312</v>
      </c>
      <c r="E19" s="4">
        <f t="shared" si="2"/>
        <v>0.3701418877236195</v>
      </c>
      <c r="F19" s="4">
        <f t="shared" si="2"/>
        <v>0.27091093802912919</v>
      </c>
      <c r="G19" s="4">
        <f t="shared" si="2"/>
        <v>0.46001894195643817</v>
      </c>
      <c r="H19" s="4">
        <f t="shared" si="2"/>
        <v>0</v>
      </c>
      <c r="I19" s="4">
        <f t="shared" si="2"/>
        <v>0.12307692307694232</v>
      </c>
      <c r="J19" s="5" t="e">
        <f t="shared" si="2"/>
        <v>#VALUE!</v>
      </c>
      <c r="K19" s="4">
        <f t="shared" si="2"/>
        <v>2.3255813953488293</v>
      </c>
      <c r="L19" s="4">
        <f t="shared" si="2"/>
        <v>10.196078431372548</v>
      </c>
      <c r="M19" s="5" t="e">
        <f t="shared" si="2"/>
        <v>#VALUE!</v>
      </c>
      <c r="N19" s="4">
        <f t="shared" si="2"/>
        <v>66.666666666666657</v>
      </c>
      <c r="O19" s="4">
        <f t="shared" si="2"/>
        <v>78.632478632478637</v>
      </c>
      <c r="P19" s="4">
        <f t="shared" si="2"/>
        <v>57.142857142857132</v>
      </c>
      <c r="Q19" s="4">
        <f t="shared" si="2"/>
        <v>0</v>
      </c>
      <c r="R19" s="4">
        <f t="shared" si="2"/>
        <v>0.72904009720534624</v>
      </c>
      <c r="S19" s="4">
        <f t="shared" si="2"/>
        <v>0.48638132295719844</v>
      </c>
      <c r="T19" s="4">
        <f t="shared" si="2"/>
        <v>8.525149190110827E-2</v>
      </c>
      <c r="U19" s="4">
        <f t="shared" si="2"/>
        <v>0.42625745950554139</v>
      </c>
      <c r="V19" s="4">
        <f t="shared" si="2"/>
        <v>9.5238095238095166</v>
      </c>
      <c r="W19" s="6" t="e">
        <f t="shared" si="2"/>
        <v>#VALUE!</v>
      </c>
      <c r="X19" s="6" t="e">
        <f t="shared" si="2"/>
        <v>#VALUE!</v>
      </c>
    </row>
    <row r="20" spans="1:24" x14ac:dyDescent="0.35">
      <c r="A20" s="1" t="s">
        <v>28</v>
      </c>
      <c r="B20" s="4">
        <f>ABS(B7-B8)/(AVERAGE(B7:B8))*100</f>
        <v>3.3675702980293015E-2</v>
      </c>
      <c r="C20" s="4">
        <f t="shared" ref="C20:X20" si="3">ABS(C7-C8)/(AVERAGE(C7:C8))*100</f>
        <v>0.29814337986176831</v>
      </c>
      <c r="D20" s="4">
        <f t="shared" si="3"/>
        <v>4.1084634346754312</v>
      </c>
      <c r="E20" s="4">
        <f t="shared" si="3"/>
        <v>0.3701418877236195</v>
      </c>
      <c r="F20" s="4">
        <f t="shared" si="3"/>
        <v>0.27091093802912919</v>
      </c>
      <c r="G20" s="4">
        <f t="shared" si="3"/>
        <v>0.46001894195643817</v>
      </c>
      <c r="H20" s="4">
        <f t="shared" si="3"/>
        <v>0</v>
      </c>
      <c r="I20" s="4">
        <f t="shared" si="3"/>
        <v>0.12307692307694232</v>
      </c>
      <c r="J20" s="5" t="e">
        <f t="shared" si="3"/>
        <v>#VALUE!</v>
      </c>
      <c r="K20" s="4">
        <f t="shared" si="3"/>
        <v>2.3255813953488293</v>
      </c>
      <c r="L20" s="4">
        <f t="shared" si="3"/>
        <v>10.196078431372548</v>
      </c>
      <c r="M20" s="5" t="e">
        <f t="shared" si="3"/>
        <v>#VALUE!</v>
      </c>
      <c r="N20" s="4">
        <f t="shared" si="3"/>
        <v>66.666666666666657</v>
      </c>
      <c r="O20" s="4">
        <f t="shared" si="3"/>
        <v>78.632478632478637</v>
      </c>
      <c r="P20" s="4">
        <f t="shared" si="3"/>
        <v>57.142857142857132</v>
      </c>
      <c r="Q20" s="4">
        <f t="shared" si="3"/>
        <v>0</v>
      </c>
      <c r="R20" s="4">
        <f t="shared" si="3"/>
        <v>0.72904009720534624</v>
      </c>
      <c r="S20" s="4">
        <f t="shared" si="3"/>
        <v>0.48638132295719844</v>
      </c>
      <c r="T20" s="4">
        <f t="shared" si="3"/>
        <v>8.525149190110827E-2</v>
      </c>
      <c r="U20" s="4">
        <f t="shared" si="3"/>
        <v>0.42625745950554139</v>
      </c>
      <c r="V20" s="4">
        <f t="shared" si="3"/>
        <v>9.5238095238095166</v>
      </c>
      <c r="W20" s="6" t="e">
        <f t="shared" si="3"/>
        <v>#VALUE!</v>
      </c>
      <c r="X20" s="6" t="e">
        <f t="shared" si="3"/>
        <v>#VALUE!</v>
      </c>
    </row>
    <row r="21" spans="1:24" x14ac:dyDescent="0.35">
      <c r="A21" s="1" t="s">
        <v>30</v>
      </c>
      <c r="B21" s="4">
        <f>ABS(B9-B10)/(AVERAGE(B9:B10))*100</f>
        <v>0.19582245430810138</v>
      </c>
      <c r="C21" s="4">
        <f t="shared" ref="C21:X21" si="4">ABS(C9-C10)/(AVERAGE(C9:C10))*100</f>
        <v>2.6784518548292797E-2</v>
      </c>
      <c r="D21" s="4">
        <f t="shared" si="4"/>
        <v>1.6858237547892767</v>
      </c>
      <c r="E21" s="4">
        <f t="shared" si="4"/>
        <v>0</v>
      </c>
      <c r="F21" s="4">
        <f t="shared" si="4"/>
        <v>0.19575856443718995</v>
      </c>
      <c r="G21" s="4">
        <f t="shared" si="4"/>
        <v>0.13352917612497572</v>
      </c>
      <c r="H21" s="4">
        <f t="shared" si="4"/>
        <v>1.6284233900814127</v>
      </c>
      <c r="I21" s="4">
        <f t="shared" si="4"/>
        <v>0</v>
      </c>
      <c r="J21" s="5" t="e">
        <f t="shared" si="4"/>
        <v>#VALUE!</v>
      </c>
      <c r="K21" s="4">
        <f t="shared" si="4"/>
        <v>27.272727272727277</v>
      </c>
      <c r="L21" s="5" t="e">
        <f t="shared" si="4"/>
        <v>#VALUE!</v>
      </c>
      <c r="M21" s="5" t="e">
        <f t="shared" si="4"/>
        <v>#VALUE!</v>
      </c>
      <c r="N21" s="4">
        <f t="shared" si="4"/>
        <v>109.24369747899161</v>
      </c>
      <c r="O21" s="4">
        <f t="shared" si="4"/>
        <v>140.42553191489361</v>
      </c>
      <c r="P21" s="4">
        <f t="shared" si="4"/>
        <v>11.428571428571423</v>
      </c>
      <c r="Q21" s="4">
        <f t="shared" si="4"/>
        <v>0</v>
      </c>
      <c r="R21" s="4">
        <f t="shared" si="4"/>
        <v>0.54903918143249308</v>
      </c>
      <c r="S21" s="4">
        <f t="shared" si="4"/>
        <v>0.3500875218804701</v>
      </c>
      <c r="T21" s="4">
        <f t="shared" si="4"/>
        <v>0.34158838599487618</v>
      </c>
      <c r="U21" s="4">
        <f t="shared" si="4"/>
        <v>4.2634832658281815E-2</v>
      </c>
      <c r="V21" s="4">
        <f t="shared" si="4"/>
        <v>56.410256410256423</v>
      </c>
      <c r="W21" s="5" t="e">
        <f t="shared" si="4"/>
        <v>#VALUE!</v>
      </c>
      <c r="X21" s="4">
        <f t="shared" si="4"/>
        <v>10.25641025641025</v>
      </c>
    </row>
    <row r="22" spans="1:24" x14ac:dyDescent="0.35">
      <c r="A22" s="1" t="s">
        <v>33</v>
      </c>
      <c r="B22" s="4">
        <f>ABS(B9-B10)/(AVERAGE(B9:B10))*100</f>
        <v>0.19582245430810138</v>
      </c>
      <c r="C22" s="4">
        <f t="shared" ref="C22:X22" si="5">ABS(C9-C10)/(AVERAGE(C9:C10))*100</f>
        <v>2.6784518548292797E-2</v>
      </c>
      <c r="D22" s="4">
        <f t="shared" si="5"/>
        <v>1.6858237547892767</v>
      </c>
      <c r="E22" s="4">
        <f t="shared" si="5"/>
        <v>0</v>
      </c>
      <c r="F22" s="4">
        <f t="shared" si="5"/>
        <v>0.19575856443718995</v>
      </c>
      <c r="G22" s="4">
        <f t="shared" si="5"/>
        <v>0.13352917612497572</v>
      </c>
      <c r="H22" s="4">
        <f t="shared" si="5"/>
        <v>1.6284233900814127</v>
      </c>
      <c r="I22" s="4">
        <f t="shared" si="5"/>
        <v>0</v>
      </c>
      <c r="J22" s="5" t="e">
        <f t="shared" si="5"/>
        <v>#VALUE!</v>
      </c>
      <c r="K22" s="4">
        <f t="shared" si="5"/>
        <v>27.272727272727277</v>
      </c>
      <c r="L22" s="5" t="e">
        <f t="shared" si="5"/>
        <v>#VALUE!</v>
      </c>
      <c r="M22" s="5" t="e">
        <f t="shared" si="5"/>
        <v>#VALUE!</v>
      </c>
      <c r="N22" s="4">
        <f t="shared" si="5"/>
        <v>109.24369747899161</v>
      </c>
      <c r="O22" s="4">
        <f t="shared" si="5"/>
        <v>140.42553191489361</v>
      </c>
      <c r="P22" s="4">
        <f t="shared" si="5"/>
        <v>11.428571428571423</v>
      </c>
      <c r="Q22" s="4">
        <f t="shared" si="5"/>
        <v>0</v>
      </c>
      <c r="R22" s="4">
        <f t="shared" si="5"/>
        <v>0.54903918143249308</v>
      </c>
      <c r="S22" s="4">
        <f t="shared" si="5"/>
        <v>0.3500875218804701</v>
      </c>
      <c r="T22" s="4">
        <f t="shared" si="5"/>
        <v>0.34158838599487618</v>
      </c>
      <c r="U22" s="4">
        <f t="shared" si="5"/>
        <v>4.2634832658281815E-2</v>
      </c>
      <c r="V22" s="4">
        <f t="shared" si="5"/>
        <v>56.410256410256423</v>
      </c>
      <c r="W22" s="5" t="e">
        <f t="shared" si="5"/>
        <v>#VALUE!</v>
      </c>
      <c r="X22" s="4">
        <f t="shared" si="5"/>
        <v>10.25641025641025</v>
      </c>
    </row>
    <row r="23" spans="1:24" x14ac:dyDescent="0.35">
      <c r="A23" s="1" t="s">
        <v>34</v>
      </c>
      <c r="B23" s="4">
        <f>ABS(B11-B12)/(AVERAGE(B11:B12))*100</f>
        <v>9.9485989056544974E-2</v>
      </c>
      <c r="C23" s="4">
        <f t="shared" ref="C23:X23" si="6">ABS(C11-C12)/(AVERAGE(C11:C12))*100</f>
        <v>5.430355688298432E-2</v>
      </c>
      <c r="D23" s="4">
        <f t="shared" si="6"/>
        <v>0.31104199066874749</v>
      </c>
      <c r="E23" s="4">
        <f t="shared" si="6"/>
        <v>0</v>
      </c>
      <c r="F23" s="4">
        <f t="shared" si="6"/>
        <v>0.23259677687323571</v>
      </c>
      <c r="G23" s="4">
        <f t="shared" si="6"/>
        <v>8.1422173972048151E-2</v>
      </c>
      <c r="H23" s="4">
        <f t="shared" si="6"/>
        <v>0.46765393608728545</v>
      </c>
      <c r="I23" s="4">
        <f t="shared" si="6"/>
        <v>0.12247397428046281</v>
      </c>
      <c r="J23" s="5" t="e">
        <f t="shared" si="6"/>
        <v>#VALUE!</v>
      </c>
      <c r="K23" s="4">
        <f t="shared" si="6"/>
        <v>92.957746478873233</v>
      </c>
      <c r="L23" s="5" t="e">
        <f t="shared" si="6"/>
        <v>#VALUE!</v>
      </c>
      <c r="M23" s="5" t="e">
        <f t="shared" si="6"/>
        <v>#VALUE!</v>
      </c>
      <c r="N23" s="4">
        <f t="shared" si="6"/>
        <v>20.408163265306129</v>
      </c>
      <c r="O23" s="4">
        <f t="shared" si="6"/>
        <v>25.742574257425733</v>
      </c>
      <c r="P23" s="4">
        <f t="shared" si="6"/>
        <v>200</v>
      </c>
      <c r="Q23" s="4">
        <f t="shared" si="6"/>
        <v>0</v>
      </c>
      <c r="R23" s="4">
        <f t="shared" si="6"/>
        <v>9.9453008453505715E-2</v>
      </c>
      <c r="S23" s="4">
        <f t="shared" si="6"/>
        <v>4.9689440993788823E-2</v>
      </c>
      <c r="T23" s="4">
        <f t="shared" si="6"/>
        <v>0.12790449797484546</v>
      </c>
      <c r="U23" s="4">
        <f t="shared" si="6"/>
        <v>0.17043033659991477</v>
      </c>
      <c r="V23" s="4">
        <f t="shared" si="6"/>
        <v>16.666666666666664</v>
      </c>
      <c r="W23" s="6" t="e">
        <f t="shared" si="6"/>
        <v>#VALUE!</v>
      </c>
      <c r="X23" s="4">
        <f t="shared" si="6"/>
        <v>25.35211267605635</v>
      </c>
    </row>
    <row r="24" spans="1:24" x14ac:dyDescent="0.35">
      <c r="A24" s="1" t="s">
        <v>36</v>
      </c>
      <c r="B24" s="4">
        <f>ABS(B11-B12)/(AVERAGE(B11:B12))*100</f>
        <v>9.9485989056544974E-2</v>
      </c>
      <c r="C24" s="4">
        <f t="shared" ref="C24:X24" si="7">ABS(C11-C12)/(AVERAGE(C11:C12))*100</f>
        <v>5.430355688298432E-2</v>
      </c>
      <c r="D24" s="4">
        <f t="shared" si="7"/>
        <v>0.31104199066874749</v>
      </c>
      <c r="E24" s="4">
        <f t="shared" si="7"/>
        <v>0</v>
      </c>
      <c r="F24" s="4">
        <f t="shared" si="7"/>
        <v>0.23259677687323571</v>
      </c>
      <c r="G24" s="4">
        <f t="shared" si="7"/>
        <v>8.1422173972048151E-2</v>
      </c>
      <c r="H24" s="4">
        <f t="shared" si="7"/>
        <v>0.46765393608728545</v>
      </c>
      <c r="I24" s="4">
        <f t="shared" si="7"/>
        <v>0.12247397428046281</v>
      </c>
      <c r="J24" s="5" t="e">
        <f t="shared" si="7"/>
        <v>#VALUE!</v>
      </c>
      <c r="K24" s="4">
        <f t="shared" si="7"/>
        <v>92.957746478873233</v>
      </c>
      <c r="L24" s="5" t="e">
        <f t="shared" si="7"/>
        <v>#VALUE!</v>
      </c>
      <c r="M24" s="5" t="e">
        <f t="shared" si="7"/>
        <v>#VALUE!</v>
      </c>
      <c r="N24" s="4">
        <f t="shared" si="7"/>
        <v>20.408163265306129</v>
      </c>
      <c r="O24" s="4">
        <f t="shared" si="7"/>
        <v>25.742574257425733</v>
      </c>
      <c r="P24" s="4">
        <f t="shared" si="7"/>
        <v>200</v>
      </c>
      <c r="Q24" s="4">
        <f t="shared" si="7"/>
        <v>0</v>
      </c>
      <c r="R24" s="4">
        <f t="shared" si="7"/>
        <v>9.9453008453505715E-2</v>
      </c>
      <c r="S24" s="4">
        <f t="shared" si="7"/>
        <v>4.9689440993788823E-2</v>
      </c>
      <c r="T24" s="4">
        <f t="shared" si="7"/>
        <v>0.12790449797484546</v>
      </c>
      <c r="U24" s="4">
        <f t="shared" si="7"/>
        <v>0.17043033659991477</v>
      </c>
      <c r="V24" s="4">
        <f t="shared" si="7"/>
        <v>16.666666666666664</v>
      </c>
      <c r="W24" s="6" t="e">
        <f t="shared" si="7"/>
        <v>#VALUE!</v>
      </c>
      <c r="X24" s="4">
        <f t="shared" si="7"/>
        <v>25.35211267605635</v>
      </c>
    </row>
    <row r="25" spans="1:24" x14ac:dyDescent="0.35">
      <c r="A25" s="1" t="s">
        <v>37</v>
      </c>
      <c r="B25" s="4">
        <f>ABS(B13-B14)/(AVERAGE(B13:B14))*100</f>
        <v>9.7767638911512411E-2</v>
      </c>
      <c r="C25" s="4">
        <f t="shared" ref="C25:X25" si="8">ABS(C13-C14)/(AVERAGE(C13:C14))*100</f>
        <v>0.21378941742383295</v>
      </c>
      <c r="D25" s="4">
        <f t="shared" si="8"/>
        <v>1.2184508268059231</v>
      </c>
      <c r="E25" s="4">
        <f t="shared" si="8"/>
        <v>0.12383900928792306</v>
      </c>
      <c r="F25" s="4">
        <f t="shared" si="8"/>
        <v>9.76721471593721E-2</v>
      </c>
      <c r="G25" s="4">
        <f t="shared" si="8"/>
        <v>0.13335111348180892</v>
      </c>
      <c r="H25" s="4">
        <f t="shared" si="8"/>
        <v>1.0830324909747382</v>
      </c>
      <c r="I25" s="4">
        <f t="shared" si="8"/>
        <v>0</v>
      </c>
      <c r="J25" s="5" t="e">
        <f t="shared" si="8"/>
        <v>#VALUE!</v>
      </c>
      <c r="K25" s="4">
        <f t="shared" si="8"/>
        <v>53.968253968253975</v>
      </c>
      <c r="L25" s="5" t="e">
        <f t="shared" si="8"/>
        <v>#VALUE!</v>
      </c>
      <c r="M25" s="5" t="e">
        <f t="shared" si="8"/>
        <v>#VALUE!</v>
      </c>
      <c r="N25" s="4">
        <f t="shared" si="8"/>
        <v>10.000000000000009</v>
      </c>
      <c r="O25" s="4">
        <f t="shared" si="8"/>
        <v>38.70967741935484</v>
      </c>
      <c r="P25" s="4">
        <f t="shared" si="8"/>
        <v>12.987012987012983</v>
      </c>
      <c r="Q25" s="4">
        <f t="shared" si="8"/>
        <v>0</v>
      </c>
      <c r="R25" s="4">
        <f t="shared" si="8"/>
        <v>4.9862877088007983E-2</v>
      </c>
      <c r="S25" s="4">
        <f t="shared" si="8"/>
        <v>0.29895366218236175</v>
      </c>
      <c r="T25" s="4">
        <f t="shared" si="8"/>
        <v>0.21791239921551533</v>
      </c>
      <c r="U25" s="4">
        <f t="shared" si="8"/>
        <v>0.47857298237981294</v>
      </c>
      <c r="V25" s="4">
        <f t="shared" si="8"/>
        <v>4.6511627906976623</v>
      </c>
      <c r="W25" s="5" t="e">
        <f>ABS(W13-W14)/(AVERAGE(W13:W14))*100</f>
        <v>#VALUE!</v>
      </c>
      <c r="X25" s="4">
        <f t="shared" si="8"/>
        <v>76.19047619047619</v>
      </c>
    </row>
    <row r="26" spans="1:24" x14ac:dyDescent="0.35">
      <c r="A26" s="1" t="s">
        <v>39</v>
      </c>
      <c r="B26" s="4">
        <f>ABS(B13-B14)/(AVERAGE(B13:B14))*100</f>
        <v>9.7767638911512411E-2</v>
      </c>
      <c r="C26" s="4">
        <f t="shared" ref="C26:X26" si="9">ABS(C13-C14)/(AVERAGE(C13:C14))*100</f>
        <v>0.21378941742383295</v>
      </c>
      <c r="D26" s="4">
        <f t="shared" si="9"/>
        <v>1.2184508268059231</v>
      </c>
      <c r="E26" s="4">
        <f t="shared" si="9"/>
        <v>0.12383900928792306</v>
      </c>
      <c r="F26" s="4">
        <f t="shared" si="9"/>
        <v>9.76721471593721E-2</v>
      </c>
      <c r="G26" s="4">
        <f t="shared" si="9"/>
        <v>0.13335111348180892</v>
      </c>
      <c r="H26" s="4">
        <f t="shared" si="9"/>
        <v>1.0830324909747382</v>
      </c>
      <c r="I26" s="4">
        <f t="shared" si="9"/>
        <v>0</v>
      </c>
      <c r="J26" s="5" t="e">
        <f t="shared" si="9"/>
        <v>#VALUE!</v>
      </c>
      <c r="K26" s="4">
        <f t="shared" si="9"/>
        <v>53.968253968253975</v>
      </c>
      <c r="L26" s="5" t="e">
        <f t="shared" si="9"/>
        <v>#VALUE!</v>
      </c>
      <c r="M26" s="5" t="e">
        <f t="shared" si="9"/>
        <v>#VALUE!</v>
      </c>
      <c r="N26" s="4">
        <f t="shared" si="9"/>
        <v>10.000000000000009</v>
      </c>
      <c r="O26" s="4">
        <f t="shared" si="9"/>
        <v>38.70967741935484</v>
      </c>
      <c r="P26" s="4">
        <f t="shared" si="9"/>
        <v>12.987012987012983</v>
      </c>
      <c r="Q26" s="4">
        <f t="shared" si="9"/>
        <v>0</v>
      </c>
      <c r="R26" s="4">
        <f t="shared" si="9"/>
        <v>4.9862877088007983E-2</v>
      </c>
      <c r="S26" s="4">
        <f t="shared" si="9"/>
        <v>0.29895366218236175</v>
      </c>
      <c r="T26" s="4">
        <f t="shared" si="9"/>
        <v>0.21791239921551533</v>
      </c>
      <c r="U26" s="4">
        <f t="shared" si="9"/>
        <v>0.47857298237981294</v>
      </c>
      <c r="V26" s="4">
        <f t="shared" si="9"/>
        <v>4.6511627906976623</v>
      </c>
      <c r="W26" s="5" t="e">
        <f t="shared" si="9"/>
        <v>#VALUE!</v>
      </c>
      <c r="X26" s="4">
        <f t="shared" si="9"/>
        <v>76.19047619047619</v>
      </c>
    </row>
  </sheetData>
  <mergeCells count="3">
    <mergeCell ref="M2:O2"/>
    <mergeCell ref="J2:L2"/>
    <mergeCell ref="P2:R2"/>
  </mergeCells>
  <conditionalFormatting sqref="B17:X26">
    <cfRule type="cellIs" dxfId="1" priority="1" operator="lessThan">
      <formula>20</formula>
    </cfRule>
    <cfRule type="cellIs" dxfId="0" priority="2" operator="greaterThan">
      <formula>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Quarter_5_Replicate_data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Travis A Courtney</cp:lastModifiedBy>
  <dcterms:created xsi:type="dcterms:W3CDTF">2024-08-13T20:43:56Z</dcterms:created>
  <dcterms:modified xsi:type="dcterms:W3CDTF">2024-08-20T21:49:34Z</dcterms:modified>
</cp:coreProperties>
</file>